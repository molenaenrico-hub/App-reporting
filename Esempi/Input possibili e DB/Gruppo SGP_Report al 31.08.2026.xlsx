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vismartcloud.sharepoint.com/sites/Finance/FPA/Reporting/2026/08_Agosto/01_Input/Import Economics/"/>
    </mc:Choice>
  </mc:AlternateContent>
  <xr:revisionPtr revIDLastSave="5" documentId="8_{A152E8BA-5186-49C4-85CE-E5409FC346E1}" xr6:coauthVersionLast="47" xr6:coauthVersionMax="47" xr10:uidLastSave="{678E7DD3-EA75-4E76-B55C-865900E484F0}"/>
  <bookViews>
    <workbookView xWindow="-108" yWindow="-108" windowWidth="23256" windowHeight="12456" xr2:uid="{23423FD4-7AD4-4775-B862-9AACE7CD9DA8}"/>
  </bookViews>
  <sheets>
    <sheet name="Aggr. SPV" sheetId="2" r:id="rId1"/>
    <sheet name="SGP+SPV" sheetId="3" r:id="rId2"/>
    <sheet name="Foglio1" sheetId="1" r:id="rId3"/>
  </sheets>
  <definedNames>
    <definedName name="_xlnm.Print_Area" localSheetId="0">'Aggr. SPV'!$A$1:$K$166</definedName>
    <definedName name="_xlnm.Print_Area" localSheetId="1">'SGP+SPV'!$A$1:$G$289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2" l="1"/>
  <c r="C283" i="3" l="1"/>
  <c r="B283" i="3"/>
  <c r="C282" i="3"/>
  <c r="C281" i="3"/>
  <c r="C280" i="3"/>
  <c r="C279" i="3"/>
  <c r="C276" i="3"/>
  <c r="B276" i="3"/>
  <c r="C268" i="3"/>
  <c r="B265" i="3"/>
  <c r="C262" i="3"/>
  <c r="C277" i="3" s="1"/>
  <c r="B262" i="3"/>
  <c r="B277" i="3" s="1"/>
  <c r="C261" i="3"/>
  <c r="C285" i="3" s="1"/>
  <c r="B261" i="3"/>
  <c r="B285" i="3" s="1"/>
  <c r="C260" i="3"/>
  <c r="B260" i="3"/>
  <c r="C258" i="3"/>
  <c r="C265" i="3" s="1"/>
  <c r="C270" i="3" s="1"/>
  <c r="B258" i="3"/>
  <c r="C257" i="3"/>
  <c r="C263" i="3" s="1"/>
  <c r="B257" i="3"/>
  <c r="B255" i="3"/>
  <c r="F245" i="3"/>
  <c r="C245" i="3"/>
  <c r="E243" i="3"/>
  <c r="F241" i="3"/>
  <c r="C241" i="3"/>
  <c r="G240" i="3"/>
  <c r="E240" i="3"/>
  <c r="E238" i="3"/>
  <c r="F237" i="3"/>
  <c r="F242" i="3" s="1"/>
  <c r="C237" i="3"/>
  <c r="C242" i="3" s="1"/>
  <c r="E236" i="3"/>
  <c r="G236" i="3" s="1"/>
  <c r="G235" i="3"/>
  <c r="E235" i="3"/>
  <c r="F232" i="3"/>
  <c r="C232" i="3"/>
  <c r="E231" i="3"/>
  <c r="G231" i="3" s="1"/>
  <c r="E230" i="3"/>
  <c r="G230" i="3" s="1"/>
  <c r="E229" i="3"/>
  <c r="G229" i="3" s="1"/>
  <c r="E228" i="3"/>
  <c r="G228" i="3" s="1"/>
  <c r="E227" i="3"/>
  <c r="G227" i="3" s="1"/>
  <c r="E226" i="3"/>
  <c r="G226" i="3" s="1"/>
  <c r="E225" i="3"/>
  <c r="G225" i="3" s="1"/>
  <c r="E224" i="3"/>
  <c r="D232" i="3"/>
  <c r="G223" i="3"/>
  <c r="E223" i="3"/>
  <c r="F220" i="3"/>
  <c r="C220" i="3"/>
  <c r="E219" i="3"/>
  <c r="G219" i="3" s="1"/>
  <c r="E218" i="3"/>
  <c r="G218" i="3" s="1"/>
  <c r="E217" i="3"/>
  <c r="G217" i="3" s="1"/>
  <c r="G216" i="3"/>
  <c r="E216" i="3"/>
  <c r="E215" i="3"/>
  <c r="G215" i="3" s="1"/>
  <c r="E214" i="3"/>
  <c r="G214" i="3" s="1"/>
  <c r="E213" i="3"/>
  <c r="G213" i="3" s="1"/>
  <c r="G212" i="3"/>
  <c r="E212" i="3"/>
  <c r="G211" i="3"/>
  <c r="E211" i="3"/>
  <c r="E210" i="3"/>
  <c r="G210" i="3" s="1"/>
  <c r="E209" i="3"/>
  <c r="G209" i="3" s="1"/>
  <c r="E208" i="3"/>
  <c r="G208" i="3" s="1"/>
  <c r="E207" i="3"/>
  <c r="G207" i="3" s="1"/>
  <c r="D220" i="3"/>
  <c r="F206" i="3"/>
  <c r="D206" i="3"/>
  <c r="C206" i="3"/>
  <c r="E205" i="3"/>
  <c r="G205" i="3" s="1"/>
  <c r="E204" i="3"/>
  <c r="G204" i="3" s="1"/>
  <c r="E203" i="3"/>
  <c r="G203" i="3" s="1"/>
  <c r="E202" i="3"/>
  <c r="G202" i="3" s="1"/>
  <c r="E201" i="3"/>
  <c r="G201" i="3" s="1"/>
  <c r="E200" i="3"/>
  <c r="G200" i="3" s="1"/>
  <c r="F199" i="3"/>
  <c r="F221" i="3" s="1"/>
  <c r="D199" i="3"/>
  <c r="C199" i="3"/>
  <c r="G198" i="3"/>
  <c r="E198" i="3"/>
  <c r="G197" i="3"/>
  <c r="E197" i="3"/>
  <c r="G196" i="3"/>
  <c r="E196" i="3"/>
  <c r="G195" i="3"/>
  <c r="E195" i="3"/>
  <c r="G194" i="3"/>
  <c r="E194" i="3"/>
  <c r="G193" i="3"/>
  <c r="G199" i="3" s="1"/>
  <c r="E193" i="3"/>
  <c r="E199" i="3" s="1"/>
  <c r="F192" i="3"/>
  <c r="C192" i="3"/>
  <c r="C221" i="3" s="1"/>
  <c r="E191" i="3"/>
  <c r="G191" i="3" s="1"/>
  <c r="C190" i="3"/>
  <c r="G189" i="3"/>
  <c r="E189" i="3"/>
  <c r="G188" i="3"/>
  <c r="C188" i="3"/>
  <c r="E188" i="3" s="1"/>
  <c r="E187" i="3"/>
  <c r="G187" i="3" s="1"/>
  <c r="G186" i="3"/>
  <c r="E186" i="3"/>
  <c r="G185" i="3"/>
  <c r="E185" i="3"/>
  <c r="G184" i="3"/>
  <c r="E184" i="3"/>
  <c r="E182" i="3"/>
  <c r="G182" i="3" s="1"/>
  <c r="E181" i="3"/>
  <c r="G181" i="3" s="1"/>
  <c r="E180" i="3"/>
  <c r="G180" i="3" s="1"/>
  <c r="E179" i="3"/>
  <c r="G179" i="3" s="1"/>
  <c r="E178" i="3"/>
  <c r="C176" i="3"/>
  <c r="E175" i="3"/>
  <c r="G175" i="3" s="1"/>
  <c r="F174" i="3"/>
  <c r="E174" i="3"/>
  <c r="G174" i="3" s="1"/>
  <c r="E173" i="3"/>
  <c r="G173" i="3" s="1"/>
  <c r="E172" i="3"/>
  <c r="E171" i="3"/>
  <c r="G171" i="3" s="1"/>
  <c r="E170" i="3"/>
  <c r="G170" i="3" s="1"/>
  <c r="E169" i="3"/>
  <c r="G169" i="3" s="1"/>
  <c r="F168" i="3"/>
  <c r="C168" i="3"/>
  <c r="E167" i="3"/>
  <c r="G167" i="3" s="1"/>
  <c r="E166" i="3"/>
  <c r="G166" i="3" s="1"/>
  <c r="E165" i="3"/>
  <c r="G165" i="3" s="1"/>
  <c r="G168" i="3" s="1"/>
  <c r="E164" i="3"/>
  <c r="G164" i="3" s="1"/>
  <c r="D168" i="3"/>
  <c r="G163" i="3"/>
  <c r="E163" i="3"/>
  <c r="E160" i="3"/>
  <c r="G160" i="3" s="1"/>
  <c r="G159" i="3"/>
  <c r="E159" i="3"/>
  <c r="G158" i="3"/>
  <c r="E158" i="3"/>
  <c r="G157" i="3"/>
  <c r="E157" i="3"/>
  <c r="E156" i="3"/>
  <c r="G156" i="3" s="1"/>
  <c r="E155" i="3"/>
  <c r="G155" i="3" s="1"/>
  <c r="F154" i="3"/>
  <c r="F173" i="3" s="1"/>
  <c r="E154" i="3"/>
  <c r="F153" i="3"/>
  <c r="E153" i="3"/>
  <c r="G152" i="3"/>
  <c r="E152" i="3"/>
  <c r="D161" i="3"/>
  <c r="C161" i="3"/>
  <c r="C177" i="3" s="1"/>
  <c r="C222" i="3" s="1"/>
  <c r="C233" i="3" s="1"/>
  <c r="F143" i="3"/>
  <c r="D143" i="3"/>
  <c r="C143" i="3"/>
  <c r="G142" i="3"/>
  <c r="E142" i="3"/>
  <c r="G141" i="3"/>
  <c r="G143" i="3" s="1"/>
  <c r="E141" i="3"/>
  <c r="E143" i="3" s="1"/>
  <c r="C139" i="3"/>
  <c r="E139" i="3" s="1"/>
  <c r="G139" i="3" s="1"/>
  <c r="E137" i="3"/>
  <c r="G137" i="3" s="1"/>
  <c r="G136" i="3"/>
  <c r="G135" i="3"/>
  <c r="E135" i="3"/>
  <c r="G134" i="3"/>
  <c r="E134" i="3"/>
  <c r="E133" i="3"/>
  <c r="G133" i="3" s="1"/>
  <c r="E132" i="3"/>
  <c r="G132" i="3" s="1"/>
  <c r="E131" i="3"/>
  <c r="G131" i="3" s="1"/>
  <c r="E130" i="3"/>
  <c r="G130" i="3" s="1"/>
  <c r="E129" i="3"/>
  <c r="G129" i="3" s="1"/>
  <c r="E128" i="3"/>
  <c r="G128" i="3" s="1"/>
  <c r="E127" i="3"/>
  <c r="G127" i="3" s="1"/>
  <c r="F126" i="3"/>
  <c r="E126" i="3"/>
  <c r="G126" i="3" s="1"/>
  <c r="C125" i="3"/>
  <c r="C124" i="3"/>
  <c r="E124" i="3" s="1"/>
  <c r="G124" i="3" s="1"/>
  <c r="C123" i="3"/>
  <c r="E123" i="3" s="1"/>
  <c r="F122" i="3"/>
  <c r="E122" i="3"/>
  <c r="G122" i="3" s="1"/>
  <c r="E121" i="3"/>
  <c r="F121" i="3" s="1"/>
  <c r="E120" i="3"/>
  <c r="G120" i="3" s="1"/>
  <c r="F119" i="3"/>
  <c r="C119" i="3"/>
  <c r="E119" i="3" s="1"/>
  <c r="F118" i="3"/>
  <c r="E118" i="3"/>
  <c r="G117" i="3"/>
  <c r="E117" i="3"/>
  <c r="F117" i="3" s="1"/>
  <c r="F116" i="3"/>
  <c r="E116" i="3"/>
  <c r="G115" i="3"/>
  <c r="E115" i="3"/>
  <c r="F114" i="3"/>
  <c r="E114" i="3"/>
  <c r="E113" i="3"/>
  <c r="G113" i="3" s="1"/>
  <c r="G112" i="3"/>
  <c r="E112" i="3"/>
  <c r="E111" i="3"/>
  <c r="C110" i="3"/>
  <c r="C140" i="3" s="1"/>
  <c r="E109" i="3"/>
  <c r="G109" i="3" s="1"/>
  <c r="G108" i="3"/>
  <c r="E108" i="3"/>
  <c r="E107" i="3"/>
  <c r="G107" i="3" s="1"/>
  <c r="E106" i="3"/>
  <c r="G106" i="3" s="1"/>
  <c r="E105" i="3"/>
  <c r="G105" i="3" s="1"/>
  <c r="E103" i="3"/>
  <c r="F102" i="3"/>
  <c r="F103" i="3" s="1"/>
  <c r="D102" i="3"/>
  <c r="C102" i="3"/>
  <c r="G101" i="3"/>
  <c r="E101" i="3"/>
  <c r="E98" i="3"/>
  <c r="G98" i="3" s="1"/>
  <c r="G97" i="3"/>
  <c r="E97" i="3"/>
  <c r="G96" i="3"/>
  <c r="E96" i="3"/>
  <c r="E95" i="3"/>
  <c r="G95" i="3" s="1"/>
  <c r="G94" i="3"/>
  <c r="E94" i="3"/>
  <c r="F89" i="3"/>
  <c r="E89" i="3"/>
  <c r="C89" i="3"/>
  <c r="E88" i="3"/>
  <c r="G88" i="3" s="1"/>
  <c r="D89" i="3"/>
  <c r="F87" i="3"/>
  <c r="C87" i="3"/>
  <c r="E86" i="3"/>
  <c r="G86" i="3" s="1"/>
  <c r="G85" i="3"/>
  <c r="E85" i="3"/>
  <c r="G84" i="3"/>
  <c r="E84" i="3"/>
  <c r="E83" i="3"/>
  <c r="G83" i="3" s="1"/>
  <c r="E82" i="3"/>
  <c r="G82" i="3" s="1"/>
  <c r="E80" i="3"/>
  <c r="G80" i="3" s="1"/>
  <c r="E79" i="3"/>
  <c r="G79" i="3" s="1"/>
  <c r="E77" i="3"/>
  <c r="G77" i="3" s="1"/>
  <c r="E76" i="3"/>
  <c r="G76" i="3" s="1"/>
  <c r="E75" i="3"/>
  <c r="G75" i="3" s="1"/>
  <c r="E74" i="3"/>
  <c r="G74" i="3" s="1"/>
  <c r="E73" i="3"/>
  <c r="G73" i="3" s="1"/>
  <c r="E72" i="3"/>
  <c r="G72" i="3" s="1"/>
  <c r="C72" i="3"/>
  <c r="E71" i="3"/>
  <c r="G71" i="3" s="1"/>
  <c r="E70" i="3"/>
  <c r="G70" i="3" s="1"/>
  <c r="G69" i="3"/>
  <c r="E69" i="3"/>
  <c r="E68" i="3"/>
  <c r="G68" i="3" s="1"/>
  <c r="C66" i="3"/>
  <c r="G65" i="3"/>
  <c r="E65" i="3"/>
  <c r="G64" i="3"/>
  <c r="E64" i="3"/>
  <c r="F64" i="3" s="1"/>
  <c r="C63" i="3"/>
  <c r="E63" i="3" s="1"/>
  <c r="G63" i="3" s="1"/>
  <c r="D78" i="3"/>
  <c r="C62" i="3"/>
  <c r="G61" i="3"/>
  <c r="E61" i="3"/>
  <c r="G60" i="3"/>
  <c r="E60" i="3"/>
  <c r="G59" i="3"/>
  <c r="C59" i="3"/>
  <c r="E59" i="3" s="1"/>
  <c r="E58" i="3"/>
  <c r="G58" i="3" s="1"/>
  <c r="C57" i="3"/>
  <c r="E57" i="3" s="1"/>
  <c r="E56" i="3"/>
  <c r="G56" i="3" s="1"/>
  <c r="G55" i="3"/>
  <c r="E55" i="3"/>
  <c r="G54" i="3"/>
  <c r="E54" i="3"/>
  <c r="E53" i="3"/>
  <c r="F53" i="3" s="1"/>
  <c r="C52" i="3"/>
  <c r="F51" i="3"/>
  <c r="D51" i="3"/>
  <c r="C51" i="3"/>
  <c r="G50" i="3"/>
  <c r="E50" i="3"/>
  <c r="G49" i="3"/>
  <c r="G51" i="3" s="1"/>
  <c r="E49" i="3"/>
  <c r="E51" i="3" s="1"/>
  <c r="E47" i="3"/>
  <c r="G47" i="3" s="1"/>
  <c r="E46" i="3"/>
  <c r="G46" i="3" s="1"/>
  <c r="F45" i="3"/>
  <c r="E45" i="3"/>
  <c r="C44" i="3"/>
  <c r="E44" i="3" s="1"/>
  <c r="C43" i="3"/>
  <c r="E43" i="3" s="1"/>
  <c r="C42" i="3"/>
  <c r="E42" i="3" s="1"/>
  <c r="E41" i="3"/>
  <c r="G41" i="3" s="1"/>
  <c r="C41" i="3"/>
  <c r="E40" i="3"/>
  <c r="F40" i="3" s="1"/>
  <c r="C40" i="3"/>
  <c r="G39" i="3"/>
  <c r="E39" i="3"/>
  <c r="G38" i="3"/>
  <c r="E38" i="3"/>
  <c r="E37" i="3"/>
  <c r="G37" i="3" s="1"/>
  <c r="E36" i="3"/>
  <c r="G36" i="3" s="1"/>
  <c r="G35" i="3"/>
  <c r="E35" i="3"/>
  <c r="E34" i="3"/>
  <c r="F34" i="3" s="1"/>
  <c r="F33" i="3"/>
  <c r="E33" i="3"/>
  <c r="G33" i="3" s="1"/>
  <c r="E32" i="3"/>
  <c r="F32" i="3" s="1"/>
  <c r="F31" i="3"/>
  <c r="E31" i="3"/>
  <c r="G31" i="3" s="1"/>
  <c r="E30" i="3"/>
  <c r="F30" i="3" s="1"/>
  <c r="E29" i="3"/>
  <c r="G29" i="3" s="1"/>
  <c r="E28" i="3"/>
  <c r="G28" i="3" s="1"/>
  <c r="E27" i="3"/>
  <c r="G27" i="3" s="1"/>
  <c r="C26" i="3"/>
  <c r="E26" i="3" s="1"/>
  <c r="E25" i="3"/>
  <c r="G25" i="3" s="1"/>
  <c r="C25" i="3"/>
  <c r="C48" i="3" s="1"/>
  <c r="F24" i="3"/>
  <c r="D24" i="3"/>
  <c r="C23" i="3"/>
  <c r="E23" i="3" s="1"/>
  <c r="G23" i="3" s="1"/>
  <c r="C21" i="3"/>
  <c r="E21" i="3" s="1"/>
  <c r="G21" i="3" s="1"/>
  <c r="E20" i="3"/>
  <c r="G20" i="3" s="1"/>
  <c r="C20" i="3"/>
  <c r="C22" i="3" s="1"/>
  <c r="E22" i="3" s="1"/>
  <c r="G22" i="3" s="1"/>
  <c r="G19" i="3"/>
  <c r="E19" i="3"/>
  <c r="C18" i="3"/>
  <c r="E18" i="3" s="1"/>
  <c r="G18" i="3" s="1"/>
  <c r="E17" i="3"/>
  <c r="G17" i="3" s="1"/>
  <c r="G24" i="3" s="1"/>
  <c r="F16" i="3"/>
  <c r="C15" i="3"/>
  <c r="E15" i="3" s="1"/>
  <c r="G15" i="3" s="1"/>
  <c r="G14" i="3"/>
  <c r="E14" i="3"/>
  <c r="G13" i="3"/>
  <c r="E13" i="3"/>
  <c r="E12" i="3"/>
  <c r="G12" i="3" s="1"/>
  <c r="E11" i="3"/>
  <c r="G11" i="3" s="1"/>
  <c r="C11" i="3"/>
  <c r="C16" i="3" s="1"/>
  <c r="G10" i="3"/>
  <c r="E10" i="3"/>
  <c r="G9" i="3"/>
  <c r="E9" i="3"/>
  <c r="G8" i="3"/>
  <c r="E8" i="3"/>
  <c r="E7" i="3"/>
  <c r="G7" i="3" s="1"/>
  <c r="E6" i="3"/>
  <c r="G6" i="3" s="1"/>
  <c r="E5" i="3"/>
  <c r="G5" i="3" s="1"/>
  <c r="E4" i="3"/>
  <c r="B163" i="2"/>
  <c r="K161" i="2"/>
  <c r="I161" i="2"/>
  <c r="F160" i="2"/>
  <c r="E160" i="2"/>
  <c r="D160" i="2"/>
  <c r="C160" i="2"/>
  <c r="K160" i="2" s="1"/>
  <c r="I159" i="2"/>
  <c r="C159" i="2"/>
  <c r="K159" i="2" s="1"/>
  <c r="K158" i="2"/>
  <c r="I158" i="2"/>
  <c r="B154" i="2"/>
  <c r="K152" i="2"/>
  <c r="I152" i="2"/>
  <c r="K151" i="2"/>
  <c r="I151" i="2"/>
  <c r="H150" i="2"/>
  <c r="G150" i="2"/>
  <c r="F150" i="2"/>
  <c r="E150" i="2"/>
  <c r="D150" i="2"/>
  <c r="C150" i="2"/>
  <c r="K150" i="2" s="1"/>
  <c r="K148" i="2"/>
  <c r="I148" i="2"/>
  <c r="H147" i="2"/>
  <c r="G147" i="2"/>
  <c r="F147" i="2"/>
  <c r="E147" i="2"/>
  <c r="D147" i="2"/>
  <c r="C147" i="2"/>
  <c r="K147" i="2" s="1"/>
  <c r="B147" i="2"/>
  <c r="A145" i="2"/>
  <c r="J138" i="2"/>
  <c r="J137" i="2"/>
  <c r="J135" i="2"/>
  <c r="H135" i="2"/>
  <c r="F135" i="2"/>
  <c r="D135" i="2"/>
  <c r="J134" i="2"/>
  <c r="H134" i="2"/>
  <c r="G134" i="2"/>
  <c r="G135" i="2" s="1"/>
  <c r="F134" i="2"/>
  <c r="E134" i="2"/>
  <c r="E135" i="2" s="1"/>
  <c r="D134" i="2"/>
  <c r="C134" i="2"/>
  <c r="C135" i="2" s="1"/>
  <c r="I133" i="2"/>
  <c r="K133" i="2" s="1"/>
  <c r="I132" i="2"/>
  <c r="K132" i="2" s="1"/>
  <c r="I131" i="2"/>
  <c r="K131" i="2" s="1"/>
  <c r="K134" i="2" s="1"/>
  <c r="K135" i="2" s="1"/>
  <c r="J130" i="2"/>
  <c r="J129" i="2"/>
  <c r="C129" i="2"/>
  <c r="I128" i="2"/>
  <c r="K128" i="2" s="1"/>
  <c r="I127" i="2"/>
  <c r="K127" i="2" s="1"/>
  <c r="I126" i="2"/>
  <c r="K126" i="2" s="1"/>
  <c r="I125" i="2"/>
  <c r="K125" i="2" s="1"/>
  <c r="H129" i="2"/>
  <c r="G129" i="2"/>
  <c r="F129" i="2"/>
  <c r="E129" i="2"/>
  <c r="D129" i="2"/>
  <c r="J121" i="2"/>
  <c r="H121" i="2"/>
  <c r="G121" i="2"/>
  <c r="F121" i="2"/>
  <c r="E121" i="2"/>
  <c r="D121" i="2"/>
  <c r="C121" i="2"/>
  <c r="K120" i="2"/>
  <c r="K121" i="2" s="1"/>
  <c r="I120" i="2"/>
  <c r="I121" i="2" s="1"/>
  <c r="K119" i="2"/>
  <c r="I119" i="2"/>
  <c r="J118" i="2"/>
  <c r="H118" i="2"/>
  <c r="E118" i="2"/>
  <c r="D118" i="2"/>
  <c r="C118" i="2"/>
  <c r="I117" i="2"/>
  <c r="K117" i="2" s="1"/>
  <c r="K116" i="2"/>
  <c r="I116" i="2"/>
  <c r="K115" i="2"/>
  <c r="I115" i="2"/>
  <c r="K114" i="2"/>
  <c r="I114" i="2"/>
  <c r="K113" i="2"/>
  <c r="I113" i="2"/>
  <c r="K112" i="2"/>
  <c r="I112" i="2"/>
  <c r="G111" i="2"/>
  <c r="G118" i="2" s="1"/>
  <c r="F111" i="2"/>
  <c r="F118" i="2" s="1"/>
  <c r="J110" i="2"/>
  <c r="H110" i="2"/>
  <c r="G110" i="2"/>
  <c r="F110" i="2"/>
  <c r="E110" i="2"/>
  <c r="D110" i="2"/>
  <c r="I109" i="2"/>
  <c r="K109" i="2" s="1"/>
  <c r="I108" i="2"/>
  <c r="K108" i="2" s="1"/>
  <c r="J107" i="2"/>
  <c r="K106" i="2"/>
  <c r="H106" i="2"/>
  <c r="I106" i="2" s="1"/>
  <c r="I105" i="2"/>
  <c r="K105" i="2" s="1"/>
  <c r="I104" i="2"/>
  <c r="K104" i="2" s="1"/>
  <c r="I103" i="2"/>
  <c r="K103" i="2" s="1"/>
  <c r="D103" i="2"/>
  <c r="K102" i="2"/>
  <c r="I102" i="2"/>
  <c r="K101" i="2"/>
  <c r="I101" i="2"/>
  <c r="K100" i="2"/>
  <c r="I100" i="2"/>
  <c r="G107" i="2"/>
  <c r="F107" i="2"/>
  <c r="E107" i="2"/>
  <c r="D107" i="2"/>
  <c r="C107" i="2"/>
  <c r="I98" i="2"/>
  <c r="K98" i="2" s="1"/>
  <c r="I97" i="2"/>
  <c r="K97" i="2" s="1"/>
  <c r="I96" i="2"/>
  <c r="K96" i="2" s="1"/>
  <c r="J95" i="2"/>
  <c r="H95" i="2"/>
  <c r="G95" i="2"/>
  <c r="F95" i="2"/>
  <c r="E95" i="2"/>
  <c r="D95" i="2"/>
  <c r="C95" i="2"/>
  <c r="K94" i="2"/>
  <c r="K95" i="2" s="1"/>
  <c r="I94" i="2"/>
  <c r="I95" i="2" s="1"/>
  <c r="H87" i="2"/>
  <c r="G87" i="2"/>
  <c r="F87" i="2"/>
  <c r="E87" i="2"/>
  <c r="D87" i="2"/>
  <c r="C87" i="2"/>
  <c r="I87" i="2" s="1"/>
  <c r="I86" i="2"/>
  <c r="K86" i="2" s="1"/>
  <c r="K87" i="2" s="1"/>
  <c r="K84" i="2"/>
  <c r="I84" i="2"/>
  <c r="K83" i="2"/>
  <c r="I83" i="2"/>
  <c r="K82" i="2"/>
  <c r="I82" i="2"/>
  <c r="K81" i="2"/>
  <c r="I81" i="2"/>
  <c r="I79" i="2"/>
  <c r="K79" i="2" s="1"/>
  <c r="I78" i="2"/>
  <c r="K78" i="2" s="1"/>
  <c r="C77" i="2"/>
  <c r="I77" i="2" s="1"/>
  <c r="K77" i="2" s="1"/>
  <c r="I76" i="2"/>
  <c r="K76" i="2" s="1"/>
  <c r="I75" i="2"/>
  <c r="K75" i="2" s="1"/>
  <c r="I74" i="2"/>
  <c r="K74" i="2" s="1"/>
  <c r="J73" i="2"/>
  <c r="I73" i="2"/>
  <c r="K73" i="2" s="1"/>
  <c r="I72" i="2"/>
  <c r="I71" i="2"/>
  <c r="K71" i="2" s="1"/>
  <c r="I70" i="2"/>
  <c r="K70" i="2" s="1"/>
  <c r="F69" i="2"/>
  <c r="E69" i="2"/>
  <c r="D69" i="2"/>
  <c r="C69" i="2"/>
  <c r="I69" i="2" s="1"/>
  <c r="K69" i="2" s="1"/>
  <c r="I68" i="2"/>
  <c r="K68" i="2" s="1"/>
  <c r="F67" i="2"/>
  <c r="E67" i="2"/>
  <c r="I67" i="2" s="1"/>
  <c r="K67" i="2" s="1"/>
  <c r="D66" i="2"/>
  <c r="C66" i="2"/>
  <c r="I66" i="2" s="1"/>
  <c r="K66" i="2" s="1"/>
  <c r="H65" i="2"/>
  <c r="D65" i="2"/>
  <c r="G64" i="2"/>
  <c r="F64" i="2"/>
  <c r="E64" i="2"/>
  <c r="K63" i="2"/>
  <c r="I63" i="2"/>
  <c r="K62" i="2"/>
  <c r="I62" i="2"/>
  <c r="K61" i="2"/>
  <c r="I61" i="2"/>
  <c r="H60" i="2"/>
  <c r="H85" i="2" s="1"/>
  <c r="I59" i="2"/>
  <c r="K59" i="2" s="1"/>
  <c r="J58" i="2"/>
  <c r="I56" i="2"/>
  <c r="K56" i="2" s="1"/>
  <c r="I55" i="2"/>
  <c r="K55" i="2" s="1"/>
  <c r="I54" i="2"/>
  <c r="K54" i="2" s="1"/>
  <c r="I53" i="2"/>
  <c r="K53" i="2" s="1"/>
  <c r="I52" i="2"/>
  <c r="K52" i="2" s="1"/>
  <c r="J48" i="2"/>
  <c r="H48" i="2"/>
  <c r="G48" i="2"/>
  <c r="F48" i="2"/>
  <c r="E48" i="2"/>
  <c r="D48" i="2"/>
  <c r="C48" i="2"/>
  <c r="I47" i="2"/>
  <c r="K47" i="2" s="1"/>
  <c r="K48" i="2" s="1"/>
  <c r="J46" i="2"/>
  <c r="H46" i="2"/>
  <c r="G46" i="2"/>
  <c r="E46" i="2"/>
  <c r="D46" i="2"/>
  <c r="C46" i="2"/>
  <c r="F45" i="2"/>
  <c r="I45" i="2" s="1"/>
  <c r="K45" i="2" s="1"/>
  <c r="I44" i="2"/>
  <c r="K44" i="2" s="1"/>
  <c r="K43" i="2"/>
  <c r="I43" i="2"/>
  <c r="K42" i="2"/>
  <c r="K46" i="2" s="1"/>
  <c r="I42" i="2"/>
  <c r="I40" i="2"/>
  <c r="K40" i="2" s="1"/>
  <c r="I39" i="2"/>
  <c r="K39" i="2" s="1"/>
  <c r="I38" i="2"/>
  <c r="K38" i="2" s="1"/>
  <c r="I37" i="2"/>
  <c r="K37" i="2" s="1"/>
  <c r="I36" i="2"/>
  <c r="K36" i="2" s="1"/>
  <c r="I35" i="2"/>
  <c r="K35" i="2" s="1"/>
  <c r="I34" i="2"/>
  <c r="K34" i="2" s="1"/>
  <c r="I33" i="2"/>
  <c r="K33" i="2" s="1"/>
  <c r="I32" i="2"/>
  <c r="K32" i="2" s="1"/>
  <c r="K30" i="2"/>
  <c r="I30" i="2"/>
  <c r="J29" i="2"/>
  <c r="I29" i="2"/>
  <c r="K29" i="2" s="1"/>
  <c r="J28" i="2"/>
  <c r="I28" i="2"/>
  <c r="K28" i="2" s="1"/>
  <c r="I27" i="2"/>
  <c r="J27" i="2" s="1"/>
  <c r="G27" i="2"/>
  <c r="I26" i="2"/>
  <c r="J26" i="2" s="1"/>
  <c r="J72" i="2" s="1"/>
  <c r="J85" i="2" s="1"/>
  <c r="J88" i="2" s="1"/>
  <c r="G25" i="2"/>
  <c r="I25" i="2" s="1"/>
  <c r="J24" i="2"/>
  <c r="I24" i="2"/>
  <c r="K24" i="2" s="1"/>
  <c r="K23" i="2"/>
  <c r="I23" i="2"/>
  <c r="K22" i="2"/>
  <c r="I22" i="2"/>
  <c r="D21" i="2"/>
  <c r="I21" i="2" s="1"/>
  <c r="K21" i="2" s="1"/>
  <c r="H20" i="2"/>
  <c r="H41" i="2" s="1"/>
  <c r="E20" i="2"/>
  <c r="E41" i="2" s="1"/>
  <c r="D20" i="2"/>
  <c r="C20" i="2"/>
  <c r="J19" i="2"/>
  <c r="H19" i="2"/>
  <c r="G19" i="2"/>
  <c r="F19" i="2"/>
  <c r="E19" i="2"/>
  <c r="D19" i="2"/>
  <c r="C19" i="2"/>
  <c r="K18" i="2"/>
  <c r="K19" i="2" s="1"/>
  <c r="I18" i="2"/>
  <c r="I19" i="2" s="1"/>
  <c r="J17" i="2"/>
  <c r="H17" i="2"/>
  <c r="G17" i="2"/>
  <c r="C17" i="2"/>
  <c r="F16" i="2"/>
  <c r="F17" i="2" s="1"/>
  <c r="E16" i="2"/>
  <c r="E17" i="2" s="1"/>
  <c r="D16" i="2"/>
  <c r="D17" i="2" s="1"/>
  <c r="K15" i="2"/>
  <c r="I15" i="2"/>
  <c r="K14" i="2"/>
  <c r="I14" i="2"/>
  <c r="J13" i="2"/>
  <c r="H13" i="2"/>
  <c r="G13" i="2"/>
  <c r="F13" i="2"/>
  <c r="E13" i="2"/>
  <c r="D13" i="2"/>
  <c r="C13" i="2"/>
  <c r="I12" i="2"/>
  <c r="K12" i="2" s="1"/>
  <c r="I11" i="2"/>
  <c r="K11" i="2" s="1"/>
  <c r="K13" i="2" s="1"/>
  <c r="J10" i="2"/>
  <c r="F10" i="2"/>
  <c r="D10" i="2"/>
  <c r="H9" i="2"/>
  <c r="H10" i="2" s="1"/>
  <c r="H49" i="2" s="1"/>
  <c r="G9" i="2"/>
  <c r="E9" i="2"/>
  <c r="D9" i="2"/>
  <c r="C9" i="2"/>
  <c r="I9" i="2" s="1"/>
  <c r="K9" i="2" s="1"/>
  <c r="I8" i="2"/>
  <c r="K8" i="2" s="1"/>
  <c r="I7" i="2"/>
  <c r="K7" i="2" s="1"/>
  <c r="I6" i="2"/>
  <c r="K6" i="2" s="1"/>
  <c r="F5" i="2"/>
  <c r="E5" i="2"/>
  <c r="E10" i="2" s="1"/>
  <c r="D5" i="2"/>
  <c r="C5" i="2"/>
  <c r="C10" i="2" s="1"/>
  <c r="I4" i="2"/>
  <c r="G4" i="2"/>
  <c r="G10" i="2" s="1"/>
  <c r="F26" i="3" l="1"/>
  <c r="G42" i="3"/>
  <c r="F42" i="3"/>
  <c r="G44" i="3"/>
  <c r="F44" i="3"/>
  <c r="C246" i="3"/>
  <c r="C274" i="3"/>
  <c r="C286" i="3" s="1"/>
  <c r="C287" i="3" s="1"/>
  <c r="C288" i="3" s="1"/>
  <c r="C248" i="3" s="1"/>
  <c r="E248" i="3" s="1"/>
  <c r="G248" i="3" s="1"/>
  <c r="E16" i="3"/>
  <c r="G16" i="3" s="1"/>
  <c r="F43" i="3"/>
  <c r="G43" i="3" s="1"/>
  <c r="F123" i="3"/>
  <c r="G123" i="3"/>
  <c r="D16" i="3"/>
  <c r="C24" i="3"/>
  <c r="E24" i="3"/>
  <c r="G30" i="3"/>
  <c r="G32" i="3"/>
  <c r="G34" i="3"/>
  <c r="G40" i="3"/>
  <c r="E48" i="3"/>
  <c r="G57" i="3"/>
  <c r="D87" i="3"/>
  <c r="E87" i="3" s="1"/>
  <c r="G87" i="3" s="1"/>
  <c r="E81" i="3"/>
  <c r="G81" i="3" s="1"/>
  <c r="G89" i="3"/>
  <c r="G103" i="3"/>
  <c r="D140" i="3"/>
  <c r="D144" i="3" s="1"/>
  <c r="E104" i="3"/>
  <c r="E110" i="3"/>
  <c r="G110" i="3" s="1"/>
  <c r="F111" i="3"/>
  <c r="E151" i="3"/>
  <c r="F172" i="3"/>
  <c r="F161" i="3"/>
  <c r="E168" i="3"/>
  <c r="G232" i="3"/>
  <c r="G224" i="3"/>
  <c r="E232" i="3"/>
  <c r="D237" i="3"/>
  <c r="E234" i="3"/>
  <c r="G4" i="3"/>
  <c r="D48" i="3"/>
  <c r="G45" i="3"/>
  <c r="E52" i="3"/>
  <c r="G53" i="3"/>
  <c r="F57" i="3"/>
  <c r="E62" i="3"/>
  <c r="E66" i="3"/>
  <c r="G66" i="3" s="1"/>
  <c r="D100" i="3"/>
  <c r="E93" i="3"/>
  <c r="E102" i="3"/>
  <c r="G102" i="3" s="1"/>
  <c r="G111" i="3"/>
  <c r="G114" i="3"/>
  <c r="G116" i="3"/>
  <c r="G118" i="3"/>
  <c r="G119" i="3"/>
  <c r="G121" i="3"/>
  <c r="E125" i="3"/>
  <c r="G153" i="3"/>
  <c r="G154" i="3"/>
  <c r="E176" i="3"/>
  <c r="G178" i="3"/>
  <c r="G206" i="3"/>
  <c r="G220" i="3"/>
  <c r="E239" i="3"/>
  <c r="G239" i="3" s="1"/>
  <c r="D241" i="3"/>
  <c r="E244" i="3"/>
  <c r="G244" i="3" s="1"/>
  <c r="D245" i="3"/>
  <c r="D176" i="3"/>
  <c r="D177" i="3" s="1"/>
  <c r="D222" i="3" s="1"/>
  <c r="D233" i="3" s="1"/>
  <c r="D192" i="3"/>
  <c r="D221" i="3" s="1"/>
  <c r="E183" i="3"/>
  <c r="G183" i="3" s="1"/>
  <c r="E190" i="3"/>
  <c r="G190" i="3" s="1"/>
  <c r="E206" i="3"/>
  <c r="E220" i="3"/>
  <c r="E241" i="3"/>
  <c r="G238" i="3"/>
  <c r="G241" i="3" s="1"/>
  <c r="E245" i="3"/>
  <c r="G243" i="3"/>
  <c r="G245" i="3" s="1"/>
  <c r="J25" i="2"/>
  <c r="K25" i="2" s="1"/>
  <c r="E49" i="2"/>
  <c r="I46" i="2"/>
  <c r="K72" i="2"/>
  <c r="K110" i="2"/>
  <c r="I5" i="2"/>
  <c r="K5" i="2" s="1"/>
  <c r="I13" i="2"/>
  <c r="I16" i="2"/>
  <c r="I20" i="2"/>
  <c r="K26" i="2"/>
  <c r="K27" i="2"/>
  <c r="G41" i="2"/>
  <c r="G49" i="2" s="1"/>
  <c r="K4" i="2"/>
  <c r="K10" i="2" s="1"/>
  <c r="F46" i="2"/>
  <c r="I48" i="2"/>
  <c r="I60" i="2"/>
  <c r="C85" i="2"/>
  <c r="I99" i="2"/>
  <c r="K99" i="2" s="1"/>
  <c r="K107" i="2" s="1"/>
  <c r="H107" i="2"/>
  <c r="C110" i="2"/>
  <c r="C122" i="2" s="1"/>
  <c r="E122" i="2"/>
  <c r="D122" i="2"/>
  <c r="F122" i="2"/>
  <c r="H122" i="2"/>
  <c r="D157" i="2"/>
  <c r="D162" i="2" s="1"/>
  <c r="D163" i="2" s="1"/>
  <c r="D164" i="2" s="1"/>
  <c r="D130" i="2"/>
  <c r="D136" i="2" s="1"/>
  <c r="F157" i="2"/>
  <c r="F162" i="2" s="1"/>
  <c r="F163" i="2" s="1"/>
  <c r="F164" i="2" s="1"/>
  <c r="F130" i="2"/>
  <c r="H157" i="2"/>
  <c r="H162" i="2" s="1"/>
  <c r="H163" i="2" s="1"/>
  <c r="H164" i="2" s="1"/>
  <c r="H130" i="2"/>
  <c r="H136" i="2" s="1"/>
  <c r="I64" i="2"/>
  <c r="K64" i="2" s="1"/>
  <c r="I65" i="2"/>
  <c r="K65" i="2" s="1"/>
  <c r="I107" i="2"/>
  <c r="I110" i="2"/>
  <c r="G122" i="2"/>
  <c r="J122" i="2"/>
  <c r="J136" i="2" s="1"/>
  <c r="J139" i="2" s="1"/>
  <c r="E157" i="2"/>
  <c r="E162" i="2" s="1"/>
  <c r="E163" i="2" s="1"/>
  <c r="E164" i="2" s="1"/>
  <c r="E130" i="2"/>
  <c r="G157" i="2"/>
  <c r="G162" i="2" s="1"/>
  <c r="G163" i="2" s="1"/>
  <c r="G164" i="2" s="1"/>
  <c r="G130" i="2"/>
  <c r="C157" i="2"/>
  <c r="I111" i="2"/>
  <c r="I124" i="2"/>
  <c r="I134" i="2"/>
  <c r="I135" i="2" s="1"/>
  <c r="I147" i="2"/>
  <c r="I150" i="2"/>
  <c r="I160" i="2"/>
  <c r="C130" i="2"/>
  <c r="E192" i="3" l="1"/>
  <c r="E221" i="3" s="1"/>
  <c r="F125" i="3"/>
  <c r="G125" i="3" s="1"/>
  <c r="F62" i="3"/>
  <c r="E237" i="3"/>
  <c r="G234" i="3"/>
  <c r="F176" i="3"/>
  <c r="G172" i="3"/>
  <c r="G176" i="3" s="1"/>
  <c r="C249" i="3"/>
  <c r="C99" i="3" s="1"/>
  <c r="C255" i="3"/>
  <c r="C271" i="3" s="1"/>
  <c r="C272" i="3" s="1"/>
  <c r="C247" i="3" s="1"/>
  <c r="F48" i="3"/>
  <c r="G192" i="3"/>
  <c r="G221" i="3" s="1"/>
  <c r="G52" i="3"/>
  <c r="D242" i="3"/>
  <c r="D246" i="3" s="1"/>
  <c r="D249" i="3" s="1"/>
  <c r="D251" i="3" s="1"/>
  <c r="F177" i="3"/>
  <c r="F222" i="3" s="1"/>
  <c r="F233" i="3" s="1"/>
  <c r="F246" i="3" s="1"/>
  <c r="F249" i="3" s="1"/>
  <c r="F251" i="3" s="1"/>
  <c r="G151" i="3"/>
  <c r="G161" i="3" s="1"/>
  <c r="G177" i="3" s="1"/>
  <c r="G222" i="3" s="1"/>
  <c r="G233" i="3" s="1"/>
  <c r="E161" i="3"/>
  <c r="E177" i="3" s="1"/>
  <c r="G104" i="3"/>
  <c r="E140" i="3"/>
  <c r="D90" i="3"/>
  <c r="D145" i="3" s="1"/>
  <c r="F104" i="3"/>
  <c r="F93" i="3"/>
  <c r="F100" i="3" s="1"/>
  <c r="G26" i="3"/>
  <c r="G48" i="3" s="1"/>
  <c r="K122" i="2"/>
  <c r="I122" i="2"/>
  <c r="K124" i="2"/>
  <c r="K129" i="2" s="1"/>
  <c r="K130" i="2" s="1"/>
  <c r="I129" i="2"/>
  <c r="I130" i="2" s="1"/>
  <c r="I136" i="2" s="1"/>
  <c r="I157" i="2"/>
  <c r="C162" i="2"/>
  <c r="K157" i="2"/>
  <c r="G138" i="2"/>
  <c r="G80" i="2" s="1"/>
  <c r="G85" i="2" s="1"/>
  <c r="E138" i="2"/>
  <c r="E80" i="2" s="1"/>
  <c r="E85" i="2" s="1"/>
  <c r="H138" i="2"/>
  <c r="F138" i="2"/>
  <c r="F80" i="2" s="1"/>
  <c r="F85" i="2" s="1"/>
  <c r="D138" i="2"/>
  <c r="D80" i="2" s="1"/>
  <c r="K60" i="2"/>
  <c r="K20" i="2"/>
  <c r="C136" i="2"/>
  <c r="I118" i="2"/>
  <c r="K111" i="2"/>
  <c r="K118" i="2" s="1"/>
  <c r="G136" i="2"/>
  <c r="E136" i="2"/>
  <c r="H145" i="2"/>
  <c r="H153" i="2" s="1"/>
  <c r="H154" i="2" s="1"/>
  <c r="H137" i="2" s="1"/>
  <c r="H139" i="2" s="1"/>
  <c r="F136" i="2"/>
  <c r="D145" i="2"/>
  <c r="D153" i="2" s="1"/>
  <c r="D154" i="2" s="1"/>
  <c r="D137" i="2" s="1"/>
  <c r="D31" i="2" s="1"/>
  <c r="D41" i="2" s="1"/>
  <c r="D49" i="2" s="1"/>
  <c r="D139" i="2"/>
  <c r="K16" i="2"/>
  <c r="K17" i="2" s="1"/>
  <c r="I17" i="2"/>
  <c r="J41" i="2"/>
  <c r="J49" i="2" s="1"/>
  <c r="J89" i="2" s="1"/>
  <c r="I10" i="2"/>
  <c r="G140" i="3" l="1"/>
  <c r="E99" i="3"/>
  <c r="C251" i="3"/>
  <c r="C100" i="3"/>
  <c r="C144" i="3" s="1"/>
  <c r="F140" i="3"/>
  <c r="F144" i="3" s="1"/>
  <c r="E222" i="3"/>
  <c r="E233" i="3" s="1"/>
  <c r="E247" i="3"/>
  <c r="G247" i="3" s="1"/>
  <c r="C67" i="3"/>
  <c r="G237" i="3"/>
  <c r="G242" i="3" s="1"/>
  <c r="G246" i="3" s="1"/>
  <c r="G249" i="3" s="1"/>
  <c r="E242" i="3"/>
  <c r="G62" i="3"/>
  <c r="G93" i="3"/>
  <c r="H141" i="2"/>
  <c r="H57" i="2"/>
  <c r="H58" i="2" s="1"/>
  <c r="H88" i="2" s="1"/>
  <c r="H89" i="2" s="1"/>
  <c r="D141" i="2"/>
  <c r="D57" i="2"/>
  <c r="D58" i="2" s="1"/>
  <c r="F145" i="2"/>
  <c r="F153" i="2" s="1"/>
  <c r="F154" i="2" s="1"/>
  <c r="G145" i="2"/>
  <c r="G153" i="2" s="1"/>
  <c r="G154" i="2" s="1"/>
  <c r="I80" i="2"/>
  <c r="D85" i="2"/>
  <c r="D88" i="2" s="1"/>
  <c r="D89" i="2" s="1"/>
  <c r="C163" i="2"/>
  <c r="K162" i="2"/>
  <c r="I162" i="2"/>
  <c r="K136" i="2"/>
  <c r="E145" i="2"/>
  <c r="E153" i="2" s="1"/>
  <c r="E154" i="2" s="1"/>
  <c r="C145" i="2"/>
  <c r="D166" i="2"/>
  <c r="H166" i="2"/>
  <c r="E67" i="3" l="1"/>
  <c r="C78" i="3"/>
  <c r="C90" i="3" s="1"/>
  <c r="C145" i="3" s="1"/>
  <c r="E246" i="3"/>
  <c r="E249" i="3" s="1"/>
  <c r="E251" i="3" s="1"/>
  <c r="G99" i="3"/>
  <c r="G251" i="3" s="1"/>
  <c r="E100" i="3"/>
  <c r="E144" i="3" s="1"/>
  <c r="K80" i="2"/>
  <c r="I85" i="2"/>
  <c r="G137" i="2"/>
  <c r="G139" i="2" s="1"/>
  <c r="G166" i="2"/>
  <c r="F137" i="2"/>
  <c r="F166" i="2"/>
  <c r="I145" i="2"/>
  <c r="C153" i="2"/>
  <c r="K145" i="2"/>
  <c r="E137" i="2"/>
  <c r="E139" i="2" s="1"/>
  <c r="E166" i="2"/>
  <c r="C164" i="2"/>
  <c r="I163" i="2"/>
  <c r="K163" i="2"/>
  <c r="F67" i="3" l="1"/>
  <c r="F78" i="3" s="1"/>
  <c r="F90" i="3" s="1"/>
  <c r="F145" i="3" s="1"/>
  <c r="E78" i="3"/>
  <c r="G100" i="3"/>
  <c r="G144" i="3" s="1"/>
  <c r="E57" i="2"/>
  <c r="E58" i="2" s="1"/>
  <c r="E88" i="2" s="1"/>
  <c r="E89" i="2" s="1"/>
  <c r="C154" i="2"/>
  <c r="K153" i="2"/>
  <c r="I153" i="2"/>
  <c r="K85" i="2"/>
  <c r="C166" i="2"/>
  <c r="K166" i="2" s="1"/>
  <c r="C138" i="2"/>
  <c r="F31" i="2"/>
  <c r="F41" i="2" s="1"/>
  <c r="F49" i="2" s="1"/>
  <c r="F139" i="2"/>
  <c r="G141" i="2"/>
  <c r="G57" i="2"/>
  <c r="G58" i="2" s="1"/>
  <c r="G88" i="2" s="1"/>
  <c r="G89" i="2" s="1"/>
  <c r="G78" i="3" l="1"/>
  <c r="G90" i="3" s="1"/>
  <c r="G145" i="3" s="1"/>
  <c r="E90" i="3"/>
  <c r="E145" i="3" s="1"/>
  <c r="G67" i="3"/>
  <c r="F57" i="2"/>
  <c r="F58" i="2" s="1"/>
  <c r="F88" i="2" s="1"/>
  <c r="F89" i="2" s="1"/>
  <c r="K138" i="2"/>
  <c r="I138" i="2"/>
  <c r="I154" i="2"/>
  <c r="C137" i="2"/>
  <c r="K154" i="2"/>
  <c r="E141" i="2"/>
  <c r="K137" i="2" l="1"/>
  <c r="K139" i="2" s="1"/>
  <c r="I137" i="2"/>
  <c r="I139" i="2" s="1"/>
  <c r="C31" i="2"/>
  <c r="C139" i="2"/>
  <c r="F141" i="2"/>
  <c r="C57" i="2" l="1"/>
  <c r="I31" i="2"/>
  <c r="C41" i="2"/>
  <c r="C49" i="2" s="1"/>
  <c r="C58" i="2" l="1"/>
  <c r="C88" i="2" s="1"/>
  <c r="C89" i="2" s="1"/>
  <c r="I57" i="2"/>
  <c r="K31" i="2"/>
  <c r="K41" i="2" s="1"/>
  <c r="K49" i="2" s="1"/>
  <c r="I41" i="2"/>
  <c r="I49" i="2" s="1"/>
  <c r="C141" i="2"/>
  <c r="K57" i="2" l="1"/>
  <c r="K58" i="2" s="1"/>
  <c r="K88" i="2" s="1"/>
  <c r="I58" i="2"/>
  <c r="I88" i="2" s="1"/>
  <c r="K141" i="2"/>
  <c r="I141" i="2"/>
  <c r="K89" i="2"/>
</calcChain>
</file>

<file path=xl/sharedStrings.xml><?xml version="1.0" encoding="utf-8"?>
<sst xmlns="http://schemas.openxmlformats.org/spreadsheetml/2006/main" count="479" uniqueCount="365">
  <si>
    <t>STATO PATRIMONIALE AL 31/08/2026</t>
  </si>
  <si>
    <t>STATO PATRIMONIALE</t>
  </si>
  <si>
    <t xml:space="preserve">NOCI </t>
  </si>
  <si>
    <t xml:space="preserve">APRICENA </t>
  </si>
  <si>
    <t>BASIANO</t>
  </si>
  <si>
    <t>BRUINO</t>
  </si>
  <si>
    <t>CASSANO</t>
  </si>
  <si>
    <t>PAGANI</t>
  </si>
  <si>
    <t>AGGREGATO</t>
  </si>
  <si>
    <t>RETTIFICHE</t>
  </si>
  <si>
    <t>ATTIVO</t>
  </si>
  <si>
    <t/>
  </si>
  <si>
    <t>Costi di costituzione e di modifiche statutarie</t>
  </si>
  <si>
    <t>(F.do amm.to costi di costit. e di modif. statut.)</t>
  </si>
  <si>
    <t>Costi di ricerca e sviluppo</t>
  </si>
  <si>
    <t>(F.do amm.to costi di ricerca e sviluppo)</t>
  </si>
  <si>
    <t>Altri costi pluriennali da amortizzare</t>
  </si>
  <si>
    <t>(F.do amm.to costi pluriennali da ammortizzare)</t>
  </si>
  <si>
    <t>Immobilizzazioni immateriali</t>
  </si>
  <si>
    <t>Impianti/Automezzi</t>
  </si>
  <si>
    <t>(F.do amm.to impianti)</t>
  </si>
  <si>
    <t>Immobilizzazioni materiali</t>
  </si>
  <si>
    <t>CONFIDICOOP MARCHE</t>
  </si>
  <si>
    <t>FIDIMPRESA MARCHE</t>
  </si>
  <si>
    <t>Crediti vs SGP per finanziamenti</t>
  </si>
  <si>
    <t>Immobilizzazioni finanziarie</t>
  </si>
  <si>
    <t>Lavori in corso su ordinazione valutati al costo</t>
  </si>
  <si>
    <t>Rimanenze</t>
  </si>
  <si>
    <t>Crediti vs clienti Italiani per fatture emesse</t>
  </si>
  <si>
    <t>Crediti vs clienti Italiani per fatture da emettere</t>
  </si>
  <si>
    <t>Crediti comm. vs il socio control. SGP</t>
  </si>
  <si>
    <t>Crediti comm. vs il socio control. OTTIMA (ex SITIE)</t>
  </si>
  <si>
    <t>Crediti Verso Società del gruppo Bruino</t>
  </si>
  <si>
    <t>Crediti Verso Società del gruppo Apricena</t>
  </si>
  <si>
    <t>Crediti Verso Società del gruppo Cassano</t>
  </si>
  <si>
    <t>Crediti Verso Società del gruppo Noci</t>
  </si>
  <si>
    <t>Crediti Verso Società del gruppo Basiano</t>
  </si>
  <si>
    <t>Crediti per finanz. vs il socio control. e.e.e.s.</t>
  </si>
  <si>
    <t>Crediti vs Civismart (ex Ottima) per consolidato fiscale</t>
  </si>
  <si>
    <t>Crediti vs SGP per consolidato fiscale</t>
  </si>
  <si>
    <t>Crediti per imposte anticipate</t>
  </si>
  <si>
    <t>Erario c/IVA</t>
  </si>
  <si>
    <t>Erario c/ritenute su c/c bancari</t>
  </si>
  <si>
    <t>Erario c/IRES</t>
  </si>
  <si>
    <t>Erario c/IRAP da compensare e.e.e.s.</t>
  </si>
  <si>
    <t>Erario c/acconti IRAP</t>
  </si>
  <si>
    <t>Crediti diversi e.o.e.s.</t>
  </si>
  <si>
    <t>Crediti vs. SUSI per incassi</t>
  </si>
  <si>
    <t>Crediti per anticipi a fornitori</t>
  </si>
  <si>
    <t>Crediti dell'attivo circ.</t>
  </si>
  <si>
    <t>Intesa San Paolo (ex UBI Banca)</t>
  </si>
  <si>
    <t>UNICREDIT</t>
  </si>
  <si>
    <t>BPER</t>
  </si>
  <si>
    <t>Cassa sede</t>
  </si>
  <si>
    <t>Disponibilità liquide</t>
  </si>
  <si>
    <t>Risconti attivi</t>
  </si>
  <si>
    <t>Ratei e risconti</t>
  </si>
  <si>
    <t>TOT. ATTIVO</t>
  </si>
  <si>
    <t>PASSIVO</t>
  </si>
  <si>
    <t>Quote sociali</t>
  </si>
  <si>
    <t>Riserva legale</t>
  </si>
  <si>
    <t>Utili/Perdite portati a nuovo</t>
  </si>
  <si>
    <t>Altre Riserve</t>
  </si>
  <si>
    <t xml:space="preserve">Risultato esercizio (precedente) </t>
  </si>
  <si>
    <t>Risultato di esercizio</t>
  </si>
  <si>
    <t>Patrimonio netto</t>
  </si>
  <si>
    <t>F.do imposte differite</t>
  </si>
  <si>
    <t>Finanziamenti infruttiferi  SGP</t>
  </si>
  <si>
    <t>Finanziamenti infruttiferi CIVISMART</t>
  </si>
  <si>
    <t>Finanziamenti infruttiferi SCIF INDUSTRIES</t>
  </si>
  <si>
    <t>FIN.TO UBI</t>
  </si>
  <si>
    <t>DEBITO VS FONDO SUSI</t>
  </si>
  <si>
    <t>Debiti vs fornitori Italiani fat. ric. e.e.e.s.</t>
  </si>
  <si>
    <t>Debiti vs SGP fat. ric. e.e.e.s.</t>
  </si>
  <si>
    <t>Debiti vs CIVISMART fat. ric. e.e.e.s.</t>
  </si>
  <si>
    <t>Debiti vs fornitori per fatture da ric. e.e.e.s.</t>
  </si>
  <si>
    <t>Debiti vs SGP per fatture da ric. e.e.e.s.</t>
  </si>
  <si>
    <t>Debiti vs CIVISMART per fatture da ric. e.e.e.s.</t>
  </si>
  <si>
    <t>Debiti comm. vs impr. Gruppo SGP - Apricena</t>
  </si>
  <si>
    <t>Debiti comm. vs impr. Gruppo SGP - Noci</t>
  </si>
  <si>
    <t>Debiti comm. vs impr. Gruppo SGP - Cassano</t>
  </si>
  <si>
    <t>Debiti comm. vs impr. Gruppo SGP - Basiano</t>
  </si>
  <si>
    <t>Debiti comm. vs impr. Gruppo SGP - Bruino</t>
  </si>
  <si>
    <t>Debiti comm. vs impresa controllante SGP</t>
  </si>
  <si>
    <t>Debiti vs CIVISMART consolidato fiscale</t>
  </si>
  <si>
    <t>Debiti vs SGP per consolidato fiscale</t>
  </si>
  <si>
    <t>Debito per IRES a saldo</t>
  </si>
  <si>
    <t>Debito per IRAP a saldo</t>
  </si>
  <si>
    <t>Debiti vs INPS per dipendenti e.e.e.s.</t>
  </si>
  <si>
    <t>Debiti vs INPS per lavoratori autonomi e.e.e.s.</t>
  </si>
  <si>
    <t>Debiti vs erario per ritenute acconto</t>
  </si>
  <si>
    <t>Debiti diversi e.e.e.s.</t>
  </si>
  <si>
    <t>Debiti</t>
  </si>
  <si>
    <t>Ratei passivi</t>
  </si>
  <si>
    <t>TOT. PASSIVO</t>
  </si>
  <si>
    <t>CONTO ECONOMICO AL 31/08/2026</t>
  </si>
  <si>
    <t>CONTO ECONOMICO</t>
  </si>
  <si>
    <t>COSTI E ONERI</t>
  </si>
  <si>
    <t>Acquisti di merci (FORNITURE)</t>
  </si>
  <si>
    <t>Costi m.p., sussidiarie, di consumo e merci</t>
  </si>
  <si>
    <t>Energia elettrica</t>
  </si>
  <si>
    <t>Prestazioni esterne - subappalti - manutenzioni</t>
  </si>
  <si>
    <t>Prestazioni SGP verso SPV (prestazioni diverse)</t>
  </si>
  <si>
    <t>Prestazioni SGP verso SPV (canone annuo di gestione)</t>
  </si>
  <si>
    <t>Servizi vari</t>
  </si>
  <si>
    <t>Spese di rappresentanza/ristoranti/alberghi</t>
  </si>
  <si>
    <t>Spese legali e di consulenza</t>
  </si>
  <si>
    <t xml:space="preserve">Consulenze fiscali </t>
  </si>
  <si>
    <t>Spese bancarie</t>
  </si>
  <si>
    <t xml:space="preserve">Commissioni per fidejussioni </t>
  </si>
  <si>
    <t>Altre assicurazioni generali e amm.</t>
  </si>
  <si>
    <t>Costi per servizi</t>
  </si>
  <si>
    <t>Ammortamento costi di ricerca e sviluppo/di impianto</t>
  </si>
  <si>
    <t>Ammortamento costi pluriennali</t>
  </si>
  <si>
    <t>Ammortamenti e svalutazioni</t>
  </si>
  <si>
    <t>Tasse per bollatura libri</t>
  </si>
  <si>
    <t>Imposte e tasse</t>
  </si>
  <si>
    <t>Diritto esazione annuale C.C.I.A.A.</t>
  </si>
  <si>
    <t>Spese varie generali e amministrative</t>
  </si>
  <si>
    <t>Arrotondamenti passivi</t>
  </si>
  <si>
    <t xml:space="preserve">Sanzioni e penalità </t>
  </si>
  <si>
    <t>Sopravvenienze passive ordinarie</t>
  </si>
  <si>
    <t>Oneri diversi di gestione</t>
  </si>
  <si>
    <t>Interessi ed oneri finanziari</t>
  </si>
  <si>
    <t>Interessi Quota UBI/Fondo Susi</t>
  </si>
  <si>
    <t>Oneri finanziari</t>
  </si>
  <si>
    <t>TOT. COSTI ED ONERI La sudd. dei costi per desti</t>
  </si>
  <si>
    <t>RICAVI E PROVENTI</t>
  </si>
  <si>
    <t>Prestazioni di servizi Italia</t>
  </si>
  <si>
    <t>Variazione LIC</t>
  </si>
  <si>
    <t>Incrementi imm.li su beni di terzi</t>
  </si>
  <si>
    <t xml:space="preserve">Arrotondamenti attivi </t>
  </si>
  <si>
    <t xml:space="preserve">Sopravvenienze attive ordinarie </t>
  </si>
  <si>
    <t>Valore della produz.</t>
  </si>
  <si>
    <t>TOT. RICAVI E PROVENTI</t>
  </si>
  <si>
    <t>Interessi attivi da clienti (costo ammortizzato)</t>
  </si>
  <si>
    <t>Interessi da depositi bancari</t>
  </si>
  <si>
    <t>Interessi di mora</t>
  </si>
  <si>
    <t>Proventi finanziari</t>
  </si>
  <si>
    <t>TOT. ONERI E PROVENTI FINANZIARI</t>
  </si>
  <si>
    <t>RISULTATO PRIMA DELLE IMPOSTE</t>
  </si>
  <si>
    <t>GESTIONE FISCALE IRES (Consolidato Fiscale)</t>
  </si>
  <si>
    <t>GESTIONE FISCALE IRAP (No Consolidato Ires)</t>
  </si>
  <si>
    <t>RISULTATO DI PERIODO</t>
  </si>
  <si>
    <t>DIFFERENZA</t>
  </si>
  <si>
    <t>CONTO FISCALE</t>
  </si>
  <si>
    <t>IRES</t>
  </si>
  <si>
    <t>VARIAZIONI IN AUMENTO</t>
  </si>
  <si>
    <t>Interessi inded. Test rol</t>
  </si>
  <si>
    <t>VARIAZIONI IN DIMINUZIONE</t>
  </si>
  <si>
    <t>Contributi c/esercizio non tassati</t>
  </si>
  <si>
    <t>Ace</t>
  </si>
  <si>
    <t>Irap 10%</t>
  </si>
  <si>
    <t>IMPONIBILE</t>
  </si>
  <si>
    <t>IRAP</t>
  </si>
  <si>
    <t>Risultato della produzione</t>
  </si>
  <si>
    <t>VARIAZIONI</t>
  </si>
  <si>
    <t>Costi Indeducibili</t>
  </si>
  <si>
    <t>Abbattimento base imponibile</t>
  </si>
  <si>
    <t>IRAP = 0 se &gt; 0</t>
  </si>
  <si>
    <t>TOTALE IMPOSTE</t>
  </si>
  <si>
    <t>GRUPPO SGP - STATO PATRIMONIALE AL 31/08/20266</t>
  </si>
  <si>
    <t>SGP</t>
  </si>
  <si>
    <t>SPV</t>
  </si>
  <si>
    <t>CONSOLIDATO</t>
  </si>
  <si>
    <t>Costi di ricerca e sviluppo commerciali</t>
  </si>
  <si>
    <t>(F.do amm.to costi di ricerca e sviluppo commerc.)</t>
  </si>
  <si>
    <t>Programmi software</t>
  </si>
  <si>
    <t>(F.do amm.to Programmi software)</t>
  </si>
  <si>
    <t>Avviamento</t>
  </si>
  <si>
    <t>(F.do amm.to avviam.)</t>
  </si>
  <si>
    <t>Altri oneri pluriennali</t>
  </si>
  <si>
    <t>Immobilizzazioni immateriali (SOA)</t>
  </si>
  <si>
    <t>Immobilizzazioni in corso (Pagani)</t>
  </si>
  <si>
    <t>(F.do amm.to imm.ni immateriali)</t>
  </si>
  <si>
    <t>Attrezzatura varia</t>
  </si>
  <si>
    <t>(F.do amm.to attrezzatura varia)</t>
  </si>
  <si>
    <t>Mobili e macchine ordinarie d'ufficio</t>
  </si>
  <si>
    <t xml:space="preserve">Macchine d'ufficio elettromecc. ed elettroniche </t>
  </si>
  <si>
    <t>(F.do amm.to mobili e macchine d'ufficio)</t>
  </si>
  <si>
    <t>(F.do amm.to mastcc. ufficio elettrom. ed elettr.)</t>
  </si>
  <si>
    <t>Immobiliz. Materiali</t>
  </si>
  <si>
    <t>DELLED SRL 100%</t>
  </si>
  <si>
    <t>Pagani Smart City 99%</t>
  </si>
  <si>
    <t>S.G Plant Maroc Sarl 80%</t>
  </si>
  <si>
    <t>Go4Green Srl 50%</t>
  </si>
  <si>
    <t>F.do Svalutazione Go4Green</t>
  </si>
  <si>
    <t>Noci Smart City Srl 100%</t>
  </si>
  <si>
    <t>Basiano Masate Smart city 100%</t>
  </si>
  <si>
    <t>Cassano Efficiency Srl 100%</t>
  </si>
  <si>
    <t>Apricena Smart City 100%</t>
  </si>
  <si>
    <t>BRUINO SMART CITY SRL 100%</t>
  </si>
  <si>
    <t>Cons. Communitas 1 quota</t>
  </si>
  <si>
    <t>Crediti vs Go For Green per fin.e.o.e.s.</t>
  </si>
  <si>
    <t>F.do Svalutazione Crediti vs Go For Green</t>
  </si>
  <si>
    <t>Crediti vs Pagani Srl per fin. e.o.e.s.</t>
  </si>
  <si>
    <t>Crediti vs Delled Srl per fin. e.o.e.s.</t>
  </si>
  <si>
    <t>Crediti vs Noci Srl per fin. e.o.e.s.</t>
  </si>
  <si>
    <t>Crediti vs Cassano per fin. e.o.e.s.</t>
  </si>
  <si>
    <t>Crediti vs Apricena per fin. e.o.e.s.</t>
  </si>
  <si>
    <t xml:space="preserve">Crediti vs socio contr. per finanz. e.o.e.s. </t>
  </si>
  <si>
    <t>Depositi cauzionali</t>
  </si>
  <si>
    <t>Trattenute a garanzia</t>
  </si>
  <si>
    <t>Lavori in corso su ord. valut. corris. contr. Mat.</t>
  </si>
  <si>
    <t>Prodotti finiti</t>
  </si>
  <si>
    <t>Crediti vs clienti per fatture emesse</t>
  </si>
  <si>
    <t>Crediti vs SPV per fatture emesse</t>
  </si>
  <si>
    <t>Crediti vs SITIE per fatture emesse</t>
  </si>
  <si>
    <t>Crediti vs collegate (Go4Green) per fatture emesse</t>
  </si>
  <si>
    <t>Crediti vs per fatture da emettere</t>
  </si>
  <si>
    <t>Crediti per fatture da emettere da SGP Verso SPV</t>
  </si>
  <si>
    <t>(F.do svalutaz. crediti vs clienti)</t>
  </si>
  <si>
    <t>(F.do svalutaz. crediti vs controllanti)</t>
  </si>
  <si>
    <t>(F.do svalutaz. crediti vs collegate)</t>
  </si>
  <si>
    <t>Crediti commerciali vs SPV</t>
  </si>
  <si>
    <t>Crediti Commerciali vs Delled</t>
  </si>
  <si>
    <t>Crediti Verso Società del gruppo SGP (SPV)</t>
  </si>
  <si>
    <t>Crediti vs CIVISMART consolidato fiscale</t>
  </si>
  <si>
    <t>Crediti vs imprese controllate consolidato fiscale</t>
  </si>
  <si>
    <t xml:space="preserve">Erario c/IVA </t>
  </si>
  <si>
    <t>Crediti per acconti IRES</t>
  </si>
  <si>
    <t>Erario c/ritenute d'acconto DPR 600/73</t>
  </si>
  <si>
    <t>Erario c/IRAP (da compensare e acconto)</t>
  </si>
  <si>
    <t>Erario c/IRPEF da compensare</t>
  </si>
  <si>
    <t>Erario c/imposte anticipate r.e.e.s. IRES</t>
  </si>
  <si>
    <t>Crediti vs dipendenti</t>
  </si>
  <si>
    <t>Crediti divresi</t>
  </si>
  <si>
    <t>BANCA NAZIONALE DEL LAVORO</t>
  </si>
  <si>
    <t>UNICREDIT C/C 105436887</t>
  </si>
  <si>
    <t xml:space="preserve">UNICREDIT C/C </t>
  </si>
  <si>
    <t>INTESA SAN PAOLO C/C</t>
  </si>
  <si>
    <t>UBI BANCA</t>
  </si>
  <si>
    <t>Banca BPER</t>
  </si>
  <si>
    <t>Carte di credito</t>
  </si>
  <si>
    <t>Utili/Perdite portate a nuovo</t>
  </si>
  <si>
    <t>Altre riserve</t>
  </si>
  <si>
    <t>Differenza di consolidamento</t>
  </si>
  <si>
    <t>Risultato esercizio precedente</t>
  </si>
  <si>
    <t>Risultato d'esercizio</t>
  </si>
  <si>
    <t>F.do TFR operai - impiegati</t>
  </si>
  <si>
    <t>Trattamento di fine rapporto di lavoro subordinato</t>
  </si>
  <si>
    <t>Fondo imposte differite</t>
  </si>
  <si>
    <t>Finanziamenti infruttiferi dei soci e.o.e.s. (SGP)</t>
  </si>
  <si>
    <t>Finanziamenti infruttiferi dei soci CIVISMART</t>
  </si>
  <si>
    <t>Finanziamenti infruttiferi dei soci SCIF INDUSTRIES</t>
  </si>
  <si>
    <t>FINANZ. INTESA SAN PAOLO (ex UBI BANCA)</t>
  </si>
  <si>
    <t>UNICREDIT C/ANTICIPO FATTURE</t>
  </si>
  <si>
    <t>Debiti vs CIVISMARTper fatture da ric. e.e.e.s.</t>
  </si>
  <si>
    <t>Debiti vs impr. contr. per finanz. Noci (SPV)</t>
  </si>
  <si>
    <t>Debiti vs impr. contr. per finanz. Basiano (SPV)</t>
  </si>
  <si>
    <t>Debiti vs impr. contr. per finanz. Cassano (SPV)</t>
  </si>
  <si>
    <t>Debiti vs impr. contr. per finanz. Bruino (SPV)</t>
  </si>
  <si>
    <t>Debiti vs impr. contr. per finanz. Apricena (SPV)</t>
  </si>
  <si>
    <t>Debiti commerciali vs impr. contr. Cassano (SPV)</t>
  </si>
  <si>
    <t>Debiti comm. vs impr. Gruppo SGP - (SPV)</t>
  </si>
  <si>
    <t>Debiti comm. vs impresa controllante (SITIE SPA-SGP)</t>
  </si>
  <si>
    <t>Debiti vs imp. controllate per consolidato fiscale</t>
  </si>
  <si>
    <t>Debiti Vs. Erario per IRAP e IRES</t>
  </si>
  <si>
    <t>Debiti Tributari (Cartella esattoriale rimb. rateale)</t>
  </si>
  <si>
    <t>Debiti erario imposta rival. TFR L.47/2000</t>
  </si>
  <si>
    <t>Debiti vs INAIL</t>
  </si>
  <si>
    <t>Debiti Contributivi ferie non godute</t>
  </si>
  <si>
    <t>Altri debiti verso il personale</t>
  </si>
  <si>
    <t>Debiti per salari e stipendi</t>
  </si>
  <si>
    <t>Debiti per mensilità aggiuntive e ferie maturate</t>
  </si>
  <si>
    <t>Risconti passivi</t>
  </si>
  <si>
    <t>GRUPPO SGP - CONTO ECONOMICO AL 31/08/2026</t>
  </si>
  <si>
    <t>ECONOMICO</t>
  </si>
  <si>
    <t xml:space="preserve">Variazione dei lavori in corso su ordinazione </t>
  </si>
  <si>
    <t>Variazione delle rimanenze</t>
  </si>
  <si>
    <t>Incrementi delle immobilizzazioni per lavori interni</t>
  </si>
  <si>
    <t>Contributi c/esercizio</t>
  </si>
  <si>
    <t>Plusvalenze</t>
  </si>
  <si>
    <t xml:space="preserve">Arrotondamenti e abbuoni attivi </t>
  </si>
  <si>
    <t>COSTI ED ONERI</t>
  </si>
  <si>
    <t xml:space="preserve">Acquisti di materiali di consumo </t>
  </si>
  <si>
    <t>Acquisti di carbur./lubrif. per autov. inter. ded.</t>
  </si>
  <si>
    <t>Acquisti di materiale di cancelleria</t>
  </si>
  <si>
    <t>Spese di trasporto</t>
  </si>
  <si>
    <t>Prestazioni esterne - subappalti</t>
  </si>
  <si>
    <t>Prestazioni SGP fatturate</t>
  </si>
  <si>
    <t>Prestazioni SGP da fatturare</t>
  </si>
  <si>
    <t>Assicurazioni varie</t>
  </si>
  <si>
    <t>Spese di man. e ripar. beni di terzi</t>
  </si>
  <si>
    <t>MARGINE DI CONTRIBUZIONE</t>
  </si>
  <si>
    <t>Riscaldamento</t>
  </si>
  <si>
    <t>Spese telefonia fissa e mobile (20%)</t>
  </si>
  <si>
    <t>Spese viaggi e trasferte vitto e all.</t>
  </si>
  <si>
    <t>Rimborsi km. auto dipendenti</t>
  </si>
  <si>
    <t>Spese di rappresentanza parzialmente deducibili</t>
  </si>
  <si>
    <t>Spese di rappresentanza/ristoranti/alberghi/promozionali</t>
  </si>
  <si>
    <t>Compensi Amministratori</t>
  </si>
  <si>
    <t>Compensi a collaboratori esterni</t>
  </si>
  <si>
    <t>Compensi a collaboratori</t>
  </si>
  <si>
    <t>Compenso revisore legale</t>
  </si>
  <si>
    <t xml:space="preserve">Consulenze e prestaz tecniche </t>
  </si>
  <si>
    <t>Consulenze fiscali e elaborazione dati</t>
  </si>
  <si>
    <t>Costi per spese generali</t>
  </si>
  <si>
    <t xml:space="preserve">Noleggi </t>
  </si>
  <si>
    <t>Corrispettivi periodici per licenze software</t>
  </si>
  <si>
    <t>Locazioni - uffici - spogliatoi - bagni</t>
  </si>
  <si>
    <t>Corrisp. periodici  beni mobili/immobili</t>
  </si>
  <si>
    <t>Spese per pulizia</t>
  </si>
  <si>
    <t>Spese di vigilanza</t>
  </si>
  <si>
    <t>Costi per godimento di beni di terzi</t>
  </si>
  <si>
    <t>Salari e stipendi</t>
  </si>
  <si>
    <t>Oneri sociali dipendenti</t>
  </si>
  <si>
    <t>Contributo INAIL</t>
  </si>
  <si>
    <t>TFR trattamento di fine rapporto</t>
  </si>
  <si>
    <t>Contributi a forme pensionistiche complementari</t>
  </si>
  <si>
    <t>Altri costi del personale</t>
  </si>
  <si>
    <t>Costi per il personale</t>
  </si>
  <si>
    <t>Tassa raccolta rifiuti</t>
  </si>
  <si>
    <t>Pedaggi autostradali</t>
  </si>
  <si>
    <t>Libri, riviste, giornali</t>
  </si>
  <si>
    <t>Altre imposte ded.</t>
  </si>
  <si>
    <t>Altre imposte indenducibili (cartelle)</t>
  </si>
  <si>
    <t xml:space="preserve">Arrotondamenti e abbuoni passivi </t>
  </si>
  <si>
    <t>Valori bollati</t>
  </si>
  <si>
    <t>Corsi formazione e altri costi amministrativi</t>
  </si>
  <si>
    <t>Ammende, multe, e oblazioni</t>
  </si>
  <si>
    <t>Oneri bancari</t>
  </si>
  <si>
    <t>Altri servizi</t>
  </si>
  <si>
    <t>COSTI DI STRUTTURA E GENERALI</t>
  </si>
  <si>
    <t>EBITDA</t>
  </si>
  <si>
    <t>Amm.to avviamento</t>
  </si>
  <si>
    <t>Amm.to costi di ricerca e sviluppo</t>
  </si>
  <si>
    <t xml:space="preserve">Amm.to altri costi pluriennali </t>
  </si>
  <si>
    <t>Amm.to attrezzatura varia</t>
  </si>
  <si>
    <t>Ammortamento mobili e macchine ordinarie d'ufficio</t>
  </si>
  <si>
    <t xml:space="preserve">Ammortamento macchine d'ufficio elettromeccaniche </t>
  </si>
  <si>
    <t xml:space="preserve">Accantonamento f.do svalut. crediti </t>
  </si>
  <si>
    <t>Accantonamento f.do svalut. partecipazioni</t>
  </si>
  <si>
    <t>Accantonamento f.do svalut. Immobilizz. Finanziarie</t>
  </si>
  <si>
    <t>EBIT</t>
  </si>
  <si>
    <t>Interessi attivi da clienti (Costo ammortizzato)</t>
  </si>
  <si>
    <t>Interessi passivi da depositi bancari</t>
  </si>
  <si>
    <t>Interessi passivi indenducibili</t>
  </si>
  <si>
    <t>Proventi/Oneri finanziari</t>
  </si>
  <si>
    <t>Altri interessi passivi</t>
  </si>
  <si>
    <t>GESTIONE FINANZIARIA</t>
  </si>
  <si>
    <t xml:space="preserve">Sopravvenienze attive </t>
  </si>
  <si>
    <t xml:space="preserve">Sopravvenienze passive </t>
  </si>
  <si>
    <t>GESTIONE STRAORDINARIA</t>
  </si>
  <si>
    <t>RISULTATO DI  ESERCIZIO LORDO</t>
  </si>
  <si>
    <t>Gestione Fiscale IRES (Consolidato Fiscale)</t>
  </si>
  <si>
    <t>Gestione Fiscale IRAP (No Consolidato Fiscale)</t>
  </si>
  <si>
    <t>RISULTATO DI  ESERCIZIO NETTO</t>
  </si>
  <si>
    <t>Differenza SP-CE</t>
  </si>
  <si>
    <t>GESTIONE FISCALE SGP</t>
  </si>
  <si>
    <t>Ammortamento avviamento</t>
  </si>
  <si>
    <t>TOTALE VARIAZIONI IN AUMENTO</t>
  </si>
  <si>
    <t>Irap Personale</t>
  </si>
  <si>
    <t>ACE + Eccedenza pregressa ACE</t>
  </si>
  <si>
    <t>Contributi non tassati</t>
  </si>
  <si>
    <t>Accantonamento f.do svalutazione (DEDUCIBILE 0,5%)</t>
  </si>
  <si>
    <t>TOTALE VARIAZIONI IN DIMINUZIONE</t>
  </si>
  <si>
    <t>IMPONIBILE IRES</t>
  </si>
  <si>
    <t>EBIT + (Gest. Straordinaria)</t>
  </si>
  <si>
    <t xml:space="preserve">Deduzioni dipendenti </t>
  </si>
  <si>
    <t>Compensi Amministratore</t>
  </si>
  <si>
    <t>Rimborsi chilometrici Amministratore</t>
  </si>
  <si>
    <t>Compensi Co.co.co</t>
  </si>
  <si>
    <t>IMPONIBILE IRAP</t>
  </si>
  <si>
    <t>IRAP se inferiore a 0 allora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</si>
</sst>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6"/>
      <color theme="0"/>
      <name val="Aptos Narrow"/>
      <family val="2"/>
      <scheme val="minor"/>
    </font>
    <font>
      <b/>
      <sz val="16"/>
      <color rgb="FF002060"/>
      <name val="Arial"/>
      <family val="2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0"/>
      <color rgb="FF00206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0"/>
      <name val="Arial"/>
      <family val="2"/>
    </font>
    <font>
      <sz val="10"/>
      <color rgb="FFFF0000"/>
      <name val="Arial"/>
      <family val="2"/>
    </font>
    <font>
      <b/>
      <sz val="14"/>
      <color rgb="FF002060"/>
      <name val="Arial"/>
      <family val="2"/>
    </font>
    <font>
      <b/>
      <sz val="10"/>
      <color rgb="FF002060"/>
      <name val="Verdana"/>
      <family val="2"/>
    </font>
    <font>
      <b/>
      <sz val="10"/>
      <color rgb="FF002060"/>
      <name val="Arial"/>
      <family val="2"/>
    </font>
    <font>
      <sz val="10"/>
      <name val="Verdana"/>
      <family val="2"/>
    </font>
    <font>
      <b/>
      <sz val="10"/>
      <name val="Arial"/>
      <family val="2"/>
    </font>
    <font>
      <b/>
      <sz val="10"/>
      <color theme="0"/>
      <name val="Verdana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medium">
        <color rgb="FF002060"/>
      </top>
      <bottom style="thin">
        <color rgb="FF00206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62">
    <xf numFmtId="0" fontId="0" fillId="0" borderId="0" xfId="0"/>
    <xf numFmtId="43" fontId="6" fillId="0" borderId="0" xfId="1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horizontal="left"/>
    </xf>
    <xf numFmtId="0" fontId="8" fillId="0" borderId="0" xfId="2" applyFont="1" applyAlignment="1">
      <alignment horizontal="left" vertical="center"/>
    </xf>
    <xf numFmtId="0" fontId="8" fillId="0" borderId="0" xfId="2" applyFont="1" applyAlignment="1">
      <alignment horizontal="right" vertical="center"/>
    </xf>
    <xf numFmtId="0" fontId="8" fillId="3" borderId="4" xfId="2" applyFont="1" applyFill="1" applyBorder="1" applyAlignment="1">
      <alignment horizontal="right" vertical="center"/>
    </xf>
    <xf numFmtId="43" fontId="9" fillId="0" borderId="0" xfId="1" applyFont="1" applyFill="1"/>
    <xf numFmtId="0" fontId="9" fillId="0" borderId="0" xfId="2" applyFont="1"/>
    <xf numFmtId="0" fontId="10" fillId="0" borderId="0" xfId="2" applyFont="1" applyAlignment="1">
      <alignment horizontal="left"/>
    </xf>
    <xf numFmtId="0" fontId="8" fillId="0" borderId="0" xfId="2" applyFont="1" applyAlignment="1">
      <alignment horizontal="left"/>
    </xf>
    <xf numFmtId="4" fontId="10" fillId="0" borderId="0" xfId="2" applyNumberFormat="1" applyFont="1" applyAlignment="1">
      <alignment horizontal="left"/>
    </xf>
    <xf numFmtId="4" fontId="10" fillId="3" borderId="4" xfId="2" applyNumberFormat="1" applyFont="1" applyFill="1" applyBorder="1" applyAlignment="1">
      <alignment horizontal="left"/>
    </xf>
    <xf numFmtId="43" fontId="0" fillId="0" borderId="0" xfId="1" applyFont="1"/>
    <xf numFmtId="0" fontId="4" fillId="0" borderId="0" xfId="2"/>
    <xf numFmtId="4" fontId="4" fillId="0" borderId="0" xfId="2" applyNumberFormat="1"/>
    <xf numFmtId="4" fontId="10" fillId="0" borderId="0" xfId="1" applyNumberFormat="1" applyFont="1" applyFill="1" applyAlignment="1">
      <alignment horizontal="right"/>
    </xf>
    <xf numFmtId="4" fontId="10" fillId="3" borderId="4" xfId="1" applyNumberFormat="1" applyFont="1" applyFill="1" applyBorder="1" applyAlignment="1">
      <alignment horizontal="right"/>
    </xf>
    <xf numFmtId="4" fontId="10" fillId="0" borderId="0" xfId="1" applyNumberFormat="1" applyFont="1" applyAlignment="1">
      <alignment horizontal="right"/>
    </xf>
    <xf numFmtId="0" fontId="10" fillId="4" borderId="0" xfId="2" applyFont="1" applyFill="1" applyAlignment="1">
      <alignment horizontal="left"/>
    </xf>
    <xf numFmtId="4" fontId="10" fillId="4" borderId="0" xfId="1" applyNumberFormat="1" applyFont="1" applyFill="1" applyAlignment="1">
      <alignment horizontal="right"/>
    </xf>
    <xf numFmtId="0" fontId="8" fillId="0" borderId="2" xfId="2" applyFont="1" applyBorder="1" applyAlignment="1">
      <alignment horizontal="left" vertical="center"/>
    </xf>
    <xf numFmtId="4" fontId="8" fillId="0" borderId="2" xfId="1" applyNumberFormat="1" applyFont="1" applyFill="1" applyBorder="1" applyAlignment="1">
      <alignment horizontal="right" vertical="center"/>
    </xf>
    <xf numFmtId="4" fontId="8" fillId="3" borderId="5" xfId="1" applyNumberFormat="1" applyFont="1" applyFill="1" applyBorder="1" applyAlignment="1">
      <alignment horizontal="right" vertical="center"/>
    </xf>
    <xf numFmtId="4" fontId="8" fillId="0" borderId="2" xfId="1" applyNumberFormat="1" applyFont="1" applyBorder="1" applyAlignment="1">
      <alignment horizontal="right" vertical="center"/>
    </xf>
    <xf numFmtId="43" fontId="9" fillId="0" borderId="0" xfId="1" applyFont="1" applyAlignment="1">
      <alignment vertical="center"/>
    </xf>
    <xf numFmtId="43" fontId="8" fillId="0" borderId="0" xfId="1" applyFont="1" applyAlignment="1">
      <alignment horizontal="right" vertical="center"/>
    </xf>
    <xf numFmtId="0" fontId="8" fillId="0" borderId="0" xfId="2" applyFont="1" applyAlignment="1">
      <alignment horizontal="right"/>
    </xf>
    <xf numFmtId="0" fontId="9" fillId="0" borderId="0" xfId="2" applyFont="1" applyAlignment="1">
      <alignment vertical="center"/>
    </xf>
    <xf numFmtId="4" fontId="10" fillId="0" borderId="0" xfId="1" applyNumberFormat="1" applyFont="1" applyFill="1" applyBorder="1" applyAlignment="1">
      <alignment horizontal="right" vertical="center"/>
    </xf>
    <xf numFmtId="4" fontId="8" fillId="0" borderId="0" xfId="1" applyNumberFormat="1" applyFont="1" applyBorder="1" applyAlignment="1">
      <alignment horizontal="right" vertical="center"/>
    </xf>
    <xf numFmtId="43" fontId="4" fillId="0" borderId="0" xfId="1" applyFont="1"/>
    <xf numFmtId="0" fontId="10" fillId="0" borderId="0" xfId="2" applyFont="1" applyAlignment="1">
      <alignment horizontal="left" vertical="center"/>
    </xf>
    <xf numFmtId="4" fontId="10" fillId="0" borderId="0" xfId="3" applyNumberFormat="1" applyFont="1" applyFill="1" applyAlignment="1">
      <alignment horizontal="right"/>
    </xf>
    <xf numFmtId="0" fontId="10" fillId="0" borderId="6" xfId="2" applyFont="1" applyBorder="1" applyAlignment="1">
      <alignment horizontal="left" vertical="center"/>
    </xf>
    <xf numFmtId="0" fontId="10" fillId="0" borderId="7" xfId="2" applyFont="1" applyBorder="1" applyAlignment="1">
      <alignment horizontal="left" vertical="center"/>
    </xf>
    <xf numFmtId="4" fontId="10" fillId="0" borderId="7" xfId="1" applyNumberFormat="1" applyFont="1" applyFill="1" applyBorder="1" applyAlignment="1">
      <alignment horizontal="right"/>
    </xf>
    <xf numFmtId="0" fontId="10" fillId="0" borderId="8" xfId="2" applyFont="1" applyBorder="1" applyAlignment="1">
      <alignment horizontal="left" vertical="center"/>
    </xf>
    <xf numFmtId="4" fontId="10" fillId="0" borderId="0" xfId="1" applyNumberFormat="1" applyFont="1" applyFill="1" applyBorder="1" applyAlignment="1">
      <alignment horizontal="right"/>
    </xf>
    <xf numFmtId="0" fontId="10" fillId="0" borderId="9" xfId="2" applyFont="1" applyBorder="1" applyAlignment="1">
      <alignment horizontal="left" vertical="center"/>
    </xf>
    <xf numFmtId="0" fontId="10" fillId="0" borderId="10" xfId="2" applyFont="1" applyBorder="1" applyAlignment="1">
      <alignment horizontal="left" vertical="center"/>
    </xf>
    <xf numFmtId="4" fontId="10" fillId="0" borderId="10" xfId="1" applyNumberFormat="1" applyFont="1" applyFill="1" applyBorder="1" applyAlignment="1">
      <alignment horizontal="right"/>
    </xf>
    <xf numFmtId="4" fontId="10" fillId="0" borderId="0" xfId="1" applyNumberFormat="1" applyFont="1" applyFill="1"/>
    <xf numFmtId="0" fontId="2" fillId="2" borderId="0" xfId="2" applyFont="1" applyFill="1" applyAlignment="1">
      <alignment horizontal="left" vertical="center"/>
    </xf>
    <xf numFmtId="4" fontId="2" fillId="2" borderId="0" xfId="1" applyNumberFormat="1" applyFont="1" applyFill="1" applyAlignment="1">
      <alignment horizontal="right" vertical="center"/>
    </xf>
    <xf numFmtId="43" fontId="0" fillId="0" borderId="0" xfId="1" applyFont="1" applyAlignment="1">
      <alignment vertical="center"/>
    </xf>
    <xf numFmtId="0" fontId="4" fillId="0" borderId="0" xfId="2" applyAlignment="1">
      <alignment vertical="center"/>
    </xf>
    <xf numFmtId="0" fontId="2" fillId="0" borderId="0" xfId="2" applyFont="1" applyAlignment="1">
      <alignment horizontal="left"/>
    </xf>
    <xf numFmtId="4" fontId="11" fillId="0" borderId="0" xfId="1" applyNumberFormat="1" applyFont="1" applyFill="1" applyAlignment="1">
      <alignment horizontal="right"/>
    </xf>
    <xf numFmtId="43" fontId="0" fillId="0" borderId="0" xfId="1" applyFont="1" applyFill="1"/>
    <xf numFmtId="4" fontId="10" fillId="0" borderId="0" xfId="1" applyNumberFormat="1" applyFont="1"/>
    <xf numFmtId="4" fontId="12" fillId="0" borderId="0" xfId="1" applyNumberFormat="1" applyFont="1" applyFill="1" applyAlignment="1">
      <alignment horizontal="right"/>
    </xf>
    <xf numFmtId="4" fontId="12" fillId="0" borderId="0" xfId="1" applyNumberFormat="1" applyFont="1" applyFill="1"/>
    <xf numFmtId="0" fontId="12" fillId="0" borderId="0" xfId="2" applyFont="1" applyAlignment="1">
      <alignment horizontal="left"/>
    </xf>
    <xf numFmtId="43" fontId="13" fillId="0" borderId="0" xfId="1" applyFont="1"/>
    <xf numFmtId="4" fontId="13" fillId="0" borderId="0" xfId="2" applyNumberFormat="1" applyFont="1"/>
    <xf numFmtId="0" fontId="13" fillId="0" borderId="0" xfId="2" applyFont="1"/>
    <xf numFmtId="4" fontId="10" fillId="0" borderId="0" xfId="4" applyNumberFormat="1" applyFont="1" applyFill="1" applyAlignment="1">
      <alignment horizontal="right"/>
    </xf>
    <xf numFmtId="4" fontId="0" fillId="0" borderId="0" xfId="1" applyNumberFormat="1" applyFont="1"/>
    <xf numFmtId="0" fontId="10" fillId="0" borderId="6" xfId="2" applyFont="1" applyBorder="1" applyAlignment="1">
      <alignment horizontal="left"/>
    </xf>
    <xf numFmtId="0" fontId="10" fillId="0" borderId="7" xfId="2" applyFont="1" applyBorder="1" applyAlignment="1">
      <alignment horizontal="left"/>
    </xf>
    <xf numFmtId="4" fontId="10" fillId="0" borderId="7" xfId="1" applyNumberFormat="1" applyFont="1" applyBorder="1" applyAlignment="1">
      <alignment horizontal="right"/>
    </xf>
    <xf numFmtId="4" fontId="10" fillId="3" borderId="11" xfId="1" applyNumberFormat="1" applyFont="1" applyFill="1" applyBorder="1" applyAlignment="1">
      <alignment horizontal="right"/>
    </xf>
    <xf numFmtId="0" fontId="10" fillId="0" borderId="8" xfId="2" applyFont="1" applyBorder="1" applyAlignment="1">
      <alignment horizontal="left"/>
    </xf>
    <xf numFmtId="4" fontId="10" fillId="0" borderId="0" xfId="1" applyNumberFormat="1" applyFont="1" applyBorder="1" applyAlignment="1">
      <alignment horizontal="right"/>
    </xf>
    <xf numFmtId="0" fontId="10" fillId="0" borderId="9" xfId="2" applyFont="1" applyBorder="1" applyAlignment="1">
      <alignment horizontal="left"/>
    </xf>
    <xf numFmtId="0" fontId="10" fillId="0" borderId="10" xfId="2" applyFont="1" applyBorder="1" applyAlignment="1">
      <alignment horizontal="left"/>
    </xf>
    <xf numFmtId="4" fontId="10" fillId="0" borderId="10" xfId="1" applyNumberFormat="1" applyFont="1" applyBorder="1" applyAlignment="1">
      <alignment horizontal="right"/>
    </xf>
    <xf numFmtId="4" fontId="4" fillId="0" borderId="0" xfId="1" applyNumberFormat="1" applyFont="1"/>
    <xf numFmtId="4" fontId="8" fillId="3" borderId="0" xfId="1" applyNumberFormat="1" applyFont="1" applyFill="1" applyBorder="1" applyAlignment="1">
      <alignment horizontal="right" vertical="center"/>
    </xf>
    <xf numFmtId="4" fontId="11" fillId="0" borderId="2" xfId="1" applyNumberFormat="1" applyFont="1" applyFill="1" applyBorder="1" applyAlignment="1">
      <alignment horizontal="right" vertical="center"/>
    </xf>
    <xf numFmtId="0" fontId="3" fillId="0" borderId="0" xfId="2" applyFont="1" applyAlignment="1">
      <alignment horizontal="left"/>
    </xf>
    <xf numFmtId="4" fontId="3" fillId="0" borderId="0" xfId="1" applyNumberFormat="1" applyFont="1" applyFill="1" applyAlignment="1">
      <alignment horizontal="right"/>
    </xf>
    <xf numFmtId="4" fontId="3" fillId="3" borderId="4" xfId="1" applyNumberFormat="1" applyFont="1" applyFill="1" applyBorder="1" applyAlignment="1">
      <alignment horizontal="right"/>
    </xf>
    <xf numFmtId="4" fontId="3" fillId="0" borderId="0" xfId="1" applyNumberFormat="1" applyFont="1" applyAlignment="1">
      <alignment horizontal="right"/>
    </xf>
    <xf numFmtId="43" fontId="14" fillId="0" borderId="0" xfId="1" applyFont="1"/>
    <xf numFmtId="0" fontId="14" fillId="0" borderId="0" xfId="2" applyFont="1"/>
    <xf numFmtId="4" fontId="8" fillId="5" borderId="2" xfId="1" applyNumberFormat="1" applyFont="1" applyFill="1" applyBorder="1" applyAlignment="1">
      <alignment horizontal="right" vertical="center"/>
    </xf>
    <xf numFmtId="4" fontId="8" fillId="3" borderId="4" xfId="1" applyNumberFormat="1" applyFont="1" applyFill="1" applyBorder="1" applyAlignment="1">
      <alignment horizontal="right" vertical="center"/>
    </xf>
    <xf numFmtId="4" fontId="14" fillId="0" borderId="0" xfId="2" applyNumberFormat="1" applyFont="1"/>
    <xf numFmtId="0" fontId="12" fillId="4" borderId="0" xfId="2" applyFont="1" applyFill="1" applyAlignment="1">
      <alignment horizontal="left"/>
    </xf>
    <xf numFmtId="4" fontId="12" fillId="4" borderId="0" xfId="1" applyNumberFormat="1" applyFont="1" applyFill="1" applyAlignment="1">
      <alignment horizontal="right"/>
    </xf>
    <xf numFmtId="4" fontId="8" fillId="6" borderId="2" xfId="1" applyNumberFormat="1" applyFont="1" applyFill="1" applyBorder="1" applyAlignment="1">
      <alignment horizontal="right" vertical="center"/>
    </xf>
    <xf numFmtId="43" fontId="10" fillId="0" borderId="0" xfId="1" applyFont="1" applyAlignment="1">
      <alignment horizontal="right"/>
    </xf>
    <xf numFmtId="0" fontId="10" fillId="0" borderId="0" xfId="2" applyFont="1"/>
    <xf numFmtId="0" fontId="2" fillId="2" borderId="0" xfId="2" applyFont="1" applyFill="1" applyAlignment="1">
      <alignment horizontal="right" vertical="center"/>
    </xf>
    <xf numFmtId="0" fontId="2" fillId="0" borderId="0" xfId="2" applyFont="1" applyAlignment="1">
      <alignment horizontal="right" vertical="center"/>
    </xf>
    <xf numFmtId="4" fontId="10" fillId="0" borderId="0" xfId="1" applyNumberFormat="1" applyFont="1" applyFill="1" applyAlignment="1">
      <alignment wrapText="1"/>
    </xf>
    <xf numFmtId="10" fontId="2" fillId="7" borderId="0" xfId="5" applyNumberFormat="1" applyFont="1" applyFill="1" applyAlignment="1">
      <alignment horizontal="center" vertical="center"/>
    </xf>
    <xf numFmtId="4" fontId="2" fillId="0" borderId="0" xfId="1" applyNumberFormat="1" applyFont="1" applyFill="1" applyAlignment="1">
      <alignment horizontal="right" vertical="center"/>
    </xf>
    <xf numFmtId="10" fontId="2" fillId="2" borderId="0" xfId="5" applyNumberFormat="1" applyFont="1" applyFill="1" applyAlignment="1">
      <alignment horizontal="center" vertical="center"/>
    </xf>
    <xf numFmtId="4" fontId="10" fillId="8" borderId="0" xfId="1" applyNumberFormat="1" applyFont="1" applyFill="1"/>
    <xf numFmtId="43" fontId="0" fillId="0" borderId="0" xfId="4" applyFont="1" applyAlignment="1">
      <alignment horizontal="center" vertical="center"/>
    </xf>
    <xf numFmtId="0" fontId="16" fillId="0" borderId="0" xfId="2" applyFont="1" applyAlignment="1">
      <alignment horizontal="left" vertical="center"/>
    </xf>
    <xf numFmtId="4" fontId="17" fillId="0" borderId="0" xfId="2" applyNumberFormat="1" applyFont="1" applyAlignment="1">
      <alignment horizontal="right" vertical="center"/>
    </xf>
    <xf numFmtId="4" fontId="17" fillId="3" borderId="0" xfId="2" applyNumberFormat="1" applyFont="1" applyFill="1" applyAlignment="1">
      <alignment horizontal="right" vertical="center"/>
    </xf>
    <xf numFmtId="4" fontId="4" fillId="0" borderId="0" xfId="2" applyNumberFormat="1" applyAlignment="1">
      <alignment horizontal="right" vertical="center"/>
    </xf>
    <xf numFmtId="0" fontId="4" fillId="3" borderId="0" xfId="2" applyFill="1" applyAlignment="1">
      <alignment horizontal="center" vertical="center"/>
    </xf>
    <xf numFmtId="4" fontId="4" fillId="3" borderId="0" xfId="2" applyNumberFormat="1" applyFill="1" applyAlignment="1">
      <alignment horizontal="right" vertical="center"/>
    </xf>
    <xf numFmtId="0" fontId="18" fillId="0" borderId="0" xfId="2" applyFont="1" applyAlignment="1">
      <alignment horizontal="left" vertical="center"/>
    </xf>
    <xf numFmtId="0" fontId="16" fillId="0" borderId="2" xfId="2" applyFont="1" applyBorder="1" applyAlignment="1">
      <alignment horizontal="left" vertical="center"/>
    </xf>
    <xf numFmtId="4" fontId="17" fillId="0" borderId="2" xfId="2" applyNumberFormat="1" applyFont="1" applyBorder="1" applyAlignment="1">
      <alignment horizontal="right" vertical="center"/>
    </xf>
    <xf numFmtId="4" fontId="17" fillId="3" borderId="2" xfId="2" applyNumberFormat="1" applyFont="1" applyFill="1" applyBorder="1" applyAlignment="1">
      <alignment horizontal="right" vertical="center"/>
    </xf>
    <xf numFmtId="0" fontId="18" fillId="9" borderId="12" xfId="2" applyFont="1" applyFill="1" applyBorder="1" applyAlignment="1">
      <alignment horizontal="left" vertical="center"/>
    </xf>
    <xf numFmtId="4" fontId="4" fillId="9" borderId="12" xfId="2" applyNumberFormat="1" applyFill="1" applyBorder="1" applyAlignment="1">
      <alignment horizontal="right" vertical="center"/>
    </xf>
    <xf numFmtId="0" fontId="18" fillId="9" borderId="0" xfId="2" applyFont="1" applyFill="1" applyAlignment="1">
      <alignment horizontal="left" vertical="center"/>
    </xf>
    <xf numFmtId="4" fontId="4" fillId="9" borderId="0" xfId="2" applyNumberFormat="1" applyFill="1" applyAlignment="1">
      <alignment horizontal="right" vertical="center"/>
    </xf>
    <xf numFmtId="0" fontId="4" fillId="0" borderId="0" xfId="2" applyAlignment="1">
      <alignment horizontal="center" vertical="center"/>
    </xf>
    <xf numFmtId="0" fontId="10" fillId="9" borderId="13" xfId="2" applyFont="1" applyFill="1" applyBorder="1" applyAlignment="1">
      <alignment horizontal="left"/>
    </xf>
    <xf numFmtId="4" fontId="4" fillId="9" borderId="13" xfId="2" applyNumberFormat="1" applyFill="1" applyBorder="1" applyAlignment="1">
      <alignment horizontal="right" vertical="center"/>
    </xf>
    <xf numFmtId="10" fontId="0" fillId="0" borderId="0" xfId="5" applyNumberFormat="1" applyFont="1" applyAlignment="1">
      <alignment horizontal="center" vertical="center"/>
    </xf>
    <xf numFmtId="43" fontId="0" fillId="0" borderId="0" xfId="4" applyFont="1" applyFill="1" applyAlignment="1">
      <alignment horizontal="center" vertical="center"/>
    </xf>
    <xf numFmtId="0" fontId="10" fillId="9" borderId="14" xfId="2" applyFont="1" applyFill="1" applyBorder="1" applyAlignment="1">
      <alignment horizontal="left"/>
    </xf>
    <xf numFmtId="4" fontId="4" fillId="9" borderId="14" xfId="2" applyNumberFormat="1" applyFill="1" applyBorder="1" applyAlignment="1">
      <alignment horizontal="right" vertical="center"/>
    </xf>
    <xf numFmtId="43" fontId="4" fillId="0" borderId="0" xfId="4" applyFont="1" applyAlignment="1">
      <alignment horizontal="center" vertical="center"/>
    </xf>
    <xf numFmtId="4" fontId="4" fillId="0" borderId="0" xfId="2" applyNumberFormat="1" applyAlignment="1">
      <alignment horizontal="center" vertical="center"/>
    </xf>
    <xf numFmtId="14" fontId="19" fillId="0" borderId="0" xfId="2" applyNumberFormat="1" applyFont="1" applyAlignment="1">
      <alignment horizontal="center" vertical="center"/>
    </xf>
    <xf numFmtId="0" fontId="18" fillId="9" borderId="15" xfId="2" applyFont="1" applyFill="1" applyBorder="1" applyAlignment="1">
      <alignment horizontal="left" vertical="center"/>
    </xf>
    <xf numFmtId="4" fontId="4" fillId="9" borderId="15" xfId="2" applyNumberFormat="1" applyFill="1" applyBorder="1" applyAlignment="1">
      <alignment horizontal="right" vertical="center"/>
    </xf>
    <xf numFmtId="164" fontId="4" fillId="0" borderId="0" xfId="2" applyNumberFormat="1" applyAlignment="1">
      <alignment horizontal="center" vertical="center"/>
    </xf>
    <xf numFmtId="4" fontId="14" fillId="0" borderId="0" xfId="2" applyNumberFormat="1" applyFont="1" applyAlignment="1">
      <alignment horizontal="right" vertical="center"/>
    </xf>
    <xf numFmtId="4" fontId="4" fillId="0" borderId="15" xfId="2" applyNumberFormat="1" applyBorder="1" applyAlignment="1">
      <alignment horizontal="right" vertical="center"/>
    </xf>
    <xf numFmtId="0" fontId="18" fillId="9" borderId="13" xfId="2" applyFont="1" applyFill="1" applyBorder="1" applyAlignment="1">
      <alignment horizontal="left" vertical="center"/>
    </xf>
    <xf numFmtId="164" fontId="19" fillId="0" borderId="0" xfId="2" applyNumberFormat="1" applyFont="1" applyAlignment="1">
      <alignment horizontal="center" vertical="center"/>
    </xf>
    <xf numFmtId="4" fontId="2" fillId="2" borderId="0" xfId="4" applyNumberFormat="1" applyFont="1" applyFill="1" applyAlignment="1">
      <alignment horizontal="right" vertical="center"/>
    </xf>
    <xf numFmtId="0" fontId="16" fillId="0" borderId="7" xfId="2" applyFont="1" applyBorder="1" applyAlignment="1">
      <alignment horizontal="left" vertical="center"/>
    </xf>
    <xf numFmtId="4" fontId="17" fillId="0" borderId="7" xfId="2" applyNumberFormat="1" applyFont="1" applyBorder="1" applyAlignment="1">
      <alignment horizontal="right" vertical="center"/>
    </xf>
    <xf numFmtId="0" fontId="18" fillId="9" borderId="16" xfId="2" applyFont="1" applyFill="1" applyBorder="1" applyAlignment="1">
      <alignment horizontal="left" vertical="center"/>
    </xf>
    <xf numFmtId="4" fontId="4" fillId="9" borderId="16" xfId="2" applyNumberFormat="1" applyFill="1" applyBorder="1" applyAlignment="1">
      <alignment horizontal="right" vertical="center"/>
    </xf>
    <xf numFmtId="14" fontId="0" fillId="0" borderId="0" xfId="4" applyNumberFormat="1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0" fontId="18" fillId="4" borderId="0" xfId="2" applyFont="1" applyFill="1" applyAlignment="1">
      <alignment horizontal="left" vertical="center"/>
    </xf>
    <xf numFmtId="4" fontId="4" fillId="4" borderId="0" xfId="2" applyNumberFormat="1" applyFill="1" applyAlignment="1">
      <alignment horizontal="right" vertical="center"/>
    </xf>
    <xf numFmtId="43" fontId="0" fillId="0" borderId="0" xfId="4" applyFont="1" applyAlignment="1">
      <alignment horizontal="right" vertical="center"/>
    </xf>
    <xf numFmtId="14" fontId="0" fillId="0" borderId="0" xfId="4" applyNumberFormat="1" applyFont="1" applyAlignment="1">
      <alignment horizontal="right" vertical="center"/>
    </xf>
    <xf numFmtId="16" fontId="4" fillId="0" borderId="0" xfId="2" applyNumberFormat="1" applyAlignment="1">
      <alignment horizontal="center" vertical="center"/>
    </xf>
    <xf numFmtId="43" fontId="19" fillId="0" borderId="0" xfId="4" applyFont="1" applyAlignment="1">
      <alignment horizontal="right" vertical="center"/>
    </xf>
    <xf numFmtId="0" fontId="20" fillId="2" borderId="0" xfId="2" applyFont="1" applyFill="1" applyAlignment="1">
      <alignment horizontal="left" vertical="center"/>
    </xf>
    <xf numFmtId="13" fontId="19" fillId="0" borderId="0" xfId="4" applyNumberFormat="1" applyFont="1" applyAlignment="1">
      <alignment horizontal="right" vertical="center"/>
    </xf>
    <xf numFmtId="0" fontId="18" fillId="0" borderId="10" xfId="2" applyFont="1" applyBorder="1" applyAlignment="1">
      <alignment horizontal="left" vertical="center"/>
    </xf>
    <xf numFmtId="4" fontId="4" fillId="0" borderId="10" xfId="2" applyNumberFormat="1" applyBorder="1" applyAlignment="1">
      <alignment horizontal="right" vertical="center"/>
    </xf>
    <xf numFmtId="4" fontId="4" fillId="3" borderId="10" xfId="2" applyNumberFormat="1" applyFill="1" applyBorder="1" applyAlignment="1">
      <alignment horizontal="right" vertical="center"/>
    </xf>
    <xf numFmtId="0" fontId="10" fillId="3" borderId="0" xfId="2" applyFont="1" applyFill="1" applyAlignment="1">
      <alignment horizontal="left"/>
    </xf>
    <xf numFmtId="0" fontId="4" fillId="0" borderId="0" xfId="2" applyAlignment="1">
      <alignment horizontal="left" vertical="center"/>
    </xf>
    <xf numFmtId="0" fontId="4" fillId="9" borderId="0" xfId="2" applyFill="1" applyAlignment="1">
      <alignment vertical="center"/>
    </xf>
    <xf numFmtId="0" fontId="21" fillId="9" borderId="0" xfId="2" applyFont="1" applyFill="1" applyAlignment="1">
      <alignment vertical="center"/>
    </xf>
    <xf numFmtId="0" fontId="21" fillId="0" borderId="0" xfId="2" applyFont="1" applyAlignment="1">
      <alignment vertical="center"/>
    </xf>
    <xf numFmtId="4" fontId="21" fillId="0" borderId="0" xfId="2" applyNumberFormat="1" applyFont="1" applyAlignment="1">
      <alignment horizontal="right" vertical="center"/>
    </xf>
    <xf numFmtId="4" fontId="21" fillId="9" borderId="0" xfId="2" applyNumberFormat="1" applyFont="1" applyFill="1" applyAlignment="1">
      <alignment vertical="center"/>
    </xf>
    <xf numFmtId="4" fontId="21" fillId="9" borderId="0" xfId="2" applyNumberFormat="1" applyFont="1" applyFill="1" applyAlignment="1">
      <alignment horizontal="right" vertical="center"/>
    </xf>
    <xf numFmtId="4" fontId="4" fillId="9" borderId="0" xfId="2" applyNumberFormat="1" applyFill="1" applyAlignment="1">
      <alignment vertical="center"/>
    </xf>
    <xf numFmtId="0" fontId="2" fillId="7" borderId="2" xfId="2" applyFont="1" applyFill="1" applyBorder="1" applyAlignment="1">
      <alignment horizontal="left" vertical="center"/>
    </xf>
    <xf numFmtId="4" fontId="2" fillId="7" borderId="2" xfId="4" applyNumberFormat="1" applyFont="1" applyFill="1" applyBorder="1" applyAlignment="1">
      <alignment horizontal="right" vertical="center"/>
    </xf>
    <xf numFmtId="0" fontId="16" fillId="0" borderId="10" xfId="2" applyFont="1" applyBorder="1" applyAlignment="1">
      <alignment horizontal="left" vertical="center"/>
    </xf>
    <xf numFmtId="0" fontId="4" fillId="9" borderId="0" xfId="2" applyFill="1" applyAlignment="1">
      <alignment horizontal="left" vertical="center"/>
    </xf>
    <xf numFmtId="0" fontId="2" fillId="7" borderId="0" xfId="2" applyFont="1" applyFill="1" applyAlignment="1">
      <alignment horizontal="left" vertical="center"/>
    </xf>
    <xf numFmtId="4" fontId="2" fillId="7" borderId="0" xfId="4" applyNumberFormat="1" applyFont="1" applyFill="1" applyAlignment="1">
      <alignment horizontal="right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8" fillId="0" borderId="0" xfId="2" applyFont="1" applyAlignment="1">
      <alignment horizontal="center"/>
    </xf>
    <xf numFmtId="0" fontId="15" fillId="0" borderId="2" xfId="2" applyFont="1" applyBorder="1" applyAlignment="1">
      <alignment horizontal="center" vertical="center"/>
    </xf>
  </cellXfs>
  <cellStyles count="6">
    <cellStyle name="Comma" xfId="1" builtinId="3"/>
    <cellStyle name="Migliaia 3 3" xfId="4" xr:uid="{37A6464E-0BD8-4A7C-8B23-C9919031C548}"/>
    <cellStyle name="Migliaia 6" xfId="3" xr:uid="{6681D331-D7AE-4594-BFFF-CABCE63DDD63}"/>
    <cellStyle name="Normal" xfId="0" builtinId="0"/>
    <cellStyle name="Normale 2" xfId="2" xr:uid="{2C0821C8-0ACE-489B-B6B2-60C1AB282E57}"/>
    <cellStyle name="Percentuale 2" xfId="5" xr:uid="{BDDB40DF-BC58-4CB0-9EFA-6518880560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E129-248D-443F-A93E-77BA2273C3B9}">
  <sheetPr>
    <tabColor rgb="FF92D050"/>
    <pageSetUpPr fitToPage="1"/>
  </sheetPr>
  <dimension ref="A1:XEX3548"/>
  <sheetViews>
    <sheetView tabSelected="1" zoomScale="110" zoomScaleNormal="110" workbookViewId="0">
      <selection activeCell="C8" sqref="C8"/>
    </sheetView>
  </sheetViews>
  <sheetFormatPr defaultColWidth="8.88671875" defaultRowHeight="14.4" x14ac:dyDescent="0.3"/>
  <cols>
    <col min="1" max="1" width="8.88671875" style="9" customWidth="1"/>
    <col min="2" max="2" width="49.44140625" style="84" customWidth="1"/>
    <col min="3" max="8" width="13.33203125" style="91" customWidth="1"/>
    <col min="9" max="10" width="13.33203125" style="42" customWidth="1"/>
    <col min="11" max="11" width="17.109375" style="50" bestFit="1" customWidth="1"/>
    <col min="12" max="12" width="21" style="13" customWidth="1"/>
    <col min="13" max="13" width="16.44140625" style="14" customWidth="1"/>
    <col min="14" max="17" width="12.6640625" style="14" customWidth="1"/>
    <col min="18" max="18" width="16.109375" style="14" customWidth="1"/>
    <col min="19" max="16384" width="8.88671875" style="14"/>
  </cols>
  <sheetData>
    <row r="1" spans="1:17" s="2" customFormat="1" ht="21.6" thickBot="1" x14ac:dyDescent="0.35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9"/>
      <c r="L1" s="1"/>
    </row>
    <row r="2" spans="1:17" s="8" customFormat="1" x14ac:dyDescent="0.3">
      <c r="A2" s="3"/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5" t="s">
        <v>9</v>
      </c>
      <c r="K2" s="6" t="s">
        <v>8</v>
      </c>
      <c r="L2" s="7"/>
    </row>
    <row r="3" spans="1:17" x14ac:dyDescent="0.3">
      <c r="B3" s="10" t="s">
        <v>10</v>
      </c>
      <c r="C3" s="11"/>
      <c r="D3" s="11"/>
      <c r="E3" s="11"/>
      <c r="F3" s="11" t="s">
        <v>11</v>
      </c>
      <c r="G3" s="11" t="s">
        <v>11</v>
      </c>
      <c r="H3" s="11"/>
      <c r="I3" s="12"/>
      <c r="J3" s="11"/>
      <c r="K3" s="12"/>
      <c r="Q3" s="15"/>
    </row>
    <row r="4" spans="1:17" x14ac:dyDescent="0.3">
      <c r="A4" s="9">
        <v>1200</v>
      </c>
      <c r="B4" s="9" t="s">
        <v>12</v>
      </c>
      <c r="C4" s="16">
        <v>2325.31</v>
      </c>
      <c r="D4" s="16">
        <v>2892.57</v>
      </c>
      <c r="E4" s="16">
        <v>2858.15</v>
      </c>
      <c r="F4" s="16">
        <v>1729.16</v>
      </c>
      <c r="G4" s="16">
        <f>9165.91</f>
        <v>9165.91</v>
      </c>
      <c r="H4" s="16">
        <v>1875</v>
      </c>
      <c r="I4" s="17">
        <f>SUM(C4:H4)</f>
        <v>20846.099999999999</v>
      </c>
      <c r="J4" s="18">
        <v>0</v>
      </c>
      <c r="K4" s="17">
        <f>I4+J4</f>
        <v>20846.099999999999</v>
      </c>
    </row>
    <row r="5" spans="1:17" x14ac:dyDescent="0.3">
      <c r="A5" s="9">
        <v>2000</v>
      </c>
      <c r="B5" s="9" t="s">
        <v>13</v>
      </c>
      <c r="C5" s="16">
        <f>-2325.3-0.01</f>
        <v>-2325.3100000000004</v>
      </c>
      <c r="D5" s="16">
        <f>-2314.06-578.51</f>
        <v>-2892.5699999999997</v>
      </c>
      <c r="E5" s="16">
        <f>-2286.54-571.61</f>
        <v>-2858.15</v>
      </c>
      <c r="F5" s="16">
        <f>-1037.52-345.84-345.8</f>
        <v>-1729.1599999999999</v>
      </c>
      <c r="G5" s="16">
        <v>-9165.91</v>
      </c>
      <c r="H5" s="16">
        <v>-1500</v>
      </c>
      <c r="I5" s="17">
        <f t="shared" ref="I5:I9" si="0">SUM(C5:H5)</f>
        <v>-20471.099999999999</v>
      </c>
      <c r="J5" s="18">
        <v>0</v>
      </c>
      <c r="K5" s="17">
        <f>I5+J5</f>
        <v>-20471.099999999999</v>
      </c>
    </row>
    <row r="6" spans="1:17" x14ac:dyDescent="0.3">
      <c r="A6" s="9">
        <v>3000</v>
      </c>
      <c r="B6" s="9" t="s">
        <v>14</v>
      </c>
      <c r="C6" s="16">
        <v>0</v>
      </c>
      <c r="D6" s="16">
        <v>17002.87</v>
      </c>
      <c r="E6" s="16">
        <v>0</v>
      </c>
      <c r="F6" s="16">
        <v>0</v>
      </c>
      <c r="G6" s="16">
        <v>0</v>
      </c>
      <c r="H6" s="16">
        <v>0</v>
      </c>
      <c r="I6" s="17">
        <f t="shared" si="0"/>
        <v>17002.87</v>
      </c>
      <c r="J6" s="18">
        <v>0</v>
      </c>
      <c r="K6" s="17">
        <f t="shared" ref="K6:K9" si="1">I6+J6</f>
        <v>17002.87</v>
      </c>
    </row>
    <row r="7" spans="1:17" x14ac:dyDescent="0.3">
      <c r="A7" s="9">
        <v>3200</v>
      </c>
      <c r="B7" s="9" t="s">
        <v>15</v>
      </c>
      <c r="C7" s="16">
        <v>0</v>
      </c>
      <c r="D7" s="16">
        <v>-17002.87</v>
      </c>
      <c r="E7" s="16">
        <v>0</v>
      </c>
      <c r="F7" s="16">
        <v>0</v>
      </c>
      <c r="G7" s="16">
        <v>0</v>
      </c>
      <c r="H7" s="16">
        <v>0</v>
      </c>
      <c r="I7" s="17">
        <f t="shared" si="0"/>
        <v>-17002.87</v>
      </c>
      <c r="J7" s="18">
        <v>0</v>
      </c>
      <c r="K7" s="17">
        <f t="shared" si="1"/>
        <v>-17002.87</v>
      </c>
      <c r="M7" s="15"/>
    </row>
    <row r="8" spans="1:17" x14ac:dyDescent="0.3">
      <c r="B8" s="19" t="s">
        <v>16</v>
      </c>
      <c r="C8" s="20">
        <v>2855807.75</v>
      </c>
      <c r="D8" s="20">
        <v>3324498.55</v>
      </c>
      <c r="E8" s="20">
        <v>1536861.89</v>
      </c>
      <c r="F8" s="20">
        <v>1319794.29</v>
      </c>
      <c r="G8" s="20">
        <v>1653347.79</v>
      </c>
      <c r="H8" s="20">
        <v>1680182.8900000006</v>
      </c>
      <c r="I8" s="17">
        <f t="shared" si="0"/>
        <v>12370493.16</v>
      </c>
      <c r="J8" s="18">
        <v>0</v>
      </c>
      <c r="K8" s="17">
        <f t="shared" si="1"/>
        <v>12370493.16</v>
      </c>
      <c r="L8" s="13">
        <v>1361560.8300000005</v>
      </c>
      <c r="M8" s="13">
        <f>+L8-H8</f>
        <v>-318622.06000000006</v>
      </c>
    </row>
    <row r="9" spans="1:17" ht="15" thickBot="1" x14ac:dyDescent="0.35">
      <c r="B9" s="19" t="s">
        <v>17</v>
      </c>
      <c r="C9" s="20">
        <f>-1507231.88-C109</f>
        <v>-1613002.5399999998</v>
      </c>
      <c r="D9" s="20">
        <f>-831124.63-D109</f>
        <v>-923471.81</v>
      </c>
      <c r="E9" s="20">
        <f>-576323.2-E109</f>
        <v>-627551.92666666664</v>
      </c>
      <c r="F9" s="20">
        <v>-328865.68</v>
      </c>
      <c r="G9" s="20">
        <f>-496004.34-G109</f>
        <v>-551115.93333333335</v>
      </c>
      <c r="H9" s="20">
        <f>-22443.63-H109</f>
        <v>-116481.86783333337</v>
      </c>
      <c r="I9" s="17">
        <f t="shared" si="0"/>
        <v>-4160489.7578333332</v>
      </c>
      <c r="J9" s="18">
        <v>0</v>
      </c>
      <c r="K9" s="17">
        <f t="shared" si="1"/>
        <v>-4160489.7578333332</v>
      </c>
      <c r="M9" s="13"/>
    </row>
    <row r="10" spans="1:17" s="28" customFormat="1" ht="15" thickBot="1" x14ac:dyDescent="0.35">
      <c r="A10" s="21">
        <v>11600</v>
      </c>
      <c r="B10" s="21" t="s">
        <v>18</v>
      </c>
      <c r="C10" s="22">
        <f>SUM(C4:C9)</f>
        <v>1242805.2100000002</v>
      </c>
      <c r="D10" s="22">
        <f t="shared" ref="D10:H10" si="2">SUM(D4:D9)</f>
        <v>2401026.7399999998</v>
      </c>
      <c r="E10" s="22">
        <f t="shared" si="2"/>
        <v>909309.96333333326</v>
      </c>
      <c r="F10" s="22">
        <f t="shared" si="2"/>
        <v>990928.6100000001</v>
      </c>
      <c r="G10" s="22">
        <f t="shared" si="2"/>
        <v>1102231.8566666667</v>
      </c>
      <c r="H10" s="22">
        <f t="shared" si="2"/>
        <v>1564076.0221666673</v>
      </c>
      <c r="I10" s="23">
        <f>SUM(I4:I9)</f>
        <v>8210378.4021666665</v>
      </c>
      <c r="J10" s="24">
        <f t="shared" ref="J10" si="3">SUM(J4:J7)</f>
        <v>0</v>
      </c>
      <c r="K10" s="23">
        <f>SUM(K4:K9)</f>
        <v>8210378.4021666665</v>
      </c>
      <c r="L10" s="25"/>
      <c r="M10" s="26"/>
      <c r="N10" s="27"/>
      <c r="O10" s="27"/>
      <c r="P10" s="5"/>
      <c r="Q10" s="5"/>
    </row>
    <row r="11" spans="1:17" s="28" customFormat="1" x14ac:dyDescent="0.3">
      <c r="A11" s="4"/>
      <c r="B11" s="9" t="s">
        <v>19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17">
        <f t="shared" ref="I11:I12" si="4">SUM(C11:H11)</f>
        <v>0</v>
      </c>
      <c r="J11" s="30">
        <v>0</v>
      </c>
      <c r="K11" s="17">
        <f t="shared" ref="K11:K12" si="5">I11+J11</f>
        <v>0</v>
      </c>
      <c r="L11" s="25"/>
      <c r="M11" s="5"/>
      <c r="N11" s="27"/>
      <c r="O11" s="27"/>
      <c r="P11" s="5"/>
      <c r="Q11" s="5"/>
    </row>
    <row r="12" spans="1:17" ht="15" thickBot="1" x14ac:dyDescent="0.35">
      <c r="B12" s="9" t="s">
        <v>20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7">
        <f t="shared" si="4"/>
        <v>0</v>
      </c>
      <c r="J12" s="18">
        <v>0</v>
      </c>
      <c r="K12" s="17">
        <f t="shared" si="5"/>
        <v>0</v>
      </c>
      <c r="M12" s="15"/>
    </row>
    <row r="13" spans="1:17" s="28" customFormat="1" ht="15" thickBot="1" x14ac:dyDescent="0.35">
      <c r="A13" s="21">
        <v>11600</v>
      </c>
      <c r="B13" s="21" t="s">
        <v>21</v>
      </c>
      <c r="C13" s="22">
        <f>SUM(C11:C12)</f>
        <v>0</v>
      </c>
      <c r="D13" s="22">
        <f t="shared" ref="D13:H13" si="6">SUM(D11:D12)</f>
        <v>0</v>
      </c>
      <c r="E13" s="22">
        <f t="shared" si="6"/>
        <v>0</v>
      </c>
      <c r="F13" s="22">
        <f t="shared" si="6"/>
        <v>0</v>
      </c>
      <c r="G13" s="22">
        <f t="shared" si="6"/>
        <v>0</v>
      </c>
      <c r="H13" s="22">
        <f t="shared" si="6"/>
        <v>0</v>
      </c>
      <c r="I13" s="23">
        <f>SUM(I11:I12)</f>
        <v>0</v>
      </c>
      <c r="J13" s="24">
        <f>SUM(J6:J9)</f>
        <v>0</v>
      </c>
      <c r="K13" s="23">
        <f>SUM(K11:K12)</f>
        <v>0</v>
      </c>
      <c r="L13" s="25"/>
      <c r="M13" s="5"/>
      <c r="N13" s="27"/>
      <c r="O13" s="27"/>
      <c r="P13" s="5"/>
      <c r="Q13" s="5"/>
    </row>
    <row r="14" spans="1:17" x14ac:dyDescent="0.3">
      <c r="A14" s="9">
        <v>22200</v>
      </c>
      <c r="B14" s="9" t="s">
        <v>22</v>
      </c>
      <c r="C14" s="16">
        <v>3873.3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7">
        <f>SUM(C14:H14)</f>
        <v>3873.3</v>
      </c>
      <c r="J14" s="18">
        <v>0</v>
      </c>
      <c r="K14" s="17">
        <f>I14+J14</f>
        <v>3873.3</v>
      </c>
      <c r="M14" s="18"/>
      <c r="N14" s="16"/>
      <c r="O14" s="16"/>
      <c r="P14" s="18"/>
      <c r="Q14" s="16"/>
    </row>
    <row r="15" spans="1:17" x14ac:dyDescent="0.3">
      <c r="A15" s="9">
        <v>22300</v>
      </c>
      <c r="B15" s="9" t="s">
        <v>23</v>
      </c>
      <c r="C15" s="16">
        <v>6253.92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7">
        <f t="shared" ref="I15:I16" si="7">SUM(C15:H15)</f>
        <v>6253.92</v>
      </c>
      <c r="J15" s="18">
        <v>0</v>
      </c>
      <c r="K15" s="17">
        <f t="shared" ref="K15:K16" si="8">I15+J15</f>
        <v>6253.92</v>
      </c>
      <c r="M15" s="18"/>
      <c r="N15" s="18"/>
      <c r="O15" s="18"/>
      <c r="P15" s="18"/>
      <c r="Q15" s="18"/>
    </row>
    <row r="16" spans="1:17" ht="15" thickBot="1" x14ac:dyDescent="0.35">
      <c r="A16" s="9">
        <v>24300</v>
      </c>
      <c r="B16" s="9" t="s">
        <v>24</v>
      </c>
      <c r="C16" s="16">
        <v>490950</v>
      </c>
      <c r="D16" s="16">
        <f>40000*0</f>
        <v>0</v>
      </c>
      <c r="E16" s="16">
        <f>299000+20000</f>
        <v>319000</v>
      </c>
      <c r="F16" s="16">
        <f>20000+436800+25000</f>
        <v>481800</v>
      </c>
      <c r="G16" s="16">
        <v>180000</v>
      </c>
      <c r="H16" s="16">
        <v>0</v>
      </c>
      <c r="I16" s="17">
        <f t="shared" si="7"/>
        <v>1471750</v>
      </c>
      <c r="J16" s="16">
        <v>0</v>
      </c>
      <c r="K16" s="17">
        <f t="shared" si="8"/>
        <v>1471750</v>
      </c>
      <c r="L16" s="31"/>
      <c r="M16" s="18"/>
      <c r="N16" s="18"/>
      <c r="O16" s="18"/>
      <c r="P16" s="18"/>
      <c r="Q16" s="18"/>
    </row>
    <row r="17" spans="1:17" ht="15" thickBot="1" x14ac:dyDescent="0.35">
      <c r="A17" s="21">
        <v>27900</v>
      </c>
      <c r="B17" s="21" t="s">
        <v>25</v>
      </c>
      <c r="C17" s="22">
        <f t="shared" ref="C17:K17" si="9">SUM(C14:C16)</f>
        <v>501077.22</v>
      </c>
      <c r="D17" s="22">
        <f t="shared" si="9"/>
        <v>0</v>
      </c>
      <c r="E17" s="22">
        <f t="shared" si="9"/>
        <v>319000</v>
      </c>
      <c r="F17" s="22">
        <f t="shared" si="9"/>
        <v>481800</v>
      </c>
      <c r="G17" s="22">
        <f t="shared" si="9"/>
        <v>180000</v>
      </c>
      <c r="H17" s="22">
        <f t="shared" si="9"/>
        <v>0</v>
      </c>
      <c r="I17" s="23">
        <f t="shared" si="9"/>
        <v>1481877.22</v>
      </c>
      <c r="J17" s="24">
        <f t="shared" si="9"/>
        <v>0</v>
      </c>
      <c r="K17" s="23">
        <f t="shared" si="9"/>
        <v>1481877.22</v>
      </c>
      <c r="M17" s="18"/>
      <c r="N17" s="18"/>
      <c r="O17" s="18"/>
      <c r="P17" s="18"/>
      <c r="Q17" s="18"/>
    </row>
    <row r="18" spans="1:17" ht="15" thickBot="1" x14ac:dyDescent="0.35">
      <c r="A18" s="9">
        <v>29100</v>
      </c>
      <c r="B18" s="9" t="s">
        <v>26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7">
        <f>SUM(C18:H18)</f>
        <v>0</v>
      </c>
      <c r="J18" s="16">
        <v>0</v>
      </c>
      <c r="K18" s="17">
        <f>I18+J18</f>
        <v>0</v>
      </c>
      <c r="M18" s="18"/>
      <c r="N18" s="18"/>
      <c r="O18" s="18"/>
      <c r="P18" s="18"/>
      <c r="Q18" s="18"/>
    </row>
    <row r="19" spans="1:17" ht="15" thickBot="1" x14ac:dyDescent="0.35">
      <c r="A19" s="21">
        <v>30200</v>
      </c>
      <c r="B19" s="21" t="s">
        <v>27</v>
      </c>
      <c r="C19" s="22">
        <f t="shared" ref="C19:K19" si="10">SUM(C18)</f>
        <v>0</v>
      </c>
      <c r="D19" s="22">
        <f t="shared" si="10"/>
        <v>0</v>
      </c>
      <c r="E19" s="22">
        <f t="shared" si="10"/>
        <v>0</v>
      </c>
      <c r="F19" s="22">
        <f t="shared" si="10"/>
        <v>0</v>
      </c>
      <c r="G19" s="22">
        <f t="shared" si="10"/>
        <v>0</v>
      </c>
      <c r="H19" s="22">
        <f t="shared" si="10"/>
        <v>0</v>
      </c>
      <c r="I19" s="23">
        <f t="shared" si="10"/>
        <v>0</v>
      </c>
      <c r="J19" s="24">
        <f t="shared" si="10"/>
        <v>0</v>
      </c>
      <c r="K19" s="23">
        <f t="shared" si="10"/>
        <v>0</v>
      </c>
      <c r="N19" s="18"/>
    </row>
    <row r="20" spans="1:17" x14ac:dyDescent="0.3">
      <c r="A20" s="9">
        <v>31300</v>
      </c>
      <c r="B20" s="9" t="s">
        <v>28</v>
      </c>
      <c r="C20" s="16">
        <f>169891.58-83651.12</f>
        <v>86240.459999999992</v>
      </c>
      <c r="D20" s="16">
        <f>358929.84-35052.17</f>
        <v>323877.67000000004</v>
      </c>
      <c r="E20" s="16">
        <f>24653.04-7973.78</f>
        <v>16679.260000000002</v>
      </c>
      <c r="F20" s="16">
        <v>52115.68</v>
      </c>
      <c r="G20" s="16">
        <v>20049.34</v>
      </c>
      <c r="H20" s="16">
        <f>78880</f>
        <v>78880</v>
      </c>
      <c r="I20" s="17">
        <f>SUM(C20:H20)</f>
        <v>577842.41</v>
      </c>
      <c r="J20" s="18">
        <v>0</v>
      </c>
      <c r="K20" s="17">
        <f t="shared" ref="K20:K40" si="11">I20+J20</f>
        <v>577842.41</v>
      </c>
      <c r="M20" s="5"/>
      <c r="N20" s="18"/>
      <c r="O20" s="27"/>
      <c r="P20" s="5"/>
      <c r="Q20" s="5"/>
    </row>
    <row r="21" spans="1:17" x14ac:dyDescent="0.3">
      <c r="A21" s="32">
        <v>31400</v>
      </c>
      <c r="B21" s="9" t="s">
        <v>29</v>
      </c>
      <c r="C21" s="33">
        <v>109253.5</v>
      </c>
      <c r="D21" s="33">
        <f>145327.88-7231.1</f>
        <v>138096.78</v>
      </c>
      <c r="E21" s="33">
        <v>8740.4599999999991</v>
      </c>
      <c r="F21" s="33">
        <v>5699.72</v>
      </c>
      <c r="G21" s="33">
        <v>0</v>
      </c>
      <c r="H21" s="33">
        <v>0</v>
      </c>
      <c r="I21" s="17">
        <f t="shared" ref="I21:I40" si="12">SUM(C21:H21)</f>
        <v>261790.46</v>
      </c>
      <c r="J21" s="16">
        <v>0</v>
      </c>
      <c r="K21" s="17">
        <f t="shared" si="11"/>
        <v>261790.46</v>
      </c>
      <c r="L21" s="16"/>
      <c r="M21" s="16"/>
      <c r="N21" s="18"/>
      <c r="O21" s="16"/>
      <c r="P21" s="16"/>
      <c r="Q21" s="16"/>
    </row>
    <row r="22" spans="1:17" x14ac:dyDescent="0.3">
      <c r="A22" s="32">
        <v>34300</v>
      </c>
      <c r="B22" s="32" t="s">
        <v>30</v>
      </c>
      <c r="C22" s="16">
        <v>0</v>
      </c>
      <c r="D22" s="16">
        <v>0</v>
      </c>
      <c r="E22" s="16">
        <v>23051.06</v>
      </c>
      <c r="F22" s="16">
        <v>0</v>
      </c>
      <c r="G22" s="16">
        <v>101116.89</v>
      </c>
      <c r="H22" s="16">
        <v>0</v>
      </c>
      <c r="I22" s="17">
        <f t="shared" si="12"/>
        <v>124167.95</v>
      </c>
      <c r="J22" s="18">
        <v>0</v>
      </c>
      <c r="K22" s="17">
        <f t="shared" si="11"/>
        <v>124167.95</v>
      </c>
      <c r="M22" s="16"/>
      <c r="N22" s="16"/>
      <c r="O22" s="16"/>
      <c r="P22" s="16"/>
      <c r="Q22" s="16"/>
    </row>
    <row r="23" spans="1:17" ht="15" thickBot="1" x14ac:dyDescent="0.35">
      <c r="A23" s="32"/>
      <c r="B23" s="32" t="s">
        <v>31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7">
        <f t="shared" si="12"/>
        <v>0</v>
      </c>
      <c r="J23" s="18"/>
      <c r="K23" s="17">
        <f t="shared" si="11"/>
        <v>0</v>
      </c>
      <c r="M23" s="16"/>
      <c r="N23" s="18"/>
      <c r="O23" s="16"/>
      <c r="P23" s="16"/>
      <c r="Q23" s="16"/>
    </row>
    <row r="24" spans="1:17" x14ac:dyDescent="0.3">
      <c r="A24" s="34"/>
      <c r="B24" s="35" t="s">
        <v>32</v>
      </c>
      <c r="C24" s="36">
        <v>0</v>
      </c>
      <c r="D24" s="36">
        <v>0</v>
      </c>
      <c r="E24" s="36">
        <v>0</v>
      </c>
      <c r="F24" s="36">
        <v>0</v>
      </c>
      <c r="G24" s="36">
        <v>16104</v>
      </c>
      <c r="H24" s="36">
        <v>0</v>
      </c>
      <c r="I24" s="17">
        <f t="shared" si="12"/>
        <v>16104</v>
      </c>
      <c r="J24" s="36">
        <f>-I24</f>
        <v>-16104</v>
      </c>
      <c r="K24" s="17">
        <f t="shared" si="11"/>
        <v>0</v>
      </c>
      <c r="M24" s="16"/>
      <c r="N24" s="18"/>
      <c r="O24" s="16"/>
      <c r="P24" s="16"/>
      <c r="Q24" s="16"/>
    </row>
    <row r="25" spans="1:17" x14ac:dyDescent="0.3">
      <c r="A25" s="37"/>
      <c r="B25" s="32" t="s">
        <v>33</v>
      </c>
      <c r="C25" s="38">
        <v>0</v>
      </c>
      <c r="D25" s="38">
        <v>0</v>
      </c>
      <c r="E25" s="38">
        <v>0</v>
      </c>
      <c r="F25" s="38">
        <v>0</v>
      </c>
      <c r="G25" s="38">
        <f>26093.38-4000</f>
        <v>22093.38</v>
      </c>
      <c r="H25" s="38">
        <v>0</v>
      </c>
      <c r="I25" s="17">
        <f t="shared" si="12"/>
        <v>22093.38</v>
      </c>
      <c r="J25" s="38">
        <f>-I25</f>
        <v>-22093.38</v>
      </c>
      <c r="K25" s="17">
        <f t="shared" si="11"/>
        <v>0</v>
      </c>
      <c r="M25" s="16"/>
      <c r="N25" s="16"/>
      <c r="O25" s="16"/>
      <c r="P25" s="16"/>
      <c r="Q25" s="16"/>
    </row>
    <row r="26" spans="1:17" x14ac:dyDescent="0.3">
      <c r="A26" s="37"/>
      <c r="B26" s="32" t="s">
        <v>34</v>
      </c>
      <c r="C26" s="38">
        <v>4000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7">
        <f t="shared" si="12"/>
        <v>4000</v>
      </c>
      <c r="J26" s="38">
        <f>-I26</f>
        <v>-4000</v>
      </c>
      <c r="K26" s="17">
        <f t="shared" si="11"/>
        <v>0</v>
      </c>
      <c r="M26" s="16"/>
      <c r="N26" s="16"/>
      <c r="O26" s="16"/>
      <c r="P26" s="16"/>
      <c r="Q26" s="16"/>
    </row>
    <row r="27" spans="1:17" x14ac:dyDescent="0.3">
      <c r="A27" s="37"/>
      <c r="B27" s="32" t="s">
        <v>35</v>
      </c>
      <c r="C27" s="38">
        <v>0</v>
      </c>
      <c r="D27" s="38">
        <v>0</v>
      </c>
      <c r="E27" s="38">
        <v>0</v>
      </c>
      <c r="F27" s="38">
        <v>0</v>
      </c>
      <c r="G27" s="38">
        <f>-30+30</f>
        <v>0</v>
      </c>
      <c r="H27" s="38">
        <v>0</v>
      </c>
      <c r="I27" s="17">
        <f t="shared" si="12"/>
        <v>0</v>
      </c>
      <c r="J27" s="38">
        <f>-I27</f>
        <v>0</v>
      </c>
      <c r="K27" s="17">
        <f t="shared" si="11"/>
        <v>0</v>
      </c>
      <c r="M27" s="16"/>
      <c r="N27" s="16"/>
      <c r="O27" s="16"/>
      <c r="P27" s="16"/>
      <c r="Q27" s="16"/>
    </row>
    <row r="28" spans="1:17" ht="15" thickBot="1" x14ac:dyDescent="0.35">
      <c r="A28" s="39"/>
      <c r="B28" s="40" t="s">
        <v>36</v>
      </c>
      <c r="C28" s="41">
        <v>0</v>
      </c>
      <c r="D28" s="41">
        <v>0</v>
      </c>
      <c r="E28" s="41">
        <v>0</v>
      </c>
      <c r="F28" s="41">
        <v>0</v>
      </c>
      <c r="G28" s="41">
        <v>23006.06</v>
      </c>
      <c r="H28" s="41">
        <v>0</v>
      </c>
      <c r="I28" s="17">
        <f t="shared" si="12"/>
        <v>23006.06</v>
      </c>
      <c r="J28" s="41">
        <f>-I28</f>
        <v>-23006.06</v>
      </c>
      <c r="K28" s="17">
        <f t="shared" si="11"/>
        <v>0</v>
      </c>
      <c r="M28" s="16"/>
      <c r="N28" s="16"/>
      <c r="O28" s="16"/>
      <c r="P28" s="16"/>
      <c r="Q28" s="16"/>
    </row>
    <row r="29" spans="1:17" x14ac:dyDescent="0.3">
      <c r="A29" s="32">
        <v>34800</v>
      </c>
      <c r="B29" s="32" t="s">
        <v>37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17">
        <f t="shared" si="12"/>
        <v>0</v>
      </c>
      <c r="J29" s="16">
        <f>436800-436800</f>
        <v>0</v>
      </c>
      <c r="K29" s="17">
        <f t="shared" si="11"/>
        <v>0</v>
      </c>
      <c r="M29" s="16"/>
      <c r="N29" s="16"/>
      <c r="O29" s="16"/>
      <c r="P29" s="16"/>
      <c r="Q29" s="16"/>
    </row>
    <row r="30" spans="1:17" x14ac:dyDescent="0.3">
      <c r="A30" s="9">
        <v>35100</v>
      </c>
      <c r="B30" s="9" t="s">
        <v>38</v>
      </c>
      <c r="C30" s="33">
        <v>40000.730000000003</v>
      </c>
      <c r="D30" s="33">
        <v>0</v>
      </c>
      <c r="E30" s="33">
        <v>0</v>
      </c>
      <c r="F30" s="33">
        <v>0</v>
      </c>
      <c r="G30" s="33">
        <v>43630.57</v>
      </c>
      <c r="H30" s="33">
        <v>0</v>
      </c>
      <c r="I30" s="17">
        <f t="shared" si="12"/>
        <v>83631.3</v>
      </c>
      <c r="J30" s="16">
        <v>0</v>
      </c>
      <c r="K30" s="17">
        <f t="shared" si="11"/>
        <v>83631.3</v>
      </c>
      <c r="M30" s="16"/>
      <c r="N30" s="16"/>
      <c r="O30" s="16"/>
      <c r="P30" s="16"/>
      <c r="Q30" s="16"/>
    </row>
    <row r="31" spans="1:17" x14ac:dyDescent="0.3">
      <c r="B31" s="9" t="s">
        <v>39</v>
      </c>
      <c r="C31" s="33">
        <f>+C137</f>
        <v>-1638.2039999999943</v>
      </c>
      <c r="D31" s="33">
        <f>+D137+2152</f>
        <v>16514.417600000001</v>
      </c>
      <c r="E31" s="33">
        <v>0</v>
      </c>
      <c r="F31" s="33">
        <f>+F137</f>
        <v>5642.9579999999987</v>
      </c>
      <c r="G31" s="33">
        <v>14681</v>
      </c>
      <c r="H31" s="33">
        <v>1278.99</v>
      </c>
      <c r="I31" s="17">
        <f t="shared" si="12"/>
        <v>36479.161599999999</v>
      </c>
      <c r="J31" s="16">
        <v>0</v>
      </c>
      <c r="K31" s="17">
        <f t="shared" si="11"/>
        <v>36479.161599999999</v>
      </c>
      <c r="M31" s="16"/>
      <c r="N31" s="16"/>
      <c r="O31" s="16"/>
      <c r="P31" s="16"/>
      <c r="Q31" s="16"/>
    </row>
    <row r="32" spans="1:17" x14ac:dyDescent="0.3">
      <c r="A32" s="9">
        <v>36700</v>
      </c>
      <c r="B32" s="9" t="s">
        <v>40</v>
      </c>
      <c r="C32" s="33">
        <v>18610.8</v>
      </c>
      <c r="D32" s="33">
        <v>0</v>
      </c>
      <c r="E32" s="33">
        <v>0</v>
      </c>
      <c r="F32" s="33">
        <v>12422.06</v>
      </c>
      <c r="G32" s="33">
        <v>0</v>
      </c>
      <c r="H32" s="33">
        <v>0</v>
      </c>
      <c r="I32" s="17">
        <f t="shared" si="12"/>
        <v>31032.86</v>
      </c>
      <c r="J32" s="18">
        <v>0</v>
      </c>
      <c r="K32" s="17">
        <f t="shared" si="11"/>
        <v>31032.86</v>
      </c>
      <c r="M32" s="16"/>
      <c r="N32" s="16"/>
      <c r="O32" s="16"/>
      <c r="P32" s="16"/>
      <c r="Q32" s="16"/>
    </row>
    <row r="33" spans="1:17" x14ac:dyDescent="0.3">
      <c r="A33" s="9">
        <v>36800</v>
      </c>
      <c r="B33" s="9" t="s">
        <v>41</v>
      </c>
      <c r="C33" s="33">
        <v>84972.58</v>
      </c>
      <c r="D33" s="33">
        <v>21656.76</v>
      </c>
      <c r="E33" s="33">
        <v>9353.2099999999991</v>
      </c>
      <c r="F33" s="33">
        <v>11285.35</v>
      </c>
      <c r="G33" s="33">
        <v>15800.96</v>
      </c>
      <c r="H33" s="33">
        <v>281050.92</v>
      </c>
      <c r="I33" s="17">
        <f t="shared" si="12"/>
        <v>424119.77999999997</v>
      </c>
      <c r="J33" s="16">
        <v>0</v>
      </c>
      <c r="K33" s="17">
        <f t="shared" si="11"/>
        <v>424119.77999999997</v>
      </c>
      <c r="M33" s="16"/>
      <c r="N33" s="16"/>
      <c r="O33" s="16"/>
      <c r="P33" s="16"/>
      <c r="Q33" s="16"/>
    </row>
    <row r="34" spans="1:17" x14ac:dyDescent="0.3">
      <c r="A34" s="9">
        <v>37000</v>
      </c>
      <c r="B34" s="9" t="s">
        <v>42</v>
      </c>
      <c r="C34" s="33">
        <v>0.71</v>
      </c>
      <c r="D34" s="33">
        <v>0.13</v>
      </c>
      <c r="E34" s="33">
        <v>0</v>
      </c>
      <c r="F34" s="33">
        <v>0</v>
      </c>
      <c r="G34" s="33">
        <v>0</v>
      </c>
      <c r="H34" s="33">
        <v>1.41</v>
      </c>
      <c r="I34" s="17">
        <f t="shared" si="12"/>
        <v>2.25</v>
      </c>
      <c r="J34" s="18">
        <v>0</v>
      </c>
      <c r="K34" s="17">
        <f t="shared" si="11"/>
        <v>2.25</v>
      </c>
      <c r="M34" s="16"/>
      <c r="N34" s="16"/>
      <c r="O34" s="16"/>
      <c r="P34" s="16"/>
      <c r="Q34" s="16"/>
    </row>
    <row r="35" spans="1:17" x14ac:dyDescent="0.3">
      <c r="A35" s="9">
        <v>37050</v>
      </c>
      <c r="B35" s="9" t="s">
        <v>43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17">
        <f t="shared" si="12"/>
        <v>0</v>
      </c>
      <c r="J35" s="18">
        <v>0</v>
      </c>
      <c r="K35" s="17">
        <f t="shared" si="11"/>
        <v>0</v>
      </c>
      <c r="M35" s="13"/>
    </row>
    <row r="36" spans="1:17" x14ac:dyDescent="0.3">
      <c r="A36" s="32">
        <v>37900</v>
      </c>
      <c r="B36" s="32" t="s">
        <v>44</v>
      </c>
      <c r="C36" s="33">
        <v>0</v>
      </c>
      <c r="D36" s="33">
        <v>0</v>
      </c>
      <c r="E36" s="33">
        <v>0</v>
      </c>
      <c r="F36" s="33">
        <v>441.44</v>
      </c>
      <c r="G36" s="33">
        <v>116</v>
      </c>
      <c r="H36" s="33">
        <v>0</v>
      </c>
      <c r="I36" s="17">
        <f t="shared" si="12"/>
        <v>557.44000000000005</v>
      </c>
      <c r="J36" s="18">
        <v>0</v>
      </c>
      <c r="K36" s="17">
        <f t="shared" si="11"/>
        <v>557.44000000000005</v>
      </c>
    </row>
    <row r="37" spans="1:17" x14ac:dyDescent="0.3">
      <c r="A37" s="9">
        <v>38500</v>
      </c>
      <c r="B37" s="9" t="s">
        <v>45</v>
      </c>
      <c r="C37" s="33">
        <v>0</v>
      </c>
      <c r="D37" s="33">
        <v>929</v>
      </c>
      <c r="E37" s="33">
        <v>0</v>
      </c>
      <c r="F37" s="33">
        <v>0</v>
      </c>
      <c r="G37" s="33">
        <v>0</v>
      </c>
      <c r="H37" s="33">
        <v>0</v>
      </c>
      <c r="I37" s="17">
        <f t="shared" si="12"/>
        <v>929</v>
      </c>
      <c r="J37" s="18">
        <v>0</v>
      </c>
      <c r="K37" s="17">
        <f t="shared" si="11"/>
        <v>929</v>
      </c>
    </row>
    <row r="38" spans="1:17" x14ac:dyDescent="0.3">
      <c r="A38" s="9">
        <v>40100</v>
      </c>
      <c r="B38" s="9" t="s">
        <v>46</v>
      </c>
      <c r="C38" s="33">
        <v>30.04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17">
        <f t="shared" si="12"/>
        <v>30.04</v>
      </c>
      <c r="J38" s="18">
        <v>0</v>
      </c>
      <c r="K38" s="17">
        <f t="shared" si="11"/>
        <v>30.04</v>
      </c>
    </row>
    <row r="39" spans="1:17" x14ac:dyDescent="0.3">
      <c r="A39" s="9">
        <v>40650</v>
      </c>
      <c r="B39" s="9" t="s">
        <v>47</v>
      </c>
      <c r="C39" s="33">
        <v>0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17">
        <f t="shared" si="12"/>
        <v>0</v>
      </c>
      <c r="J39" s="16">
        <v>0</v>
      </c>
      <c r="K39" s="17">
        <f t="shared" si="11"/>
        <v>0</v>
      </c>
    </row>
    <row r="40" spans="1:17" ht="15" thickBot="1" x14ac:dyDescent="0.35">
      <c r="A40" s="9">
        <v>42150</v>
      </c>
      <c r="B40" s="9" t="s">
        <v>48</v>
      </c>
      <c r="C40" s="33">
        <v>0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17">
        <f t="shared" si="12"/>
        <v>0</v>
      </c>
      <c r="J40" s="18">
        <v>0</v>
      </c>
      <c r="K40" s="17">
        <f t="shared" si="11"/>
        <v>0</v>
      </c>
    </row>
    <row r="41" spans="1:17" ht="15" thickBot="1" x14ac:dyDescent="0.35">
      <c r="A41" s="21">
        <v>42600</v>
      </c>
      <c r="B41" s="21" t="s">
        <v>49</v>
      </c>
      <c r="C41" s="22">
        <f>SUM(C20:C40)</f>
        <v>341470.61599999998</v>
      </c>
      <c r="D41" s="22">
        <f t="shared" ref="D41:H41" si="13">SUM(D20:D40)</f>
        <v>501074.75760000007</v>
      </c>
      <c r="E41" s="22">
        <f t="shared" si="13"/>
        <v>57823.99</v>
      </c>
      <c r="F41" s="22">
        <f t="shared" si="13"/>
        <v>87607.208000000013</v>
      </c>
      <c r="G41" s="22">
        <f t="shared" si="13"/>
        <v>256598.19999999998</v>
      </c>
      <c r="H41" s="22">
        <f t="shared" si="13"/>
        <v>361211.31999999995</v>
      </c>
      <c r="I41" s="23">
        <f>SUM(I20:I40)</f>
        <v>1605786.0916000002</v>
      </c>
      <c r="J41" s="24">
        <f>SUM(J20:J40)</f>
        <v>-65203.44</v>
      </c>
      <c r="K41" s="23">
        <f>SUM(K20:K40)</f>
        <v>1540582.6516000002</v>
      </c>
    </row>
    <row r="42" spans="1:17" x14ac:dyDescent="0.3">
      <c r="A42" s="9">
        <v>46402</v>
      </c>
      <c r="B42" s="9" t="s">
        <v>50</v>
      </c>
      <c r="C42" s="16">
        <v>371221.67</v>
      </c>
      <c r="D42" s="42">
        <v>0</v>
      </c>
      <c r="E42" s="16">
        <v>0</v>
      </c>
      <c r="F42" s="16">
        <v>0</v>
      </c>
      <c r="G42" s="16">
        <v>0</v>
      </c>
      <c r="H42" s="16">
        <v>50818.47</v>
      </c>
      <c r="I42" s="17">
        <f>SUM(C42:H42)</f>
        <v>422040.14</v>
      </c>
      <c r="J42" s="18">
        <v>0</v>
      </c>
      <c r="K42" s="17">
        <f>I42+J42</f>
        <v>422040.14</v>
      </c>
    </row>
    <row r="43" spans="1:17" x14ac:dyDescent="0.3">
      <c r="A43" s="9">
        <v>46408</v>
      </c>
      <c r="B43" s="9" t="s">
        <v>51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7">
        <f t="shared" ref="I43:I45" si="14">SUM(C43:H43)</f>
        <v>0</v>
      </c>
      <c r="J43" s="18">
        <v>0</v>
      </c>
      <c r="K43" s="17">
        <f>I43+J43</f>
        <v>0</v>
      </c>
    </row>
    <row r="44" spans="1:17" x14ac:dyDescent="0.3">
      <c r="B44" s="9" t="s">
        <v>52</v>
      </c>
      <c r="C44" s="16">
        <v>0</v>
      </c>
      <c r="D44" s="16">
        <v>118136.55</v>
      </c>
      <c r="E44" s="16">
        <v>189990.87</v>
      </c>
      <c r="F44" s="16">
        <v>177393.64</v>
      </c>
      <c r="G44" s="16">
        <v>88175.02</v>
      </c>
      <c r="H44" s="16">
        <v>0</v>
      </c>
      <c r="I44" s="17">
        <f t="shared" si="14"/>
        <v>573696.07999999996</v>
      </c>
      <c r="J44" s="18">
        <v>0</v>
      </c>
      <c r="K44" s="17">
        <f t="shared" ref="K44:K45" si="15">I44+J44</f>
        <v>573696.07999999996</v>
      </c>
    </row>
    <row r="45" spans="1:17" ht="15" thickBot="1" x14ac:dyDescent="0.35">
      <c r="A45" s="9">
        <v>47001</v>
      </c>
      <c r="B45" s="9" t="s">
        <v>53</v>
      </c>
      <c r="C45" s="16">
        <v>5.13</v>
      </c>
      <c r="D45" s="16">
        <v>0</v>
      </c>
      <c r="E45" s="16">
        <v>0</v>
      </c>
      <c r="F45" s="16">
        <f>-8+8</f>
        <v>0</v>
      </c>
      <c r="G45" s="16">
        <v>0</v>
      </c>
      <c r="H45" s="16">
        <v>0</v>
      </c>
      <c r="I45" s="17">
        <f t="shared" si="14"/>
        <v>5.13</v>
      </c>
      <c r="J45" s="18">
        <v>0</v>
      </c>
      <c r="K45" s="17">
        <f t="shared" si="15"/>
        <v>5.13</v>
      </c>
    </row>
    <row r="46" spans="1:17" ht="15" thickBot="1" x14ac:dyDescent="0.35">
      <c r="A46" s="21">
        <v>47500</v>
      </c>
      <c r="B46" s="21" t="s">
        <v>54</v>
      </c>
      <c r="C46" s="22">
        <f t="shared" ref="C46:K46" si="16">SUM(C42:C45)</f>
        <v>371226.8</v>
      </c>
      <c r="D46" s="22">
        <f t="shared" si="16"/>
        <v>118136.55</v>
      </c>
      <c r="E46" s="22">
        <f t="shared" si="16"/>
        <v>189990.87</v>
      </c>
      <c r="F46" s="22">
        <f t="shared" si="16"/>
        <v>177393.64</v>
      </c>
      <c r="G46" s="22">
        <f t="shared" si="16"/>
        <v>88175.02</v>
      </c>
      <c r="H46" s="22">
        <f t="shared" si="16"/>
        <v>50818.47</v>
      </c>
      <c r="I46" s="23">
        <f t="shared" si="16"/>
        <v>995741.35</v>
      </c>
      <c r="J46" s="24">
        <f t="shared" si="16"/>
        <v>0</v>
      </c>
      <c r="K46" s="23">
        <f t="shared" si="16"/>
        <v>995741.35</v>
      </c>
    </row>
    <row r="47" spans="1:17" ht="15" thickBot="1" x14ac:dyDescent="0.35">
      <c r="A47" s="9">
        <v>48100</v>
      </c>
      <c r="B47" s="9" t="s">
        <v>55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7">
        <f>SUM(C47:H47)</f>
        <v>0</v>
      </c>
      <c r="J47" s="18">
        <v>0</v>
      </c>
      <c r="K47" s="17">
        <f>I47+J47</f>
        <v>0</v>
      </c>
    </row>
    <row r="48" spans="1:17" ht="15" thickBot="1" x14ac:dyDescent="0.35">
      <c r="A48" s="21">
        <v>49215</v>
      </c>
      <c r="B48" s="21" t="s">
        <v>56</v>
      </c>
      <c r="C48" s="22">
        <f t="shared" ref="C48:K48" si="17">SUM(C47)</f>
        <v>0</v>
      </c>
      <c r="D48" s="22">
        <f t="shared" si="17"/>
        <v>0</v>
      </c>
      <c r="E48" s="22">
        <f t="shared" si="17"/>
        <v>0</v>
      </c>
      <c r="F48" s="22">
        <f t="shared" si="17"/>
        <v>0</v>
      </c>
      <c r="G48" s="22">
        <f t="shared" si="17"/>
        <v>0</v>
      </c>
      <c r="H48" s="22">
        <f t="shared" si="17"/>
        <v>0</v>
      </c>
      <c r="I48" s="23">
        <f>SUM(I47)</f>
        <v>0</v>
      </c>
      <c r="J48" s="24">
        <f>SUM(J47)</f>
        <v>0</v>
      </c>
      <c r="K48" s="23">
        <f t="shared" si="17"/>
        <v>0</v>
      </c>
    </row>
    <row r="49" spans="1:17" s="46" customFormat="1" x14ac:dyDescent="0.3">
      <c r="A49" s="43"/>
      <c r="B49" s="43" t="s">
        <v>57</v>
      </c>
      <c r="C49" s="44">
        <f>C10+C13+C17+C19+C41+C46+C48</f>
        <v>2456579.8459999999</v>
      </c>
      <c r="D49" s="44">
        <f t="shared" ref="D49:H49" si="18">D10+D13+D17+D19+D41+D46+D48</f>
        <v>3020238.0475999997</v>
      </c>
      <c r="E49" s="44">
        <f t="shared" si="18"/>
        <v>1476124.8233333332</v>
      </c>
      <c r="F49" s="44">
        <f t="shared" si="18"/>
        <v>1737729.4580000001</v>
      </c>
      <c r="G49" s="44">
        <f t="shared" si="18"/>
        <v>1627005.0766666667</v>
      </c>
      <c r="H49" s="44">
        <f t="shared" si="18"/>
        <v>1976105.8121666673</v>
      </c>
      <c r="I49" s="44">
        <f>I10+I13+I17+I19+I41+I46+I48</f>
        <v>12293783.063766668</v>
      </c>
      <c r="J49" s="44">
        <f>J10+J13+J17+J19+J41+J46+J48</f>
        <v>-65203.44</v>
      </c>
      <c r="K49" s="44">
        <f>K10+K13+K17+K19+K41+K46+K48</f>
        <v>12228579.623766666</v>
      </c>
      <c r="L49" s="45"/>
    </row>
    <row r="50" spans="1:17" x14ac:dyDescent="0.3">
      <c r="A50" s="47"/>
      <c r="B50" s="47"/>
      <c r="C50" s="48"/>
      <c r="D50" s="48"/>
      <c r="E50" s="48"/>
      <c r="F50" s="48"/>
      <c r="G50" s="48"/>
      <c r="H50" s="48"/>
      <c r="I50" s="17"/>
      <c r="J50" s="48"/>
      <c r="K50" s="17"/>
      <c r="L50" s="49"/>
    </row>
    <row r="51" spans="1:17" x14ac:dyDescent="0.3">
      <c r="B51" s="10" t="s">
        <v>58</v>
      </c>
      <c r="C51" s="5" t="s">
        <v>2</v>
      </c>
      <c r="D51" s="27" t="s">
        <v>3</v>
      </c>
      <c r="E51" s="27" t="s">
        <v>4</v>
      </c>
      <c r="F51" s="5" t="s">
        <v>5</v>
      </c>
      <c r="G51" s="5" t="s">
        <v>6</v>
      </c>
      <c r="H51" s="5" t="s">
        <v>7</v>
      </c>
      <c r="I51" s="6" t="s">
        <v>8</v>
      </c>
      <c r="J51" s="5" t="s">
        <v>5</v>
      </c>
      <c r="K51" s="6" t="s">
        <v>8</v>
      </c>
      <c r="M51" s="27"/>
      <c r="N51" s="27"/>
      <c r="O51" s="5"/>
      <c r="P51" s="5"/>
      <c r="Q51" s="5"/>
    </row>
    <row r="52" spans="1:17" x14ac:dyDescent="0.3">
      <c r="A52" s="9">
        <v>49800</v>
      </c>
      <c r="B52" s="9" t="s">
        <v>59</v>
      </c>
      <c r="C52" s="16">
        <v>20000</v>
      </c>
      <c r="D52" s="16">
        <v>10000</v>
      </c>
      <c r="E52" s="16">
        <v>10000</v>
      </c>
      <c r="F52" s="42">
        <v>10000</v>
      </c>
      <c r="G52" s="42">
        <v>10000</v>
      </c>
      <c r="H52" s="42">
        <v>10000</v>
      </c>
      <c r="I52" s="17">
        <f>SUM(C52:H52)</f>
        <v>70000</v>
      </c>
      <c r="J52" s="50">
        <v>0</v>
      </c>
      <c r="K52" s="17">
        <f>I52+J52</f>
        <v>70000</v>
      </c>
      <c r="M52" s="16"/>
      <c r="N52" s="16"/>
      <c r="O52" s="16"/>
      <c r="P52" s="16"/>
      <c r="Q52" s="15"/>
    </row>
    <row r="53" spans="1:17" x14ac:dyDescent="0.3">
      <c r="A53" s="9">
        <v>51500</v>
      </c>
      <c r="B53" s="9" t="s">
        <v>60</v>
      </c>
      <c r="C53" s="16">
        <v>15547.36</v>
      </c>
      <c r="D53" s="16">
        <v>3349.61</v>
      </c>
      <c r="E53" s="16">
        <v>3072.6</v>
      </c>
      <c r="F53" s="42">
        <v>1238.98</v>
      </c>
      <c r="G53" s="16">
        <v>2000</v>
      </c>
      <c r="H53" s="16">
        <v>1168.07</v>
      </c>
      <c r="I53" s="17">
        <f t="shared" ref="I53:I57" si="19">SUM(C53:H53)</f>
        <v>26376.62</v>
      </c>
      <c r="J53" s="50">
        <v>0</v>
      </c>
      <c r="K53" s="17">
        <f t="shared" ref="K53:K57" si="20">I53+J53</f>
        <v>26376.62</v>
      </c>
      <c r="M53" s="16"/>
      <c r="N53" s="16"/>
      <c r="O53" s="16"/>
      <c r="P53" s="16"/>
    </row>
    <row r="54" spans="1:17" x14ac:dyDescent="0.3">
      <c r="A54" s="9">
        <v>51900</v>
      </c>
      <c r="B54" s="9" t="s">
        <v>61</v>
      </c>
      <c r="C54" s="16">
        <v>245168.07</v>
      </c>
      <c r="D54" s="16">
        <v>89179.06</v>
      </c>
      <c r="E54" s="16">
        <v>98659.33</v>
      </c>
      <c r="F54" s="16">
        <v>7333.29</v>
      </c>
      <c r="G54" s="16">
        <v>338281.39</v>
      </c>
      <c r="H54" s="16">
        <v>0</v>
      </c>
      <c r="I54" s="17">
        <f t="shared" si="19"/>
        <v>778621.14</v>
      </c>
      <c r="J54" s="16">
        <v>0</v>
      </c>
      <c r="K54" s="17">
        <f t="shared" si="20"/>
        <v>778621.14</v>
      </c>
      <c r="M54" s="15"/>
      <c r="N54" s="15"/>
      <c r="O54" s="15"/>
      <c r="P54" s="15"/>
      <c r="Q54" s="15"/>
    </row>
    <row r="55" spans="1:17" x14ac:dyDescent="0.3">
      <c r="B55" s="9" t="s">
        <v>62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27074.26</v>
      </c>
      <c r="I55" s="17">
        <f t="shared" si="19"/>
        <v>27074.26</v>
      </c>
      <c r="J55" s="16">
        <v>0</v>
      </c>
      <c r="K55" s="17">
        <f t="shared" si="20"/>
        <v>27074.26</v>
      </c>
      <c r="M55" s="15"/>
      <c r="N55" s="15"/>
      <c r="O55" s="15"/>
      <c r="P55" s="15"/>
      <c r="Q55" s="15"/>
    </row>
    <row r="56" spans="1:17" x14ac:dyDescent="0.3">
      <c r="A56" s="9">
        <v>54500</v>
      </c>
      <c r="B56" s="9" t="s">
        <v>63</v>
      </c>
      <c r="C56" s="51">
        <v>111781.86</v>
      </c>
      <c r="D56" s="51">
        <v>-28038.42</v>
      </c>
      <c r="E56" s="51">
        <v>-13389.74</v>
      </c>
      <c r="F56" s="51">
        <v>-1061.1600000000001</v>
      </c>
      <c r="G56" s="52">
        <v>-46584.12</v>
      </c>
      <c r="H56" s="52">
        <v>140624.42000000001</v>
      </c>
      <c r="I56" s="17">
        <f t="shared" si="19"/>
        <v>163332.84</v>
      </c>
      <c r="J56" s="16">
        <v>0</v>
      </c>
      <c r="K56" s="17">
        <f t="shared" si="20"/>
        <v>163332.84</v>
      </c>
    </row>
    <row r="57" spans="1:17" s="56" customFormat="1" ht="15" thickBot="1" x14ac:dyDescent="0.35">
      <c r="A57" s="53"/>
      <c r="B57" s="53" t="s">
        <v>64</v>
      </c>
      <c r="C57" s="51">
        <f>+C139</f>
        <v>4285.8727899999831</v>
      </c>
      <c r="D57" s="51">
        <f t="shared" ref="D57:H57" si="21">+D139</f>
        <v>-45480.989066666676</v>
      </c>
      <c r="E57" s="51">
        <f t="shared" si="21"/>
        <v>-34813.80386666664</v>
      </c>
      <c r="F57" s="51">
        <f t="shared" si="21"/>
        <v>-17869.366999999998</v>
      </c>
      <c r="G57" s="51">
        <f t="shared" si="21"/>
        <v>-38653.520199999999</v>
      </c>
      <c r="H57" s="51">
        <f t="shared" si="21"/>
        <v>136949.47688216658</v>
      </c>
      <c r="I57" s="17">
        <f t="shared" si="19"/>
        <v>4417.6695388332591</v>
      </c>
      <c r="J57" s="16">
        <v>0</v>
      </c>
      <c r="K57" s="17">
        <f t="shared" si="20"/>
        <v>4417.6695388332591</v>
      </c>
      <c r="L57" s="54"/>
      <c r="M57" s="55"/>
      <c r="N57" s="55"/>
      <c r="O57" s="55"/>
      <c r="P57" s="55"/>
      <c r="Q57" s="55"/>
    </row>
    <row r="58" spans="1:17" ht="15" thickBot="1" x14ac:dyDescent="0.35">
      <c r="A58" s="21">
        <v>54900</v>
      </c>
      <c r="B58" s="21" t="s">
        <v>65</v>
      </c>
      <c r="C58" s="22">
        <f t="shared" ref="C58:K58" si="22">SUM(C52:C57)</f>
        <v>396783.16278999997</v>
      </c>
      <c r="D58" s="22">
        <f t="shared" si="22"/>
        <v>29009.260933333324</v>
      </c>
      <c r="E58" s="22">
        <f t="shared" si="22"/>
        <v>63528.386133333363</v>
      </c>
      <c r="F58" s="22">
        <f t="shared" si="22"/>
        <v>-358.25699999999779</v>
      </c>
      <c r="G58" s="22">
        <f t="shared" si="22"/>
        <v>265043.74979999999</v>
      </c>
      <c r="H58" s="22">
        <f>SUM(H52:H57)</f>
        <v>315816.22688216658</v>
      </c>
      <c r="I58" s="23">
        <f t="shared" si="22"/>
        <v>1069822.5295388333</v>
      </c>
      <c r="J58" s="24">
        <f t="shared" si="22"/>
        <v>0</v>
      </c>
      <c r="K58" s="23">
        <f t="shared" si="22"/>
        <v>1069822.5295388333</v>
      </c>
      <c r="M58" s="15"/>
      <c r="N58" s="15"/>
      <c r="O58" s="15"/>
      <c r="P58" s="15"/>
      <c r="Q58" s="15"/>
    </row>
    <row r="59" spans="1:17" ht="15" thickBot="1" x14ac:dyDescent="0.35">
      <c r="A59" s="21"/>
      <c r="B59" s="21" t="s">
        <v>66</v>
      </c>
      <c r="C59" s="22">
        <v>0</v>
      </c>
      <c r="D59" s="22">
        <v>10510.77</v>
      </c>
      <c r="E59" s="22">
        <v>9017.0300000000007</v>
      </c>
      <c r="F59" s="22">
        <v>0</v>
      </c>
      <c r="G59" s="22">
        <v>36437.019999999997</v>
      </c>
      <c r="H59" s="22">
        <v>0</v>
      </c>
      <c r="I59" s="23">
        <f>SUM(C59:H59)</f>
        <v>55964.82</v>
      </c>
      <c r="J59" s="24">
        <v>0</v>
      </c>
      <c r="K59" s="23">
        <f>+I59</f>
        <v>55964.82</v>
      </c>
      <c r="M59" s="15"/>
      <c r="N59" s="15"/>
      <c r="O59" s="15"/>
      <c r="P59" s="15"/>
      <c r="Q59" s="15"/>
    </row>
    <row r="60" spans="1:17" x14ac:dyDescent="0.3">
      <c r="A60" s="9">
        <v>60000</v>
      </c>
      <c r="B60" s="9" t="s">
        <v>67</v>
      </c>
      <c r="C60" s="16">
        <v>0</v>
      </c>
      <c r="D60" s="16">
        <v>54000</v>
      </c>
      <c r="E60" s="16">
        <v>0</v>
      </c>
      <c r="F60" s="16">
        <v>0</v>
      </c>
      <c r="G60" s="42">
        <v>46500</v>
      </c>
      <c r="H60" s="42">
        <f>6218.07+500+1000</f>
        <v>7718.07</v>
      </c>
      <c r="I60" s="17">
        <f>SUM(C60:H60)</f>
        <v>108218.07</v>
      </c>
      <c r="J60" s="18">
        <v>0</v>
      </c>
      <c r="K60" s="17">
        <f t="shared" ref="K60:K84" si="23">I60+J60</f>
        <v>108218.07</v>
      </c>
      <c r="M60" s="15"/>
      <c r="N60" s="15"/>
      <c r="O60" s="15"/>
      <c r="P60" s="15"/>
      <c r="Q60" s="15"/>
    </row>
    <row r="61" spans="1:17" x14ac:dyDescent="0.3">
      <c r="B61" s="9" t="s">
        <v>68</v>
      </c>
      <c r="C61" s="16">
        <v>0</v>
      </c>
      <c r="D61" s="16">
        <v>135000</v>
      </c>
      <c r="E61" s="16">
        <v>0</v>
      </c>
      <c r="F61" s="16">
        <v>0</v>
      </c>
      <c r="G61" s="42">
        <v>132000</v>
      </c>
      <c r="H61" s="42">
        <v>1344632</v>
      </c>
      <c r="I61" s="17">
        <f t="shared" ref="I61:I84" si="24">SUM(C61:H61)</f>
        <v>1611632</v>
      </c>
      <c r="J61" s="16">
        <v>0</v>
      </c>
      <c r="K61" s="17">
        <f t="shared" si="23"/>
        <v>1611632</v>
      </c>
    </row>
    <row r="62" spans="1:17" x14ac:dyDescent="0.3">
      <c r="B62" s="9" t="s">
        <v>69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7">
        <f t="shared" si="24"/>
        <v>0</v>
      </c>
      <c r="J62" s="16">
        <v>0</v>
      </c>
      <c r="K62" s="17">
        <f t="shared" si="23"/>
        <v>0</v>
      </c>
    </row>
    <row r="63" spans="1:17" x14ac:dyDescent="0.3">
      <c r="A63" s="9">
        <v>60902</v>
      </c>
      <c r="B63" s="9" t="s">
        <v>70</v>
      </c>
      <c r="C63" s="16">
        <v>498695.11</v>
      </c>
      <c r="D63" s="16">
        <v>0</v>
      </c>
      <c r="E63" s="16">
        <v>0</v>
      </c>
      <c r="F63" s="16">
        <v>0</v>
      </c>
      <c r="G63" s="42">
        <v>0</v>
      </c>
      <c r="H63" s="42">
        <v>0</v>
      </c>
      <c r="I63" s="17">
        <f t="shared" si="24"/>
        <v>498695.11</v>
      </c>
      <c r="J63" s="18">
        <v>0</v>
      </c>
      <c r="K63" s="17">
        <f t="shared" si="23"/>
        <v>498695.11</v>
      </c>
    </row>
    <row r="64" spans="1:17" x14ac:dyDescent="0.3">
      <c r="A64" s="9">
        <v>60904</v>
      </c>
      <c r="B64" s="9" t="s">
        <v>71</v>
      </c>
      <c r="C64" s="16">
        <v>0</v>
      </c>
      <c r="D64" s="16">
        <v>1044644.55</v>
      </c>
      <c r="E64" s="16">
        <f>538343.08+18077.44</f>
        <v>556420.5199999999</v>
      </c>
      <c r="F64" s="16">
        <f>591753.26+58048.31</f>
        <v>649801.57000000007</v>
      </c>
      <c r="G64" s="16">
        <f>524123.9+57086.18</f>
        <v>581210.08000000007</v>
      </c>
      <c r="H64" s="16">
        <v>0</v>
      </c>
      <c r="I64" s="17">
        <f t="shared" si="24"/>
        <v>2832076.7199999997</v>
      </c>
      <c r="J64" s="18">
        <v>0</v>
      </c>
      <c r="K64" s="17">
        <f t="shared" si="23"/>
        <v>2832076.7199999997</v>
      </c>
      <c r="M64" s="57"/>
      <c r="N64" s="57"/>
      <c r="O64" s="57"/>
      <c r="P64" s="57"/>
    </row>
    <row r="65" spans="1:18" x14ac:dyDescent="0.3">
      <c r="A65" s="9">
        <v>64200</v>
      </c>
      <c r="B65" s="9" t="s">
        <v>72</v>
      </c>
      <c r="C65" s="16">
        <v>10950.53</v>
      </c>
      <c r="D65" s="16">
        <f>626606.45-D66</f>
        <v>726.32999999995809</v>
      </c>
      <c r="E65" s="16">
        <v>8462.15</v>
      </c>
      <c r="F65" s="16">
        <v>31853.17</v>
      </c>
      <c r="G65" s="16">
        <v>617.32000000000005</v>
      </c>
      <c r="H65" s="16">
        <f>67358.54+9518.97</f>
        <v>76877.509999999995</v>
      </c>
      <c r="I65" s="17">
        <f t="shared" si="24"/>
        <v>129487.00999999995</v>
      </c>
      <c r="J65" s="18">
        <v>0</v>
      </c>
      <c r="K65" s="17">
        <f t="shared" si="23"/>
        <v>129487.00999999995</v>
      </c>
      <c r="M65" s="15"/>
      <c r="N65" s="15"/>
      <c r="O65" s="15"/>
      <c r="P65" s="15"/>
    </row>
    <row r="66" spans="1:18" x14ac:dyDescent="0.3">
      <c r="B66" s="9" t="s">
        <v>73</v>
      </c>
      <c r="C66" s="16">
        <f>5003.87</f>
        <v>5003.87</v>
      </c>
      <c r="D66" s="16">
        <f>625880.12</f>
        <v>625880.12</v>
      </c>
      <c r="E66" s="16">
        <v>0</v>
      </c>
      <c r="F66" s="16">
        <v>0</v>
      </c>
      <c r="G66" s="16">
        <v>0</v>
      </c>
      <c r="H66" s="16">
        <v>0</v>
      </c>
      <c r="I66" s="17">
        <f t="shared" si="24"/>
        <v>630883.99</v>
      </c>
      <c r="J66" s="18">
        <v>0</v>
      </c>
      <c r="K66" s="17">
        <f t="shared" si="23"/>
        <v>630883.99</v>
      </c>
      <c r="L66" s="58"/>
      <c r="M66" s="15"/>
      <c r="N66" s="15"/>
      <c r="O66" s="15"/>
      <c r="P66" s="15"/>
      <c r="Q66" s="15"/>
      <c r="R66" s="15"/>
    </row>
    <row r="67" spans="1:18" x14ac:dyDescent="0.3">
      <c r="B67" s="9" t="s">
        <v>74</v>
      </c>
      <c r="C67" s="16">
        <v>10980</v>
      </c>
      <c r="D67" s="16">
        <v>653.13</v>
      </c>
      <c r="E67" s="16">
        <f>1414.41</f>
        <v>1414.41</v>
      </c>
      <c r="F67" s="16">
        <f>4131</f>
        <v>4131</v>
      </c>
      <c r="G67" s="16">
        <v>0</v>
      </c>
      <c r="H67" s="16">
        <v>0</v>
      </c>
      <c r="I67" s="17">
        <f t="shared" si="24"/>
        <v>17178.54</v>
      </c>
      <c r="J67" s="18">
        <v>0</v>
      </c>
      <c r="K67" s="17">
        <f t="shared" si="23"/>
        <v>17178.54</v>
      </c>
      <c r="L67" s="58"/>
      <c r="M67" s="15"/>
      <c r="N67" s="15"/>
      <c r="O67" s="15"/>
      <c r="P67" s="15"/>
      <c r="Q67" s="15"/>
      <c r="R67" s="15"/>
    </row>
    <row r="68" spans="1:18" x14ac:dyDescent="0.3">
      <c r="A68" s="9">
        <v>64300</v>
      </c>
      <c r="B68" s="9" t="s">
        <v>75</v>
      </c>
      <c r="C68" s="16">
        <v>0</v>
      </c>
      <c r="D68" s="16">
        <v>0</v>
      </c>
      <c r="E68" s="16">
        <v>16004.83</v>
      </c>
      <c r="F68" s="16">
        <v>0</v>
      </c>
      <c r="G68" s="42">
        <v>0</v>
      </c>
      <c r="H68" s="16">
        <v>0</v>
      </c>
      <c r="I68" s="17">
        <f t="shared" si="24"/>
        <v>16004.83</v>
      </c>
      <c r="J68" s="18">
        <v>0</v>
      </c>
      <c r="K68" s="17">
        <f t="shared" si="23"/>
        <v>16004.83</v>
      </c>
      <c r="L68" s="58"/>
      <c r="M68" s="15"/>
      <c r="N68" s="15"/>
      <c r="O68" s="15"/>
      <c r="P68" s="15"/>
      <c r="Q68" s="15"/>
      <c r="R68" s="15"/>
    </row>
    <row r="69" spans="1:18" x14ac:dyDescent="0.3">
      <c r="B69" s="19" t="s">
        <v>76</v>
      </c>
      <c r="C69" s="20">
        <f>1283417.46+93464.56</f>
        <v>1376882.02</v>
      </c>
      <c r="D69" s="20">
        <f>1039444.27-D70-12481.96</f>
        <v>1026427.9900000001</v>
      </c>
      <c r="E69" s="20">
        <f>731348.38+E99</f>
        <v>769627.04666666663</v>
      </c>
      <c r="F69" s="20">
        <f>1020730.71-F70</f>
        <v>1020185.99</v>
      </c>
      <c r="G69" s="20">
        <v>559586.37</v>
      </c>
      <c r="H69" s="20">
        <v>168028.88</v>
      </c>
      <c r="I69" s="17">
        <f t="shared" si="24"/>
        <v>4920738.2966666669</v>
      </c>
      <c r="J69" s="18">
        <v>0</v>
      </c>
      <c r="K69" s="17">
        <f t="shared" si="23"/>
        <v>4920738.2966666669</v>
      </c>
      <c r="L69" s="58"/>
      <c r="M69" s="15"/>
      <c r="N69" s="15"/>
      <c r="O69" s="15"/>
      <c r="P69" s="15"/>
      <c r="Q69" s="15"/>
      <c r="R69" s="15"/>
    </row>
    <row r="70" spans="1:18" ht="15" thickBot="1" x14ac:dyDescent="0.35">
      <c r="B70" s="9" t="s">
        <v>77</v>
      </c>
      <c r="C70" s="16">
        <v>4044.72</v>
      </c>
      <c r="D70" s="16">
        <v>534.32000000000005</v>
      </c>
      <c r="E70" s="16">
        <v>645.58000000000004</v>
      </c>
      <c r="F70" s="16">
        <v>544.72</v>
      </c>
      <c r="G70" s="16">
        <v>1210.54</v>
      </c>
      <c r="H70" s="16">
        <v>0</v>
      </c>
      <c r="I70" s="17">
        <f t="shared" si="24"/>
        <v>6979.88</v>
      </c>
      <c r="J70" s="18">
        <v>0</v>
      </c>
      <c r="K70" s="17">
        <f t="shared" si="23"/>
        <v>6979.88</v>
      </c>
      <c r="L70" s="58"/>
      <c r="M70" s="15"/>
      <c r="N70" s="15"/>
      <c r="O70" s="15"/>
      <c r="P70" s="15"/>
      <c r="Q70" s="15"/>
      <c r="R70" s="15"/>
    </row>
    <row r="71" spans="1:18" ht="15" thickBot="1" x14ac:dyDescent="0.35">
      <c r="A71" s="59">
        <v>65900</v>
      </c>
      <c r="B71" s="60" t="s">
        <v>78</v>
      </c>
      <c r="C71" s="36">
        <v>0</v>
      </c>
      <c r="D71" s="36">
        <v>0</v>
      </c>
      <c r="E71" s="36">
        <v>0</v>
      </c>
      <c r="F71" s="36">
        <v>0</v>
      </c>
      <c r="G71" s="36">
        <v>0</v>
      </c>
      <c r="H71" s="36">
        <v>0</v>
      </c>
      <c r="I71" s="17">
        <f t="shared" si="24"/>
        <v>0</v>
      </c>
      <c r="J71" s="61">
        <v>0</v>
      </c>
      <c r="K71" s="62">
        <f t="shared" si="23"/>
        <v>0</v>
      </c>
      <c r="L71" s="58"/>
      <c r="M71" s="15"/>
      <c r="N71" s="15"/>
      <c r="O71" s="15"/>
      <c r="P71" s="15"/>
      <c r="Q71" s="15"/>
      <c r="R71" s="15"/>
    </row>
    <row r="72" spans="1:18" ht="15" thickBot="1" x14ac:dyDescent="0.35">
      <c r="A72" s="63"/>
      <c r="B72" s="9" t="s">
        <v>79</v>
      </c>
      <c r="C72" s="38">
        <v>0</v>
      </c>
      <c r="D72" s="38">
        <v>0</v>
      </c>
      <c r="E72" s="38">
        <v>0</v>
      </c>
      <c r="F72" s="38">
        <v>0</v>
      </c>
      <c r="G72" s="38">
        <v>4000</v>
      </c>
      <c r="H72" s="38">
        <v>0</v>
      </c>
      <c r="I72" s="17">
        <f t="shared" si="24"/>
        <v>4000</v>
      </c>
      <c r="J72" s="64">
        <f>J26</f>
        <v>-4000</v>
      </c>
      <c r="K72" s="62">
        <f t="shared" si="23"/>
        <v>0</v>
      </c>
      <c r="L72" s="58"/>
      <c r="M72" s="15"/>
      <c r="N72" s="15"/>
      <c r="O72" s="15"/>
      <c r="P72" s="15"/>
      <c r="Q72" s="15"/>
      <c r="R72" s="15"/>
    </row>
    <row r="73" spans="1:18" ht="15" thickBot="1" x14ac:dyDescent="0.35">
      <c r="A73" s="63"/>
      <c r="B73" s="9" t="s">
        <v>80</v>
      </c>
      <c r="C73" s="38">
        <v>0</v>
      </c>
      <c r="D73" s="38">
        <v>22094.28</v>
      </c>
      <c r="E73" s="38">
        <v>23006.06</v>
      </c>
      <c r="F73" s="38">
        <v>16104</v>
      </c>
      <c r="G73" s="38">
        <v>0</v>
      </c>
      <c r="H73" s="38">
        <v>0</v>
      </c>
      <c r="I73" s="17">
        <f t="shared" si="24"/>
        <v>61204.34</v>
      </c>
      <c r="J73" s="64">
        <f>-I73+0.9</f>
        <v>-61203.439999999995</v>
      </c>
      <c r="K73" s="62">
        <f t="shared" si="23"/>
        <v>0.90000000000145519</v>
      </c>
      <c r="L73" s="58"/>
      <c r="M73" s="15"/>
      <c r="N73" s="15"/>
      <c r="O73" s="15"/>
      <c r="P73" s="15"/>
      <c r="Q73" s="15"/>
      <c r="R73" s="15"/>
    </row>
    <row r="74" spans="1:18" ht="15" thickBot="1" x14ac:dyDescent="0.35">
      <c r="A74" s="63"/>
      <c r="B74" s="9" t="s">
        <v>81</v>
      </c>
      <c r="C74" s="38">
        <v>0</v>
      </c>
      <c r="D74" s="38">
        <v>0</v>
      </c>
      <c r="E74" s="38">
        <v>0</v>
      </c>
      <c r="F74" s="38">
        <v>0</v>
      </c>
      <c r="G74" s="38">
        <v>0</v>
      </c>
      <c r="H74" s="38">
        <v>0</v>
      </c>
      <c r="I74" s="17">
        <f t="shared" si="24"/>
        <v>0</v>
      </c>
      <c r="J74" s="64">
        <v>0</v>
      </c>
      <c r="K74" s="62">
        <f t="shared" si="23"/>
        <v>0</v>
      </c>
      <c r="L74" s="58"/>
      <c r="M74" s="15"/>
      <c r="N74" s="15"/>
      <c r="O74" s="15"/>
      <c r="P74" s="15"/>
      <c r="Q74" s="15"/>
      <c r="R74" s="15"/>
    </row>
    <row r="75" spans="1:18" ht="15" thickBot="1" x14ac:dyDescent="0.35">
      <c r="A75" s="65"/>
      <c r="B75" s="66" t="s">
        <v>82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17">
        <f t="shared" si="24"/>
        <v>0</v>
      </c>
      <c r="J75" s="67">
        <v>0</v>
      </c>
      <c r="K75" s="62">
        <f t="shared" si="23"/>
        <v>0</v>
      </c>
      <c r="L75" s="68"/>
      <c r="M75" s="15"/>
      <c r="N75" s="15"/>
      <c r="O75" s="15"/>
      <c r="P75" s="15"/>
      <c r="Q75" s="15"/>
      <c r="R75" s="15"/>
    </row>
    <row r="76" spans="1:18" x14ac:dyDescent="0.3">
      <c r="A76" s="9">
        <v>68600</v>
      </c>
      <c r="B76" s="9" t="s">
        <v>83</v>
      </c>
      <c r="C76" s="16">
        <v>0</v>
      </c>
      <c r="D76" s="16">
        <v>55336.91</v>
      </c>
      <c r="E76" s="16">
        <v>4747.9799999999996</v>
      </c>
      <c r="F76" s="16">
        <v>2115.9</v>
      </c>
      <c r="G76" s="16">
        <v>0</v>
      </c>
      <c r="H76" s="16">
        <v>0</v>
      </c>
      <c r="I76" s="17">
        <f t="shared" si="24"/>
        <v>62200.79</v>
      </c>
      <c r="J76" s="18">
        <v>0</v>
      </c>
      <c r="K76" s="17">
        <f t="shared" si="23"/>
        <v>62200.79</v>
      </c>
      <c r="L76" s="58"/>
      <c r="M76" s="15"/>
      <c r="N76" s="15"/>
      <c r="O76" s="15"/>
      <c r="P76" s="15"/>
      <c r="Q76" s="15"/>
      <c r="R76" s="15"/>
    </row>
    <row r="77" spans="1:18" x14ac:dyDescent="0.3">
      <c r="A77" s="9">
        <v>69000</v>
      </c>
      <c r="B77" s="9" t="s">
        <v>84</v>
      </c>
      <c r="C77" s="16">
        <f>5917</f>
        <v>5917</v>
      </c>
      <c r="D77" s="16">
        <v>15912.61</v>
      </c>
      <c r="E77" s="16">
        <v>12967.83</v>
      </c>
      <c r="F77" s="16">
        <v>3899</v>
      </c>
      <c r="G77" s="16">
        <v>0</v>
      </c>
      <c r="H77" s="16">
        <v>0</v>
      </c>
      <c r="I77" s="17">
        <f t="shared" si="24"/>
        <v>38696.44</v>
      </c>
      <c r="J77" s="18">
        <v>0</v>
      </c>
      <c r="K77" s="17">
        <f t="shared" si="23"/>
        <v>38696.44</v>
      </c>
      <c r="L77" s="58"/>
      <c r="M77" s="58"/>
      <c r="N77" s="15"/>
      <c r="O77" s="15"/>
      <c r="P77" s="15"/>
      <c r="Q77" s="15"/>
      <c r="R77" s="15"/>
    </row>
    <row r="78" spans="1:18" x14ac:dyDescent="0.3">
      <c r="B78" s="9" t="s">
        <v>85</v>
      </c>
      <c r="C78" s="16">
        <v>145325</v>
      </c>
      <c r="D78" s="16">
        <v>1635</v>
      </c>
      <c r="E78" s="16">
        <v>9483</v>
      </c>
      <c r="F78" s="16">
        <v>8636.7000000000007</v>
      </c>
      <c r="G78" s="16">
        <v>0</v>
      </c>
      <c r="H78" s="16">
        <v>54743</v>
      </c>
      <c r="I78" s="17">
        <f t="shared" si="24"/>
        <v>219822.7</v>
      </c>
      <c r="J78" s="18">
        <v>0</v>
      </c>
      <c r="K78" s="17">
        <f t="shared" si="23"/>
        <v>219822.7</v>
      </c>
      <c r="L78" s="58"/>
      <c r="M78" s="58"/>
      <c r="N78" s="15"/>
      <c r="O78" s="15"/>
      <c r="P78" s="15"/>
      <c r="Q78" s="15"/>
      <c r="R78" s="15"/>
    </row>
    <row r="79" spans="1:18" x14ac:dyDescent="0.3">
      <c r="A79" s="9">
        <v>69700</v>
      </c>
      <c r="B79" s="9" t="s">
        <v>86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7">
        <f t="shared" si="24"/>
        <v>0</v>
      </c>
      <c r="J79" s="18">
        <v>0</v>
      </c>
      <c r="K79" s="17">
        <f t="shared" si="23"/>
        <v>0</v>
      </c>
      <c r="L79" s="58"/>
      <c r="M79" s="58"/>
      <c r="N79" s="15"/>
      <c r="O79" s="15"/>
      <c r="P79" s="15"/>
      <c r="Q79" s="15"/>
      <c r="R79" s="15"/>
    </row>
    <row r="80" spans="1:18" x14ac:dyDescent="0.3">
      <c r="A80" s="9">
        <v>69800</v>
      </c>
      <c r="B80" s="9" t="s">
        <v>87</v>
      </c>
      <c r="C80" s="16">
        <v>377</v>
      </c>
      <c r="D80" s="16">
        <f t="shared" ref="D80:G80" si="25">-D138</f>
        <v>0</v>
      </c>
      <c r="E80" s="16">
        <f t="shared" si="25"/>
        <v>0</v>
      </c>
      <c r="F80" s="16">
        <f t="shared" si="25"/>
        <v>0</v>
      </c>
      <c r="G80" s="16">
        <f t="shared" si="25"/>
        <v>0</v>
      </c>
      <c r="H80" s="16">
        <v>6680.13</v>
      </c>
      <c r="I80" s="17">
        <f t="shared" si="24"/>
        <v>7057.13</v>
      </c>
      <c r="J80" s="18">
        <v>0</v>
      </c>
      <c r="K80" s="17">
        <f t="shared" si="23"/>
        <v>7057.13</v>
      </c>
      <c r="L80" s="58"/>
      <c r="M80" s="58"/>
      <c r="N80" s="15"/>
      <c r="O80" s="15"/>
      <c r="P80" s="15"/>
      <c r="Q80" s="15"/>
      <c r="R80" s="15"/>
    </row>
    <row r="81" spans="1:18" x14ac:dyDescent="0.3">
      <c r="A81" s="9">
        <v>70500</v>
      </c>
      <c r="B81" s="9" t="s">
        <v>88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7">
        <f t="shared" si="24"/>
        <v>0</v>
      </c>
      <c r="J81" s="18">
        <v>0</v>
      </c>
      <c r="K81" s="17">
        <f t="shared" si="23"/>
        <v>0</v>
      </c>
      <c r="L81" s="58"/>
      <c r="M81" s="58"/>
      <c r="N81" s="15"/>
      <c r="O81" s="15"/>
      <c r="P81" s="15"/>
      <c r="Q81" s="15"/>
      <c r="R81" s="15"/>
    </row>
    <row r="82" spans="1:18" x14ac:dyDescent="0.3">
      <c r="A82" s="9">
        <v>70600</v>
      </c>
      <c r="B82" s="9" t="s">
        <v>89</v>
      </c>
      <c r="C82" s="16">
        <v>0</v>
      </c>
      <c r="D82" s="16">
        <v>-2527.2199999999998</v>
      </c>
      <c r="E82" s="16">
        <v>0</v>
      </c>
      <c r="F82" s="16">
        <v>0</v>
      </c>
      <c r="G82" s="16">
        <v>0</v>
      </c>
      <c r="H82" s="16">
        <v>0</v>
      </c>
      <c r="I82" s="17">
        <f t="shared" si="24"/>
        <v>-2527.2199999999998</v>
      </c>
      <c r="J82" s="18">
        <v>0</v>
      </c>
      <c r="K82" s="17">
        <f t="shared" si="23"/>
        <v>-2527.2199999999998</v>
      </c>
      <c r="L82" s="58"/>
      <c r="M82" s="58"/>
      <c r="N82" s="15"/>
      <c r="O82" s="15"/>
      <c r="P82" s="15"/>
      <c r="Q82" s="15"/>
      <c r="R82" s="15"/>
    </row>
    <row r="83" spans="1:18" x14ac:dyDescent="0.3">
      <c r="A83" s="9">
        <v>72450</v>
      </c>
      <c r="B83" s="9" t="s">
        <v>90</v>
      </c>
      <c r="C83" s="16">
        <v>921.43</v>
      </c>
      <c r="D83" s="16">
        <v>400</v>
      </c>
      <c r="E83" s="16">
        <v>800</v>
      </c>
      <c r="F83" s="16">
        <v>815.67</v>
      </c>
      <c r="G83" s="16">
        <v>400</v>
      </c>
      <c r="H83" s="16">
        <v>1610</v>
      </c>
      <c r="I83" s="17">
        <f t="shared" si="24"/>
        <v>4947.1000000000004</v>
      </c>
      <c r="J83" s="18">
        <v>0</v>
      </c>
      <c r="K83" s="17">
        <f t="shared" si="23"/>
        <v>4947.1000000000004</v>
      </c>
      <c r="L83" s="58"/>
      <c r="M83" s="58"/>
      <c r="N83" s="15"/>
      <c r="O83" s="15"/>
      <c r="P83" s="15"/>
      <c r="Q83" s="15"/>
      <c r="R83" s="15"/>
    </row>
    <row r="84" spans="1:18" ht="15" thickBot="1" x14ac:dyDescent="0.35">
      <c r="A84" s="32">
        <v>74900</v>
      </c>
      <c r="B84" s="32" t="s">
        <v>91</v>
      </c>
      <c r="C84" s="16">
        <v>700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7">
        <f t="shared" si="24"/>
        <v>700</v>
      </c>
      <c r="J84" s="18">
        <v>0</v>
      </c>
      <c r="K84" s="17">
        <f t="shared" si="23"/>
        <v>700</v>
      </c>
      <c r="M84" s="13"/>
      <c r="N84" s="15"/>
    </row>
    <row r="85" spans="1:18" ht="15" thickBot="1" x14ac:dyDescent="0.35">
      <c r="A85" s="21">
        <v>75100</v>
      </c>
      <c r="B85" s="21" t="s">
        <v>92</v>
      </c>
      <c r="C85" s="22">
        <f t="shared" ref="C85:J85" si="26">SUM(C60:C84)</f>
        <v>2059796.68</v>
      </c>
      <c r="D85" s="22">
        <f t="shared" si="26"/>
        <v>2980718.0199999996</v>
      </c>
      <c r="E85" s="22">
        <f t="shared" si="26"/>
        <v>1403579.4066666667</v>
      </c>
      <c r="F85" s="22">
        <f t="shared" si="26"/>
        <v>1738087.7199999997</v>
      </c>
      <c r="G85" s="22">
        <f t="shared" si="26"/>
        <v>1325524.31</v>
      </c>
      <c r="H85" s="22">
        <f t="shared" si="26"/>
        <v>1660289.5899999999</v>
      </c>
      <c r="I85" s="23">
        <f t="shared" si="26"/>
        <v>11167995.726666665</v>
      </c>
      <c r="J85" s="24">
        <f t="shared" si="26"/>
        <v>-65203.439999999995</v>
      </c>
      <c r="K85" s="23">
        <f>SUM(I85:J85)</f>
        <v>11102792.286666665</v>
      </c>
    </row>
    <row r="86" spans="1:18" ht="15" thickBot="1" x14ac:dyDescent="0.35">
      <c r="A86" s="4"/>
      <c r="B86" s="9" t="s">
        <v>93</v>
      </c>
      <c r="C86" s="16">
        <v>0</v>
      </c>
      <c r="D86" s="20">
        <v>0</v>
      </c>
      <c r="E86" s="20">
        <v>0</v>
      </c>
      <c r="F86" s="20">
        <v>0</v>
      </c>
      <c r="G86" s="20">
        <v>0</v>
      </c>
      <c r="H86" s="16">
        <v>0</v>
      </c>
      <c r="I86" s="69">
        <f>SUM(C86:H86)</f>
        <v>0</v>
      </c>
      <c r="J86" s="30">
        <v>0</v>
      </c>
      <c r="K86" s="69">
        <f>+I86</f>
        <v>0</v>
      </c>
    </row>
    <row r="87" spans="1:18" ht="15" thickBot="1" x14ac:dyDescent="0.35">
      <c r="A87" s="4"/>
      <c r="B87" s="21" t="s">
        <v>56</v>
      </c>
      <c r="C87" s="70">
        <f t="shared" ref="C87:H87" si="27">+C86</f>
        <v>0</v>
      </c>
      <c r="D87" s="70">
        <f t="shared" si="27"/>
        <v>0</v>
      </c>
      <c r="E87" s="70">
        <f t="shared" si="27"/>
        <v>0</v>
      </c>
      <c r="F87" s="70">
        <f t="shared" si="27"/>
        <v>0</v>
      </c>
      <c r="G87" s="70">
        <f t="shared" si="27"/>
        <v>0</v>
      </c>
      <c r="H87" s="70">
        <f t="shared" si="27"/>
        <v>0</v>
      </c>
      <c r="I87" s="69">
        <f>SUM(C87:H87)</f>
        <v>0</v>
      </c>
      <c r="J87" s="30">
        <v>0</v>
      </c>
      <c r="K87" s="23">
        <f>+K86</f>
        <v>0</v>
      </c>
    </row>
    <row r="88" spans="1:18" x14ac:dyDescent="0.3">
      <c r="A88" s="43"/>
      <c r="B88" s="43" t="s">
        <v>94</v>
      </c>
      <c r="C88" s="44">
        <f>C85+C58+C59+C87</f>
        <v>2456579.8427900001</v>
      </c>
      <c r="D88" s="44">
        <f>D85+D59+D58+D87</f>
        <v>3020238.0509333331</v>
      </c>
      <c r="E88" s="44">
        <f t="shared" ref="E88:H88" si="28">E85+E59+E58+E87</f>
        <v>1476124.8228000002</v>
      </c>
      <c r="F88" s="44">
        <f t="shared" si="28"/>
        <v>1737729.4629999998</v>
      </c>
      <c r="G88" s="44">
        <f t="shared" si="28"/>
        <v>1627005.0797999999</v>
      </c>
      <c r="H88" s="44">
        <f t="shared" si="28"/>
        <v>1976105.8168821665</v>
      </c>
      <c r="I88" s="44">
        <f>I85+I58+I59+I87</f>
        <v>12293783.076205498</v>
      </c>
      <c r="J88" s="44">
        <f t="shared" ref="J88" si="29">J85+J58</f>
        <v>-65203.439999999995</v>
      </c>
      <c r="K88" s="44">
        <f>K85+K58+K59+K87</f>
        <v>12228579.636205498</v>
      </c>
      <c r="M88" s="15"/>
    </row>
    <row r="89" spans="1:18" x14ac:dyDescent="0.3">
      <c r="B89" s="9"/>
      <c r="C89" s="16">
        <f>+C88-C49</f>
        <v>-3.2099997624754906E-3</v>
      </c>
      <c r="D89" s="16">
        <f t="shared" ref="D89:H89" si="30">+D88-D49</f>
        <v>3.3333334140479565E-3</v>
      </c>
      <c r="E89" s="16">
        <f t="shared" si="30"/>
        <v>-5.3333304822444916E-4</v>
      </c>
      <c r="F89" s="16">
        <f t="shared" si="30"/>
        <v>4.9999996554106474E-3</v>
      </c>
      <c r="G89" s="16">
        <f t="shared" si="30"/>
        <v>3.1333332881331444E-3</v>
      </c>
      <c r="H89" s="16">
        <f t="shared" si="30"/>
        <v>4.715499235317111E-3</v>
      </c>
      <c r="I89" s="17"/>
      <c r="J89" s="18">
        <f>J88-J49</f>
        <v>0</v>
      </c>
      <c r="K89" s="17">
        <f>+K49-K88</f>
        <v>-1.2438831850886345E-2</v>
      </c>
      <c r="L89" s="31"/>
    </row>
    <row r="90" spans="1:18" s="76" customFormat="1" ht="14.25" customHeight="1" thickBot="1" x14ac:dyDescent="0.35">
      <c r="A90" s="71"/>
      <c r="B90" s="71"/>
      <c r="C90" s="72"/>
      <c r="D90" s="72"/>
      <c r="E90" s="72"/>
      <c r="F90" s="72"/>
      <c r="G90" s="72"/>
      <c r="H90" s="72"/>
      <c r="I90" s="73"/>
      <c r="J90" s="74"/>
      <c r="K90" s="73"/>
      <c r="L90" s="75"/>
    </row>
    <row r="91" spans="1:18" s="2" customFormat="1" ht="30" customHeight="1" thickBot="1" x14ac:dyDescent="0.35">
      <c r="A91" s="157" t="s">
        <v>95</v>
      </c>
      <c r="B91" s="158"/>
      <c r="C91" s="158"/>
      <c r="D91" s="158"/>
      <c r="E91" s="158"/>
      <c r="F91" s="158"/>
      <c r="G91" s="158"/>
      <c r="H91" s="158"/>
      <c r="I91" s="158"/>
      <c r="J91" s="158"/>
      <c r="K91" s="159"/>
      <c r="L91" s="1"/>
    </row>
    <row r="92" spans="1:18" x14ac:dyDescent="0.3">
      <c r="B92" s="10" t="s">
        <v>96</v>
      </c>
      <c r="C92" s="5" t="s">
        <v>2</v>
      </c>
      <c r="D92" s="27" t="s">
        <v>3</v>
      </c>
      <c r="E92" s="27" t="s">
        <v>4</v>
      </c>
      <c r="F92" s="5" t="s">
        <v>5</v>
      </c>
      <c r="G92" s="5" t="s">
        <v>6</v>
      </c>
      <c r="H92" s="5" t="s">
        <v>7</v>
      </c>
      <c r="I92" s="6" t="s">
        <v>8</v>
      </c>
      <c r="J92" s="5" t="s">
        <v>5</v>
      </c>
      <c r="K92" s="6" t="s">
        <v>8</v>
      </c>
    </row>
    <row r="93" spans="1:18" x14ac:dyDescent="0.3">
      <c r="B93" s="10" t="s">
        <v>97</v>
      </c>
      <c r="C93" s="16"/>
      <c r="D93" s="16"/>
      <c r="E93" s="16"/>
      <c r="F93" s="16"/>
      <c r="G93" s="16"/>
      <c r="H93" s="16"/>
      <c r="I93" s="17"/>
      <c r="J93" s="16"/>
      <c r="K93" s="17"/>
    </row>
    <row r="94" spans="1:18" ht="15" thickBot="1" x14ac:dyDescent="0.35">
      <c r="B94" s="32" t="s">
        <v>98</v>
      </c>
      <c r="C94" s="16">
        <v>9939.9</v>
      </c>
      <c r="D94" s="16">
        <v>0</v>
      </c>
      <c r="E94" s="16">
        <v>0</v>
      </c>
      <c r="F94" s="16">
        <v>8975</v>
      </c>
      <c r="G94" s="16">
        <v>506</v>
      </c>
      <c r="H94" s="16">
        <v>89355.33</v>
      </c>
      <c r="I94" s="17">
        <f>SUM(C94:H94)</f>
        <v>108776.23000000001</v>
      </c>
      <c r="J94" s="18">
        <v>0</v>
      </c>
      <c r="K94" s="17">
        <f>I94+J94</f>
        <v>108776.23000000001</v>
      </c>
    </row>
    <row r="95" spans="1:18" ht="15" thickBot="1" x14ac:dyDescent="0.35">
      <c r="A95" s="21"/>
      <c r="B95" s="21" t="s">
        <v>99</v>
      </c>
      <c r="C95" s="22">
        <f t="shared" ref="C95:K95" si="31">SUM(C94)</f>
        <v>9939.9</v>
      </c>
      <c r="D95" s="22">
        <f t="shared" si="31"/>
        <v>0</v>
      </c>
      <c r="E95" s="22">
        <f t="shared" si="31"/>
        <v>0</v>
      </c>
      <c r="F95" s="22">
        <f t="shared" si="31"/>
        <v>8975</v>
      </c>
      <c r="G95" s="22">
        <f t="shared" si="31"/>
        <v>506</v>
      </c>
      <c r="H95" s="22">
        <f t="shared" si="31"/>
        <v>89355.33</v>
      </c>
      <c r="I95" s="23">
        <f t="shared" si="31"/>
        <v>108776.23000000001</v>
      </c>
      <c r="J95" s="24">
        <f t="shared" si="31"/>
        <v>0</v>
      </c>
      <c r="K95" s="23">
        <f t="shared" si="31"/>
        <v>108776.23000000001</v>
      </c>
    </row>
    <row r="96" spans="1:18" x14ac:dyDescent="0.3">
      <c r="A96" s="9">
        <v>82400</v>
      </c>
      <c r="B96" s="9" t="s">
        <v>100</v>
      </c>
      <c r="C96" s="16">
        <v>109276.79</v>
      </c>
      <c r="D96" s="16">
        <v>67890.84</v>
      </c>
      <c r="E96" s="16">
        <v>22556.9</v>
      </c>
      <c r="F96" s="16">
        <v>22242.81</v>
      </c>
      <c r="G96" s="16">
        <v>0</v>
      </c>
      <c r="H96" s="16">
        <v>117299.64</v>
      </c>
      <c r="I96" s="17">
        <f>SUM(C96:H96)</f>
        <v>339266.98</v>
      </c>
      <c r="J96" s="18">
        <v>0</v>
      </c>
      <c r="K96" s="17">
        <f t="shared" ref="K96:K106" si="32">I96+J96</f>
        <v>339266.98</v>
      </c>
    </row>
    <row r="97" spans="1:11" x14ac:dyDescent="0.3">
      <c r="A97" s="9">
        <v>82750</v>
      </c>
      <c r="B97" s="9" t="s">
        <v>101</v>
      </c>
      <c r="C97" s="16">
        <v>7000</v>
      </c>
      <c r="D97" s="16">
        <v>0</v>
      </c>
      <c r="E97" s="16">
        <v>7986.64</v>
      </c>
      <c r="F97" s="16">
        <v>8196.9599999999991</v>
      </c>
      <c r="G97" s="16">
        <v>15111.5</v>
      </c>
      <c r="H97" s="16">
        <v>274322.69</v>
      </c>
      <c r="I97" s="17">
        <f t="shared" ref="I97:I106" si="33">SUM(C97:H97)</f>
        <v>312617.78999999998</v>
      </c>
      <c r="J97" s="16">
        <v>0</v>
      </c>
      <c r="K97" s="17">
        <f t="shared" si="32"/>
        <v>312617.78999999998</v>
      </c>
    </row>
    <row r="98" spans="1:11" x14ac:dyDescent="0.3">
      <c r="B98" s="9" t="s">
        <v>102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7">
        <f t="shared" si="33"/>
        <v>0</v>
      </c>
      <c r="J98" s="16">
        <v>0</v>
      </c>
      <c r="K98" s="17">
        <f t="shared" si="32"/>
        <v>0</v>
      </c>
    </row>
    <row r="99" spans="1:11" x14ac:dyDescent="0.3">
      <c r="B99" s="19" t="s">
        <v>103</v>
      </c>
      <c r="C99" s="20">
        <v>180000</v>
      </c>
      <c r="D99" s="20">
        <v>53833.333333333336</v>
      </c>
      <c r="E99" s="20">
        <v>38278.666666666664</v>
      </c>
      <c r="F99" s="20">
        <v>19466.666666666668</v>
      </c>
      <c r="G99" s="20">
        <v>41666.666666666664</v>
      </c>
      <c r="H99" s="20">
        <v>0</v>
      </c>
      <c r="I99" s="17">
        <f t="shared" si="33"/>
        <v>333245.33333333337</v>
      </c>
      <c r="J99" s="16">
        <v>0</v>
      </c>
      <c r="K99" s="17">
        <f t="shared" si="32"/>
        <v>333245.33333333337</v>
      </c>
    </row>
    <row r="100" spans="1:11" x14ac:dyDescent="0.3">
      <c r="A100" s="9">
        <v>83700</v>
      </c>
      <c r="B100" s="9" t="s">
        <v>104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7">
        <f t="shared" si="33"/>
        <v>0</v>
      </c>
      <c r="J100" s="16">
        <v>0</v>
      </c>
      <c r="K100" s="17">
        <f t="shared" si="32"/>
        <v>0</v>
      </c>
    </row>
    <row r="101" spans="1:11" x14ac:dyDescent="0.3">
      <c r="B101" s="32" t="s">
        <v>105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7">
        <f t="shared" si="33"/>
        <v>0</v>
      </c>
      <c r="J101" s="16">
        <v>0</v>
      </c>
      <c r="K101" s="17">
        <f t="shared" si="32"/>
        <v>0</v>
      </c>
    </row>
    <row r="102" spans="1:11" x14ac:dyDescent="0.3">
      <c r="A102" s="9">
        <v>88925</v>
      </c>
      <c r="B102" s="9" t="s">
        <v>106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5472.82</v>
      </c>
      <c r="I102" s="17">
        <f t="shared" si="33"/>
        <v>5472.82</v>
      </c>
      <c r="J102" s="16">
        <v>0</v>
      </c>
      <c r="K102" s="17">
        <f t="shared" si="32"/>
        <v>5472.82</v>
      </c>
    </row>
    <row r="103" spans="1:11" x14ac:dyDescent="0.3">
      <c r="A103" s="9">
        <v>88975</v>
      </c>
      <c r="B103" s="9" t="s">
        <v>107</v>
      </c>
      <c r="C103" s="16">
        <v>2729.4</v>
      </c>
      <c r="D103" s="16">
        <f>4209.4+80</f>
        <v>4289.3999999999996</v>
      </c>
      <c r="E103" s="16">
        <v>2209.4</v>
      </c>
      <c r="F103" s="16">
        <v>2209.4</v>
      </c>
      <c r="G103" s="16">
        <v>0</v>
      </c>
      <c r="H103" s="16">
        <v>2729.4</v>
      </c>
      <c r="I103" s="17">
        <f t="shared" si="33"/>
        <v>14166.999999999998</v>
      </c>
      <c r="J103" s="16">
        <v>0</v>
      </c>
      <c r="K103" s="17">
        <f t="shared" si="32"/>
        <v>14166.999999999998</v>
      </c>
    </row>
    <row r="104" spans="1:11" x14ac:dyDescent="0.3">
      <c r="A104" s="9">
        <v>89200</v>
      </c>
      <c r="B104" s="9" t="s">
        <v>108</v>
      </c>
      <c r="C104" s="16">
        <v>420.54</v>
      </c>
      <c r="D104" s="16">
        <v>558.20000000000005</v>
      </c>
      <c r="E104" s="16">
        <v>349.17</v>
      </c>
      <c r="F104" s="16">
        <v>411.99</v>
      </c>
      <c r="G104" s="16">
        <v>270.08</v>
      </c>
      <c r="H104" s="16">
        <v>504.98</v>
      </c>
      <c r="I104" s="17">
        <f t="shared" si="33"/>
        <v>2514.96</v>
      </c>
      <c r="J104" s="16">
        <v>0</v>
      </c>
      <c r="K104" s="17">
        <f t="shared" si="32"/>
        <v>2514.96</v>
      </c>
    </row>
    <row r="105" spans="1:11" x14ac:dyDescent="0.3">
      <c r="A105" s="9">
        <v>89300</v>
      </c>
      <c r="B105" s="9" t="s">
        <v>109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7">
        <f t="shared" si="33"/>
        <v>0</v>
      </c>
      <c r="J105" s="16">
        <v>0</v>
      </c>
      <c r="K105" s="17">
        <f t="shared" si="32"/>
        <v>0</v>
      </c>
    </row>
    <row r="106" spans="1:11" ht="15" thickBot="1" x14ac:dyDescent="0.35">
      <c r="A106" s="9">
        <v>90200</v>
      </c>
      <c r="B106" s="9" t="s">
        <v>110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f>250+161.65</f>
        <v>411.65</v>
      </c>
      <c r="I106" s="17">
        <f t="shared" si="33"/>
        <v>411.65</v>
      </c>
      <c r="J106" s="16">
        <v>0</v>
      </c>
      <c r="K106" s="17">
        <f t="shared" si="32"/>
        <v>411.65</v>
      </c>
    </row>
    <row r="107" spans="1:11" ht="15" thickBot="1" x14ac:dyDescent="0.35">
      <c r="A107" s="21">
        <v>94300</v>
      </c>
      <c r="B107" s="21" t="s">
        <v>111</v>
      </c>
      <c r="C107" s="22">
        <f t="shared" ref="C107:K107" si="34">SUM(C96:C106)</f>
        <v>299426.73</v>
      </c>
      <c r="D107" s="22">
        <f t="shared" si="34"/>
        <v>126571.77333333333</v>
      </c>
      <c r="E107" s="22">
        <f>SUM(E96:E106)</f>
        <v>71380.776666666658</v>
      </c>
      <c r="F107" s="22">
        <f t="shared" si="34"/>
        <v>52527.826666666668</v>
      </c>
      <c r="G107" s="22">
        <f t="shared" si="34"/>
        <v>57048.246666666666</v>
      </c>
      <c r="H107" s="22">
        <f t="shared" si="34"/>
        <v>400741.18000000005</v>
      </c>
      <c r="I107" s="23">
        <f t="shared" si="34"/>
        <v>1007696.5333333333</v>
      </c>
      <c r="J107" s="24">
        <f t="shared" si="34"/>
        <v>0</v>
      </c>
      <c r="K107" s="23">
        <f t="shared" si="34"/>
        <v>1007696.5333333333</v>
      </c>
    </row>
    <row r="108" spans="1:11" x14ac:dyDescent="0.3">
      <c r="A108" s="9">
        <v>108400</v>
      </c>
      <c r="B108" s="9" t="s">
        <v>112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375</v>
      </c>
      <c r="I108" s="17">
        <f>SUM(C108:H108)</f>
        <v>375</v>
      </c>
      <c r="J108" s="18">
        <v>0</v>
      </c>
      <c r="K108" s="17">
        <f>I108+J108</f>
        <v>375</v>
      </c>
    </row>
    <row r="109" spans="1:11" ht="15" thickBot="1" x14ac:dyDescent="0.35">
      <c r="A109" s="9">
        <v>108805</v>
      </c>
      <c r="B109" s="19" t="s">
        <v>113</v>
      </c>
      <c r="C109" s="20">
        <v>105770.65999999999</v>
      </c>
      <c r="D109" s="20">
        <v>92347.18</v>
      </c>
      <c r="E109" s="20">
        <v>51228.726666666662</v>
      </c>
      <c r="F109" s="20">
        <v>48523.393333333333</v>
      </c>
      <c r="G109" s="20">
        <v>55111.593333333331</v>
      </c>
      <c r="H109" s="20">
        <v>94038.237833333362</v>
      </c>
      <c r="I109" s="17">
        <f>SUM(C109:H109)</f>
        <v>447019.79116666666</v>
      </c>
      <c r="J109" s="18">
        <v>0</v>
      </c>
      <c r="K109" s="17">
        <f>I109+J109</f>
        <v>447019.79116666666</v>
      </c>
    </row>
    <row r="110" spans="1:11" ht="15" thickBot="1" x14ac:dyDescent="0.35">
      <c r="A110" s="21">
        <v>116200</v>
      </c>
      <c r="B110" s="21" t="s">
        <v>114</v>
      </c>
      <c r="C110" s="22">
        <f t="shared" ref="C110:K110" si="35">SUM(C108:C109)</f>
        <v>105770.65999999999</v>
      </c>
      <c r="D110" s="22">
        <f t="shared" si="35"/>
        <v>92347.18</v>
      </c>
      <c r="E110" s="22">
        <f>SUM(E108:E109)</f>
        <v>51228.726666666662</v>
      </c>
      <c r="F110" s="22">
        <f t="shared" si="35"/>
        <v>48523.393333333333</v>
      </c>
      <c r="G110" s="22">
        <f t="shared" si="35"/>
        <v>55111.593333333331</v>
      </c>
      <c r="H110" s="22">
        <f t="shared" si="35"/>
        <v>94413.237833333362</v>
      </c>
      <c r="I110" s="23">
        <f>SUM(I108:I109)</f>
        <v>447394.79116666666</v>
      </c>
      <c r="J110" s="24">
        <f>SUM(J108:J109)</f>
        <v>0</v>
      </c>
      <c r="K110" s="23">
        <f t="shared" si="35"/>
        <v>447394.79116666666</v>
      </c>
    </row>
    <row r="111" spans="1:11" x14ac:dyDescent="0.3">
      <c r="A111" s="9">
        <v>119700</v>
      </c>
      <c r="B111" s="9" t="s">
        <v>115</v>
      </c>
      <c r="C111" s="16">
        <v>309.87</v>
      </c>
      <c r="D111" s="16">
        <v>619.79999999999995</v>
      </c>
      <c r="E111" s="16">
        <v>309.87</v>
      </c>
      <c r="F111" s="16">
        <f t="shared" ref="F111:G111" si="36">309.87/12*2</f>
        <v>51.645000000000003</v>
      </c>
      <c r="G111" s="16">
        <f t="shared" si="36"/>
        <v>51.645000000000003</v>
      </c>
      <c r="H111" s="16">
        <v>309.87</v>
      </c>
      <c r="I111" s="17">
        <f>SUM(C111:H111)</f>
        <v>1652.6999999999998</v>
      </c>
      <c r="J111" s="18">
        <v>0</v>
      </c>
      <c r="K111" s="17">
        <f t="shared" ref="K111:K117" si="37">I111+J111</f>
        <v>1652.6999999999998</v>
      </c>
    </row>
    <row r="112" spans="1:11" x14ac:dyDescent="0.3">
      <c r="A112" s="9">
        <v>120610</v>
      </c>
      <c r="B112" s="9" t="s">
        <v>116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156</v>
      </c>
      <c r="I112" s="17">
        <f t="shared" ref="I112:I117" si="38">SUM(C112:H112)</f>
        <v>156</v>
      </c>
      <c r="J112" s="18">
        <v>0</v>
      </c>
      <c r="K112" s="17">
        <f t="shared" si="37"/>
        <v>156</v>
      </c>
    </row>
    <row r="113" spans="1:13" x14ac:dyDescent="0.3">
      <c r="A113" s="9">
        <v>122110</v>
      </c>
      <c r="B113" s="9" t="s">
        <v>117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7">
        <f t="shared" si="38"/>
        <v>0</v>
      </c>
      <c r="J113" s="18">
        <v>0</v>
      </c>
      <c r="K113" s="17">
        <f t="shared" si="37"/>
        <v>0</v>
      </c>
    </row>
    <row r="114" spans="1:13" x14ac:dyDescent="0.3">
      <c r="A114" s="9">
        <v>122120</v>
      </c>
      <c r="B114" s="9" t="s">
        <v>118</v>
      </c>
      <c r="C114" s="16">
        <v>0</v>
      </c>
      <c r="D114" s="16">
        <v>0</v>
      </c>
      <c r="E114" s="16">
        <v>0</v>
      </c>
      <c r="F114" s="16">
        <v>300</v>
      </c>
      <c r="G114" s="16">
        <v>0</v>
      </c>
      <c r="H114" s="16">
        <v>0</v>
      </c>
      <c r="I114" s="17">
        <f t="shared" si="38"/>
        <v>300</v>
      </c>
      <c r="J114" s="18">
        <v>0</v>
      </c>
      <c r="K114" s="17">
        <f t="shared" si="37"/>
        <v>300</v>
      </c>
    </row>
    <row r="115" spans="1:13" x14ac:dyDescent="0.3">
      <c r="A115" s="9">
        <v>122200</v>
      </c>
      <c r="B115" s="9" t="s">
        <v>119</v>
      </c>
      <c r="C115" s="16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7">
        <f t="shared" si="38"/>
        <v>0</v>
      </c>
      <c r="J115" s="18">
        <v>0</v>
      </c>
      <c r="K115" s="17">
        <f t="shared" si="37"/>
        <v>0</v>
      </c>
    </row>
    <row r="116" spans="1:13" x14ac:dyDescent="0.3">
      <c r="A116" s="9">
        <v>123400</v>
      </c>
      <c r="B116" s="9" t="s">
        <v>120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7">
        <f t="shared" si="38"/>
        <v>0</v>
      </c>
      <c r="J116" s="18">
        <v>0</v>
      </c>
      <c r="K116" s="17">
        <f t="shared" si="37"/>
        <v>0</v>
      </c>
    </row>
    <row r="117" spans="1:13" ht="15" thickBot="1" x14ac:dyDescent="0.35">
      <c r="A117" s="9">
        <v>123700</v>
      </c>
      <c r="B117" s="9" t="s">
        <v>121</v>
      </c>
      <c r="C117" s="16">
        <v>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7">
        <f t="shared" si="38"/>
        <v>0</v>
      </c>
      <c r="J117" s="18">
        <v>0</v>
      </c>
      <c r="K117" s="17">
        <f t="shared" si="37"/>
        <v>0</v>
      </c>
    </row>
    <row r="118" spans="1:13" ht="15" thickBot="1" x14ac:dyDescent="0.35">
      <c r="A118" s="21">
        <v>123900</v>
      </c>
      <c r="B118" s="21" t="s">
        <v>122</v>
      </c>
      <c r="C118" s="77">
        <f>SUM(C111:C117)</f>
        <v>309.87</v>
      </c>
      <c r="D118" s="77">
        <f t="shared" ref="D118:K118" si="39">SUM(D111:D117)</f>
        <v>619.79999999999995</v>
      </c>
      <c r="E118" s="22">
        <f t="shared" si="39"/>
        <v>309.87</v>
      </c>
      <c r="F118" s="22">
        <f t="shared" si="39"/>
        <v>351.64499999999998</v>
      </c>
      <c r="G118" s="22">
        <f>SUM(G111:G117)</f>
        <v>51.645000000000003</v>
      </c>
      <c r="H118" s="22">
        <f>SUM(H111:H117)</f>
        <v>465.87</v>
      </c>
      <c r="I118" s="23">
        <f>SUM(I111:I117)</f>
        <v>2108.6999999999998</v>
      </c>
      <c r="J118" s="24">
        <f>SUM(J111:J117)</f>
        <v>0</v>
      </c>
      <c r="K118" s="23">
        <f t="shared" si="39"/>
        <v>2108.6999999999998</v>
      </c>
    </row>
    <row r="119" spans="1:13" x14ac:dyDescent="0.3">
      <c r="A119" s="4"/>
      <c r="B119" s="9" t="s">
        <v>123</v>
      </c>
      <c r="C119" s="16">
        <v>16296.54</v>
      </c>
      <c r="D119" s="16">
        <v>79.959999999999994</v>
      </c>
      <c r="E119" s="16">
        <v>0</v>
      </c>
      <c r="F119" s="16">
        <v>0</v>
      </c>
      <c r="G119" s="16">
        <v>0</v>
      </c>
      <c r="H119" s="16">
        <v>0</v>
      </c>
      <c r="I119" s="78">
        <f>SUM(C119:H119)</f>
        <v>16376.5</v>
      </c>
      <c r="J119" s="30">
        <v>0</v>
      </c>
      <c r="K119" s="78">
        <f>+I119+J119</f>
        <v>16376.5</v>
      </c>
    </row>
    <row r="120" spans="1:13" s="76" customFormat="1" ht="15" thickBot="1" x14ac:dyDescent="0.35">
      <c r="A120" s="9">
        <v>124300</v>
      </c>
      <c r="B120" s="19" t="s">
        <v>124</v>
      </c>
      <c r="C120" s="20"/>
      <c r="D120" s="20">
        <v>36620.1</v>
      </c>
      <c r="E120" s="20">
        <v>38748.449999999997</v>
      </c>
      <c r="F120" s="20">
        <v>26413.98</v>
      </c>
      <c r="G120" s="20">
        <v>18339.45</v>
      </c>
      <c r="H120" s="20">
        <v>0</v>
      </c>
      <c r="I120" s="17">
        <f>SUM(C120:H120)</f>
        <v>120121.97999999998</v>
      </c>
      <c r="J120" s="18">
        <v>0</v>
      </c>
      <c r="K120" s="17">
        <f>I120+J120</f>
        <v>120121.97999999998</v>
      </c>
      <c r="L120" s="75"/>
      <c r="M120" s="79"/>
    </row>
    <row r="121" spans="1:13" ht="15" thickBot="1" x14ac:dyDescent="0.35">
      <c r="A121" s="21">
        <v>127600</v>
      </c>
      <c r="B121" s="21" t="s">
        <v>125</v>
      </c>
      <c r="C121" s="22">
        <f>SUM(C119:C120)</f>
        <v>16296.54</v>
      </c>
      <c r="D121" s="22">
        <f t="shared" ref="D121:H121" si="40">SUM(D119:D120)</f>
        <v>36700.06</v>
      </c>
      <c r="E121" s="22">
        <f t="shared" si="40"/>
        <v>38748.449999999997</v>
      </c>
      <c r="F121" s="22">
        <f t="shared" si="40"/>
        <v>26413.98</v>
      </c>
      <c r="G121" s="22">
        <f t="shared" si="40"/>
        <v>18339.45</v>
      </c>
      <c r="H121" s="22">
        <f t="shared" si="40"/>
        <v>0</v>
      </c>
      <c r="I121" s="23">
        <f>SUM(I120)</f>
        <v>120121.97999999998</v>
      </c>
      <c r="J121" s="24">
        <f>SUM(J120)</f>
        <v>0</v>
      </c>
      <c r="K121" s="23">
        <f t="shared" ref="K121" si="41">SUM(K120)</f>
        <v>120121.97999999998</v>
      </c>
    </row>
    <row r="122" spans="1:13" x14ac:dyDescent="0.3">
      <c r="A122" s="43"/>
      <c r="B122" s="43" t="s">
        <v>126</v>
      </c>
      <c r="C122" s="44">
        <f t="shared" ref="C122:H122" si="42">C121+C118+C110+C107+C95</f>
        <v>431743.7</v>
      </c>
      <c r="D122" s="44">
        <f t="shared" si="42"/>
        <v>256238.81333333332</v>
      </c>
      <c r="E122" s="44">
        <f t="shared" si="42"/>
        <v>161667.8233333333</v>
      </c>
      <c r="F122" s="44">
        <f t="shared" si="42"/>
        <v>136791.845</v>
      </c>
      <c r="G122" s="44">
        <f t="shared" si="42"/>
        <v>131056.935</v>
      </c>
      <c r="H122" s="44">
        <f t="shared" si="42"/>
        <v>584975.61783333344</v>
      </c>
      <c r="I122" s="44">
        <f>SUM(C122:H122)</f>
        <v>1702474.7345000003</v>
      </c>
      <c r="J122" s="44">
        <f>J121+J118+J110+J107+J95</f>
        <v>0</v>
      </c>
      <c r="K122" s="44">
        <f>SUM(C122:H122)</f>
        <v>1702474.7345000003</v>
      </c>
    </row>
    <row r="123" spans="1:13" x14ac:dyDescent="0.3">
      <c r="B123" s="10" t="s">
        <v>127</v>
      </c>
      <c r="C123" s="11"/>
      <c r="D123" s="11"/>
      <c r="E123" s="16"/>
      <c r="F123" s="16"/>
      <c r="G123" s="16"/>
      <c r="H123" s="16"/>
      <c r="I123" s="17"/>
      <c r="J123" s="18"/>
      <c r="K123" s="17"/>
    </row>
    <row r="124" spans="1:13" x14ac:dyDescent="0.3">
      <c r="A124" s="9">
        <v>136400</v>
      </c>
      <c r="B124" s="9" t="s">
        <v>128</v>
      </c>
      <c r="C124" s="16">
        <v>438569.36</v>
      </c>
      <c r="D124" s="16">
        <v>196395.40666666665</v>
      </c>
      <c r="E124" s="16">
        <v>115860.18666666668</v>
      </c>
      <c r="F124" s="16">
        <v>113279.52</v>
      </c>
      <c r="G124" s="16">
        <v>80197.039999999994</v>
      </c>
      <c r="H124" s="16">
        <v>315520</v>
      </c>
      <c r="I124" s="17">
        <f>SUM(C124:H124)</f>
        <v>1259821.5133333332</v>
      </c>
      <c r="J124" s="16">
        <v>0</v>
      </c>
      <c r="K124" s="17">
        <f>I124+J124</f>
        <v>1259821.5133333332</v>
      </c>
    </row>
    <row r="125" spans="1:13" s="56" customFormat="1" x14ac:dyDescent="0.3">
      <c r="A125" s="53"/>
      <c r="B125" s="80" t="s">
        <v>129</v>
      </c>
      <c r="C125" s="81">
        <v>0</v>
      </c>
      <c r="D125" s="81">
        <v>0</v>
      </c>
      <c r="E125" s="81">
        <v>0</v>
      </c>
      <c r="F125" s="81">
        <v>0</v>
      </c>
      <c r="G125" s="81">
        <v>0</v>
      </c>
      <c r="H125" s="81">
        <v>0</v>
      </c>
      <c r="I125" s="17">
        <f t="shared" ref="I125:I128" si="43">SUM(C125:H125)</f>
        <v>0</v>
      </c>
      <c r="J125" s="16">
        <v>0</v>
      </c>
      <c r="K125" s="17">
        <f>I125+J125</f>
        <v>0</v>
      </c>
      <c r="L125" s="54"/>
    </row>
    <row r="126" spans="1:13" x14ac:dyDescent="0.3">
      <c r="B126" s="9" t="s">
        <v>130</v>
      </c>
      <c r="C126" s="16">
        <v>0</v>
      </c>
      <c r="D126" s="16">
        <v>0</v>
      </c>
      <c r="E126" s="16">
        <v>0</v>
      </c>
      <c r="F126" s="16">
        <v>0</v>
      </c>
      <c r="G126" s="16">
        <v>0</v>
      </c>
      <c r="H126" s="16">
        <v>343310.38</v>
      </c>
      <c r="I126" s="17">
        <f t="shared" si="43"/>
        <v>343310.38</v>
      </c>
      <c r="J126" s="16">
        <v>0</v>
      </c>
      <c r="K126" s="17">
        <f>I126+J126</f>
        <v>343310.38</v>
      </c>
      <c r="L126" s="31"/>
    </row>
    <row r="127" spans="1:13" x14ac:dyDescent="0.3">
      <c r="A127" s="9">
        <v>141725</v>
      </c>
      <c r="B127" s="9" t="s">
        <v>131</v>
      </c>
      <c r="C127" s="16">
        <v>0.19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7">
        <f t="shared" si="43"/>
        <v>0.19</v>
      </c>
      <c r="J127" s="16">
        <v>0</v>
      </c>
      <c r="K127" s="17">
        <f>I127+J127</f>
        <v>0.19</v>
      </c>
    </row>
    <row r="128" spans="1:13" ht="15" thickBot="1" x14ac:dyDescent="0.35">
      <c r="A128" s="32">
        <v>141740</v>
      </c>
      <c r="B128" s="32" t="s">
        <v>132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1810.96</v>
      </c>
      <c r="I128" s="17">
        <f t="shared" si="43"/>
        <v>1810.96</v>
      </c>
      <c r="J128" s="16">
        <v>0</v>
      </c>
      <c r="K128" s="17">
        <f>I128+J128</f>
        <v>1810.96</v>
      </c>
    </row>
    <row r="129" spans="1:16378" ht="15" thickBot="1" x14ac:dyDescent="0.35">
      <c r="A129" s="21">
        <v>141900</v>
      </c>
      <c r="B129" s="21" t="s">
        <v>133</v>
      </c>
      <c r="C129" s="24">
        <f>SUM(C124:C128)</f>
        <v>438569.55</v>
      </c>
      <c r="D129" s="24">
        <f>SUM(D124:D128)</f>
        <v>196395.40666666665</v>
      </c>
      <c r="E129" s="24">
        <f t="shared" ref="E129:K129" si="44">SUM(E124:E128)</f>
        <v>115860.18666666668</v>
      </c>
      <c r="F129" s="24">
        <f t="shared" si="44"/>
        <v>113279.52</v>
      </c>
      <c r="G129" s="24">
        <f t="shared" si="44"/>
        <v>80197.039999999994</v>
      </c>
      <c r="H129" s="24">
        <f t="shared" si="44"/>
        <v>660641.34</v>
      </c>
      <c r="I129" s="23">
        <f>SUM(I124:I128)</f>
        <v>1604943.043333333</v>
      </c>
      <c r="J129" s="24">
        <f>SUM(J124:J128)</f>
        <v>0</v>
      </c>
      <c r="K129" s="23">
        <f t="shared" si="44"/>
        <v>1604943.043333333</v>
      </c>
    </row>
    <row r="130" spans="1:16378" x14ac:dyDescent="0.3">
      <c r="A130" s="43">
        <v>153990</v>
      </c>
      <c r="B130" s="43" t="s">
        <v>134</v>
      </c>
      <c r="C130" s="44">
        <f>+C129</f>
        <v>438569.55</v>
      </c>
      <c r="D130" s="44">
        <f t="shared" ref="D130:I130" si="45">+D129</f>
        <v>196395.40666666665</v>
      </c>
      <c r="E130" s="44">
        <f t="shared" si="45"/>
        <v>115860.18666666668</v>
      </c>
      <c r="F130" s="44">
        <f t="shared" si="45"/>
        <v>113279.52</v>
      </c>
      <c r="G130" s="44">
        <f t="shared" si="45"/>
        <v>80197.039999999994</v>
      </c>
      <c r="H130" s="44">
        <f>+H129</f>
        <v>660641.34</v>
      </c>
      <c r="I130" s="44">
        <f t="shared" si="45"/>
        <v>1604943.043333333</v>
      </c>
      <c r="J130" s="44">
        <f t="shared" ref="J130" si="46">J129+J124</f>
        <v>0</v>
      </c>
      <c r="K130" s="44">
        <f>+K129</f>
        <v>1604943.043333333</v>
      </c>
    </row>
    <row r="131" spans="1:16378" x14ac:dyDescent="0.3">
      <c r="A131" s="9">
        <v>149200</v>
      </c>
      <c r="B131" s="19" t="s">
        <v>135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17">
        <f>SUM(C131:H131)</f>
        <v>0</v>
      </c>
      <c r="J131" s="16">
        <v>0</v>
      </c>
      <c r="K131" s="17">
        <f>I131+J131</f>
        <v>0</v>
      </c>
      <c r="L131" s="31"/>
    </row>
    <row r="132" spans="1:16378" x14ac:dyDescent="0.3">
      <c r="A132" s="9">
        <v>149600</v>
      </c>
      <c r="B132" s="9" t="s">
        <v>136</v>
      </c>
      <c r="C132" s="18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7">
        <f t="shared" ref="I132:I133" si="47">SUM(C132:H132)</f>
        <v>0</v>
      </c>
      <c r="J132" s="18">
        <v>0</v>
      </c>
      <c r="K132" s="17">
        <f t="shared" ref="K132:K133" si="48">I132+J132</f>
        <v>0</v>
      </c>
    </row>
    <row r="133" spans="1:16378" ht="15" thickBot="1" x14ac:dyDescent="0.35">
      <c r="A133" s="9">
        <v>149900</v>
      </c>
      <c r="B133" s="9" t="s">
        <v>137</v>
      </c>
      <c r="C133" s="18">
        <v>0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7">
        <f t="shared" si="47"/>
        <v>0</v>
      </c>
      <c r="J133" s="18">
        <v>0</v>
      </c>
      <c r="K133" s="17">
        <f t="shared" si="48"/>
        <v>0</v>
      </c>
    </row>
    <row r="134" spans="1:16378" ht="15" thickBot="1" x14ac:dyDescent="0.35">
      <c r="A134" s="21">
        <v>151500</v>
      </c>
      <c r="B134" s="21" t="s">
        <v>138</v>
      </c>
      <c r="C134" s="24">
        <f t="shared" ref="C134:K134" si="49">SUM(C131:C133)</f>
        <v>0</v>
      </c>
      <c r="D134" s="22">
        <f t="shared" si="49"/>
        <v>0</v>
      </c>
      <c r="E134" s="22">
        <f t="shared" si="49"/>
        <v>0</v>
      </c>
      <c r="F134" s="22">
        <f t="shared" si="49"/>
        <v>0</v>
      </c>
      <c r="G134" s="22">
        <f t="shared" si="49"/>
        <v>0</v>
      </c>
      <c r="H134" s="22">
        <f t="shared" si="49"/>
        <v>0</v>
      </c>
      <c r="I134" s="23">
        <f t="shared" si="49"/>
        <v>0</v>
      </c>
      <c r="J134" s="24">
        <f t="shared" si="49"/>
        <v>0</v>
      </c>
      <c r="K134" s="23">
        <f t="shared" si="49"/>
        <v>0</v>
      </c>
    </row>
    <row r="135" spans="1:16378" ht="15" thickBot="1" x14ac:dyDescent="0.35">
      <c r="A135" s="43">
        <v>153990</v>
      </c>
      <c r="B135" s="43" t="s">
        <v>139</v>
      </c>
      <c r="C135" s="44">
        <f>+C134</f>
        <v>0</v>
      </c>
      <c r="D135" s="44">
        <f t="shared" ref="D135:I135" si="50">+D134</f>
        <v>0</v>
      </c>
      <c r="E135" s="44">
        <f t="shared" si="50"/>
        <v>0</v>
      </c>
      <c r="F135" s="44">
        <f t="shared" si="50"/>
        <v>0</v>
      </c>
      <c r="G135" s="44">
        <f t="shared" si="50"/>
        <v>0</v>
      </c>
      <c r="H135" s="44">
        <f>+H134</f>
        <v>0</v>
      </c>
      <c r="I135" s="44">
        <f t="shared" si="50"/>
        <v>0</v>
      </c>
      <c r="J135" s="44">
        <f t="shared" ref="J135" si="51">J134+J129</f>
        <v>0</v>
      </c>
      <c r="K135" s="44">
        <f>+K134</f>
        <v>0</v>
      </c>
    </row>
    <row r="136" spans="1:16378" ht="15" thickBot="1" x14ac:dyDescent="0.35">
      <c r="A136" s="21"/>
      <c r="B136" s="21" t="s">
        <v>140</v>
      </c>
      <c r="C136" s="82">
        <f>+C130-C122+C135</f>
        <v>6825.8499999999767</v>
      </c>
      <c r="D136" s="82">
        <f t="shared" ref="D136:I136" si="52">+D130-D122+D135</f>
        <v>-59843.406666666677</v>
      </c>
      <c r="E136" s="82">
        <f t="shared" si="52"/>
        <v>-45807.636666666629</v>
      </c>
      <c r="F136" s="82">
        <f t="shared" si="52"/>
        <v>-23512.324999999997</v>
      </c>
      <c r="G136" s="82">
        <f t="shared" si="52"/>
        <v>-50859.895000000004</v>
      </c>
      <c r="H136" s="82">
        <f t="shared" si="52"/>
        <v>75665.722166666528</v>
      </c>
      <c r="I136" s="82">
        <f t="shared" si="52"/>
        <v>-97531.691166667268</v>
      </c>
      <c r="J136" s="24">
        <f t="shared" ref="J136" si="53">-J122+J135</f>
        <v>0</v>
      </c>
      <c r="K136" s="23">
        <f>I136+J136</f>
        <v>-97531.691166667268</v>
      </c>
      <c r="L136" s="83"/>
      <c r="M136" s="18"/>
      <c r="N136" s="18"/>
      <c r="R136" s="18"/>
      <c r="S136" s="18"/>
      <c r="T136" s="9"/>
      <c r="U136" s="18"/>
      <c r="V136" s="18"/>
      <c r="W136" s="18"/>
      <c r="X136" s="18"/>
      <c r="Y136" s="18"/>
      <c r="Z136" s="17"/>
      <c r="AA136" s="9"/>
      <c r="AB136" s="9"/>
      <c r="AC136" s="18"/>
      <c r="AD136" s="18"/>
      <c r="AE136" s="18"/>
      <c r="AF136" s="18"/>
      <c r="AG136" s="18"/>
      <c r="AH136" s="17"/>
      <c r="AI136" s="9"/>
      <c r="AJ136" s="9"/>
      <c r="AK136" s="18"/>
      <c r="AL136" s="18"/>
      <c r="AM136" s="18"/>
      <c r="AN136" s="18"/>
      <c r="AO136" s="18"/>
      <c r="AP136" s="17"/>
      <c r="AQ136" s="9"/>
      <c r="AR136" s="9"/>
      <c r="AS136" s="18"/>
      <c r="AT136" s="18"/>
      <c r="AU136" s="18"/>
      <c r="AV136" s="18"/>
      <c r="AW136" s="18"/>
      <c r="AX136" s="17"/>
      <c r="AY136" s="9"/>
      <c r="AZ136" s="9"/>
      <c r="BA136" s="18"/>
      <c r="BB136" s="18"/>
      <c r="BC136" s="18"/>
      <c r="BD136" s="18"/>
      <c r="BE136" s="18"/>
      <c r="BF136" s="17"/>
      <c r="BG136" s="9"/>
      <c r="BH136" s="9"/>
      <c r="BI136" s="18"/>
      <c r="BJ136" s="18"/>
      <c r="BK136" s="18"/>
      <c r="BL136" s="18"/>
      <c r="BM136" s="18"/>
      <c r="BN136" s="17"/>
      <c r="BO136" s="9"/>
      <c r="BP136" s="9"/>
      <c r="BQ136" s="18"/>
      <c r="BR136" s="18"/>
      <c r="BS136" s="18"/>
      <c r="BT136" s="18"/>
      <c r="BU136" s="18"/>
      <c r="BV136" s="17"/>
      <c r="BW136" s="9"/>
      <c r="BX136" s="9"/>
      <c r="BY136" s="18"/>
      <c r="BZ136" s="18"/>
      <c r="CA136" s="18"/>
      <c r="CB136" s="18"/>
      <c r="CC136" s="18"/>
      <c r="CD136" s="17"/>
      <c r="CE136" s="9"/>
      <c r="CF136" s="9"/>
      <c r="CG136" s="18"/>
      <c r="CH136" s="18"/>
      <c r="CI136" s="18"/>
      <c r="CJ136" s="18"/>
      <c r="CK136" s="18"/>
      <c r="CL136" s="17"/>
      <c r="CM136" s="9"/>
      <c r="CN136" s="9"/>
      <c r="CO136" s="18"/>
      <c r="CP136" s="18"/>
      <c r="CQ136" s="18"/>
      <c r="CR136" s="18"/>
      <c r="CS136" s="18"/>
      <c r="CT136" s="17"/>
      <c r="CU136" s="9"/>
      <c r="CV136" s="9"/>
      <c r="CW136" s="18"/>
      <c r="CX136" s="18"/>
      <c r="CY136" s="18"/>
      <c r="CZ136" s="18"/>
      <c r="DA136" s="18"/>
      <c r="DB136" s="17"/>
      <c r="DC136" s="9"/>
      <c r="DD136" s="9"/>
      <c r="DE136" s="18"/>
      <c r="DF136" s="18"/>
      <c r="DG136" s="18"/>
      <c r="DH136" s="18"/>
      <c r="DI136" s="18"/>
      <c r="DJ136" s="17"/>
      <c r="DK136" s="9"/>
      <c r="DL136" s="9"/>
      <c r="DM136" s="18"/>
      <c r="DN136" s="18"/>
      <c r="DO136" s="18"/>
      <c r="DP136" s="18"/>
      <c r="DQ136" s="18"/>
      <c r="DR136" s="17"/>
      <c r="DS136" s="9"/>
      <c r="DT136" s="9"/>
      <c r="DU136" s="18"/>
      <c r="DV136" s="18"/>
      <c r="DW136" s="18"/>
      <c r="DX136" s="18"/>
      <c r="DY136" s="18"/>
      <c r="DZ136" s="17"/>
      <c r="EA136" s="9"/>
      <c r="EB136" s="9"/>
      <c r="EC136" s="18"/>
      <c r="ED136" s="18"/>
      <c r="EE136" s="18"/>
      <c r="EF136" s="18"/>
      <c r="EG136" s="18"/>
      <c r="EH136" s="17"/>
      <c r="EI136" s="9"/>
      <c r="EJ136" s="9"/>
      <c r="EK136" s="18"/>
      <c r="EL136" s="18"/>
      <c r="EM136" s="18"/>
      <c r="EN136" s="18"/>
      <c r="EO136" s="18"/>
      <c r="EP136" s="17"/>
      <c r="EQ136" s="9"/>
      <c r="ER136" s="9"/>
      <c r="ES136" s="18"/>
      <c r="ET136" s="18"/>
      <c r="EU136" s="18"/>
      <c r="EV136" s="18"/>
      <c r="EW136" s="18"/>
      <c r="EX136" s="17"/>
      <c r="EY136" s="9"/>
      <c r="EZ136" s="9"/>
      <c r="FA136" s="18"/>
      <c r="FB136" s="18"/>
      <c r="FC136" s="18"/>
      <c r="FD136" s="18"/>
      <c r="FE136" s="18"/>
      <c r="FF136" s="17"/>
      <c r="FG136" s="9"/>
      <c r="FH136" s="9"/>
      <c r="FI136" s="18"/>
      <c r="FJ136" s="18"/>
      <c r="FK136" s="18"/>
      <c r="FL136" s="18"/>
      <c r="FM136" s="18"/>
      <c r="FN136" s="17"/>
      <c r="FO136" s="9"/>
      <c r="FP136" s="9"/>
      <c r="FQ136" s="18"/>
      <c r="FR136" s="18"/>
      <c r="FS136" s="18"/>
      <c r="FT136" s="18"/>
      <c r="FU136" s="18"/>
      <c r="FV136" s="17"/>
      <c r="FW136" s="9"/>
      <c r="FX136" s="9"/>
      <c r="FY136" s="18"/>
      <c r="FZ136" s="18"/>
      <c r="GA136" s="18"/>
      <c r="GB136" s="18"/>
      <c r="GC136" s="18"/>
      <c r="GD136" s="17"/>
      <c r="GE136" s="9"/>
      <c r="GF136" s="9"/>
      <c r="GG136" s="18"/>
      <c r="GH136" s="18"/>
      <c r="GI136" s="18"/>
      <c r="GJ136" s="18"/>
      <c r="GK136" s="18"/>
      <c r="GL136" s="17"/>
      <c r="GM136" s="9"/>
      <c r="GN136" s="9"/>
      <c r="GO136" s="18"/>
      <c r="GP136" s="18"/>
      <c r="GQ136" s="18"/>
      <c r="GR136" s="18"/>
      <c r="GS136" s="18"/>
      <c r="GT136" s="17"/>
      <c r="GU136" s="9"/>
      <c r="GV136" s="9"/>
      <c r="GW136" s="18"/>
      <c r="GX136" s="18"/>
      <c r="GY136" s="18"/>
      <c r="GZ136" s="18"/>
      <c r="HA136" s="18"/>
      <c r="HB136" s="17"/>
      <c r="HC136" s="9"/>
      <c r="HD136" s="9"/>
      <c r="HE136" s="18"/>
      <c r="HF136" s="18"/>
      <c r="HG136" s="18"/>
      <c r="HH136" s="18"/>
      <c r="HI136" s="18"/>
      <c r="HJ136" s="17"/>
      <c r="HK136" s="9"/>
      <c r="HL136" s="9"/>
      <c r="HM136" s="18"/>
      <c r="HN136" s="18"/>
      <c r="HO136" s="18"/>
      <c r="HP136" s="18"/>
      <c r="HQ136" s="18"/>
      <c r="HR136" s="17"/>
      <c r="HS136" s="9"/>
      <c r="HT136" s="9"/>
      <c r="HU136" s="18"/>
      <c r="HV136" s="18"/>
      <c r="HW136" s="18"/>
      <c r="HX136" s="18"/>
      <c r="HY136" s="18"/>
      <c r="HZ136" s="17"/>
      <c r="IA136" s="9"/>
      <c r="IB136" s="9"/>
      <c r="IC136" s="18"/>
      <c r="ID136" s="18"/>
      <c r="IE136" s="18"/>
      <c r="IF136" s="18"/>
      <c r="IG136" s="18"/>
      <c r="IH136" s="17"/>
      <c r="II136" s="9"/>
      <c r="IJ136" s="9"/>
      <c r="IK136" s="18"/>
      <c r="IL136" s="18"/>
      <c r="IM136" s="18"/>
      <c r="IN136" s="18"/>
      <c r="IO136" s="18"/>
      <c r="IP136" s="17"/>
      <c r="IQ136" s="9"/>
      <c r="IR136" s="9"/>
      <c r="IS136" s="18"/>
      <c r="IT136" s="18"/>
      <c r="IU136" s="18"/>
      <c r="IV136" s="18"/>
      <c r="IW136" s="18"/>
      <c r="IX136" s="17"/>
      <c r="IY136" s="9"/>
      <c r="IZ136" s="9"/>
      <c r="JA136" s="18"/>
      <c r="JB136" s="18"/>
      <c r="JC136" s="18"/>
      <c r="JD136" s="18"/>
      <c r="JE136" s="18"/>
      <c r="JF136" s="17"/>
      <c r="JG136" s="9"/>
      <c r="JH136" s="9"/>
      <c r="JI136" s="18"/>
      <c r="JJ136" s="18"/>
      <c r="JK136" s="18"/>
      <c r="JL136" s="18"/>
      <c r="JM136" s="18"/>
      <c r="JN136" s="17"/>
      <c r="JO136" s="9"/>
      <c r="JP136" s="9"/>
      <c r="JQ136" s="18"/>
      <c r="JR136" s="18"/>
      <c r="JS136" s="18"/>
      <c r="JT136" s="18"/>
      <c r="JU136" s="18"/>
      <c r="JV136" s="17"/>
      <c r="JW136" s="9"/>
      <c r="JX136" s="9"/>
      <c r="JY136" s="18"/>
      <c r="JZ136" s="18"/>
      <c r="KA136" s="18"/>
      <c r="KB136" s="18"/>
      <c r="KC136" s="18"/>
      <c r="KD136" s="17"/>
      <c r="KE136" s="9"/>
      <c r="KF136" s="9"/>
      <c r="KG136" s="18"/>
      <c r="KH136" s="18"/>
      <c r="KI136" s="18"/>
      <c r="KJ136" s="18"/>
      <c r="KK136" s="18"/>
      <c r="KL136" s="17"/>
      <c r="KM136" s="9"/>
      <c r="KN136" s="9"/>
      <c r="KO136" s="18"/>
      <c r="KP136" s="18"/>
      <c r="KQ136" s="18"/>
      <c r="KR136" s="18"/>
      <c r="KS136" s="18"/>
      <c r="KT136" s="17"/>
      <c r="KU136" s="9"/>
      <c r="KV136" s="9"/>
      <c r="KW136" s="18"/>
      <c r="KX136" s="18"/>
      <c r="KY136" s="18"/>
      <c r="KZ136" s="18"/>
      <c r="LA136" s="18"/>
      <c r="LB136" s="17"/>
      <c r="LC136" s="9"/>
      <c r="LD136" s="9"/>
      <c r="LE136" s="18"/>
      <c r="LF136" s="18"/>
      <c r="LG136" s="18"/>
      <c r="LH136" s="18"/>
      <c r="LI136" s="18"/>
      <c r="LJ136" s="17"/>
      <c r="LK136" s="9"/>
      <c r="LL136" s="9"/>
      <c r="LM136" s="18"/>
      <c r="LN136" s="18"/>
      <c r="LO136" s="18"/>
      <c r="LP136" s="18"/>
      <c r="LQ136" s="18"/>
      <c r="LR136" s="17"/>
      <c r="LS136" s="9"/>
      <c r="LT136" s="9"/>
      <c r="LU136" s="18"/>
      <c r="LV136" s="18"/>
      <c r="LW136" s="18"/>
      <c r="LX136" s="18"/>
      <c r="LY136" s="18"/>
      <c r="LZ136" s="17"/>
      <c r="MA136" s="9"/>
      <c r="MB136" s="9"/>
      <c r="MC136" s="18"/>
      <c r="MD136" s="18"/>
      <c r="ME136" s="18"/>
      <c r="MF136" s="18"/>
      <c r="MG136" s="18"/>
      <c r="MH136" s="17"/>
      <c r="MI136" s="9"/>
      <c r="MJ136" s="9"/>
      <c r="MK136" s="18"/>
      <c r="ML136" s="18"/>
      <c r="MM136" s="18"/>
      <c r="MN136" s="18"/>
      <c r="MO136" s="18"/>
      <c r="MP136" s="17"/>
      <c r="MQ136" s="9"/>
      <c r="MR136" s="9"/>
      <c r="MS136" s="18"/>
      <c r="MT136" s="18"/>
      <c r="MU136" s="18"/>
      <c r="MV136" s="18"/>
      <c r="MW136" s="18"/>
      <c r="MX136" s="17"/>
      <c r="MY136" s="9"/>
      <c r="MZ136" s="9"/>
      <c r="NA136" s="18"/>
      <c r="NB136" s="18"/>
      <c r="NC136" s="18"/>
      <c r="ND136" s="18"/>
      <c r="NE136" s="18"/>
      <c r="NF136" s="17"/>
      <c r="NG136" s="9"/>
      <c r="NH136" s="9"/>
      <c r="NI136" s="18"/>
      <c r="NJ136" s="18"/>
      <c r="NK136" s="18"/>
      <c r="NL136" s="18"/>
      <c r="NM136" s="18"/>
      <c r="NN136" s="17"/>
      <c r="NO136" s="9"/>
      <c r="NP136" s="9"/>
      <c r="NQ136" s="18"/>
      <c r="NR136" s="18"/>
      <c r="NS136" s="18"/>
      <c r="NT136" s="18"/>
      <c r="NU136" s="18"/>
      <c r="NV136" s="17"/>
      <c r="NW136" s="9"/>
      <c r="NX136" s="9"/>
      <c r="NY136" s="18"/>
      <c r="NZ136" s="18"/>
      <c r="OA136" s="18"/>
      <c r="OB136" s="18"/>
      <c r="OC136" s="18"/>
      <c r="OD136" s="17"/>
      <c r="OE136" s="9"/>
      <c r="OF136" s="9"/>
      <c r="OG136" s="18"/>
      <c r="OH136" s="18"/>
      <c r="OI136" s="18"/>
      <c r="OJ136" s="18"/>
      <c r="OK136" s="18"/>
      <c r="OL136" s="17"/>
      <c r="OM136" s="9"/>
      <c r="ON136" s="9"/>
      <c r="OO136" s="18"/>
      <c r="OP136" s="18"/>
      <c r="OQ136" s="18"/>
      <c r="OR136" s="18"/>
      <c r="OS136" s="18"/>
      <c r="OT136" s="17"/>
      <c r="OU136" s="9"/>
      <c r="OV136" s="9"/>
      <c r="OW136" s="18"/>
      <c r="OX136" s="18"/>
      <c r="OY136" s="18"/>
      <c r="OZ136" s="18"/>
      <c r="PA136" s="18"/>
      <c r="PB136" s="17"/>
      <c r="PC136" s="9"/>
      <c r="PD136" s="9"/>
      <c r="PE136" s="18"/>
      <c r="PF136" s="18"/>
      <c r="PG136" s="18"/>
      <c r="PH136" s="18"/>
      <c r="PI136" s="18"/>
      <c r="PJ136" s="17"/>
      <c r="PK136" s="9"/>
      <c r="PL136" s="9"/>
      <c r="PM136" s="18"/>
      <c r="PN136" s="18"/>
      <c r="PO136" s="18"/>
      <c r="PP136" s="18"/>
      <c r="PQ136" s="18"/>
      <c r="PR136" s="17"/>
      <c r="PS136" s="9"/>
      <c r="PT136" s="9"/>
      <c r="PU136" s="18"/>
      <c r="PV136" s="18"/>
      <c r="PW136" s="18"/>
      <c r="PX136" s="18"/>
      <c r="PY136" s="18"/>
      <c r="PZ136" s="17"/>
      <c r="QA136" s="9"/>
      <c r="QB136" s="9"/>
      <c r="QC136" s="18"/>
      <c r="QD136" s="18"/>
      <c r="QE136" s="18"/>
      <c r="QF136" s="18"/>
      <c r="QG136" s="18"/>
      <c r="QH136" s="17"/>
      <c r="QI136" s="9"/>
      <c r="QJ136" s="9"/>
      <c r="QK136" s="18"/>
      <c r="QL136" s="18"/>
      <c r="QM136" s="18"/>
      <c r="QN136" s="18"/>
      <c r="QO136" s="18"/>
      <c r="QP136" s="17"/>
      <c r="QQ136" s="9"/>
      <c r="QR136" s="9"/>
      <c r="QS136" s="18"/>
      <c r="QT136" s="18"/>
      <c r="QU136" s="18"/>
      <c r="QV136" s="18"/>
      <c r="QW136" s="18"/>
      <c r="QX136" s="17"/>
      <c r="QY136" s="9"/>
      <c r="QZ136" s="9"/>
      <c r="RA136" s="18"/>
      <c r="RB136" s="18"/>
      <c r="RC136" s="18"/>
      <c r="RD136" s="18"/>
      <c r="RE136" s="18"/>
      <c r="RF136" s="17"/>
      <c r="RG136" s="9"/>
      <c r="RH136" s="9"/>
      <c r="RI136" s="18"/>
      <c r="RJ136" s="18"/>
      <c r="RK136" s="18"/>
      <c r="RL136" s="18"/>
      <c r="RM136" s="18"/>
      <c r="RN136" s="17"/>
      <c r="RO136" s="9"/>
      <c r="RP136" s="9"/>
      <c r="RQ136" s="18"/>
      <c r="RR136" s="18"/>
      <c r="RS136" s="18"/>
      <c r="RT136" s="18"/>
      <c r="RU136" s="18"/>
      <c r="RV136" s="17"/>
      <c r="RW136" s="9"/>
      <c r="RX136" s="9"/>
      <c r="RY136" s="18"/>
      <c r="RZ136" s="18"/>
      <c r="SA136" s="18"/>
      <c r="SB136" s="18"/>
      <c r="SC136" s="18"/>
      <c r="SD136" s="17"/>
      <c r="SE136" s="9"/>
      <c r="SF136" s="9"/>
      <c r="SG136" s="18"/>
      <c r="SH136" s="18"/>
      <c r="SI136" s="18"/>
      <c r="SJ136" s="18"/>
      <c r="SK136" s="18"/>
      <c r="SL136" s="17"/>
      <c r="SM136" s="9"/>
      <c r="SN136" s="9"/>
      <c r="SO136" s="18"/>
      <c r="SP136" s="18"/>
      <c r="SQ136" s="18"/>
      <c r="SR136" s="18"/>
      <c r="SS136" s="18"/>
      <c r="ST136" s="17"/>
      <c r="SU136" s="9"/>
      <c r="SV136" s="9"/>
      <c r="SW136" s="18"/>
      <c r="SX136" s="18"/>
      <c r="SY136" s="18"/>
      <c r="SZ136" s="18"/>
      <c r="TA136" s="18"/>
      <c r="TB136" s="17"/>
      <c r="TC136" s="9"/>
      <c r="TD136" s="9"/>
      <c r="TE136" s="18"/>
      <c r="TF136" s="18"/>
      <c r="TG136" s="18"/>
      <c r="TH136" s="18"/>
      <c r="TI136" s="18"/>
      <c r="TJ136" s="17"/>
      <c r="TK136" s="9"/>
      <c r="TL136" s="9"/>
      <c r="TM136" s="18"/>
      <c r="TN136" s="18"/>
      <c r="TO136" s="18"/>
      <c r="TP136" s="18"/>
      <c r="TQ136" s="18"/>
      <c r="TR136" s="17"/>
      <c r="TS136" s="9"/>
      <c r="TT136" s="9"/>
      <c r="TU136" s="18"/>
      <c r="TV136" s="18"/>
      <c r="TW136" s="18"/>
      <c r="TX136" s="18"/>
      <c r="TY136" s="18"/>
      <c r="TZ136" s="17"/>
      <c r="UA136" s="9"/>
      <c r="UB136" s="9"/>
      <c r="UC136" s="18"/>
      <c r="UD136" s="18"/>
      <c r="UE136" s="18"/>
      <c r="UF136" s="18"/>
      <c r="UG136" s="18"/>
      <c r="UH136" s="17"/>
      <c r="UI136" s="9"/>
      <c r="UJ136" s="9"/>
      <c r="UK136" s="18"/>
      <c r="UL136" s="18"/>
      <c r="UM136" s="18"/>
      <c r="UN136" s="18"/>
      <c r="UO136" s="18"/>
      <c r="UP136" s="17"/>
      <c r="UQ136" s="9"/>
      <c r="UR136" s="9"/>
      <c r="US136" s="18"/>
      <c r="UT136" s="18"/>
      <c r="UU136" s="18"/>
      <c r="UV136" s="18"/>
      <c r="UW136" s="18"/>
      <c r="UX136" s="17"/>
      <c r="UY136" s="9"/>
      <c r="UZ136" s="9"/>
      <c r="VA136" s="18"/>
      <c r="VB136" s="18"/>
      <c r="VC136" s="18"/>
      <c r="VD136" s="18"/>
      <c r="VE136" s="18"/>
      <c r="VF136" s="17"/>
      <c r="VG136" s="9"/>
      <c r="VH136" s="9"/>
      <c r="VI136" s="18"/>
      <c r="VJ136" s="18"/>
      <c r="VK136" s="18"/>
      <c r="VL136" s="18"/>
      <c r="VM136" s="18"/>
      <c r="VN136" s="17"/>
      <c r="VO136" s="9"/>
      <c r="VP136" s="9"/>
      <c r="VQ136" s="18"/>
      <c r="VR136" s="18"/>
      <c r="VS136" s="18"/>
      <c r="VT136" s="18"/>
      <c r="VU136" s="18"/>
      <c r="VV136" s="17"/>
      <c r="VW136" s="9"/>
      <c r="VX136" s="9"/>
      <c r="VY136" s="18"/>
      <c r="VZ136" s="18"/>
      <c r="WA136" s="18"/>
      <c r="WB136" s="18"/>
      <c r="WC136" s="18"/>
      <c r="WD136" s="17"/>
      <c r="WE136" s="9"/>
      <c r="WF136" s="9"/>
      <c r="WG136" s="18"/>
      <c r="WH136" s="18"/>
      <c r="WI136" s="18"/>
      <c r="WJ136" s="18"/>
      <c r="WK136" s="18"/>
      <c r="WL136" s="17"/>
      <c r="WM136" s="9"/>
      <c r="WN136" s="9"/>
      <c r="WO136" s="18"/>
      <c r="WP136" s="18"/>
      <c r="WQ136" s="18"/>
      <c r="WR136" s="18"/>
      <c r="WS136" s="18"/>
      <c r="WT136" s="17"/>
      <c r="WU136" s="9"/>
      <c r="WV136" s="9"/>
      <c r="WW136" s="18"/>
      <c r="WX136" s="18"/>
      <c r="WY136" s="18"/>
      <c r="WZ136" s="18"/>
      <c r="XA136" s="18"/>
      <c r="XB136" s="17"/>
      <c r="XC136" s="9"/>
      <c r="XD136" s="9"/>
      <c r="XE136" s="18"/>
      <c r="XF136" s="18"/>
      <c r="XG136" s="18"/>
      <c r="XH136" s="18"/>
      <c r="XI136" s="18"/>
      <c r="XJ136" s="17"/>
      <c r="XK136" s="9"/>
      <c r="XL136" s="9"/>
      <c r="XM136" s="18"/>
      <c r="XN136" s="18"/>
      <c r="XO136" s="18"/>
      <c r="XP136" s="18"/>
      <c r="XQ136" s="18"/>
      <c r="XR136" s="17"/>
      <c r="XS136" s="9"/>
      <c r="XT136" s="9"/>
      <c r="XU136" s="18"/>
      <c r="XV136" s="18"/>
      <c r="XW136" s="18"/>
      <c r="XX136" s="18"/>
      <c r="XY136" s="18"/>
      <c r="XZ136" s="17"/>
      <c r="YA136" s="9"/>
      <c r="YB136" s="9"/>
      <c r="YC136" s="18"/>
      <c r="YD136" s="18"/>
      <c r="YE136" s="18"/>
      <c r="YF136" s="18"/>
      <c r="YG136" s="18"/>
      <c r="YH136" s="17"/>
      <c r="YI136" s="9"/>
      <c r="YJ136" s="9"/>
      <c r="YK136" s="18"/>
      <c r="YL136" s="18"/>
      <c r="YM136" s="18"/>
      <c r="YN136" s="18"/>
      <c r="YO136" s="18"/>
      <c r="YP136" s="17"/>
      <c r="YQ136" s="9"/>
      <c r="YR136" s="9"/>
      <c r="YS136" s="18"/>
      <c r="YT136" s="18"/>
      <c r="YU136" s="18"/>
      <c r="YV136" s="18"/>
      <c r="YW136" s="18"/>
      <c r="YX136" s="17"/>
      <c r="YY136" s="9"/>
      <c r="YZ136" s="9"/>
      <c r="ZA136" s="18"/>
      <c r="ZB136" s="18"/>
      <c r="ZC136" s="18"/>
      <c r="ZD136" s="18"/>
      <c r="ZE136" s="18"/>
      <c r="ZF136" s="17"/>
      <c r="ZG136" s="9"/>
      <c r="ZH136" s="9"/>
      <c r="ZI136" s="18"/>
      <c r="ZJ136" s="18"/>
      <c r="ZK136" s="18"/>
      <c r="ZL136" s="18"/>
      <c r="ZM136" s="18"/>
      <c r="ZN136" s="17"/>
      <c r="ZO136" s="9"/>
      <c r="ZP136" s="9"/>
      <c r="ZQ136" s="18"/>
      <c r="ZR136" s="18"/>
      <c r="ZS136" s="18"/>
      <c r="ZT136" s="18"/>
      <c r="ZU136" s="18"/>
      <c r="ZV136" s="17"/>
      <c r="ZW136" s="9"/>
      <c r="ZX136" s="9"/>
      <c r="ZY136" s="18"/>
      <c r="ZZ136" s="18"/>
      <c r="AAA136" s="18"/>
      <c r="AAB136" s="18"/>
      <c r="AAC136" s="18"/>
      <c r="AAD136" s="17"/>
      <c r="AAE136" s="9"/>
      <c r="AAF136" s="9"/>
      <c r="AAG136" s="18"/>
      <c r="AAH136" s="18"/>
      <c r="AAI136" s="18"/>
      <c r="AAJ136" s="18"/>
      <c r="AAK136" s="18"/>
      <c r="AAL136" s="17"/>
      <c r="AAM136" s="9"/>
      <c r="AAN136" s="9"/>
      <c r="AAO136" s="18"/>
      <c r="AAP136" s="18"/>
      <c r="AAQ136" s="18"/>
      <c r="AAR136" s="18"/>
      <c r="AAS136" s="18"/>
      <c r="AAT136" s="17"/>
      <c r="AAU136" s="9"/>
      <c r="AAV136" s="9"/>
      <c r="AAW136" s="18"/>
      <c r="AAX136" s="18"/>
      <c r="AAY136" s="18"/>
      <c r="AAZ136" s="18"/>
      <c r="ABA136" s="18"/>
      <c r="ABB136" s="17"/>
      <c r="ABC136" s="9"/>
      <c r="ABD136" s="9"/>
      <c r="ABE136" s="18"/>
      <c r="ABF136" s="18"/>
      <c r="ABG136" s="18"/>
      <c r="ABH136" s="18"/>
      <c r="ABI136" s="18"/>
      <c r="ABJ136" s="17"/>
      <c r="ABK136" s="9"/>
      <c r="ABL136" s="9"/>
      <c r="ABM136" s="18"/>
      <c r="ABN136" s="18"/>
      <c r="ABO136" s="18"/>
      <c r="ABP136" s="18"/>
      <c r="ABQ136" s="18"/>
      <c r="ABR136" s="17"/>
      <c r="ABS136" s="9"/>
      <c r="ABT136" s="9"/>
      <c r="ABU136" s="18"/>
      <c r="ABV136" s="18"/>
      <c r="ABW136" s="18"/>
      <c r="ABX136" s="18"/>
      <c r="ABY136" s="18"/>
      <c r="ABZ136" s="17"/>
      <c r="ACA136" s="9"/>
      <c r="ACB136" s="9"/>
      <c r="ACC136" s="18"/>
      <c r="ACD136" s="18"/>
      <c r="ACE136" s="18"/>
      <c r="ACF136" s="18"/>
      <c r="ACG136" s="18"/>
      <c r="ACH136" s="17"/>
      <c r="ACI136" s="9"/>
      <c r="ACJ136" s="9"/>
      <c r="ACK136" s="18"/>
      <c r="ACL136" s="18"/>
      <c r="ACM136" s="18"/>
      <c r="ACN136" s="18"/>
      <c r="ACO136" s="18"/>
      <c r="ACP136" s="17"/>
      <c r="ACQ136" s="9"/>
      <c r="ACR136" s="9"/>
      <c r="ACS136" s="18"/>
      <c r="ACT136" s="18"/>
      <c r="ACU136" s="18"/>
      <c r="ACV136" s="18"/>
      <c r="ACW136" s="18"/>
      <c r="ACX136" s="17"/>
      <c r="ACY136" s="9"/>
      <c r="ACZ136" s="9"/>
      <c r="ADA136" s="18"/>
      <c r="ADB136" s="18"/>
      <c r="ADC136" s="18"/>
      <c r="ADD136" s="18"/>
      <c r="ADE136" s="18"/>
      <c r="ADF136" s="17"/>
      <c r="ADG136" s="9"/>
      <c r="ADH136" s="9"/>
      <c r="ADI136" s="18"/>
      <c r="ADJ136" s="18"/>
      <c r="ADK136" s="18"/>
      <c r="ADL136" s="18"/>
      <c r="ADM136" s="18"/>
      <c r="ADN136" s="17"/>
      <c r="ADO136" s="9"/>
      <c r="ADP136" s="9"/>
      <c r="ADQ136" s="18"/>
      <c r="ADR136" s="18"/>
      <c r="ADS136" s="18"/>
      <c r="ADT136" s="18"/>
      <c r="ADU136" s="18"/>
      <c r="ADV136" s="17"/>
      <c r="ADW136" s="9"/>
      <c r="ADX136" s="9"/>
      <c r="ADY136" s="18"/>
      <c r="ADZ136" s="18"/>
      <c r="AEA136" s="18"/>
      <c r="AEB136" s="18"/>
      <c r="AEC136" s="18"/>
      <c r="AED136" s="17"/>
      <c r="AEE136" s="9"/>
      <c r="AEF136" s="9"/>
      <c r="AEG136" s="18"/>
      <c r="AEH136" s="18"/>
      <c r="AEI136" s="18"/>
      <c r="AEJ136" s="18"/>
      <c r="AEK136" s="18"/>
      <c r="AEL136" s="17"/>
      <c r="AEM136" s="9"/>
      <c r="AEN136" s="9"/>
      <c r="AEO136" s="18"/>
      <c r="AEP136" s="18"/>
      <c r="AEQ136" s="18"/>
      <c r="AER136" s="18"/>
      <c r="AES136" s="18"/>
      <c r="AET136" s="17"/>
      <c r="AEU136" s="9"/>
      <c r="AEV136" s="9"/>
      <c r="AEW136" s="18"/>
      <c r="AEX136" s="18"/>
      <c r="AEY136" s="18"/>
      <c r="AEZ136" s="18"/>
      <c r="AFA136" s="18"/>
      <c r="AFB136" s="17"/>
      <c r="AFC136" s="9"/>
      <c r="AFD136" s="9"/>
      <c r="AFE136" s="18"/>
      <c r="AFF136" s="18"/>
      <c r="AFG136" s="18"/>
      <c r="AFH136" s="18"/>
      <c r="AFI136" s="18"/>
      <c r="AFJ136" s="17"/>
      <c r="AFK136" s="9"/>
      <c r="AFL136" s="9"/>
      <c r="AFM136" s="18"/>
      <c r="AFN136" s="18"/>
      <c r="AFO136" s="18"/>
      <c r="AFP136" s="18"/>
      <c r="AFQ136" s="18"/>
      <c r="AFR136" s="17"/>
      <c r="AFS136" s="9"/>
      <c r="AFT136" s="9"/>
      <c r="AFU136" s="18"/>
      <c r="AFV136" s="18"/>
      <c r="AFW136" s="18"/>
      <c r="AFX136" s="18"/>
      <c r="AFY136" s="18"/>
      <c r="AFZ136" s="17"/>
      <c r="AGA136" s="9"/>
      <c r="AGB136" s="9"/>
      <c r="AGC136" s="18"/>
      <c r="AGD136" s="18"/>
      <c r="AGE136" s="18"/>
      <c r="AGF136" s="18"/>
      <c r="AGG136" s="18"/>
      <c r="AGH136" s="17"/>
      <c r="AGI136" s="9"/>
      <c r="AGJ136" s="9"/>
      <c r="AGK136" s="18"/>
      <c r="AGL136" s="18"/>
      <c r="AGM136" s="18"/>
      <c r="AGN136" s="18"/>
      <c r="AGO136" s="18"/>
      <c r="AGP136" s="17"/>
      <c r="AGQ136" s="9"/>
      <c r="AGR136" s="9"/>
      <c r="AGS136" s="18"/>
      <c r="AGT136" s="18"/>
      <c r="AGU136" s="18"/>
      <c r="AGV136" s="18"/>
      <c r="AGW136" s="18"/>
      <c r="AGX136" s="17"/>
      <c r="AGY136" s="9"/>
      <c r="AGZ136" s="9"/>
      <c r="AHA136" s="18"/>
      <c r="AHB136" s="18"/>
      <c r="AHC136" s="18"/>
      <c r="AHD136" s="18"/>
      <c r="AHE136" s="18"/>
      <c r="AHF136" s="17"/>
      <c r="AHG136" s="9"/>
      <c r="AHH136" s="9"/>
      <c r="AHI136" s="18"/>
      <c r="AHJ136" s="18"/>
      <c r="AHK136" s="18"/>
      <c r="AHL136" s="18"/>
      <c r="AHM136" s="18"/>
      <c r="AHN136" s="17"/>
      <c r="AHO136" s="9"/>
      <c r="AHP136" s="9"/>
      <c r="AHQ136" s="18"/>
      <c r="AHR136" s="18"/>
      <c r="AHS136" s="18"/>
      <c r="AHT136" s="18"/>
      <c r="AHU136" s="18"/>
      <c r="AHV136" s="17"/>
      <c r="AHW136" s="9"/>
      <c r="AHX136" s="9"/>
      <c r="AHY136" s="18"/>
      <c r="AHZ136" s="18"/>
      <c r="AIA136" s="18"/>
      <c r="AIB136" s="18"/>
      <c r="AIC136" s="18"/>
      <c r="AID136" s="17"/>
      <c r="AIE136" s="9"/>
      <c r="AIF136" s="9"/>
      <c r="AIG136" s="18"/>
      <c r="AIH136" s="18"/>
      <c r="AII136" s="18"/>
      <c r="AIJ136" s="18"/>
      <c r="AIK136" s="18"/>
      <c r="AIL136" s="17"/>
      <c r="AIM136" s="9"/>
      <c r="AIN136" s="9"/>
      <c r="AIO136" s="18"/>
      <c r="AIP136" s="18"/>
      <c r="AIQ136" s="18"/>
      <c r="AIR136" s="18"/>
      <c r="AIS136" s="18"/>
      <c r="AIT136" s="17"/>
      <c r="AIU136" s="9"/>
      <c r="AIV136" s="9"/>
      <c r="AIW136" s="18"/>
      <c r="AIX136" s="18"/>
      <c r="AIY136" s="18"/>
      <c r="AIZ136" s="18"/>
      <c r="AJA136" s="18"/>
      <c r="AJB136" s="17"/>
      <c r="AJC136" s="9"/>
      <c r="AJD136" s="9"/>
      <c r="AJE136" s="18"/>
      <c r="AJF136" s="18"/>
      <c r="AJG136" s="18"/>
      <c r="AJH136" s="18"/>
      <c r="AJI136" s="18"/>
      <c r="AJJ136" s="17"/>
      <c r="AJK136" s="9"/>
      <c r="AJL136" s="9"/>
      <c r="AJM136" s="18"/>
      <c r="AJN136" s="18"/>
      <c r="AJO136" s="18"/>
      <c r="AJP136" s="18"/>
      <c r="AJQ136" s="18"/>
      <c r="AJR136" s="17"/>
      <c r="AJS136" s="9"/>
      <c r="AJT136" s="9"/>
      <c r="AJU136" s="18"/>
      <c r="AJV136" s="18"/>
      <c r="AJW136" s="18"/>
      <c r="AJX136" s="18"/>
      <c r="AJY136" s="18"/>
      <c r="AJZ136" s="17"/>
      <c r="AKA136" s="9"/>
      <c r="AKB136" s="9"/>
      <c r="AKC136" s="18"/>
      <c r="AKD136" s="18"/>
      <c r="AKE136" s="18"/>
      <c r="AKF136" s="18"/>
      <c r="AKG136" s="18"/>
      <c r="AKH136" s="17"/>
      <c r="AKI136" s="9"/>
      <c r="AKJ136" s="9"/>
      <c r="AKK136" s="18"/>
      <c r="AKL136" s="18"/>
      <c r="AKM136" s="18"/>
      <c r="AKN136" s="18"/>
      <c r="AKO136" s="18"/>
      <c r="AKP136" s="17"/>
      <c r="AKQ136" s="9"/>
      <c r="AKR136" s="9"/>
      <c r="AKS136" s="18"/>
      <c r="AKT136" s="18"/>
      <c r="AKU136" s="18"/>
      <c r="AKV136" s="18"/>
      <c r="AKW136" s="18"/>
      <c r="AKX136" s="17"/>
      <c r="AKY136" s="9"/>
      <c r="AKZ136" s="9"/>
      <c r="ALA136" s="18"/>
      <c r="ALB136" s="18"/>
      <c r="ALC136" s="18"/>
      <c r="ALD136" s="18"/>
      <c r="ALE136" s="18"/>
      <c r="ALF136" s="17"/>
      <c r="ALG136" s="9"/>
      <c r="ALH136" s="9"/>
      <c r="ALI136" s="18"/>
      <c r="ALJ136" s="18"/>
      <c r="ALK136" s="18"/>
      <c r="ALL136" s="18"/>
      <c r="ALM136" s="18"/>
      <c r="ALN136" s="17"/>
      <c r="ALO136" s="9"/>
      <c r="ALP136" s="9"/>
      <c r="ALQ136" s="18"/>
      <c r="ALR136" s="18"/>
      <c r="ALS136" s="18"/>
      <c r="ALT136" s="18"/>
      <c r="ALU136" s="18"/>
      <c r="ALV136" s="17"/>
      <c r="ALW136" s="9"/>
      <c r="ALX136" s="9"/>
      <c r="ALY136" s="18"/>
      <c r="ALZ136" s="18"/>
      <c r="AMA136" s="18"/>
      <c r="AMB136" s="18"/>
      <c r="AMC136" s="18"/>
      <c r="AMD136" s="17"/>
      <c r="AME136" s="9"/>
      <c r="AMF136" s="9"/>
      <c r="AMG136" s="18"/>
      <c r="AMH136" s="18"/>
      <c r="AMI136" s="18"/>
      <c r="AMJ136" s="18"/>
      <c r="AMK136" s="18"/>
      <c r="AML136" s="17"/>
      <c r="AMM136" s="9"/>
      <c r="AMN136" s="9"/>
      <c r="AMO136" s="18"/>
      <c r="AMP136" s="18"/>
      <c r="AMQ136" s="18"/>
      <c r="AMR136" s="18"/>
      <c r="AMS136" s="18"/>
      <c r="AMT136" s="17"/>
      <c r="AMU136" s="9"/>
      <c r="AMV136" s="9"/>
      <c r="AMW136" s="18"/>
      <c r="AMX136" s="18"/>
      <c r="AMY136" s="18"/>
      <c r="AMZ136" s="18"/>
      <c r="ANA136" s="18"/>
      <c r="ANB136" s="17"/>
      <c r="ANC136" s="9"/>
      <c r="AND136" s="9"/>
      <c r="ANE136" s="18"/>
      <c r="ANF136" s="18"/>
      <c r="ANG136" s="18"/>
      <c r="ANH136" s="18"/>
      <c r="ANI136" s="18"/>
      <c r="ANJ136" s="17"/>
      <c r="ANK136" s="9"/>
      <c r="ANL136" s="9"/>
      <c r="ANM136" s="18"/>
      <c r="ANN136" s="18"/>
      <c r="ANO136" s="18"/>
      <c r="ANP136" s="18"/>
      <c r="ANQ136" s="18"/>
      <c r="ANR136" s="17"/>
      <c r="ANS136" s="9"/>
      <c r="ANT136" s="9"/>
      <c r="ANU136" s="18"/>
      <c r="ANV136" s="18"/>
      <c r="ANW136" s="18"/>
      <c r="ANX136" s="18"/>
      <c r="ANY136" s="18"/>
      <c r="ANZ136" s="17"/>
      <c r="AOA136" s="9"/>
      <c r="AOB136" s="9"/>
      <c r="AOC136" s="18"/>
      <c r="AOD136" s="18"/>
      <c r="AOE136" s="18"/>
      <c r="AOF136" s="18"/>
      <c r="AOG136" s="18"/>
      <c r="AOH136" s="17"/>
      <c r="AOI136" s="9"/>
      <c r="AOJ136" s="9"/>
      <c r="AOK136" s="18"/>
      <c r="AOL136" s="18"/>
      <c r="AOM136" s="18"/>
      <c r="AON136" s="18"/>
      <c r="AOO136" s="18"/>
      <c r="AOP136" s="17"/>
      <c r="AOQ136" s="9"/>
      <c r="AOR136" s="9"/>
      <c r="AOS136" s="18"/>
      <c r="AOT136" s="18"/>
      <c r="AOU136" s="18"/>
      <c r="AOV136" s="18"/>
      <c r="AOW136" s="18"/>
      <c r="AOX136" s="17"/>
      <c r="AOY136" s="9"/>
      <c r="AOZ136" s="9"/>
      <c r="APA136" s="18"/>
      <c r="APB136" s="18"/>
      <c r="APC136" s="18"/>
      <c r="APD136" s="18"/>
      <c r="APE136" s="18"/>
      <c r="APF136" s="17"/>
      <c r="APG136" s="9"/>
      <c r="APH136" s="9"/>
      <c r="API136" s="18"/>
      <c r="APJ136" s="18"/>
      <c r="APK136" s="18"/>
      <c r="APL136" s="18"/>
      <c r="APM136" s="18"/>
      <c r="APN136" s="17"/>
      <c r="APO136" s="9"/>
      <c r="APP136" s="9"/>
      <c r="APQ136" s="18"/>
      <c r="APR136" s="18"/>
      <c r="APS136" s="18"/>
      <c r="APT136" s="18"/>
      <c r="APU136" s="18"/>
      <c r="APV136" s="17"/>
      <c r="APW136" s="9"/>
      <c r="APX136" s="9"/>
      <c r="APY136" s="18"/>
      <c r="APZ136" s="18"/>
      <c r="AQA136" s="18"/>
      <c r="AQB136" s="18"/>
      <c r="AQC136" s="18"/>
      <c r="AQD136" s="17"/>
      <c r="AQE136" s="9"/>
      <c r="AQF136" s="9"/>
      <c r="AQG136" s="18"/>
      <c r="AQH136" s="18"/>
      <c r="AQI136" s="18"/>
      <c r="AQJ136" s="18"/>
      <c r="AQK136" s="18"/>
      <c r="AQL136" s="17"/>
      <c r="AQM136" s="9"/>
      <c r="AQN136" s="9"/>
      <c r="AQO136" s="18"/>
      <c r="AQP136" s="18"/>
      <c r="AQQ136" s="18"/>
      <c r="AQR136" s="18"/>
      <c r="AQS136" s="18"/>
      <c r="AQT136" s="17"/>
      <c r="AQU136" s="9"/>
      <c r="AQV136" s="9"/>
      <c r="AQW136" s="18"/>
      <c r="AQX136" s="18"/>
      <c r="AQY136" s="18"/>
      <c r="AQZ136" s="18"/>
      <c r="ARA136" s="18"/>
      <c r="ARB136" s="17"/>
      <c r="ARC136" s="9"/>
      <c r="ARD136" s="9"/>
      <c r="ARE136" s="18"/>
      <c r="ARF136" s="18"/>
      <c r="ARG136" s="18"/>
      <c r="ARH136" s="18"/>
      <c r="ARI136" s="18"/>
      <c r="ARJ136" s="17"/>
      <c r="ARK136" s="9"/>
      <c r="ARL136" s="9"/>
      <c r="ARM136" s="18"/>
      <c r="ARN136" s="18"/>
      <c r="ARO136" s="18"/>
      <c r="ARP136" s="18"/>
      <c r="ARQ136" s="18"/>
      <c r="ARR136" s="17"/>
      <c r="ARS136" s="9"/>
      <c r="ART136" s="9"/>
      <c r="ARU136" s="18"/>
      <c r="ARV136" s="18"/>
      <c r="ARW136" s="18"/>
      <c r="ARX136" s="18"/>
      <c r="ARY136" s="18"/>
      <c r="ARZ136" s="17"/>
      <c r="ASA136" s="9"/>
      <c r="ASB136" s="9"/>
      <c r="ASC136" s="18"/>
      <c r="ASD136" s="18"/>
      <c r="ASE136" s="18"/>
      <c r="ASF136" s="18"/>
      <c r="ASG136" s="18"/>
      <c r="ASH136" s="17"/>
      <c r="ASI136" s="9"/>
      <c r="ASJ136" s="9"/>
      <c r="ASK136" s="18"/>
      <c r="ASL136" s="18"/>
      <c r="ASM136" s="18"/>
      <c r="ASN136" s="18"/>
      <c r="ASO136" s="18"/>
      <c r="ASP136" s="17"/>
      <c r="ASQ136" s="9"/>
      <c r="ASR136" s="9"/>
      <c r="ASS136" s="18"/>
      <c r="AST136" s="18"/>
      <c r="ASU136" s="18"/>
      <c r="ASV136" s="18"/>
      <c r="ASW136" s="18"/>
      <c r="ASX136" s="17"/>
      <c r="ASY136" s="9"/>
      <c r="ASZ136" s="9"/>
      <c r="ATA136" s="18"/>
      <c r="ATB136" s="18"/>
      <c r="ATC136" s="18"/>
      <c r="ATD136" s="18"/>
      <c r="ATE136" s="18"/>
      <c r="ATF136" s="17"/>
      <c r="ATG136" s="9"/>
      <c r="ATH136" s="9"/>
      <c r="ATI136" s="18"/>
      <c r="ATJ136" s="18"/>
      <c r="ATK136" s="18"/>
      <c r="ATL136" s="18"/>
      <c r="ATM136" s="18"/>
      <c r="ATN136" s="17"/>
      <c r="ATO136" s="9"/>
      <c r="ATP136" s="9"/>
      <c r="ATQ136" s="18"/>
      <c r="ATR136" s="18"/>
      <c r="ATS136" s="18"/>
      <c r="ATT136" s="18"/>
      <c r="ATU136" s="18"/>
      <c r="ATV136" s="17"/>
      <c r="ATW136" s="9"/>
      <c r="ATX136" s="9"/>
      <c r="ATY136" s="18"/>
      <c r="ATZ136" s="18"/>
      <c r="AUA136" s="18"/>
      <c r="AUB136" s="18"/>
      <c r="AUC136" s="18"/>
      <c r="AUD136" s="17"/>
      <c r="AUE136" s="9"/>
      <c r="AUF136" s="9"/>
      <c r="AUG136" s="18"/>
      <c r="AUH136" s="18"/>
      <c r="AUI136" s="18"/>
      <c r="AUJ136" s="18"/>
      <c r="AUK136" s="18"/>
      <c r="AUL136" s="17"/>
      <c r="AUM136" s="9"/>
      <c r="AUN136" s="9"/>
      <c r="AUO136" s="18"/>
      <c r="AUP136" s="18"/>
      <c r="AUQ136" s="18"/>
      <c r="AUR136" s="18"/>
      <c r="AUS136" s="18"/>
      <c r="AUT136" s="17"/>
      <c r="AUU136" s="9"/>
      <c r="AUV136" s="9"/>
      <c r="AUW136" s="18"/>
      <c r="AUX136" s="18"/>
      <c r="AUY136" s="18"/>
      <c r="AUZ136" s="18"/>
      <c r="AVA136" s="18"/>
      <c r="AVB136" s="17"/>
      <c r="AVC136" s="9"/>
      <c r="AVD136" s="9"/>
      <c r="AVE136" s="18"/>
      <c r="AVF136" s="18"/>
      <c r="AVG136" s="18"/>
      <c r="AVH136" s="18"/>
      <c r="AVI136" s="18"/>
      <c r="AVJ136" s="17"/>
      <c r="AVK136" s="9"/>
      <c r="AVL136" s="9"/>
      <c r="AVM136" s="18"/>
      <c r="AVN136" s="18"/>
      <c r="AVO136" s="18"/>
      <c r="AVP136" s="18"/>
      <c r="AVQ136" s="18"/>
      <c r="AVR136" s="17"/>
      <c r="AVS136" s="9"/>
      <c r="AVT136" s="9"/>
      <c r="AVU136" s="18"/>
      <c r="AVV136" s="18"/>
      <c r="AVW136" s="18"/>
      <c r="AVX136" s="18"/>
      <c r="AVY136" s="18"/>
      <c r="AVZ136" s="17"/>
      <c r="AWA136" s="9"/>
      <c r="AWB136" s="9"/>
      <c r="AWC136" s="18"/>
      <c r="AWD136" s="18"/>
      <c r="AWE136" s="18"/>
      <c r="AWF136" s="18"/>
      <c r="AWG136" s="18"/>
      <c r="AWH136" s="17"/>
      <c r="AWI136" s="9"/>
      <c r="AWJ136" s="9"/>
      <c r="AWK136" s="18"/>
      <c r="AWL136" s="18"/>
      <c r="AWM136" s="18"/>
      <c r="AWN136" s="18"/>
      <c r="AWO136" s="18"/>
      <c r="AWP136" s="17"/>
      <c r="AWQ136" s="9"/>
      <c r="AWR136" s="9"/>
      <c r="AWS136" s="18"/>
      <c r="AWT136" s="18"/>
      <c r="AWU136" s="18"/>
      <c r="AWV136" s="18"/>
      <c r="AWW136" s="18"/>
      <c r="AWX136" s="17"/>
      <c r="AWY136" s="9"/>
      <c r="AWZ136" s="9"/>
      <c r="AXA136" s="18"/>
      <c r="AXB136" s="18"/>
      <c r="AXC136" s="18"/>
      <c r="AXD136" s="18"/>
      <c r="AXE136" s="18"/>
      <c r="AXF136" s="17"/>
      <c r="AXG136" s="9"/>
      <c r="AXH136" s="9"/>
      <c r="AXI136" s="18"/>
      <c r="AXJ136" s="18"/>
      <c r="AXK136" s="18"/>
      <c r="AXL136" s="18"/>
      <c r="AXM136" s="18"/>
      <c r="AXN136" s="17"/>
      <c r="AXO136" s="9"/>
      <c r="AXP136" s="9"/>
      <c r="AXQ136" s="18"/>
      <c r="AXR136" s="18"/>
      <c r="AXS136" s="18"/>
      <c r="AXT136" s="18"/>
      <c r="AXU136" s="18"/>
      <c r="AXV136" s="17"/>
      <c r="AXW136" s="9"/>
      <c r="AXX136" s="9"/>
      <c r="AXY136" s="18"/>
      <c r="AXZ136" s="18"/>
      <c r="AYA136" s="18"/>
      <c r="AYB136" s="18"/>
      <c r="AYC136" s="18"/>
      <c r="AYD136" s="17"/>
      <c r="AYE136" s="9"/>
      <c r="AYF136" s="9"/>
      <c r="AYG136" s="18"/>
      <c r="AYH136" s="18"/>
      <c r="AYI136" s="18"/>
      <c r="AYJ136" s="18"/>
      <c r="AYK136" s="18"/>
      <c r="AYL136" s="17"/>
      <c r="AYM136" s="9"/>
      <c r="AYN136" s="9"/>
      <c r="AYO136" s="18"/>
      <c r="AYP136" s="18"/>
      <c r="AYQ136" s="18"/>
      <c r="AYR136" s="18"/>
      <c r="AYS136" s="18"/>
      <c r="AYT136" s="17"/>
      <c r="AYU136" s="9"/>
      <c r="AYV136" s="9"/>
      <c r="AYW136" s="18"/>
      <c r="AYX136" s="18"/>
      <c r="AYY136" s="18"/>
      <c r="AYZ136" s="18"/>
      <c r="AZA136" s="18"/>
      <c r="AZB136" s="17"/>
      <c r="AZC136" s="9"/>
      <c r="AZD136" s="9"/>
      <c r="AZE136" s="18"/>
      <c r="AZF136" s="18"/>
      <c r="AZG136" s="18"/>
      <c r="AZH136" s="18"/>
      <c r="AZI136" s="18"/>
      <c r="AZJ136" s="17"/>
      <c r="AZK136" s="9"/>
      <c r="AZL136" s="9"/>
      <c r="AZM136" s="18"/>
      <c r="AZN136" s="18"/>
      <c r="AZO136" s="18"/>
      <c r="AZP136" s="18"/>
      <c r="AZQ136" s="18"/>
      <c r="AZR136" s="17"/>
      <c r="AZS136" s="9"/>
      <c r="AZT136" s="9"/>
      <c r="AZU136" s="18"/>
      <c r="AZV136" s="18"/>
      <c r="AZW136" s="18"/>
      <c r="AZX136" s="18"/>
      <c r="AZY136" s="18"/>
      <c r="AZZ136" s="17"/>
      <c r="BAA136" s="9"/>
      <c r="BAB136" s="9"/>
      <c r="BAC136" s="18"/>
      <c r="BAD136" s="18"/>
      <c r="BAE136" s="18"/>
      <c r="BAF136" s="18"/>
      <c r="BAG136" s="18"/>
      <c r="BAH136" s="17"/>
      <c r="BAI136" s="9"/>
      <c r="BAJ136" s="9"/>
      <c r="BAK136" s="18"/>
      <c r="BAL136" s="18"/>
      <c r="BAM136" s="18"/>
      <c r="BAN136" s="18"/>
      <c r="BAO136" s="18"/>
      <c r="BAP136" s="17"/>
      <c r="BAQ136" s="9"/>
      <c r="BAR136" s="9"/>
      <c r="BAS136" s="18"/>
      <c r="BAT136" s="18"/>
      <c r="BAU136" s="18"/>
      <c r="BAV136" s="18"/>
      <c r="BAW136" s="18"/>
      <c r="BAX136" s="17"/>
      <c r="BAY136" s="9"/>
      <c r="BAZ136" s="9"/>
      <c r="BBA136" s="18"/>
      <c r="BBB136" s="18"/>
      <c r="BBC136" s="18"/>
      <c r="BBD136" s="18"/>
      <c r="BBE136" s="18"/>
      <c r="BBF136" s="17"/>
      <c r="BBG136" s="9"/>
      <c r="BBH136" s="9"/>
      <c r="BBI136" s="18"/>
      <c r="BBJ136" s="18"/>
      <c r="BBK136" s="18"/>
      <c r="BBL136" s="18"/>
      <c r="BBM136" s="18"/>
      <c r="BBN136" s="17"/>
      <c r="BBO136" s="9"/>
      <c r="BBP136" s="9"/>
      <c r="BBQ136" s="18"/>
      <c r="BBR136" s="18"/>
      <c r="BBS136" s="18"/>
      <c r="BBT136" s="18"/>
      <c r="BBU136" s="18"/>
      <c r="BBV136" s="17"/>
      <c r="BBW136" s="9"/>
      <c r="BBX136" s="9"/>
      <c r="BBY136" s="18"/>
      <c r="BBZ136" s="18"/>
      <c r="BCA136" s="18"/>
      <c r="BCB136" s="18"/>
      <c r="BCC136" s="18"/>
      <c r="BCD136" s="17"/>
      <c r="BCE136" s="9"/>
      <c r="BCF136" s="9"/>
      <c r="BCG136" s="18"/>
      <c r="BCH136" s="18"/>
      <c r="BCI136" s="18"/>
      <c r="BCJ136" s="18"/>
      <c r="BCK136" s="18"/>
      <c r="BCL136" s="17"/>
      <c r="BCM136" s="9"/>
      <c r="BCN136" s="9"/>
      <c r="BCO136" s="18"/>
      <c r="BCP136" s="18"/>
      <c r="BCQ136" s="18"/>
      <c r="BCR136" s="18"/>
      <c r="BCS136" s="18"/>
      <c r="BCT136" s="17"/>
      <c r="BCU136" s="9"/>
      <c r="BCV136" s="9"/>
      <c r="BCW136" s="18"/>
      <c r="BCX136" s="18"/>
      <c r="BCY136" s="18"/>
      <c r="BCZ136" s="18"/>
      <c r="BDA136" s="18"/>
      <c r="BDB136" s="17"/>
      <c r="BDC136" s="9"/>
      <c r="BDD136" s="9"/>
      <c r="BDE136" s="18"/>
      <c r="BDF136" s="18"/>
      <c r="BDG136" s="18"/>
      <c r="BDH136" s="18"/>
      <c r="BDI136" s="18"/>
      <c r="BDJ136" s="17"/>
      <c r="BDK136" s="9"/>
      <c r="BDL136" s="9"/>
      <c r="BDM136" s="18"/>
      <c r="BDN136" s="18"/>
      <c r="BDO136" s="18"/>
      <c r="BDP136" s="18"/>
      <c r="BDQ136" s="18"/>
      <c r="BDR136" s="17"/>
      <c r="BDS136" s="9"/>
      <c r="BDT136" s="9"/>
      <c r="BDU136" s="18"/>
      <c r="BDV136" s="18"/>
      <c r="BDW136" s="18"/>
      <c r="BDX136" s="18"/>
      <c r="BDY136" s="18"/>
      <c r="BDZ136" s="17"/>
      <c r="BEA136" s="9"/>
      <c r="BEB136" s="9"/>
      <c r="BEC136" s="18"/>
      <c r="BED136" s="18"/>
      <c r="BEE136" s="18"/>
      <c r="BEF136" s="18"/>
      <c r="BEG136" s="18"/>
      <c r="BEH136" s="17"/>
      <c r="BEI136" s="9"/>
      <c r="BEJ136" s="9"/>
      <c r="BEK136" s="18"/>
      <c r="BEL136" s="18"/>
      <c r="BEM136" s="18"/>
      <c r="BEN136" s="18"/>
      <c r="BEO136" s="18"/>
      <c r="BEP136" s="17"/>
      <c r="BEQ136" s="9"/>
      <c r="BER136" s="9"/>
      <c r="BES136" s="18"/>
      <c r="BET136" s="18"/>
      <c r="BEU136" s="18"/>
      <c r="BEV136" s="18"/>
      <c r="BEW136" s="18"/>
      <c r="BEX136" s="17"/>
      <c r="BEY136" s="9"/>
      <c r="BEZ136" s="9"/>
      <c r="BFA136" s="18"/>
      <c r="BFB136" s="18"/>
      <c r="BFC136" s="18"/>
      <c r="BFD136" s="18"/>
      <c r="BFE136" s="18"/>
      <c r="BFF136" s="17"/>
      <c r="BFG136" s="9"/>
      <c r="BFH136" s="9"/>
      <c r="BFI136" s="18"/>
      <c r="BFJ136" s="18"/>
      <c r="BFK136" s="18"/>
      <c r="BFL136" s="18"/>
      <c r="BFM136" s="18"/>
      <c r="BFN136" s="17"/>
      <c r="BFO136" s="9"/>
      <c r="BFP136" s="9"/>
      <c r="BFQ136" s="18"/>
      <c r="BFR136" s="18"/>
      <c r="BFS136" s="18"/>
      <c r="BFT136" s="18"/>
      <c r="BFU136" s="18"/>
      <c r="BFV136" s="17"/>
      <c r="BFW136" s="9"/>
      <c r="BFX136" s="9"/>
      <c r="BFY136" s="18"/>
      <c r="BFZ136" s="18"/>
      <c r="BGA136" s="18"/>
      <c r="BGB136" s="18"/>
      <c r="BGC136" s="18"/>
      <c r="BGD136" s="17"/>
      <c r="BGE136" s="9"/>
      <c r="BGF136" s="9"/>
      <c r="BGG136" s="18"/>
      <c r="BGH136" s="18"/>
      <c r="BGI136" s="18"/>
      <c r="BGJ136" s="18"/>
      <c r="BGK136" s="18"/>
      <c r="BGL136" s="17"/>
      <c r="BGM136" s="9"/>
      <c r="BGN136" s="9"/>
      <c r="BGO136" s="18"/>
      <c r="BGP136" s="18"/>
      <c r="BGQ136" s="18"/>
      <c r="BGR136" s="18"/>
      <c r="BGS136" s="18"/>
      <c r="BGT136" s="17"/>
      <c r="BGU136" s="9"/>
      <c r="BGV136" s="9"/>
      <c r="BGW136" s="18"/>
      <c r="BGX136" s="18"/>
      <c r="BGY136" s="18"/>
      <c r="BGZ136" s="18"/>
      <c r="BHA136" s="18"/>
      <c r="BHB136" s="17"/>
      <c r="BHC136" s="9"/>
      <c r="BHD136" s="9"/>
      <c r="BHE136" s="18"/>
      <c r="BHF136" s="18"/>
      <c r="BHG136" s="18"/>
      <c r="BHH136" s="18"/>
      <c r="BHI136" s="18"/>
      <c r="BHJ136" s="17"/>
      <c r="BHK136" s="9"/>
      <c r="BHL136" s="9"/>
      <c r="BHM136" s="18"/>
      <c r="BHN136" s="18"/>
      <c r="BHO136" s="18"/>
      <c r="BHP136" s="18"/>
      <c r="BHQ136" s="18"/>
      <c r="BHR136" s="17"/>
      <c r="BHS136" s="9"/>
      <c r="BHT136" s="9"/>
      <c r="BHU136" s="18"/>
      <c r="BHV136" s="18"/>
      <c r="BHW136" s="18"/>
      <c r="BHX136" s="18"/>
      <c r="BHY136" s="18"/>
      <c r="BHZ136" s="17"/>
      <c r="BIA136" s="9"/>
      <c r="BIB136" s="9"/>
      <c r="BIC136" s="18"/>
      <c r="BID136" s="18"/>
      <c r="BIE136" s="18"/>
      <c r="BIF136" s="18"/>
      <c r="BIG136" s="18"/>
      <c r="BIH136" s="17"/>
      <c r="BII136" s="9"/>
      <c r="BIJ136" s="9"/>
      <c r="BIK136" s="18"/>
      <c r="BIL136" s="18"/>
      <c r="BIM136" s="18"/>
      <c r="BIN136" s="18"/>
      <c r="BIO136" s="18"/>
      <c r="BIP136" s="17"/>
      <c r="BIQ136" s="9"/>
      <c r="BIR136" s="9"/>
      <c r="BIS136" s="18"/>
      <c r="BIT136" s="18"/>
      <c r="BIU136" s="18"/>
      <c r="BIV136" s="18"/>
      <c r="BIW136" s="18"/>
      <c r="BIX136" s="17"/>
      <c r="BIY136" s="9"/>
      <c r="BIZ136" s="9"/>
      <c r="BJA136" s="18"/>
      <c r="BJB136" s="18"/>
      <c r="BJC136" s="18"/>
      <c r="BJD136" s="18"/>
      <c r="BJE136" s="18"/>
      <c r="BJF136" s="17"/>
      <c r="BJG136" s="9"/>
      <c r="BJH136" s="9"/>
      <c r="BJI136" s="18"/>
      <c r="BJJ136" s="18"/>
      <c r="BJK136" s="18"/>
      <c r="BJL136" s="18"/>
      <c r="BJM136" s="18"/>
      <c r="BJN136" s="17"/>
      <c r="BJO136" s="9"/>
      <c r="BJP136" s="9"/>
      <c r="BJQ136" s="18"/>
      <c r="BJR136" s="18"/>
      <c r="BJS136" s="18"/>
      <c r="BJT136" s="18"/>
      <c r="BJU136" s="18"/>
      <c r="BJV136" s="17"/>
      <c r="BJW136" s="9"/>
      <c r="BJX136" s="9"/>
      <c r="BJY136" s="18"/>
      <c r="BJZ136" s="18"/>
      <c r="BKA136" s="18"/>
      <c r="BKB136" s="18"/>
      <c r="BKC136" s="18"/>
      <c r="BKD136" s="17"/>
      <c r="BKE136" s="9"/>
      <c r="BKF136" s="9"/>
      <c r="BKG136" s="18"/>
      <c r="BKH136" s="18"/>
      <c r="BKI136" s="18"/>
      <c r="BKJ136" s="18"/>
      <c r="BKK136" s="18"/>
      <c r="BKL136" s="17"/>
      <c r="BKM136" s="9"/>
      <c r="BKN136" s="9"/>
      <c r="BKO136" s="18"/>
      <c r="BKP136" s="18"/>
      <c r="BKQ136" s="18"/>
      <c r="BKR136" s="18"/>
      <c r="BKS136" s="18"/>
      <c r="BKT136" s="17"/>
      <c r="BKU136" s="9"/>
      <c r="BKV136" s="9"/>
      <c r="BKW136" s="18"/>
      <c r="BKX136" s="18"/>
      <c r="BKY136" s="18"/>
      <c r="BKZ136" s="18"/>
      <c r="BLA136" s="18"/>
      <c r="BLB136" s="17"/>
      <c r="BLC136" s="9"/>
      <c r="BLD136" s="9"/>
      <c r="BLE136" s="18"/>
      <c r="BLF136" s="18"/>
      <c r="BLG136" s="18"/>
      <c r="BLH136" s="18"/>
      <c r="BLI136" s="18"/>
      <c r="BLJ136" s="17"/>
      <c r="BLK136" s="9"/>
      <c r="BLL136" s="9"/>
      <c r="BLM136" s="18"/>
      <c r="BLN136" s="18"/>
      <c r="BLO136" s="18"/>
      <c r="BLP136" s="18"/>
      <c r="BLQ136" s="18"/>
      <c r="BLR136" s="17"/>
      <c r="BLS136" s="9"/>
      <c r="BLT136" s="9"/>
      <c r="BLU136" s="18"/>
      <c r="BLV136" s="18"/>
      <c r="BLW136" s="18"/>
      <c r="BLX136" s="18"/>
      <c r="BLY136" s="18"/>
      <c r="BLZ136" s="17"/>
      <c r="BMA136" s="9"/>
      <c r="BMB136" s="9"/>
      <c r="BMC136" s="18"/>
      <c r="BMD136" s="18"/>
      <c r="BME136" s="18"/>
      <c r="BMF136" s="18"/>
      <c r="BMG136" s="18"/>
      <c r="BMH136" s="17"/>
      <c r="BMI136" s="9"/>
      <c r="BMJ136" s="9"/>
      <c r="BMK136" s="18"/>
      <c r="BML136" s="18"/>
      <c r="BMM136" s="18"/>
      <c r="BMN136" s="18"/>
      <c r="BMO136" s="18"/>
      <c r="BMP136" s="17"/>
      <c r="BMQ136" s="9"/>
      <c r="BMR136" s="9"/>
      <c r="BMS136" s="18"/>
      <c r="BMT136" s="18"/>
      <c r="BMU136" s="18"/>
      <c r="BMV136" s="18"/>
      <c r="BMW136" s="18"/>
      <c r="BMX136" s="17"/>
      <c r="BMY136" s="9"/>
      <c r="BMZ136" s="9"/>
      <c r="BNA136" s="18"/>
      <c r="BNB136" s="18"/>
      <c r="BNC136" s="18"/>
      <c r="BND136" s="18"/>
      <c r="BNE136" s="18"/>
      <c r="BNF136" s="17"/>
      <c r="BNG136" s="9"/>
      <c r="BNH136" s="9"/>
      <c r="BNI136" s="18"/>
      <c r="BNJ136" s="18"/>
      <c r="BNK136" s="18"/>
      <c r="BNL136" s="18"/>
      <c r="BNM136" s="18"/>
      <c r="BNN136" s="17"/>
      <c r="BNO136" s="9"/>
      <c r="BNP136" s="9"/>
      <c r="BNQ136" s="18"/>
      <c r="BNR136" s="18"/>
      <c r="BNS136" s="18"/>
      <c r="BNT136" s="18"/>
      <c r="BNU136" s="18"/>
      <c r="BNV136" s="17"/>
      <c r="BNW136" s="9"/>
      <c r="BNX136" s="9"/>
      <c r="BNY136" s="18"/>
      <c r="BNZ136" s="18"/>
      <c r="BOA136" s="18"/>
      <c r="BOB136" s="18"/>
      <c r="BOC136" s="18"/>
      <c r="BOD136" s="17"/>
      <c r="BOE136" s="9"/>
      <c r="BOF136" s="9"/>
      <c r="BOG136" s="18"/>
      <c r="BOH136" s="18"/>
      <c r="BOI136" s="18"/>
      <c r="BOJ136" s="18"/>
      <c r="BOK136" s="18"/>
      <c r="BOL136" s="17"/>
      <c r="BOM136" s="9"/>
      <c r="BON136" s="9"/>
      <c r="BOO136" s="18"/>
      <c r="BOP136" s="18"/>
      <c r="BOQ136" s="18"/>
      <c r="BOR136" s="18"/>
      <c r="BOS136" s="18"/>
      <c r="BOT136" s="17"/>
      <c r="BOU136" s="9"/>
      <c r="BOV136" s="9"/>
      <c r="BOW136" s="18"/>
      <c r="BOX136" s="18"/>
      <c r="BOY136" s="18"/>
      <c r="BOZ136" s="18"/>
      <c r="BPA136" s="18"/>
      <c r="BPB136" s="17"/>
      <c r="BPC136" s="9"/>
      <c r="BPD136" s="9"/>
      <c r="BPE136" s="18"/>
      <c r="BPF136" s="18"/>
      <c r="BPG136" s="18"/>
      <c r="BPH136" s="18"/>
      <c r="BPI136" s="18"/>
      <c r="BPJ136" s="17"/>
      <c r="BPK136" s="9"/>
      <c r="BPL136" s="9"/>
      <c r="BPM136" s="18"/>
      <c r="BPN136" s="18"/>
      <c r="BPO136" s="18"/>
      <c r="BPP136" s="18"/>
      <c r="BPQ136" s="18"/>
      <c r="BPR136" s="17"/>
      <c r="BPS136" s="9"/>
      <c r="BPT136" s="9"/>
      <c r="BPU136" s="18"/>
      <c r="BPV136" s="18"/>
      <c r="BPW136" s="18"/>
      <c r="BPX136" s="18"/>
      <c r="BPY136" s="18"/>
      <c r="BPZ136" s="17"/>
      <c r="BQA136" s="9"/>
      <c r="BQB136" s="9"/>
      <c r="BQC136" s="18"/>
      <c r="BQD136" s="18"/>
      <c r="BQE136" s="18"/>
      <c r="BQF136" s="18"/>
      <c r="BQG136" s="18"/>
      <c r="BQH136" s="17"/>
      <c r="BQI136" s="9"/>
      <c r="BQJ136" s="9"/>
      <c r="BQK136" s="18"/>
      <c r="BQL136" s="18"/>
      <c r="BQM136" s="18"/>
      <c r="BQN136" s="18"/>
      <c r="BQO136" s="18"/>
      <c r="BQP136" s="17"/>
      <c r="BQQ136" s="9"/>
      <c r="BQR136" s="9"/>
      <c r="BQS136" s="18"/>
      <c r="BQT136" s="18"/>
      <c r="BQU136" s="18"/>
      <c r="BQV136" s="18"/>
      <c r="BQW136" s="18"/>
      <c r="BQX136" s="17"/>
      <c r="BQY136" s="9"/>
      <c r="BQZ136" s="9"/>
      <c r="BRA136" s="18"/>
      <c r="BRB136" s="18"/>
      <c r="BRC136" s="18"/>
      <c r="BRD136" s="18"/>
      <c r="BRE136" s="18"/>
      <c r="BRF136" s="17"/>
      <c r="BRG136" s="9"/>
      <c r="BRH136" s="9"/>
      <c r="BRI136" s="18"/>
      <c r="BRJ136" s="18"/>
      <c r="BRK136" s="18"/>
      <c r="BRL136" s="18"/>
      <c r="BRM136" s="18"/>
      <c r="BRN136" s="17"/>
      <c r="BRO136" s="9"/>
      <c r="BRP136" s="9"/>
      <c r="BRQ136" s="18"/>
      <c r="BRR136" s="18"/>
      <c r="BRS136" s="18"/>
      <c r="BRT136" s="18"/>
      <c r="BRU136" s="18"/>
      <c r="BRV136" s="17"/>
      <c r="BRW136" s="9"/>
      <c r="BRX136" s="9"/>
      <c r="BRY136" s="18"/>
      <c r="BRZ136" s="18"/>
      <c r="BSA136" s="18"/>
      <c r="BSB136" s="18"/>
      <c r="BSC136" s="18"/>
      <c r="BSD136" s="17"/>
      <c r="BSE136" s="9"/>
      <c r="BSF136" s="9"/>
      <c r="BSG136" s="18"/>
      <c r="BSH136" s="18"/>
      <c r="BSI136" s="18"/>
      <c r="BSJ136" s="18"/>
      <c r="BSK136" s="18"/>
      <c r="BSL136" s="17"/>
      <c r="BSM136" s="9"/>
      <c r="BSN136" s="9"/>
      <c r="BSO136" s="18"/>
      <c r="BSP136" s="18"/>
      <c r="BSQ136" s="18"/>
      <c r="BSR136" s="18"/>
      <c r="BSS136" s="18"/>
      <c r="BST136" s="17"/>
      <c r="BSU136" s="9"/>
      <c r="BSV136" s="9"/>
      <c r="BSW136" s="18"/>
      <c r="BSX136" s="18"/>
      <c r="BSY136" s="18"/>
      <c r="BSZ136" s="18"/>
      <c r="BTA136" s="18"/>
      <c r="BTB136" s="17"/>
      <c r="BTC136" s="9"/>
      <c r="BTD136" s="9"/>
      <c r="BTE136" s="18"/>
      <c r="BTF136" s="18"/>
      <c r="BTG136" s="18"/>
      <c r="BTH136" s="18"/>
      <c r="BTI136" s="18"/>
      <c r="BTJ136" s="17"/>
      <c r="BTK136" s="9"/>
      <c r="BTL136" s="9"/>
      <c r="BTM136" s="18"/>
      <c r="BTN136" s="18"/>
      <c r="BTO136" s="18"/>
      <c r="BTP136" s="18"/>
      <c r="BTQ136" s="18"/>
      <c r="BTR136" s="17"/>
      <c r="BTS136" s="9"/>
      <c r="BTT136" s="9"/>
      <c r="BTU136" s="18"/>
      <c r="BTV136" s="18"/>
      <c r="BTW136" s="18"/>
      <c r="BTX136" s="18"/>
      <c r="BTY136" s="18"/>
      <c r="BTZ136" s="17"/>
      <c r="BUA136" s="9"/>
      <c r="BUB136" s="9"/>
      <c r="BUC136" s="18"/>
      <c r="BUD136" s="18"/>
      <c r="BUE136" s="18"/>
      <c r="BUF136" s="18"/>
      <c r="BUG136" s="18"/>
      <c r="BUH136" s="17"/>
      <c r="BUI136" s="9"/>
      <c r="BUJ136" s="9"/>
      <c r="BUK136" s="18"/>
      <c r="BUL136" s="18"/>
      <c r="BUM136" s="18"/>
      <c r="BUN136" s="18"/>
      <c r="BUO136" s="18"/>
      <c r="BUP136" s="17"/>
      <c r="BUQ136" s="9"/>
      <c r="BUR136" s="9"/>
      <c r="BUS136" s="18"/>
      <c r="BUT136" s="18"/>
      <c r="BUU136" s="18"/>
      <c r="BUV136" s="18"/>
      <c r="BUW136" s="18"/>
      <c r="BUX136" s="17"/>
      <c r="BUY136" s="9"/>
      <c r="BUZ136" s="9"/>
      <c r="BVA136" s="18"/>
      <c r="BVB136" s="18"/>
      <c r="BVC136" s="18"/>
      <c r="BVD136" s="18"/>
      <c r="BVE136" s="18"/>
      <c r="BVF136" s="17"/>
      <c r="BVG136" s="9"/>
      <c r="BVH136" s="9"/>
      <c r="BVI136" s="18"/>
      <c r="BVJ136" s="18"/>
      <c r="BVK136" s="18"/>
      <c r="BVL136" s="18"/>
      <c r="BVM136" s="18"/>
      <c r="BVN136" s="17"/>
      <c r="BVO136" s="9"/>
      <c r="BVP136" s="9"/>
      <c r="BVQ136" s="18"/>
      <c r="BVR136" s="18"/>
      <c r="BVS136" s="18"/>
      <c r="BVT136" s="18"/>
      <c r="BVU136" s="18"/>
      <c r="BVV136" s="17"/>
      <c r="BVW136" s="9"/>
      <c r="BVX136" s="9"/>
      <c r="BVY136" s="18"/>
      <c r="BVZ136" s="18"/>
      <c r="BWA136" s="18"/>
      <c r="BWB136" s="18"/>
      <c r="BWC136" s="18"/>
      <c r="BWD136" s="17"/>
      <c r="BWE136" s="9"/>
      <c r="BWF136" s="9"/>
      <c r="BWG136" s="18"/>
      <c r="BWH136" s="18"/>
      <c r="BWI136" s="18"/>
      <c r="BWJ136" s="18"/>
      <c r="BWK136" s="18"/>
      <c r="BWL136" s="17"/>
      <c r="BWM136" s="9"/>
      <c r="BWN136" s="9"/>
      <c r="BWO136" s="18"/>
      <c r="BWP136" s="18"/>
      <c r="BWQ136" s="18"/>
      <c r="BWR136" s="18"/>
      <c r="BWS136" s="18"/>
      <c r="BWT136" s="17"/>
      <c r="BWU136" s="9"/>
      <c r="BWV136" s="9"/>
      <c r="BWW136" s="18"/>
      <c r="BWX136" s="18"/>
      <c r="BWY136" s="18"/>
      <c r="BWZ136" s="18"/>
      <c r="BXA136" s="18"/>
      <c r="BXB136" s="17"/>
      <c r="BXC136" s="9"/>
      <c r="BXD136" s="9"/>
      <c r="BXE136" s="18"/>
      <c r="BXF136" s="18"/>
      <c r="BXG136" s="18"/>
      <c r="BXH136" s="18"/>
      <c r="BXI136" s="18"/>
      <c r="BXJ136" s="17"/>
      <c r="BXK136" s="9"/>
      <c r="BXL136" s="9"/>
      <c r="BXM136" s="18"/>
      <c r="BXN136" s="18"/>
      <c r="BXO136" s="18"/>
      <c r="BXP136" s="18"/>
      <c r="BXQ136" s="18"/>
      <c r="BXR136" s="17"/>
      <c r="BXS136" s="9"/>
      <c r="BXT136" s="9"/>
      <c r="BXU136" s="18"/>
      <c r="BXV136" s="18"/>
      <c r="BXW136" s="18"/>
      <c r="BXX136" s="18"/>
      <c r="BXY136" s="18"/>
      <c r="BXZ136" s="17"/>
      <c r="BYA136" s="9"/>
      <c r="BYB136" s="9"/>
      <c r="BYC136" s="18"/>
      <c r="BYD136" s="18"/>
      <c r="BYE136" s="18"/>
      <c r="BYF136" s="18"/>
      <c r="BYG136" s="18"/>
      <c r="BYH136" s="17"/>
      <c r="BYI136" s="9"/>
      <c r="BYJ136" s="9"/>
      <c r="BYK136" s="18"/>
      <c r="BYL136" s="18"/>
      <c r="BYM136" s="18"/>
      <c r="BYN136" s="18"/>
      <c r="BYO136" s="18"/>
      <c r="BYP136" s="17"/>
      <c r="BYQ136" s="9"/>
      <c r="BYR136" s="9"/>
      <c r="BYS136" s="18"/>
      <c r="BYT136" s="18"/>
      <c r="BYU136" s="18"/>
      <c r="BYV136" s="18"/>
      <c r="BYW136" s="18"/>
      <c r="BYX136" s="17"/>
      <c r="BYY136" s="9"/>
      <c r="BYZ136" s="9"/>
      <c r="BZA136" s="18"/>
      <c r="BZB136" s="18"/>
      <c r="BZC136" s="18"/>
      <c r="BZD136" s="18"/>
      <c r="BZE136" s="18"/>
      <c r="BZF136" s="17"/>
      <c r="BZG136" s="9"/>
      <c r="BZH136" s="9"/>
      <c r="BZI136" s="18"/>
      <c r="BZJ136" s="18"/>
      <c r="BZK136" s="18"/>
      <c r="BZL136" s="18"/>
      <c r="BZM136" s="18"/>
      <c r="BZN136" s="17"/>
      <c r="BZO136" s="9"/>
      <c r="BZP136" s="9"/>
      <c r="BZQ136" s="18"/>
      <c r="BZR136" s="18"/>
      <c r="BZS136" s="18"/>
      <c r="BZT136" s="18"/>
      <c r="BZU136" s="18"/>
      <c r="BZV136" s="17"/>
      <c r="BZW136" s="9"/>
      <c r="BZX136" s="9"/>
      <c r="BZY136" s="18"/>
      <c r="BZZ136" s="18"/>
      <c r="CAA136" s="18"/>
      <c r="CAB136" s="18"/>
      <c r="CAC136" s="18"/>
      <c r="CAD136" s="17"/>
      <c r="CAE136" s="9"/>
      <c r="CAF136" s="9"/>
      <c r="CAG136" s="18"/>
      <c r="CAH136" s="18"/>
      <c r="CAI136" s="18"/>
      <c r="CAJ136" s="18"/>
      <c r="CAK136" s="18"/>
      <c r="CAL136" s="17"/>
      <c r="CAM136" s="9"/>
      <c r="CAN136" s="9"/>
      <c r="CAO136" s="18"/>
      <c r="CAP136" s="18"/>
      <c r="CAQ136" s="18"/>
      <c r="CAR136" s="18"/>
      <c r="CAS136" s="18"/>
      <c r="CAT136" s="17"/>
      <c r="CAU136" s="9"/>
      <c r="CAV136" s="9"/>
      <c r="CAW136" s="18"/>
      <c r="CAX136" s="18"/>
      <c r="CAY136" s="18"/>
      <c r="CAZ136" s="18"/>
      <c r="CBA136" s="18"/>
      <c r="CBB136" s="17"/>
      <c r="CBC136" s="9"/>
      <c r="CBD136" s="9"/>
      <c r="CBE136" s="18"/>
      <c r="CBF136" s="18"/>
      <c r="CBG136" s="18"/>
      <c r="CBH136" s="18"/>
      <c r="CBI136" s="18"/>
      <c r="CBJ136" s="17"/>
      <c r="CBK136" s="9"/>
      <c r="CBL136" s="9"/>
      <c r="CBM136" s="18"/>
      <c r="CBN136" s="18"/>
      <c r="CBO136" s="18"/>
      <c r="CBP136" s="18"/>
      <c r="CBQ136" s="18"/>
      <c r="CBR136" s="17"/>
      <c r="CBS136" s="9"/>
      <c r="CBT136" s="9"/>
      <c r="CBU136" s="18"/>
      <c r="CBV136" s="18"/>
      <c r="CBW136" s="18"/>
      <c r="CBX136" s="18"/>
      <c r="CBY136" s="18"/>
      <c r="CBZ136" s="17"/>
      <c r="CCA136" s="9"/>
      <c r="CCB136" s="9"/>
      <c r="CCC136" s="18"/>
      <c r="CCD136" s="18"/>
      <c r="CCE136" s="18"/>
      <c r="CCF136" s="18"/>
      <c r="CCG136" s="18"/>
      <c r="CCH136" s="17"/>
      <c r="CCI136" s="9"/>
      <c r="CCJ136" s="9"/>
      <c r="CCK136" s="18"/>
      <c r="CCL136" s="18"/>
      <c r="CCM136" s="18"/>
      <c r="CCN136" s="18"/>
      <c r="CCO136" s="18"/>
      <c r="CCP136" s="17"/>
      <c r="CCQ136" s="9"/>
      <c r="CCR136" s="9"/>
      <c r="CCS136" s="18"/>
      <c r="CCT136" s="18"/>
      <c r="CCU136" s="18"/>
      <c r="CCV136" s="18"/>
      <c r="CCW136" s="18"/>
      <c r="CCX136" s="17"/>
      <c r="CCY136" s="9"/>
      <c r="CCZ136" s="9"/>
      <c r="CDA136" s="18"/>
      <c r="CDB136" s="18"/>
      <c r="CDC136" s="18"/>
      <c r="CDD136" s="18"/>
      <c r="CDE136" s="18"/>
      <c r="CDF136" s="17"/>
      <c r="CDG136" s="9"/>
      <c r="CDH136" s="9"/>
      <c r="CDI136" s="18"/>
      <c r="CDJ136" s="18"/>
      <c r="CDK136" s="18"/>
      <c r="CDL136" s="18"/>
      <c r="CDM136" s="18"/>
      <c r="CDN136" s="17"/>
      <c r="CDO136" s="9"/>
      <c r="CDP136" s="9"/>
      <c r="CDQ136" s="18"/>
      <c r="CDR136" s="18"/>
      <c r="CDS136" s="18"/>
      <c r="CDT136" s="18"/>
      <c r="CDU136" s="18"/>
      <c r="CDV136" s="17"/>
      <c r="CDW136" s="9"/>
      <c r="CDX136" s="9"/>
      <c r="CDY136" s="18"/>
      <c r="CDZ136" s="18"/>
      <c r="CEA136" s="18"/>
      <c r="CEB136" s="18"/>
      <c r="CEC136" s="18"/>
      <c r="CED136" s="17"/>
      <c r="CEE136" s="9"/>
      <c r="CEF136" s="9"/>
      <c r="CEG136" s="18"/>
      <c r="CEH136" s="18"/>
      <c r="CEI136" s="18"/>
      <c r="CEJ136" s="18"/>
      <c r="CEK136" s="18"/>
      <c r="CEL136" s="17"/>
      <c r="CEM136" s="9"/>
      <c r="CEN136" s="9"/>
      <c r="CEO136" s="18"/>
      <c r="CEP136" s="18"/>
      <c r="CEQ136" s="18"/>
      <c r="CER136" s="18"/>
      <c r="CES136" s="18"/>
      <c r="CET136" s="17"/>
      <c r="CEU136" s="9"/>
      <c r="CEV136" s="9"/>
      <c r="CEW136" s="18"/>
      <c r="CEX136" s="18"/>
      <c r="CEY136" s="18"/>
      <c r="CEZ136" s="18"/>
      <c r="CFA136" s="18"/>
      <c r="CFB136" s="17"/>
      <c r="CFC136" s="9"/>
      <c r="CFD136" s="9"/>
      <c r="CFE136" s="18"/>
      <c r="CFF136" s="18"/>
      <c r="CFG136" s="18"/>
      <c r="CFH136" s="18"/>
      <c r="CFI136" s="18"/>
      <c r="CFJ136" s="17"/>
      <c r="CFK136" s="9"/>
      <c r="CFL136" s="9"/>
      <c r="CFM136" s="18"/>
      <c r="CFN136" s="18"/>
      <c r="CFO136" s="18"/>
      <c r="CFP136" s="18"/>
      <c r="CFQ136" s="18"/>
      <c r="CFR136" s="17"/>
      <c r="CFS136" s="9"/>
      <c r="CFT136" s="9"/>
      <c r="CFU136" s="18"/>
      <c r="CFV136" s="18"/>
      <c r="CFW136" s="18"/>
      <c r="CFX136" s="18"/>
      <c r="CFY136" s="18"/>
      <c r="CFZ136" s="17"/>
      <c r="CGA136" s="9"/>
      <c r="CGB136" s="9"/>
      <c r="CGC136" s="18"/>
      <c r="CGD136" s="18"/>
      <c r="CGE136" s="18"/>
      <c r="CGF136" s="18"/>
      <c r="CGG136" s="18"/>
      <c r="CGH136" s="17"/>
      <c r="CGI136" s="9"/>
      <c r="CGJ136" s="9"/>
      <c r="CGK136" s="18"/>
      <c r="CGL136" s="18"/>
      <c r="CGM136" s="18"/>
      <c r="CGN136" s="18"/>
      <c r="CGO136" s="18"/>
      <c r="CGP136" s="17"/>
      <c r="CGQ136" s="9"/>
      <c r="CGR136" s="9"/>
      <c r="CGS136" s="18"/>
      <c r="CGT136" s="18"/>
      <c r="CGU136" s="18"/>
      <c r="CGV136" s="18"/>
      <c r="CGW136" s="18"/>
      <c r="CGX136" s="17"/>
      <c r="CGY136" s="9"/>
      <c r="CGZ136" s="9"/>
      <c r="CHA136" s="18"/>
      <c r="CHB136" s="18"/>
      <c r="CHC136" s="18"/>
      <c r="CHD136" s="18"/>
      <c r="CHE136" s="18"/>
      <c r="CHF136" s="17"/>
      <c r="CHG136" s="9"/>
      <c r="CHH136" s="9"/>
      <c r="CHI136" s="18"/>
      <c r="CHJ136" s="18"/>
      <c r="CHK136" s="18"/>
      <c r="CHL136" s="18"/>
      <c r="CHM136" s="18"/>
      <c r="CHN136" s="17"/>
      <c r="CHO136" s="9"/>
      <c r="CHP136" s="9"/>
      <c r="CHQ136" s="18"/>
      <c r="CHR136" s="18"/>
      <c r="CHS136" s="18"/>
      <c r="CHT136" s="18"/>
      <c r="CHU136" s="18"/>
      <c r="CHV136" s="17"/>
      <c r="CHW136" s="9"/>
      <c r="CHX136" s="9"/>
      <c r="CHY136" s="18"/>
      <c r="CHZ136" s="18"/>
      <c r="CIA136" s="18"/>
      <c r="CIB136" s="18"/>
      <c r="CIC136" s="18"/>
      <c r="CID136" s="17"/>
      <c r="CIE136" s="9"/>
      <c r="CIF136" s="9"/>
      <c r="CIG136" s="18"/>
      <c r="CIH136" s="18"/>
      <c r="CII136" s="18"/>
      <c r="CIJ136" s="18"/>
      <c r="CIK136" s="18"/>
      <c r="CIL136" s="17"/>
      <c r="CIM136" s="9"/>
      <c r="CIN136" s="9"/>
      <c r="CIO136" s="18"/>
      <c r="CIP136" s="18"/>
      <c r="CIQ136" s="18"/>
      <c r="CIR136" s="18"/>
      <c r="CIS136" s="18"/>
      <c r="CIT136" s="17"/>
      <c r="CIU136" s="9"/>
      <c r="CIV136" s="9"/>
      <c r="CIW136" s="18"/>
      <c r="CIX136" s="18"/>
      <c r="CIY136" s="18"/>
      <c r="CIZ136" s="18"/>
      <c r="CJA136" s="18"/>
      <c r="CJB136" s="17"/>
      <c r="CJC136" s="9"/>
      <c r="CJD136" s="9"/>
      <c r="CJE136" s="18"/>
      <c r="CJF136" s="18"/>
      <c r="CJG136" s="18"/>
      <c r="CJH136" s="18"/>
      <c r="CJI136" s="18"/>
      <c r="CJJ136" s="17"/>
      <c r="CJK136" s="9"/>
      <c r="CJL136" s="9"/>
      <c r="CJM136" s="18"/>
      <c r="CJN136" s="18"/>
      <c r="CJO136" s="18"/>
      <c r="CJP136" s="18"/>
      <c r="CJQ136" s="18"/>
      <c r="CJR136" s="17"/>
      <c r="CJS136" s="9"/>
      <c r="CJT136" s="9"/>
      <c r="CJU136" s="18"/>
      <c r="CJV136" s="18"/>
      <c r="CJW136" s="18"/>
      <c r="CJX136" s="18"/>
      <c r="CJY136" s="18"/>
      <c r="CJZ136" s="17"/>
      <c r="CKA136" s="9"/>
      <c r="CKB136" s="9"/>
      <c r="CKC136" s="18"/>
      <c r="CKD136" s="18"/>
      <c r="CKE136" s="18"/>
      <c r="CKF136" s="18"/>
      <c r="CKG136" s="18"/>
      <c r="CKH136" s="17"/>
      <c r="CKI136" s="9"/>
      <c r="CKJ136" s="9"/>
      <c r="CKK136" s="18"/>
      <c r="CKL136" s="18"/>
      <c r="CKM136" s="18"/>
      <c r="CKN136" s="18"/>
      <c r="CKO136" s="18"/>
      <c r="CKP136" s="17"/>
      <c r="CKQ136" s="9"/>
      <c r="CKR136" s="9"/>
      <c r="CKS136" s="18"/>
      <c r="CKT136" s="18"/>
      <c r="CKU136" s="18"/>
      <c r="CKV136" s="18"/>
      <c r="CKW136" s="18"/>
      <c r="CKX136" s="17"/>
      <c r="CKY136" s="9"/>
      <c r="CKZ136" s="9"/>
      <c r="CLA136" s="18"/>
      <c r="CLB136" s="18"/>
      <c r="CLC136" s="18"/>
      <c r="CLD136" s="18"/>
      <c r="CLE136" s="18"/>
      <c r="CLF136" s="17"/>
      <c r="CLG136" s="9"/>
      <c r="CLH136" s="9"/>
      <c r="CLI136" s="18"/>
      <c r="CLJ136" s="18"/>
      <c r="CLK136" s="18"/>
      <c r="CLL136" s="18"/>
      <c r="CLM136" s="18"/>
      <c r="CLN136" s="17"/>
      <c r="CLO136" s="9"/>
      <c r="CLP136" s="9"/>
      <c r="CLQ136" s="18"/>
      <c r="CLR136" s="18"/>
      <c r="CLS136" s="18"/>
      <c r="CLT136" s="18"/>
      <c r="CLU136" s="18"/>
      <c r="CLV136" s="17"/>
      <c r="CLW136" s="9"/>
      <c r="CLX136" s="9"/>
      <c r="CLY136" s="18"/>
      <c r="CLZ136" s="18"/>
      <c r="CMA136" s="18"/>
      <c r="CMB136" s="18"/>
      <c r="CMC136" s="18"/>
      <c r="CMD136" s="17"/>
      <c r="CME136" s="9"/>
      <c r="CMF136" s="9"/>
      <c r="CMG136" s="18"/>
      <c r="CMH136" s="18"/>
      <c r="CMI136" s="18"/>
      <c r="CMJ136" s="18"/>
      <c r="CMK136" s="18"/>
      <c r="CML136" s="17"/>
      <c r="CMM136" s="9"/>
      <c r="CMN136" s="9"/>
      <c r="CMO136" s="18"/>
      <c r="CMP136" s="18"/>
      <c r="CMQ136" s="18"/>
      <c r="CMR136" s="18"/>
      <c r="CMS136" s="18"/>
      <c r="CMT136" s="17"/>
      <c r="CMU136" s="9"/>
      <c r="CMV136" s="9"/>
      <c r="CMW136" s="18"/>
      <c r="CMX136" s="18"/>
      <c r="CMY136" s="18"/>
      <c r="CMZ136" s="18"/>
      <c r="CNA136" s="18"/>
      <c r="CNB136" s="17"/>
      <c r="CNC136" s="9"/>
      <c r="CND136" s="9"/>
      <c r="CNE136" s="18"/>
      <c r="CNF136" s="18"/>
      <c r="CNG136" s="18"/>
      <c r="CNH136" s="18"/>
      <c r="CNI136" s="18"/>
      <c r="CNJ136" s="17"/>
      <c r="CNK136" s="9"/>
      <c r="CNL136" s="9"/>
      <c r="CNM136" s="18"/>
      <c r="CNN136" s="18"/>
      <c r="CNO136" s="18"/>
      <c r="CNP136" s="18"/>
      <c r="CNQ136" s="18"/>
      <c r="CNR136" s="17"/>
      <c r="CNS136" s="9"/>
      <c r="CNT136" s="9"/>
      <c r="CNU136" s="18"/>
      <c r="CNV136" s="18"/>
      <c r="CNW136" s="18"/>
      <c r="CNX136" s="18"/>
      <c r="CNY136" s="18"/>
      <c r="CNZ136" s="17"/>
      <c r="COA136" s="9"/>
      <c r="COB136" s="9"/>
      <c r="COC136" s="18"/>
      <c r="COD136" s="18"/>
      <c r="COE136" s="18"/>
      <c r="COF136" s="18"/>
      <c r="COG136" s="18"/>
      <c r="COH136" s="17"/>
      <c r="COI136" s="9"/>
      <c r="COJ136" s="9"/>
      <c r="COK136" s="18"/>
      <c r="COL136" s="18"/>
      <c r="COM136" s="18"/>
      <c r="CON136" s="18"/>
      <c r="COO136" s="18"/>
      <c r="COP136" s="17"/>
      <c r="COQ136" s="9"/>
      <c r="COR136" s="9"/>
      <c r="COS136" s="18"/>
      <c r="COT136" s="18"/>
      <c r="COU136" s="18"/>
      <c r="COV136" s="18"/>
      <c r="COW136" s="18"/>
      <c r="COX136" s="17"/>
      <c r="COY136" s="9"/>
      <c r="COZ136" s="9"/>
      <c r="CPA136" s="18"/>
      <c r="CPB136" s="18"/>
      <c r="CPC136" s="18"/>
      <c r="CPD136" s="18"/>
      <c r="CPE136" s="18"/>
      <c r="CPF136" s="17"/>
      <c r="CPG136" s="9"/>
      <c r="CPH136" s="9"/>
      <c r="CPI136" s="18"/>
      <c r="CPJ136" s="18"/>
      <c r="CPK136" s="18"/>
      <c r="CPL136" s="18"/>
      <c r="CPM136" s="18"/>
      <c r="CPN136" s="17"/>
      <c r="CPO136" s="9"/>
      <c r="CPP136" s="9"/>
      <c r="CPQ136" s="18"/>
      <c r="CPR136" s="18"/>
      <c r="CPS136" s="18"/>
      <c r="CPT136" s="18"/>
      <c r="CPU136" s="18"/>
      <c r="CPV136" s="17"/>
      <c r="CPW136" s="9"/>
      <c r="CPX136" s="9"/>
      <c r="CPY136" s="18"/>
      <c r="CPZ136" s="18"/>
      <c r="CQA136" s="18"/>
      <c r="CQB136" s="18"/>
      <c r="CQC136" s="18"/>
      <c r="CQD136" s="17"/>
      <c r="CQE136" s="9"/>
      <c r="CQF136" s="9"/>
      <c r="CQG136" s="18"/>
      <c r="CQH136" s="18"/>
      <c r="CQI136" s="18"/>
      <c r="CQJ136" s="18"/>
      <c r="CQK136" s="18"/>
      <c r="CQL136" s="17"/>
      <c r="CQM136" s="9"/>
      <c r="CQN136" s="9"/>
      <c r="CQO136" s="18"/>
      <c r="CQP136" s="18"/>
      <c r="CQQ136" s="18"/>
      <c r="CQR136" s="18"/>
      <c r="CQS136" s="18"/>
      <c r="CQT136" s="17"/>
      <c r="CQU136" s="9"/>
      <c r="CQV136" s="9"/>
      <c r="CQW136" s="18"/>
      <c r="CQX136" s="18"/>
      <c r="CQY136" s="18"/>
      <c r="CQZ136" s="18"/>
      <c r="CRA136" s="18"/>
      <c r="CRB136" s="17"/>
      <c r="CRC136" s="9"/>
      <c r="CRD136" s="9"/>
      <c r="CRE136" s="18"/>
      <c r="CRF136" s="18"/>
      <c r="CRG136" s="18"/>
      <c r="CRH136" s="18"/>
      <c r="CRI136" s="18"/>
      <c r="CRJ136" s="17"/>
      <c r="CRK136" s="9"/>
      <c r="CRL136" s="9"/>
      <c r="CRM136" s="18"/>
      <c r="CRN136" s="18"/>
      <c r="CRO136" s="18"/>
      <c r="CRP136" s="18"/>
      <c r="CRQ136" s="18"/>
      <c r="CRR136" s="17"/>
      <c r="CRS136" s="9"/>
      <c r="CRT136" s="9"/>
      <c r="CRU136" s="18"/>
      <c r="CRV136" s="18"/>
      <c r="CRW136" s="18"/>
      <c r="CRX136" s="18"/>
      <c r="CRY136" s="18"/>
      <c r="CRZ136" s="17"/>
      <c r="CSA136" s="9"/>
      <c r="CSB136" s="9"/>
      <c r="CSC136" s="18"/>
      <c r="CSD136" s="18"/>
      <c r="CSE136" s="18"/>
      <c r="CSF136" s="18"/>
      <c r="CSG136" s="18"/>
      <c r="CSH136" s="17"/>
      <c r="CSI136" s="9"/>
      <c r="CSJ136" s="9"/>
      <c r="CSK136" s="18"/>
      <c r="CSL136" s="18"/>
      <c r="CSM136" s="18"/>
      <c r="CSN136" s="18"/>
      <c r="CSO136" s="18"/>
      <c r="CSP136" s="17"/>
      <c r="CSQ136" s="9"/>
      <c r="CSR136" s="9"/>
      <c r="CSS136" s="18"/>
      <c r="CST136" s="18"/>
      <c r="CSU136" s="18"/>
      <c r="CSV136" s="18"/>
      <c r="CSW136" s="18"/>
      <c r="CSX136" s="17"/>
      <c r="CSY136" s="9"/>
      <c r="CSZ136" s="9"/>
      <c r="CTA136" s="18"/>
      <c r="CTB136" s="18"/>
      <c r="CTC136" s="18"/>
      <c r="CTD136" s="18"/>
      <c r="CTE136" s="18"/>
      <c r="CTF136" s="17"/>
      <c r="CTG136" s="9"/>
      <c r="CTH136" s="9"/>
      <c r="CTI136" s="18"/>
      <c r="CTJ136" s="18"/>
      <c r="CTK136" s="18"/>
      <c r="CTL136" s="18"/>
      <c r="CTM136" s="18"/>
      <c r="CTN136" s="17"/>
      <c r="CTO136" s="9"/>
      <c r="CTP136" s="9"/>
      <c r="CTQ136" s="18"/>
      <c r="CTR136" s="18"/>
      <c r="CTS136" s="18"/>
      <c r="CTT136" s="18"/>
      <c r="CTU136" s="18"/>
      <c r="CTV136" s="17"/>
      <c r="CTW136" s="9"/>
      <c r="CTX136" s="9"/>
      <c r="CTY136" s="18"/>
      <c r="CTZ136" s="18"/>
      <c r="CUA136" s="18"/>
      <c r="CUB136" s="18"/>
      <c r="CUC136" s="18"/>
      <c r="CUD136" s="17"/>
      <c r="CUE136" s="9"/>
      <c r="CUF136" s="9"/>
      <c r="CUG136" s="18"/>
      <c r="CUH136" s="18"/>
      <c r="CUI136" s="18"/>
      <c r="CUJ136" s="18"/>
      <c r="CUK136" s="18"/>
      <c r="CUL136" s="17"/>
      <c r="CUM136" s="9"/>
      <c r="CUN136" s="9"/>
      <c r="CUO136" s="18"/>
      <c r="CUP136" s="18"/>
      <c r="CUQ136" s="18"/>
      <c r="CUR136" s="18"/>
      <c r="CUS136" s="18"/>
      <c r="CUT136" s="17"/>
      <c r="CUU136" s="9"/>
      <c r="CUV136" s="9"/>
      <c r="CUW136" s="18"/>
      <c r="CUX136" s="18"/>
      <c r="CUY136" s="18"/>
      <c r="CUZ136" s="18"/>
      <c r="CVA136" s="18"/>
      <c r="CVB136" s="17"/>
      <c r="CVC136" s="9"/>
      <c r="CVD136" s="9"/>
      <c r="CVE136" s="18"/>
      <c r="CVF136" s="18"/>
      <c r="CVG136" s="18"/>
      <c r="CVH136" s="18"/>
      <c r="CVI136" s="18"/>
      <c r="CVJ136" s="17"/>
      <c r="CVK136" s="9"/>
      <c r="CVL136" s="9"/>
      <c r="CVM136" s="18"/>
      <c r="CVN136" s="18"/>
      <c r="CVO136" s="18"/>
      <c r="CVP136" s="18"/>
      <c r="CVQ136" s="18"/>
      <c r="CVR136" s="17"/>
      <c r="CVS136" s="9"/>
      <c r="CVT136" s="9"/>
      <c r="CVU136" s="18"/>
      <c r="CVV136" s="18"/>
      <c r="CVW136" s="18"/>
      <c r="CVX136" s="18"/>
      <c r="CVY136" s="18"/>
      <c r="CVZ136" s="17"/>
      <c r="CWA136" s="9"/>
      <c r="CWB136" s="9"/>
      <c r="CWC136" s="18"/>
      <c r="CWD136" s="18"/>
      <c r="CWE136" s="18"/>
      <c r="CWF136" s="18"/>
      <c r="CWG136" s="18"/>
      <c r="CWH136" s="17"/>
      <c r="CWI136" s="9"/>
      <c r="CWJ136" s="9"/>
      <c r="CWK136" s="18"/>
      <c r="CWL136" s="18"/>
      <c r="CWM136" s="18"/>
      <c r="CWN136" s="18"/>
      <c r="CWO136" s="18"/>
      <c r="CWP136" s="17"/>
      <c r="CWQ136" s="9"/>
      <c r="CWR136" s="9"/>
      <c r="CWS136" s="18"/>
      <c r="CWT136" s="18"/>
      <c r="CWU136" s="18"/>
      <c r="CWV136" s="18"/>
      <c r="CWW136" s="18"/>
      <c r="CWX136" s="17"/>
      <c r="CWY136" s="9"/>
      <c r="CWZ136" s="9"/>
      <c r="CXA136" s="18"/>
      <c r="CXB136" s="18"/>
      <c r="CXC136" s="18"/>
      <c r="CXD136" s="18"/>
      <c r="CXE136" s="18"/>
      <c r="CXF136" s="17"/>
      <c r="CXG136" s="9"/>
      <c r="CXH136" s="9"/>
      <c r="CXI136" s="18"/>
      <c r="CXJ136" s="18"/>
      <c r="CXK136" s="18"/>
      <c r="CXL136" s="18"/>
      <c r="CXM136" s="18"/>
      <c r="CXN136" s="17"/>
      <c r="CXO136" s="9"/>
      <c r="CXP136" s="9"/>
      <c r="CXQ136" s="18"/>
      <c r="CXR136" s="18"/>
      <c r="CXS136" s="18"/>
      <c r="CXT136" s="18"/>
      <c r="CXU136" s="18"/>
      <c r="CXV136" s="17"/>
      <c r="CXW136" s="9"/>
      <c r="CXX136" s="9"/>
      <c r="CXY136" s="18"/>
      <c r="CXZ136" s="18"/>
      <c r="CYA136" s="18"/>
      <c r="CYB136" s="18"/>
      <c r="CYC136" s="18"/>
      <c r="CYD136" s="17"/>
      <c r="CYE136" s="9"/>
      <c r="CYF136" s="9"/>
      <c r="CYG136" s="18"/>
      <c r="CYH136" s="18"/>
      <c r="CYI136" s="18"/>
      <c r="CYJ136" s="18"/>
      <c r="CYK136" s="18"/>
      <c r="CYL136" s="17"/>
      <c r="CYM136" s="9"/>
      <c r="CYN136" s="9"/>
      <c r="CYO136" s="18"/>
      <c r="CYP136" s="18"/>
      <c r="CYQ136" s="18"/>
      <c r="CYR136" s="18"/>
      <c r="CYS136" s="18"/>
      <c r="CYT136" s="17"/>
      <c r="CYU136" s="9"/>
      <c r="CYV136" s="9"/>
      <c r="CYW136" s="18"/>
      <c r="CYX136" s="18"/>
      <c r="CYY136" s="18"/>
      <c r="CYZ136" s="18"/>
      <c r="CZA136" s="18"/>
      <c r="CZB136" s="17"/>
      <c r="CZC136" s="9"/>
      <c r="CZD136" s="9"/>
      <c r="CZE136" s="18"/>
      <c r="CZF136" s="18"/>
      <c r="CZG136" s="18"/>
      <c r="CZH136" s="18"/>
      <c r="CZI136" s="18"/>
      <c r="CZJ136" s="17"/>
      <c r="CZK136" s="9"/>
      <c r="CZL136" s="9"/>
      <c r="CZM136" s="18"/>
      <c r="CZN136" s="18"/>
      <c r="CZO136" s="18"/>
      <c r="CZP136" s="18"/>
      <c r="CZQ136" s="18"/>
      <c r="CZR136" s="17"/>
      <c r="CZS136" s="9"/>
      <c r="CZT136" s="9"/>
      <c r="CZU136" s="18"/>
      <c r="CZV136" s="18"/>
      <c r="CZW136" s="18"/>
      <c r="CZX136" s="18"/>
      <c r="CZY136" s="18"/>
      <c r="CZZ136" s="17"/>
      <c r="DAA136" s="9"/>
      <c r="DAB136" s="9"/>
      <c r="DAC136" s="18"/>
      <c r="DAD136" s="18"/>
      <c r="DAE136" s="18"/>
      <c r="DAF136" s="18"/>
      <c r="DAG136" s="18"/>
      <c r="DAH136" s="17"/>
      <c r="DAI136" s="9"/>
      <c r="DAJ136" s="9"/>
      <c r="DAK136" s="18"/>
      <c r="DAL136" s="18"/>
      <c r="DAM136" s="18"/>
      <c r="DAN136" s="18"/>
      <c r="DAO136" s="18"/>
      <c r="DAP136" s="17"/>
      <c r="DAQ136" s="9"/>
      <c r="DAR136" s="9"/>
      <c r="DAS136" s="18"/>
      <c r="DAT136" s="18"/>
      <c r="DAU136" s="18"/>
      <c r="DAV136" s="18"/>
      <c r="DAW136" s="18"/>
      <c r="DAX136" s="17"/>
      <c r="DAY136" s="9"/>
      <c r="DAZ136" s="9"/>
      <c r="DBA136" s="18"/>
      <c r="DBB136" s="18"/>
      <c r="DBC136" s="18"/>
      <c r="DBD136" s="18"/>
      <c r="DBE136" s="18"/>
      <c r="DBF136" s="17"/>
      <c r="DBG136" s="9"/>
      <c r="DBH136" s="9"/>
      <c r="DBI136" s="18"/>
      <c r="DBJ136" s="18"/>
      <c r="DBK136" s="18"/>
      <c r="DBL136" s="18"/>
      <c r="DBM136" s="18"/>
      <c r="DBN136" s="17"/>
      <c r="DBO136" s="9"/>
      <c r="DBP136" s="9"/>
      <c r="DBQ136" s="18"/>
      <c r="DBR136" s="18"/>
      <c r="DBS136" s="18"/>
      <c r="DBT136" s="18"/>
      <c r="DBU136" s="18"/>
      <c r="DBV136" s="17"/>
      <c r="DBW136" s="9"/>
      <c r="DBX136" s="9"/>
      <c r="DBY136" s="18"/>
      <c r="DBZ136" s="18"/>
      <c r="DCA136" s="18"/>
      <c r="DCB136" s="18"/>
      <c r="DCC136" s="18"/>
      <c r="DCD136" s="17"/>
      <c r="DCE136" s="9"/>
      <c r="DCF136" s="9"/>
      <c r="DCG136" s="18"/>
      <c r="DCH136" s="18"/>
      <c r="DCI136" s="18"/>
      <c r="DCJ136" s="18"/>
      <c r="DCK136" s="18"/>
      <c r="DCL136" s="17"/>
      <c r="DCM136" s="9"/>
      <c r="DCN136" s="9"/>
      <c r="DCO136" s="18"/>
      <c r="DCP136" s="18"/>
      <c r="DCQ136" s="18"/>
      <c r="DCR136" s="18"/>
      <c r="DCS136" s="18"/>
      <c r="DCT136" s="17"/>
      <c r="DCU136" s="9"/>
      <c r="DCV136" s="9"/>
      <c r="DCW136" s="18"/>
      <c r="DCX136" s="18"/>
      <c r="DCY136" s="18"/>
      <c r="DCZ136" s="18"/>
      <c r="DDA136" s="18"/>
      <c r="DDB136" s="17"/>
      <c r="DDC136" s="9"/>
      <c r="DDD136" s="9"/>
      <c r="DDE136" s="18"/>
      <c r="DDF136" s="18"/>
      <c r="DDG136" s="18"/>
      <c r="DDH136" s="18"/>
      <c r="DDI136" s="18"/>
      <c r="DDJ136" s="17"/>
      <c r="DDK136" s="9"/>
      <c r="DDL136" s="9"/>
      <c r="DDM136" s="18"/>
      <c r="DDN136" s="18"/>
      <c r="DDO136" s="18"/>
      <c r="DDP136" s="18"/>
      <c r="DDQ136" s="18"/>
      <c r="DDR136" s="17"/>
      <c r="DDS136" s="9"/>
      <c r="DDT136" s="9"/>
      <c r="DDU136" s="18"/>
      <c r="DDV136" s="18"/>
      <c r="DDW136" s="18"/>
      <c r="DDX136" s="18"/>
      <c r="DDY136" s="18"/>
      <c r="DDZ136" s="17"/>
      <c r="DEA136" s="9"/>
      <c r="DEB136" s="9"/>
      <c r="DEC136" s="18"/>
      <c r="DED136" s="18"/>
      <c r="DEE136" s="18"/>
      <c r="DEF136" s="18"/>
      <c r="DEG136" s="18"/>
      <c r="DEH136" s="17"/>
      <c r="DEI136" s="9"/>
      <c r="DEJ136" s="9"/>
      <c r="DEK136" s="18"/>
      <c r="DEL136" s="18"/>
      <c r="DEM136" s="18"/>
      <c r="DEN136" s="18"/>
      <c r="DEO136" s="18"/>
      <c r="DEP136" s="17"/>
      <c r="DEQ136" s="9"/>
      <c r="DER136" s="9"/>
      <c r="DES136" s="18"/>
      <c r="DET136" s="18"/>
      <c r="DEU136" s="18"/>
      <c r="DEV136" s="18"/>
      <c r="DEW136" s="18"/>
      <c r="DEX136" s="17"/>
      <c r="DEY136" s="9"/>
      <c r="DEZ136" s="9"/>
      <c r="DFA136" s="18"/>
      <c r="DFB136" s="18"/>
      <c r="DFC136" s="18"/>
      <c r="DFD136" s="18"/>
      <c r="DFE136" s="18"/>
      <c r="DFF136" s="17"/>
      <c r="DFG136" s="9"/>
      <c r="DFH136" s="9"/>
      <c r="DFI136" s="18"/>
      <c r="DFJ136" s="18"/>
      <c r="DFK136" s="18"/>
      <c r="DFL136" s="18"/>
      <c r="DFM136" s="18"/>
      <c r="DFN136" s="17"/>
      <c r="DFO136" s="9"/>
      <c r="DFP136" s="9"/>
      <c r="DFQ136" s="18"/>
      <c r="DFR136" s="18"/>
      <c r="DFS136" s="18"/>
      <c r="DFT136" s="18"/>
      <c r="DFU136" s="18"/>
      <c r="DFV136" s="17"/>
      <c r="DFW136" s="9"/>
      <c r="DFX136" s="9"/>
      <c r="DFY136" s="18"/>
      <c r="DFZ136" s="18"/>
      <c r="DGA136" s="18"/>
      <c r="DGB136" s="18"/>
      <c r="DGC136" s="18"/>
      <c r="DGD136" s="17"/>
      <c r="DGE136" s="9"/>
      <c r="DGF136" s="9"/>
      <c r="DGG136" s="18"/>
      <c r="DGH136" s="18"/>
      <c r="DGI136" s="18"/>
      <c r="DGJ136" s="18"/>
      <c r="DGK136" s="18"/>
      <c r="DGL136" s="17"/>
      <c r="DGM136" s="9"/>
      <c r="DGN136" s="9"/>
      <c r="DGO136" s="18"/>
      <c r="DGP136" s="18"/>
      <c r="DGQ136" s="18"/>
      <c r="DGR136" s="18"/>
      <c r="DGS136" s="18"/>
      <c r="DGT136" s="17"/>
      <c r="DGU136" s="9"/>
      <c r="DGV136" s="9"/>
      <c r="DGW136" s="18"/>
      <c r="DGX136" s="18"/>
      <c r="DGY136" s="18"/>
      <c r="DGZ136" s="18"/>
      <c r="DHA136" s="18"/>
      <c r="DHB136" s="17"/>
      <c r="DHC136" s="9"/>
      <c r="DHD136" s="9"/>
      <c r="DHE136" s="18"/>
      <c r="DHF136" s="18"/>
      <c r="DHG136" s="18"/>
      <c r="DHH136" s="18"/>
      <c r="DHI136" s="18"/>
      <c r="DHJ136" s="17"/>
      <c r="DHK136" s="9"/>
      <c r="DHL136" s="9"/>
      <c r="DHM136" s="18"/>
      <c r="DHN136" s="18"/>
      <c r="DHO136" s="18"/>
      <c r="DHP136" s="18"/>
      <c r="DHQ136" s="18"/>
      <c r="DHR136" s="17"/>
      <c r="DHS136" s="9"/>
      <c r="DHT136" s="9"/>
      <c r="DHU136" s="18"/>
      <c r="DHV136" s="18"/>
      <c r="DHW136" s="18"/>
      <c r="DHX136" s="18"/>
      <c r="DHY136" s="18"/>
      <c r="DHZ136" s="17"/>
      <c r="DIA136" s="9"/>
      <c r="DIB136" s="9"/>
      <c r="DIC136" s="18"/>
      <c r="DID136" s="18"/>
      <c r="DIE136" s="18"/>
      <c r="DIF136" s="18"/>
      <c r="DIG136" s="18"/>
      <c r="DIH136" s="17"/>
      <c r="DII136" s="9"/>
      <c r="DIJ136" s="9"/>
      <c r="DIK136" s="18"/>
      <c r="DIL136" s="18"/>
      <c r="DIM136" s="18"/>
      <c r="DIN136" s="18"/>
      <c r="DIO136" s="18"/>
      <c r="DIP136" s="17"/>
      <c r="DIQ136" s="9"/>
      <c r="DIR136" s="9"/>
      <c r="DIS136" s="18"/>
      <c r="DIT136" s="18"/>
      <c r="DIU136" s="18"/>
      <c r="DIV136" s="18"/>
      <c r="DIW136" s="18"/>
      <c r="DIX136" s="17"/>
      <c r="DIY136" s="9"/>
      <c r="DIZ136" s="9"/>
      <c r="DJA136" s="18"/>
      <c r="DJB136" s="18"/>
      <c r="DJC136" s="18"/>
      <c r="DJD136" s="18"/>
      <c r="DJE136" s="18"/>
      <c r="DJF136" s="17"/>
      <c r="DJG136" s="9"/>
      <c r="DJH136" s="9"/>
      <c r="DJI136" s="18"/>
      <c r="DJJ136" s="18"/>
      <c r="DJK136" s="18"/>
      <c r="DJL136" s="18"/>
      <c r="DJM136" s="18"/>
      <c r="DJN136" s="17"/>
      <c r="DJO136" s="9"/>
      <c r="DJP136" s="9"/>
      <c r="DJQ136" s="18"/>
      <c r="DJR136" s="18"/>
      <c r="DJS136" s="18"/>
      <c r="DJT136" s="18"/>
      <c r="DJU136" s="18"/>
      <c r="DJV136" s="17"/>
      <c r="DJW136" s="9"/>
      <c r="DJX136" s="9"/>
      <c r="DJY136" s="18"/>
      <c r="DJZ136" s="18"/>
      <c r="DKA136" s="18"/>
      <c r="DKB136" s="18"/>
      <c r="DKC136" s="18"/>
      <c r="DKD136" s="17"/>
      <c r="DKE136" s="9"/>
      <c r="DKF136" s="9"/>
      <c r="DKG136" s="18"/>
      <c r="DKH136" s="18"/>
      <c r="DKI136" s="18"/>
      <c r="DKJ136" s="18"/>
      <c r="DKK136" s="18"/>
      <c r="DKL136" s="17"/>
      <c r="DKM136" s="9"/>
      <c r="DKN136" s="9"/>
      <c r="DKO136" s="18"/>
      <c r="DKP136" s="18"/>
      <c r="DKQ136" s="18"/>
      <c r="DKR136" s="18"/>
      <c r="DKS136" s="18"/>
      <c r="DKT136" s="17"/>
      <c r="DKU136" s="9"/>
      <c r="DKV136" s="9"/>
      <c r="DKW136" s="18"/>
      <c r="DKX136" s="18"/>
      <c r="DKY136" s="18"/>
      <c r="DKZ136" s="18"/>
      <c r="DLA136" s="18"/>
      <c r="DLB136" s="17"/>
      <c r="DLC136" s="9"/>
      <c r="DLD136" s="9"/>
      <c r="DLE136" s="18"/>
      <c r="DLF136" s="18"/>
      <c r="DLG136" s="18"/>
      <c r="DLH136" s="18"/>
      <c r="DLI136" s="18"/>
      <c r="DLJ136" s="17"/>
      <c r="DLK136" s="9"/>
      <c r="DLL136" s="9"/>
      <c r="DLM136" s="18"/>
      <c r="DLN136" s="18"/>
      <c r="DLO136" s="18"/>
      <c r="DLP136" s="18"/>
      <c r="DLQ136" s="18"/>
      <c r="DLR136" s="17"/>
      <c r="DLS136" s="9"/>
      <c r="DLT136" s="9"/>
      <c r="DLU136" s="18"/>
      <c r="DLV136" s="18"/>
      <c r="DLW136" s="18"/>
      <c r="DLX136" s="18"/>
      <c r="DLY136" s="18"/>
      <c r="DLZ136" s="17"/>
      <c r="DMA136" s="9"/>
      <c r="DMB136" s="9"/>
      <c r="DMC136" s="18"/>
      <c r="DMD136" s="18"/>
      <c r="DME136" s="18"/>
      <c r="DMF136" s="18"/>
      <c r="DMG136" s="18"/>
      <c r="DMH136" s="17"/>
      <c r="DMI136" s="9"/>
      <c r="DMJ136" s="9"/>
      <c r="DMK136" s="18"/>
      <c r="DML136" s="18"/>
      <c r="DMM136" s="18"/>
      <c r="DMN136" s="18"/>
      <c r="DMO136" s="18"/>
      <c r="DMP136" s="17"/>
      <c r="DMQ136" s="9"/>
      <c r="DMR136" s="9"/>
      <c r="DMS136" s="18"/>
      <c r="DMT136" s="18"/>
      <c r="DMU136" s="18"/>
      <c r="DMV136" s="18"/>
      <c r="DMW136" s="18"/>
      <c r="DMX136" s="17"/>
      <c r="DMY136" s="9"/>
      <c r="DMZ136" s="9"/>
      <c r="DNA136" s="18"/>
      <c r="DNB136" s="18"/>
      <c r="DNC136" s="18"/>
      <c r="DND136" s="18"/>
      <c r="DNE136" s="18"/>
      <c r="DNF136" s="17"/>
      <c r="DNG136" s="9"/>
      <c r="DNH136" s="9"/>
      <c r="DNI136" s="18"/>
      <c r="DNJ136" s="18"/>
      <c r="DNK136" s="18"/>
      <c r="DNL136" s="18"/>
      <c r="DNM136" s="18"/>
      <c r="DNN136" s="17"/>
      <c r="DNO136" s="9"/>
      <c r="DNP136" s="9"/>
      <c r="DNQ136" s="18"/>
      <c r="DNR136" s="18"/>
      <c r="DNS136" s="18"/>
      <c r="DNT136" s="18"/>
      <c r="DNU136" s="18"/>
      <c r="DNV136" s="17"/>
      <c r="DNW136" s="9"/>
      <c r="DNX136" s="9"/>
      <c r="DNY136" s="18"/>
      <c r="DNZ136" s="18"/>
      <c r="DOA136" s="18"/>
      <c r="DOB136" s="18"/>
      <c r="DOC136" s="18"/>
      <c r="DOD136" s="17"/>
      <c r="DOE136" s="9"/>
      <c r="DOF136" s="9"/>
      <c r="DOG136" s="18"/>
      <c r="DOH136" s="18"/>
      <c r="DOI136" s="18"/>
      <c r="DOJ136" s="18"/>
      <c r="DOK136" s="18"/>
      <c r="DOL136" s="17"/>
      <c r="DOM136" s="9"/>
      <c r="DON136" s="9"/>
      <c r="DOO136" s="18"/>
      <c r="DOP136" s="18"/>
      <c r="DOQ136" s="18"/>
      <c r="DOR136" s="18"/>
      <c r="DOS136" s="18"/>
      <c r="DOT136" s="17"/>
      <c r="DOU136" s="9"/>
      <c r="DOV136" s="9"/>
      <c r="DOW136" s="18"/>
      <c r="DOX136" s="18"/>
      <c r="DOY136" s="18"/>
      <c r="DOZ136" s="18"/>
      <c r="DPA136" s="18"/>
      <c r="DPB136" s="17"/>
      <c r="DPC136" s="9"/>
      <c r="DPD136" s="9"/>
      <c r="DPE136" s="18"/>
      <c r="DPF136" s="18"/>
      <c r="DPG136" s="18"/>
      <c r="DPH136" s="18"/>
      <c r="DPI136" s="18"/>
      <c r="DPJ136" s="17"/>
      <c r="DPK136" s="9"/>
      <c r="DPL136" s="9"/>
      <c r="DPM136" s="18"/>
      <c r="DPN136" s="18"/>
      <c r="DPO136" s="18"/>
      <c r="DPP136" s="18"/>
      <c r="DPQ136" s="18"/>
      <c r="DPR136" s="17"/>
      <c r="DPS136" s="9"/>
      <c r="DPT136" s="9"/>
      <c r="DPU136" s="18"/>
      <c r="DPV136" s="18"/>
      <c r="DPW136" s="18"/>
      <c r="DPX136" s="18"/>
      <c r="DPY136" s="18"/>
      <c r="DPZ136" s="17"/>
      <c r="DQA136" s="9"/>
      <c r="DQB136" s="9"/>
      <c r="DQC136" s="18"/>
      <c r="DQD136" s="18"/>
      <c r="DQE136" s="18"/>
      <c r="DQF136" s="18"/>
      <c r="DQG136" s="18"/>
      <c r="DQH136" s="17"/>
      <c r="DQI136" s="9"/>
      <c r="DQJ136" s="9"/>
      <c r="DQK136" s="18"/>
      <c r="DQL136" s="18"/>
      <c r="DQM136" s="18"/>
      <c r="DQN136" s="18"/>
      <c r="DQO136" s="18"/>
      <c r="DQP136" s="17"/>
      <c r="DQQ136" s="9"/>
      <c r="DQR136" s="9"/>
      <c r="DQS136" s="18"/>
      <c r="DQT136" s="18"/>
      <c r="DQU136" s="18"/>
      <c r="DQV136" s="18"/>
      <c r="DQW136" s="18"/>
      <c r="DQX136" s="17"/>
      <c r="DQY136" s="9"/>
      <c r="DQZ136" s="9"/>
      <c r="DRA136" s="18"/>
      <c r="DRB136" s="18"/>
      <c r="DRC136" s="18"/>
      <c r="DRD136" s="18"/>
      <c r="DRE136" s="18"/>
      <c r="DRF136" s="17"/>
      <c r="DRG136" s="9"/>
      <c r="DRH136" s="9"/>
      <c r="DRI136" s="18"/>
      <c r="DRJ136" s="18"/>
      <c r="DRK136" s="18"/>
      <c r="DRL136" s="18"/>
      <c r="DRM136" s="18"/>
      <c r="DRN136" s="17"/>
      <c r="DRO136" s="9"/>
      <c r="DRP136" s="9"/>
      <c r="DRQ136" s="18"/>
      <c r="DRR136" s="18"/>
      <c r="DRS136" s="18"/>
      <c r="DRT136" s="18"/>
      <c r="DRU136" s="18"/>
      <c r="DRV136" s="17"/>
      <c r="DRW136" s="9"/>
      <c r="DRX136" s="9"/>
      <c r="DRY136" s="18"/>
      <c r="DRZ136" s="18"/>
      <c r="DSA136" s="18"/>
      <c r="DSB136" s="18"/>
      <c r="DSC136" s="18"/>
      <c r="DSD136" s="17"/>
      <c r="DSE136" s="9"/>
      <c r="DSF136" s="9"/>
      <c r="DSG136" s="18"/>
      <c r="DSH136" s="18"/>
      <c r="DSI136" s="18"/>
      <c r="DSJ136" s="18"/>
      <c r="DSK136" s="18"/>
      <c r="DSL136" s="17"/>
      <c r="DSM136" s="9"/>
      <c r="DSN136" s="9"/>
      <c r="DSO136" s="18"/>
      <c r="DSP136" s="18"/>
      <c r="DSQ136" s="18"/>
      <c r="DSR136" s="18"/>
      <c r="DSS136" s="18"/>
      <c r="DST136" s="17"/>
      <c r="DSU136" s="9"/>
      <c r="DSV136" s="9"/>
      <c r="DSW136" s="18"/>
      <c r="DSX136" s="18"/>
      <c r="DSY136" s="18"/>
      <c r="DSZ136" s="18"/>
      <c r="DTA136" s="18"/>
      <c r="DTB136" s="17"/>
      <c r="DTC136" s="9"/>
      <c r="DTD136" s="9"/>
      <c r="DTE136" s="18"/>
      <c r="DTF136" s="18"/>
      <c r="DTG136" s="18"/>
      <c r="DTH136" s="18"/>
      <c r="DTI136" s="18"/>
      <c r="DTJ136" s="17"/>
      <c r="DTK136" s="9"/>
      <c r="DTL136" s="9"/>
      <c r="DTM136" s="18"/>
      <c r="DTN136" s="18"/>
      <c r="DTO136" s="18"/>
      <c r="DTP136" s="18"/>
      <c r="DTQ136" s="18"/>
      <c r="DTR136" s="17"/>
      <c r="DTS136" s="9"/>
      <c r="DTT136" s="9"/>
      <c r="DTU136" s="18"/>
      <c r="DTV136" s="18"/>
      <c r="DTW136" s="18"/>
      <c r="DTX136" s="18"/>
      <c r="DTY136" s="18"/>
      <c r="DTZ136" s="17"/>
      <c r="DUA136" s="9"/>
      <c r="DUB136" s="9"/>
      <c r="DUC136" s="18"/>
      <c r="DUD136" s="18"/>
      <c r="DUE136" s="18"/>
      <c r="DUF136" s="18"/>
      <c r="DUG136" s="18"/>
      <c r="DUH136" s="17"/>
      <c r="DUI136" s="9"/>
      <c r="DUJ136" s="9"/>
      <c r="DUK136" s="18"/>
      <c r="DUL136" s="18"/>
      <c r="DUM136" s="18"/>
      <c r="DUN136" s="18"/>
      <c r="DUO136" s="18"/>
      <c r="DUP136" s="17"/>
      <c r="DUQ136" s="9"/>
      <c r="DUR136" s="9"/>
      <c r="DUS136" s="18"/>
      <c r="DUT136" s="18"/>
      <c r="DUU136" s="18"/>
      <c r="DUV136" s="18"/>
      <c r="DUW136" s="18"/>
      <c r="DUX136" s="17"/>
      <c r="DUY136" s="9"/>
      <c r="DUZ136" s="9"/>
      <c r="DVA136" s="18"/>
      <c r="DVB136" s="18"/>
      <c r="DVC136" s="18"/>
      <c r="DVD136" s="18"/>
      <c r="DVE136" s="18"/>
      <c r="DVF136" s="17"/>
      <c r="DVG136" s="9"/>
      <c r="DVH136" s="9"/>
      <c r="DVI136" s="18"/>
      <c r="DVJ136" s="18"/>
      <c r="DVK136" s="18"/>
      <c r="DVL136" s="18"/>
      <c r="DVM136" s="18"/>
      <c r="DVN136" s="17"/>
      <c r="DVO136" s="9"/>
      <c r="DVP136" s="9"/>
      <c r="DVQ136" s="18"/>
      <c r="DVR136" s="18"/>
      <c r="DVS136" s="18"/>
      <c r="DVT136" s="18"/>
      <c r="DVU136" s="18"/>
      <c r="DVV136" s="17"/>
      <c r="DVW136" s="9"/>
      <c r="DVX136" s="9"/>
      <c r="DVY136" s="18"/>
      <c r="DVZ136" s="18"/>
      <c r="DWA136" s="18"/>
      <c r="DWB136" s="18"/>
      <c r="DWC136" s="18"/>
      <c r="DWD136" s="17"/>
      <c r="DWE136" s="9"/>
      <c r="DWF136" s="9"/>
      <c r="DWG136" s="18"/>
      <c r="DWH136" s="18"/>
      <c r="DWI136" s="18"/>
      <c r="DWJ136" s="18"/>
      <c r="DWK136" s="18"/>
      <c r="DWL136" s="17"/>
      <c r="DWM136" s="9"/>
      <c r="DWN136" s="9"/>
      <c r="DWO136" s="18"/>
      <c r="DWP136" s="18"/>
      <c r="DWQ136" s="18"/>
      <c r="DWR136" s="18"/>
      <c r="DWS136" s="18"/>
      <c r="DWT136" s="17"/>
      <c r="DWU136" s="9"/>
      <c r="DWV136" s="9"/>
      <c r="DWW136" s="18"/>
      <c r="DWX136" s="18"/>
      <c r="DWY136" s="18"/>
      <c r="DWZ136" s="18"/>
      <c r="DXA136" s="18"/>
      <c r="DXB136" s="17"/>
      <c r="DXC136" s="9"/>
      <c r="DXD136" s="9"/>
      <c r="DXE136" s="18"/>
      <c r="DXF136" s="18"/>
      <c r="DXG136" s="18"/>
      <c r="DXH136" s="18"/>
      <c r="DXI136" s="18"/>
      <c r="DXJ136" s="17"/>
      <c r="DXK136" s="9"/>
      <c r="DXL136" s="9"/>
      <c r="DXM136" s="18"/>
      <c r="DXN136" s="18"/>
      <c r="DXO136" s="18"/>
      <c r="DXP136" s="18"/>
      <c r="DXQ136" s="18"/>
      <c r="DXR136" s="17"/>
      <c r="DXS136" s="9"/>
      <c r="DXT136" s="9"/>
      <c r="DXU136" s="18"/>
      <c r="DXV136" s="18"/>
      <c r="DXW136" s="18"/>
      <c r="DXX136" s="18"/>
      <c r="DXY136" s="18"/>
      <c r="DXZ136" s="17"/>
      <c r="DYA136" s="9"/>
      <c r="DYB136" s="9"/>
      <c r="DYC136" s="18"/>
      <c r="DYD136" s="18"/>
      <c r="DYE136" s="18"/>
      <c r="DYF136" s="18"/>
      <c r="DYG136" s="18"/>
      <c r="DYH136" s="17"/>
      <c r="DYI136" s="9"/>
      <c r="DYJ136" s="9"/>
      <c r="DYK136" s="18"/>
      <c r="DYL136" s="18"/>
      <c r="DYM136" s="18"/>
      <c r="DYN136" s="18"/>
      <c r="DYO136" s="18"/>
      <c r="DYP136" s="17"/>
      <c r="DYQ136" s="9"/>
      <c r="DYR136" s="9"/>
      <c r="DYS136" s="18"/>
      <c r="DYT136" s="18"/>
      <c r="DYU136" s="18"/>
      <c r="DYV136" s="18"/>
      <c r="DYW136" s="18"/>
      <c r="DYX136" s="17"/>
      <c r="DYY136" s="9"/>
      <c r="DYZ136" s="9"/>
      <c r="DZA136" s="18"/>
      <c r="DZB136" s="18"/>
      <c r="DZC136" s="18"/>
      <c r="DZD136" s="18"/>
      <c r="DZE136" s="18"/>
      <c r="DZF136" s="17"/>
      <c r="DZG136" s="9"/>
      <c r="DZH136" s="9"/>
      <c r="DZI136" s="18"/>
      <c r="DZJ136" s="18"/>
      <c r="DZK136" s="18"/>
      <c r="DZL136" s="18"/>
      <c r="DZM136" s="18"/>
      <c r="DZN136" s="17"/>
      <c r="DZO136" s="9"/>
      <c r="DZP136" s="9"/>
      <c r="DZQ136" s="18"/>
      <c r="DZR136" s="18"/>
      <c r="DZS136" s="18"/>
      <c r="DZT136" s="18"/>
      <c r="DZU136" s="18"/>
      <c r="DZV136" s="17"/>
      <c r="DZW136" s="9"/>
      <c r="DZX136" s="9"/>
      <c r="DZY136" s="18"/>
      <c r="DZZ136" s="18"/>
      <c r="EAA136" s="18"/>
      <c r="EAB136" s="18"/>
      <c r="EAC136" s="18"/>
      <c r="EAD136" s="17"/>
      <c r="EAE136" s="9"/>
      <c r="EAF136" s="9"/>
      <c r="EAG136" s="18"/>
      <c r="EAH136" s="18"/>
      <c r="EAI136" s="18"/>
      <c r="EAJ136" s="18"/>
      <c r="EAK136" s="18"/>
      <c r="EAL136" s="17"/>
      <c r="EAM136" s="9"/>
      <c r="EAN136" s="9"/>
      <c r="EAO136" s="18"/>
      <c r="EAP136" s="18"/>
      <c r="EAQ136" s="18"/>
      <c r="EAR136" s="18"/>
      <c r="EAS136" s="18"/>
      <c r="EAT136" s="17"/>
      <c r="EAU136" s="9"/>
      <c r="EAV136" s="9"/>
      <c r="EAW136" s="18"/>
      <c r="EAX136" s="18"/>
      <c r="EAY136" s="18"/>
      <c r="EAZ136" s="18"/>
      <c r="EBA136" s="18"/>
      <c r="EBB136" s="17"/>
      <c r="EBC136" s="9"/>
      <c r="EBD136" s="9"/>
      <c r="EBE136" s="18"/>
      <c r="EBF136" s="18"/>
      <c r="EBG136" s="18"/>
      <c r="EBH136" s="18"/>
      <c r="EBI136" s="18"/>
      <c r="EBJ136" s="17"/>
      <c r="EBK136" s="9"/>
      <c r="EBL136" s="9"/>
      <c r="EBM136" s="18"/>
      <c r="EBN136" s="18"/>
      <c r="EBO136" s="18"/>
      <c r="EBP136" s="18"/>
      <c r="EBQ136" s="18"/>
      <c r="EBR136" s="17"/>
      <c r="EBS136" s="9"/>
      <c r="EBT136" s="9"/>
      <c r="EBU136" s="18"/>
      <c r="EBV136" s="18"/>
      <c r="EBW136" s="18"/>
      <c r="EBX136" s="18"/>
      <c r="EBY136" s="18"/>
      <c r="EBZ136" s="17"/>
      <c r="ECA136" s="9"/>
      <c r="ECB136" s="9"/>
      <c r="ECC136" s="18"/>
      <c r="ECD136" s="18"/>
      <c r="ECE136" s="18"/>
      <c r="ECF136" s="18"/>
      <c r="ECG136" s="18"/>
      <c r="ECH136" s="17"/>
      <c r="ECI136" s="9"/>
      <c r="ECJ136" s="9"/>
      <c r="ECK136" s="18"/>
      <c r="ECL136" s="18"/>
      <c r="ECM136" s="18"/>
      <c r="ECN136" s="18"/>
      <c r="ECO136" s="18"/>
      <c r="ECP136" s="17"/>
      <c r="ECQ136" s="9"/>
      <c r="ECR136" s="9"/>
      <c r="ECS136" s="18"/>
      <c r="ECT136" s="18"/>
      <c r="ECU136" s="18"/>
      <c r="ECV136" s="18"/>
      <c r="ECW136" s="18"/>
      <c r="ECX136" s="17"/>
      <c r="ECY136" s="9"/>
      <c r="ECZ136" s="9"/>
      <c r="EDA136" s="18"/>
      <c r="EDB136" s="18"/>
      <c r="EDC136" s="18"/>
      <c r="EDD136" s="18"/>
      <c r="EDE136" s="18"/>
      <c r="EDF136" s="17"/>
      <c r="EDG136" s="9"/>
      <c r="EDH136" s="9"/>
      <c r="EDI136" s="18"/>
      <c r="EDJ136" s="18"/>
      <c r="EDK136" s="18"/>
      <c r="EDL136" s="18"/>
      <c r="EDM136" s="18"/>
      <c r="EDN136" s="17"/>
      <c r="EDO136" s="9"/>
      <c r="EDP136" s="9"/>
      <c r="EDQ136" s="18"/>
      <c r="EDR136" s="18"/>
      <c r="EDS136" s="18"/>
      <c r="EDT136" s="18"/>
      <c r="EDU136" s="18"/>
      <c r="EDV136" s="17"/>
      <c r="EDW136" s="9"/>
      <c r="EDX136" s="9"/>
      <c r="EDY136" s="18"/>
      <c r="EDZ136" s="18"/>
      <c r="EEA136" s="18"/>
      <c r="EEB136" s="18"/>
      <c r="EEC136" s="18"/>
      <c r="EED136" s="17"/>
      <c r="EEE136" s="9"/>
      <c r="EEF136" s="9"/>
      <c r="EEG136" s="18"/>
      <c r="EEH136" s="18"/>
      <c r="EEI136" s="18"/>
      <c r="EEJ136" s="18"/>
      <c r="EEK136" s="18"/>
      <c r="EEL136" s="17"/>
      <c r="EEM136" s="9"/>
      <c r="EEN136" s="9"/>
      <c r="EEO136" s="18"/>
      <c r="EEP136" s="18"/>
      <c r="EEQ136" s="18"/>
      <c r="EER136" s="18"/>
      <c r="EES136" s="18"/>
      <c r="EET136" s="17"/>
      <c r="EEU136" s="9"/>
      <c r="EEV136" s="9"/>
      <c r="EEW136" s="18"/>
      <c r="EEX136" s="18"/>
      <c r="EEY136" s="18"/>
      <c r="EEZ136" s="18"/>
      <c r="EFA136" s="18"/>
      <c r="EFB136" s="17"/>
      <c r="EFC136" s="9"/>
      <c r="EFD136" s="9"/>
      <c r="EFE136" s="18"/>
      <c r="EFF136" s="18"/>
      <c r="EFG136" s="18"/>
      <c r="EFH136" s="18"/>
      <c r="EFI136" s="18"/>
      <c r="EFJ136" s="17"/>
      <c r="EFK136" s="9"/>
      <c r="EFL136" s="9"/>
      <c r="EFM136" s="18"/>
      <c r="EFN136" s="18"/>
      <c r="EFO136" s="18"/>
      <c r="EFP136" s="18"/>
      <c r="EFQ136" s="18"/>
      <c r="EFR136" s="17"/>
      <c r="EFS136" s="9"/>
      <c r="EFT136" s="9"/>
      <c r="EFU136" s="18"/>
      <c r="EFV136" s="18"/>
      <c r="EFW136" s="18"/>
      <c r="EFX136" s="18"/>
      <c r="EFY136" s="18"/>
      <c r="EFZ136" s="17"/>
      <c r="EGA136" s="9"/>
      <c r="EGB136" s="9"/>
      <c r="EGC136" s="18"/>
      <c r="EGD136" s="18"/>
      <c r="EGE136" s="18"/>
      <c r="EGF136" s="18"/>
      <c r="EGG136" s="18"/>
      <c r="EGH136" s="17"/>
      <c r="EGI136" s="9"/>
      <c r="EGJ136" s="9"/>
      <c r="EGK136" s="18"/>
      <c r="EGL136" s="18"/>
      <c r="EGM136" s="18"/>
      <c r="EGN136" s="18"/>
      <c r="EGO136" s="18"/>
      <c r="EGP136" s="17"/>
      <c r="EGQ136" s="9"/>
      <c r="EGR136" s="9"/>
      <c r="EGS136" s="18"/>
      <c r="EGT136" s="18"/>
      <c r="EGU136" s="18"/>
      <c r="EGV136" s="18"/>
      <c r="EGW136" s="18"/>
      <c r="EGX136" s="17"/>
      <c r="EGY136" s="9"/>
      <c r="EGZ136" s="9"/>
      <c r="EHA136" s="18"/>
      <c r="EHB136" s="18"/>
      <c r="EHC136" s="18"/>
      <c r="EHD136" s="18"/>
      <c r="EHE136" s="18"/>
      <c r="EHF136" s="17"/>
      <c r="EHG136" s="9"/>
      <c r="EHH136" s="9"/>
      <c r="EHI136" s="18"/>
      <c r="EHJ136" s="18"/>
      <c r="EHK136" s="18"/>
      <c r="EHL136" s="18"/>
      <c r="EHM136" s="18"/>
      <c r="EHN136" s="17"/>
      <c r="EHO136" s="9"/>
      <c r="EHP136" s="9"/>
      <c r="EHQ136" s="18"/>
      <c r="EHR136" s="18"/>
      <c r="EHS136" s="18"/>
      <c r="EHT136" s="18"/>
      <c r="EHU136" s="18"/>
      <c r="EHV136" s="17"/>
      <c r="EHW136" s="9"/>
      <c r="EHX136" s="9"/>
      <c r="EHY136" s="18"/>
      <c r="EHZ136" s="18"/>
      <c r="EIA136" s="18"/>
      <c r="EIB136" s="18"/>
      <c r="EIC136" s="18"/>
      <c r="EID136" s="17"/>
      <c r="EIE136" s="9"/>
      <c r="EIF136" s="9"/>
      <c r="EIG136" s="18"/>
      <c r="EIH136" s="18"/>
      <c r="EII136" s="18"/>
      <c r="EIJ136" s="18"/>
      <c r="EIK136" s="18"/>
      <c r="EIL136" s="17"/>
      <c r="EIM136" s="9"/>
      <c r="EIN136" s="9"/>
      <c r="EIO136" s="18"/>
      <c r="EIP136" s="18"/>
      <c r="EIQ136" s="18"/>
      <c r="EIR136" s="18"/>
      <c r="EIS136" s="18"/>
      <c r="EIT136" s="17"/>
      <c r="EIU136" s="9"/>
      <c r="EIV136" s="9"/>
      <c r="EIW136" s="18"/>
      <c r="EIX136" s="18"/>
      <c r="EIY136" s="18"/>
      <c r="EIZ136" s="18"/>
      <c r="EJA136" s="18"/>
      <c r="EJB136" s="17"/>
      <c r="EJC136" s="9"/>
      <c r="EJD136" s="9"/>
      <c r="EJE136" s="18"/>
      <c r="EJF136" s="18"/>
      <c r="EJG136" s="18"/>
      <c r="EJH136" s="18"/>
      <c r="EJI136" s="18"/>
      <c r="EJJ136" s="17"/>
      <c r="EJK136" s="9"/>
      <c r="EJL136" s="9"/>
      <c r="EJM136" s="18"/>
      <c r="EJN136" s="18"/>
      <c r="EJO136" s="18"/>
      <c r="EJP136" s="18"/>
      <c r="EJQ136" s="18"/>
      <c r="EJR136" s="17"/>
      <c r="EJS136" s="9"/>
      <c r="EJT136" s="9"/>
      <c r="EJU136" s="18"/>
      <c r="EJV136" s="18"/>
      <c r="EJW136" s="18"/>
      <c r="EJX136" s="18"/>
      <c r="EJY136" s="18"/>
      <c r="EJZ136" s="17"/>
      <c r="EKA136" s="9"/>
      <c r="EKB136" s="9"/>
      <c r="EKC136" s="18"/>
      <c r="EKD136" s="18"/>
      <c r="EKE136" s="18"/>
      <c r="EKF136" s="18"/>
      <c r="EKG136" s="18"/>
      <c r="EKH136" s="17"/>
      <c r="EKI136" s="9"/>
      <c r="EKJ136" s="9"/>
      <c r="EKK136" s="18"/>
      <c r="EKL136" s="18"/>
      <c r="EKM136" s="18"/>
      <c r="EKN136" s="18"/>
      <c r="EKO136" s="18"/>
      <c r="EKP136" s="17"/>
      <c r="EKQ136" s="9"/>
      <c r="EKR136" s="9"/>
      <c r="EKS136" s="18"/>
      <c r="EKT136" s="18"/>
      <c r="EKU136" s="18"/>
      <c r="EKV136" s="18"/>
      <c r="EKW136" s="18"/>
      <c r="EKX136" s="17"/>
      <c r="EKY136" s="9"/>
      <c r="EKZ136" s="9"/>
      <c r="ELA136" s="18"/>
      <c r="ELB136" s="18"/>
      <c r="ELC136" s="18"/>
      <c r="ELD136" s="18"/>
      <c r="ELE136" s="18"/>
      <c r="ELF136" s="17"/>
      <c r="ELG136" s="9"/>
      <c r="ELH136" s="9"/>
      <c r="ELI136" s="18"/>
      <c r="ELJ136" s="18"/>
      <c r="ELK136" s="18"/>
      <c r="ELL136" s="18"/>
      <c r="ELM136" s="18"/>
      <c r="ELN136" s="17"/>
      <c r="ELO136" s="9"/>
      <c r="ELP136" s="9"/>
      <c r="ELQ136" s="18"/>
      <c r="ELR136" s="18"/>
      <c r="ELS136" s="18"/>
      <c r="ELT136" s="18"/>
      <c r="ELU136" s="18"/>
      <c r="ELV136" s="17"/>
      <c r="ELW136" s="9"/>
      <c r="ELX136" s="9"/>
      <c r="ELY136" s="18"/>
      <c r="ELZ136" s="18"/>
      <c r="EMA136" s="18"/>
      <c r="EMB136" s="18"/>
      <c r="EMC136" s="18"/>
      <c r="EMD136" s="17"/>
      <c r="EME136" s="9"/>
      <c r="EMF136" s="9"/>
      <c r="EMG136" s="18"/>
      <c r="EMH136" s="18"/>
      <c r="EMI136" s="18"/>
      <c r="EMJ136" s="18"/>
      <c r="EMK136" s="18"/>
      <c r="EML136" s="17"/>
      <c r="EMM136" s="9"/>
      <c r="EMN136" s="9"/>
      <c r="EMO136" s="18"/>
      <c r="EMP136" s="18"/>
      <c r="EMQ136" s="18"/>
      <c r="EMR136" s="18"/>
      <c r="EMS136" s="18"/>
      <c r="EMT136" s="17"/>
      <c r="EMU136" s="9"/>
      <c r="EMV136" s="9"/>
      <c r="EMW136" s="18"/>
      <c r="EMX136" s="18"/>
      <c r="EMY136" s="18"/>
      <c r="EMZ136" s="18"/>
      <c r="ENA136" s="18"/>
      <c r="ENB136" s="17"/>
      <c r="ENC136" s="9"/>
      <c r="END136" s="9"/>
      <c r="ENE136" s="18"/>
      <c r="ENF136" s="18"/>
      <c r="ENG136" s="18"/>
      <c r="ENH136" s="18"/>
      <c r="ENI136" s="18"/>
      <c r="ENJ136" s="17"/>
      <c r="ENK136" s="9"/>
      <c r="ENL136" s="9"/>
      <c r="ENM136" s="18"/>
      <c r="ENN136" s="18"/>
      <c r="ENO136" s="18"/>
      <c r="ENP136" s="18"/>
      <c r="ENQ136" s="18"/>
      <c r="ENR136" s="17"/>
      <c r="ENS136" s="9"/>
      <c r="ENT136" s="9"/>
      <c r="ENU136" s="18"/>
      <c r="ENV136" s="18"/>
      <c r="ENW136" s="18"/>
      <c r="ENX136" s="18"/>
      <c r="ENY136" s="18"/>
      <c r="ENZ136" s="17"/>
      <c r="EOA136" s="9"/>
      <c r="EOB136" s="9"/>
      <c r="EOC136" s="18"/>
      <c r="EOD136" s="18"/>
      <c r="EOE136" s="18"/>
      <c r="EOF136" s="18"/>
      <c r="EOG136" s="18"/>
      <c r="EOH136" s="17"/>
      <c r="EOI136" s="9"/>
      <c r="EOJ136" s="9"/>
      <c r="EOK136" s="18"/>
      <c r="EOL136" s="18"/>
      <c r="EOM136" s="18"/>
      <c r="EON136" s="18"/>
      <c r="EOO136" s="18"/>
      <c r="EOP136" s="17"/>
      <c r="EOQ136" s="9"/>
      <c r="EOR136" s="9"/>
      <c r="EOS136" s="18"/>
      <c r="EOT136" s="18"/>
      <c r="EOU136" s="18"/>
      <c r="EOV136" s="18"/>
      <c r="EOW136" s="18"/>
      <c r="EOX136" s="17"/>
      <c r="EOY136" s="9"/>
      <c r="EOZ136" s="9"/>
      <c r="EPA136" s="18"/>
      <c r="EPB136" s="18"/>
      <c r="EPC136" s="18"/>
      <c r="EPD136" s="18"/>
      <c r="EPE136" s="18"/>
      <c r="EPF136" s="17"/>
      <c r="EPG136" s="9"/>
      <c r="EPH136" s="9"/>
      <c r="EPI136" s="18"/>
      <c r="EPJ136" s="18"/>
      <c r="EPK136" s="18"/>
      <c r="EPL136" s="18"/>
      <c r="EPM136" s="18"/>
      <c r="EPN136" s="17"/>
      <c r="EPO136" s="9"/>
      <c r="EPP136" s="9"/>
      <c r="EPQ136" s="18"/>
      <c r="EPR136" s="18"/>
      <c r="EPS136" s="18"/>
      <c r="EPT136" s="18"/>
      <c r="EPU136" s="18"/>
      <c r="EPV136" s="17"/>
      <c r="EPW136" s="9"/>
      <c r="EPX136" s="9"/>
      <c r="EPY136" s="18"/>
      <c r="EPZ136" s="18"/>
      <c r="EQA136" s="18"/>
      <c r="EQB136" s="18"/>
      <c r="EQC136" s="18"/>
      <c r="EQD136" s="17"/>
      <c r="EQE136" s="9"/>
      <c r="EQF136" s="9"/>
      <c r="EQG136" s="18"/>
      <c r="EQH136" s="18"/>
      <c r="EQI136" s="18"/>
      <c r="EQJ136" s="18"/>
      <c r="EQK136" s="18"/>
      <c r="EQL136" s="17"/>
      <c r="EQM136" s="9"/>
      <c r="EQN136" s="9"/>
      <c r="EQO136" s="18"/>
      <c r="EQP136" s="18"/>
      <c r="EQQ136" s="18"/>
      <c r="EQR136" s="18"/>
      <c r="EQS136" s="18"/>
      <c r="EQT136" s="17"/>
      <c r="EQU136" s="9"/>
      <c r="EQV136" s="9"/>
      <c r="EQW136" s="18"/>
      <c r="EQX136" s="18"/>
      <c r="EQY136" s="18"/>
      <c r="EQZ136" s="18"/>
      <c r="ERA136" s="18"/>
      <c r="ERB136" s="17"/>
      <c r="ERC136" s="9"/>
      <c r="ERD136" s="9"/>
      <c r="ERE136" s="18"/>
      <c r="ERF136" s="18"/>
      <c r="ERG136" s="18"/>
      <c r="ERH136" s="18"/>
      <c r="ERI136" s="18"/>
      <c r="ERJ136" s="17"/>
      <c r="ERK136" s="9"/>
      <c r="ERL136" s="9"/>
      <c r="ERM136" s="18"/>
      <c r="ERN136" s="18"/>
      <c r="ERO136" s="18"/>
      <c r="ERP136" s="18"/>
      <c r="ERQ136" s="18"/>
      <c r="ERR136" s="17"/>
      <c r="ERS136" s="9"/>
      <c r="ERT136" s="9"/>
      <c r="ERU136" s="18"/>
      <c r="ERV136" s="18"/>
      <c r="ERW136" s="18"/>
      <c r="ERX136" s="18"/>
      <c r="ERY136" s="18"/>
      <c r="ERZ136" s="17"/>
      <c r="ESA136" s="9"/>
      <c r="ESB136" s="9"/>
      <c r="ESC136" s="18"/>
      <c r="ESD136" s="18"/>
      <c r="ESE136" s="18"/>
      <c r="ESF136" s="18"/>
      <c r="ESG136" s="18"/>
      <c r="ESH136" s="17"/>
      <c r="ESI136" s="9"/>
      <c r="ESJ136" s="9"/>
      <c r="ESK136" s="18"/>
      <c r="ESL136" s="18"/>
      <c r="ESM136" s="18"/>
      <c r="ESN136" s="18"/>
      <c r="ESO136" s="18"/>
      <c r="ESP136" s="17"/>
      <c r="ESQ136" s="9"/>
      <c r="ESR136" s="9"/>
      <c r="ESS136" s="18"/>
      <c r="EST136" s="18"/>
      <c r="ESU136" s="18"/>
      <c r="ESV136" s="18"/>
      <c r="ESW136" s="18"/>
      <c r="ESX136" s="17"/>
      <c r="ESY136" s="9"/>
      <c r="ESZ136" s="9"/>
      <c r="ETA136" s="18"/>
      <c r="ETB136" s="18"/>
      <c r="ETC136" s="18"/>
      <c r="ETD136" s="18"/>
      <c r="ETE136" s="18"/>
      <c r="ETF136" s="17"/>
      <c r="ETG136" s="9"/>
      <c r="ETH136" s="9"/>
      <c r="ETI136" s="18"/>
      <c r="ETJ136" s="18"/>
      <c r="ETK136" s="18"/>
      <c r="ETL136" s="18"/>
      <c r="ETM136" s="18"/>
      <c r="ETN136" s="17"/>
      <c r="ETO136" s="9"/>
      <c r="ETP136" s="9"/>
      <c r="ETQ136" s="18"/>
      <c r="ETR136" s="18"/>
      <c r="ETS136" s="18"/>
      <c r="ETT136" s="18"/>
      <c r="ETU136" s="18"/>
      <c r="ETV136" s="17"/>
      <c r="ETW136" s="9"/>
      <c r="ETX136" s="9"/>
      <c r="ETY136" s="18"/>
      <c r="ETZ136" s="18"/>
      <c r="EUA136" s="18"/>
      <c r="EUB136" s="18"/>
      <c r="EUC136" s="18"/>
      <c r="EUD136" s="17"/>
      <c r="EUE136" s="9"/>
      <c r="EUF136" s="9"/>
      <c r="EUG136" s="18"/>
      <c r="EUH136" s="18"/>
      <c r="EUI136" s="18"/>
      <c r="EUJ136" s="18"/>
      <c r="EUK136" s="18"/>
      <c r="EUL136" s="17"/>
      <c r="EUM136" s="9"/>
      <c r="EUN136" s="9"/>
      <c r="EUO136" s="18"/>
      <c r="EUP136" s="18"/>
      <c r="EUQ136" s="18"/>
      <c r="EUR136" s="18"/>
      <c r="EUS136" s="18"/>
      <c r="EUT136" s="17"/>
      <c r="EUU136" s="9"/>
      <c r="EUV136" s="9"/>
      <c r="EUW136" s="18"/>
      <c r="EUX136" s="18"/>
      <c r="EUY136" s="18"/>
      <c r="EUZ136" s="18"/>
      <c r="EVA136" s="18"/>
      <c r="EVB136" s="17"/>
      <c r="EVC136" s="9"/>
      <c r="EVD136" s="9"/>
      <c r="EVE136" s="18"/>
      <c r="EVF136" s="18"/>
      <c r="EVG136" s="18"/>
      <c r="EVH136" s="18"/>
      <c r="EVI136" s="18"/>
      <c r="EVJ136" s="17"/>
      <c r="EVK136" s="9"/>
      <c r="EVL136" s="9"/>
      <c r="EVM136" s="18"/>
      <c r="EVN136" s="18"/>
      <c r="EVO136" s="18"/>
      <c r="EVP136" s="18"/>
      <c r="EVQ136" s="18"/>
      <c r="EVR136" s="17"/>
      <c r="EVS136" s="9"/>
      <c r="EVT136" s="9"/>
      <c r="EVU136" s="18"/>
      <c r="EVV136" s="18"/>
      <c r="EVW136" s="18"/>
      <c r="EVX136" s="18"/>
      <c r="EVY136" s="18"/>
      <c r="EVZ136" s="17"/>
      <c r="EWA136" s="9"/>
      <c r="EWB136" s="9"/>
      <c r="EWC136" s="18"/>
      <c r="EWD136" s="18"/>
      <c r="EWE136" s="18"/>
      <c r="EWF136" s="18"/>
      <c r="EWG136" s="18"/>
      <c r="EWH136" s="17"/>
      <c r="EWI136" s="9"/>
      <c r="EWJ136" s="9"/>
      <c r="EWK136" s="18"/>
      <c r="EWL136" s="18"/>
      <c r="EWM136" s="18"/>
      <c r="EWN136" s="18"/>
      <c r="EWO136" s="18"/>
      <c r="EWP136" s="17"/>
      <c r="EWQ136" s="9"/>
      <c r="EWR136" s="9"/>
      <c r="EWS136" s="18"/>
      <c r="EWT136" s="18"/>
      <c r="EWU136" s="18"/>
      <c r="EWV136" s="18"/>
      <c r="EWW136" s="18"/>
      <c r="EWX136" s="17"/>
      <c r="EWY136" s="9"/>
      <c r="EWZ136" s="9"/>
      <c r="EXA136" s="18"/>
      <c r="EXB136" s="18"/>
      <c r="EXC136" s="18"/>
      <c r="EXD136" s="18"/>
      <c r="EXE136" s="18"/>
      <c r="EXF136" s="17"/>
      <c r="EXG136" s="9"/>
      <c r="EXH136" s="9"/>
      <c r="EXI136" s="18"/>
      <c r="EXJ136" s="18"/>
      <c r="EXK136" s="18"/>
      <c r="EXL136" s="18"/>
      <c r="EXM136" s="18"/>
      <c r="EXN136" s="17"/>
      <c r="EXO136" s="9"/>
      <c r="EXP136" s="9"/>
      <c r="EXQ136" s="18"/>
      <c r="EXR136" s="18"/>
      <c r="EXS136" s="18"/>
      <c r="EXT136" s="18"/>
      <c r="EXU136" s="18"/>
      <c r="EXV136" s="17"/>
      <c r="EXW136" s="9"/>
      <c r="EXX136" s="9"/>
      <c r="EXY136" s="18"/>
      <c r="EXZ136" s="18"/>
      <c r="EYA136" s="18"/>
      <c r="EYB136" s="18"/>
      <c r="EYC136" s="18"/>
      <c r="EYD136" s="17"/>
      <c r="EYE136" s="9"/>
      <c r="EYF136" s="9"/>
      <c r="EYG136" s="18"/>
      <c r="EYH136" s="18"/>
      <c r="EYI136" s="18"/>
      <c r="EYJ136" s="18"/>
      <c r="EYK136" s="18"/>
      <c r="EYL136" s="17"/>
      <c r="EYM136" s="9"/>
      <c r="EYN136" s="9"/>
      <c r="EYO136" s="18"/>
      <c r="EYP136" s="18"/>
      <c r="EYQ136" s="18"/>
      <c r="EYR136" s="18"/>
      <c r="EYS136" s="18"/>
      <c r="EYT136" s="17"/>
      <c r="EYU136" s="9"/>
      <c r="EYV136" s="9"/>
      <c r="EYW136" s="18"/>
      <c r="EYX136" s="18"/>
      <c r="EYY136" s="18"/>
      <c r="EYZ136" s="18"/>
      <c r="EZA136" s="18"/>
      <c r="EZB136" s="17"/>
      <c r="EZC136" s="9"/>
      <c r="EZD136" s="9"/>
      <c r="EZE136" s="18"/>
      <c r="EZF136" s="18"/>
      <c r="EZG136" s="18"/>
      <c r="EZH136" s="18"/>
      <c r="EZI136" s="18"/>
      <c r="EZJ136" s="17"/>
      <c r="EZK136" s="9"/>
      <c r="EZL136" s="9"/>
      <c r="EZM136" s="18"/>
      <c r="EZN136" s="18"/>
      <c r="EZO136" s="18"/>
      <c r="EZP136" s="18"/>
      <c r="EZQ136" s="18"/>
      <c r="EZR136" s="17"/>
      <c r="EZS136" s="9"/>
      <c r="EZT136" s="9"/>
      <c r="EZU136" s="18"/>
      <c r="EZV136" s="18"/>
      <c r="EZW136" s="18"/>
      <c r="EZX136" s="18"/>
      <c r="EZY136" s="18"/>
      <c r="EZZ136" s="17"/>
      <c r="FAA136" s="9"/>
      <c r="FAB136" s="9"/>
      <c r="FAC136" s="18"/>
      <c r="FAD136" s="18"/>
      <c r="FAE136" s="18"/>
      <c r="FAF136" s="18"/>
      <c r="FAG136" s="18"/>
      <c r="FAH136" s="17"/>
      <c r="FAI136" s="9"/>
      <c r="FAJ136" s="9"/>
      <c r="FAK136" s="18"/>
      <c r="FAL136" s="18"/>
      <c r="FAM136" s="18"/>
      <c r="FAN136" s="18"/>
      <c r="FAO136" s="18"/>
      <c r="FAP136" s="17"/>
      <c r="FAQ136" s="9"/>
      <c r="FAR136" s="9"/>
      <c r="FAS136" s="18"/>
      <c r="FAT136" s="18"/>
      <c r="FAU136" s="18"/>
      <c r="FAV136" s="18"/>
      <c r="FAW136" s="18"/>
      <c r="FAX136" s="17"/>
      <c r="FAY136" s="9"/>
      <c r="FAZ136" s="9"/>
      <c r="FBA136" s="18"/>
      <c r="FBB136" s="18"/>
      <c r="FBC136" s="18"/>
      <c r="FBD136" s="18"/>
      <c r="FBE136" s="18"/>
      <c r="FBF136" s="17"/>
      <c r="FBG136" s="9"/>
      <c r="FBH136" s="9"/>
      <c r="FBI136" s="18"/>
      <c r="FBJ136" s="18"/>
      <c r="FBK136" s="18"/>
      <c r="FBL136" s="18"/>
      <c r="FBM136" s="18"/>
      <c r="FBN136" s="17"/>
      <c r="FBO136" s="9"/>
      <c r="FBP136" s="9"/>
      <c r="FBQ136" s="18"/>
      <c r="FBR136" s="18"/>
      <c r="FBS136" s="18"/>
      <c r="FBT136" s="18"/>
      <c r="FBU136" s="18"/>
      <c r="FBV136" s="17"/>
      <c r="FBW136" s="9"/>
      <c r="FBX136" s="9"/>
      <c r="FBY136" s="18"/>
      <c r="FBZ136" s="18"/>
      <c r="FCA136" s="18"/>
      <c r="FCB136" s="18"/>
      <c r="FCC136" s="18"/>
      <c r="FCD136" s="17"/>
      <c r="FCE136" s="9"/>
      <c r="FCF136" s="9"/>
      <c r="FCG136" s="18"/>
      <c r="FCH136" s="18"/>
      <c r="FCI136" s="18"/>
      <c r="FCJ136" s="18"/>
      <c r="FCK136" s="18"/>
      <c r="FCL136" s="17"/>
      <c r="FCM136" s="9"/>
      <c r="FCN136" s="9"/>
      <c r="FCO136" s="18"/>
      <c r="FCP136" s="18"/>
      <c r="FCQ136" s="18"/>
      <c r="FCR136" s="18"/>
      <c r="FCS136" s="18"/>
      <c r="FCT136" s="17"/>
      <c r="FCU136" s="9"/>
      <c r="FCV136" s="9"/>
      <c r="FCW136" s="18"/>
      <c r="FCX136" s="18"/>
      <c r="FCY136" s="18"/>
      <c r="FCZ136" s="18"/>
      <c r="FDA136" s="18"/>
      <c r="FDB136" s="17"/>
      <c r="FDC136" s="9"/>
      <c r="FDD136" s="9"/>
      <c r="FDE136" s="18"/>
      <c r="FDF136" s="18"/>
      <c r="FDG136" s="18"/>
      <c r="FDH136" s="18"/>
      <c r="FDI136" s="18"/>
      <c r="FDJ136" s="17"/>
      <c r="FDK136" s="9"/>
      <c r="FDL136" s="9"/>
      <c r="FDM136" s="18"/>
      <c r="FDN136" s="18"/>
      <c r="FDO136" s="18"/>
      <c r="FDP136" s="18"/>
      <c r="FDQ136" s="18"/>
      <c r="FDR136" s="17"/>
      <c r="FDS136" s="9"/>
      <c r="FDT136" s="9"/>
      <c r="FDU136" s="18"/>
      <c r="FDV136" s="18"/>
      <c r="FDW136" s="18"/>
      <c r="FDX136" s="18"/>
      <c r="FDY136" s="18"/>
      <c r="FDZ136" s="17"/>
      <c r="FEA136" s="9"/>
      <c r="FEB136" s="9"/>
      <c r="FEC136" s="18"/>
      <c r="FED136" s="18"/>
      <c r="FEE136" s="18"/>
      <c r="FEF136" s="18"/>
      <c r="FEG136" s="18"/>
      <c r="FEH136" s="17"/>
      <c r="FEI136" s="9"/>
      <c r="FEJ136" s="9"/>
      <c r="FEK136" s="18"/>
      <c r="FEL136" s="18"/>
      <c r="FEM136" s="18"/>
      <c r="FEN136" s="18"/>
      <c r="FEO136" s="18"/>
      <c r="FEP136" s="17"/>
      <c r="FEQ136" s="9"/>
      <c r="FER136" s="9"/>
      <c r="FES136" s="18"/>
      <c r="FET136" s="18"/>
      <c r="FEU136" s="18"/>
      <c r="FEV136" s="18"/>
      <c r="FEW136" s="18"/>
      <c r="FEX136" s="17"/>
      <c r="FEY136" s="9"/>
      <c r="FEZ136" s="9"/>
      <c r="FFA136" s="18"/>
      <c r="FFB136" s="18"/>
      <c r="FFC136" s="18"/>
      <c r="FFD136" s="18"/>
      <c r="FFE136" s="18"/>
      <c r="FFF136" s="17"/>
      <c r="FFG136" s="9"/>
      <c r="FFH136" s="9"/>
      <c r="FFI136" s="18"/>
      <c r="FFJ136" s="18"/>
      <c r="FFK136" s="18"/>
      <c r="FFL136" s="18"/>
      <c r="FFM136" s="18"/>
      <c r="FFN136" s="17"/>
      <c r="FFO136" s="9"/>
      <c r="FFP136" s="9"/>
      <c r="FFQ136" s="18"/>
      <c r="FFR136" s="18"/>
      <c r="FFS136" s="18"/>
      <c r="FFT136" s="18"/>
      <c r="FFU136" s="18"/>
      <c r="FFV136" s="17"/>
      <c r="FFW136" s="9"/>
      <c r="FFX136" s="9"/>
      <c r="FFY136" s="18"/>
      <c r="FFZ136" s="18"/>
      <c r="FGA136" s="18"/>
      <c r="FGB136" s="18"/>
      <c r="FGC136" s="18"/>
      <c r="FGD136" s="17"/>
      <c r="FGE136" s="9"/>
      <c r="FGF136" s="9"/>
      <c r="FGG136" s="18"/>
      <c r="FGH136" s="18"/>
      <c r="FGI136" s="18"/>
      <c r="FGJ136" s="18"/>
      <c r="FGK136" s="18"/>
      <c r="FGL136" s="17"/>
      <c r="FGM136" s="9"/>
      <c r="FGN136" s="9"/>
      <c r="FGO136" s="18"/>
      <c r="FGP136" s="18"/>
      <c r="FGQ136" s="18"/>
      <c r="FGR136" s="18"/>
      <c r="FGS136" s="18"/>
      <c r="FGT136" s="17"/>
      <c r="FGU136" s="9"/>
      <c r="FGV136" s="9"/>
      <c r="FGW136" s="18"/>
      <c r="FGX136" s="18"/>
      <c r="FGY136" s="18"/>
      <c r="FGZ136" s="18"/>
      <c r="FHA136" s="18"/>
      <c r="FHB136" s="17"/>
      <c r="FHC136" s="9"/>
      <c r="FHD136" s="9"/>
      <c r="FHE136" s="18"/>
      <c r="FHF136" s="18"/>
      <c r="FHG136" s="18"/>
      <c r="FHH136" s="18"/>
      <c r="FHI136" s="18"/>
      <c r="FHJ136" s="17"/>
      <c r="FHK136" s="9"/>
      <c r="FHL136" s="9"/>
      <c r="FHM136" s="18"/>
      <c r="FHN136" s="18"/>
      <c r="FHO136" s="18"/>
      <c r="FHP136" s="18"/>
      <c r="FHQ136" s="18"/>
      <c r="FHR136" s="17"/>
      <c r="FHS136" s="9"/>
      <c r="FHT136" s="9"/>
      <c r="FHU136" s="18"/>
      <c r="FHV136" s="18"/>
      <c r="FHW136" s="18"/>
      <c r="FHX136" s="18"/>
      <c r="FHY136" s="18"/>
      <c r="FHZ136" s="17"/>
      <c r="FIA136" s="9"/>
      <c r="FIB136" s="9"/>
      <c r="FIC136" s="18"/>
      <c r="FID136" s="18"/>
      <c r="FIE136" s="18"/>
      <c r="FIF136" s="18"/>
      <c r="FIG136" s="18"/>
      <c r="FIH136" s="17"/>
      <c r="FII136" s="9"/>
      <c r="FIJ136" s="9"/>
      <c r="FIK136" s="18"/>
      <c r="FIL136" s="18"/>
      <c r="FIM136" s="18"/>
      <c r="FIN136" s="18"/>
      <c r="FIO136" s="18"/>
      <c r="FIP136" s="17"/>
      <c r="FIQ136" s="9"/>
      <c r="FIR136" s="9"/>
      <c r="FIS136" s="18"/>
      <c r="FIT136" s="18"/>
      <c r="FIU136" s="18"/>
      <c r="FIV136" s="18"/>
      <c r="FIW136" s="18"/>
      <c r="FIX136" s="17"/>
      <c r="FIY136" s="9"/>
      <c r="FIZ136" s="9"/>
      <c r="FJA136" s="18"/>
      <c r="FJB136" s="18"/>
      <c r="FJC136" s="18"/>
      <c r="FJD136" s="18"/>
      <c r="FJE136" s="18"/>
      <c r="FJF136" s="17"/>
      <c r="FJG136" s="9"/>
      <c r="FJH136" s="9"/>
      <c r="FJI136" s="18"/>
      <c r="FJJ136" s="18"/>
      <c r="FJK136" s="18"/>
      <c r="FJL136" s="18"/>
      <c r="FJM136" s="18"/>
      <c r="FJN136" s="17"/>
      <c r="FJO136" s="9"/>
      <c r="FJP136" s="9"/>
      <c r="FJQ136" s="18"/>
      <c r="FJR136" s="18"/>
      <c r="FJS136" s="18"/>
      <c r="FJT136" s="18"/>
      <c r="FJU136" s="18"/>
      <c r="FJV136" s="17"/>
      <c r="FJW136" s="9"/>
      <c r="FJX136" s="9"/>
      <c r="FJY136" s="18"/>
      <c r="FJZ136" s="18"/>
      <c r="FKA136" s="18"/>
      <c r="FKB136" s="18"/>
      <c r="FKC136" s="18"/>
      <c r="FKD136" s="17"/>
      <c r="FKE136" s="9"/>
      <c r="FKF136" s="9"/>
      <c r="FKG136" s="18"/>
      <c r="FKH136" s="18"/>
      <c r="FKI136" s="18"/>
      <c r="FKJ136" s="18"/>
      <c r="FKK136" s="18"/>
      <c r="FKL136" s="17"/>
      <c r="FKM136" s="9"/>
      <c r="FKN136" s="9"/>
      <c r="FKO136" s="18"/>
      <c r="FKP136" s="18"/>
      <c r="FKQ136" s="18"/>
      <c r="FKR136" s="18"/>
      <c r="FKS136" s="18"/>
      <c r="FKT136" s="17"/>
      <c r="FKU136" s="9"/>
      <c r="FKV136" s="9"/>
      <c r="FKW136" s="18"/>
      <c r="FKX136" s="18"/>
      <c r="FKY136" s="18"/>
      <c r="FKZ136" s="18"/>
      <c r="FLA136" s="18"/>
      <c r="FLB136" s="17"/>
      <c r="FLC136" s="9"/>
      <c r="FLD136" s="9"/>
      <c r="FLE136" s="18"/>
      <c r="FLF136" s="18"/>
      <c r="FLG136" s="18"/>
      <c r="FLH136" s="18"/>
      <c r="FLI136" s="18"/>
      <c r="FLJ136" s="17"/>
      <c r="FLK136" s="9"/>
      <c r="FLL136" s="9"/>
      <c r="FLM136" s="18"/>
      <c r="FLN136" s="18"/>
      <c r="FLO136" s="18"/>
      <c r="FLP136" s="18"/>
      <c r="FLQ136" s="18"/>
      <c r="FLR136" s="17"/>
      <c r="FLS136" s="9"/>
      <c r="FLT136" s="9"/>
      <c r="FLU136" s="18"/>
      <c r="FLV136" s="18"/>
      <c r="FLW136" s="18"/>
      <c r="FLX136" s="18"/>
      <c r="FLY136" s="18"/>
      <c r="FLZ136" s="17"/>
      <c r="FMA136" s="9"/>
      <c r="FMB136" s="9"/>
      <c r="FMC136" s="18"/>
      <c r="FMD136" s="18"/>
      <c r="FME136" s="18"/>
      <c r="FMF136" s="18"/>
      <c r="FMG136" s="18"/>
      <c r="FMH136" s="17"/>
      <c r="FMI136" s="9"/>
      <c r="FMJ136" s="9"/>
      <c r="FMK136" s="18"/>
      <c r="FML136" s="18"/>
      <c r="FMM136" s="18"/>
      <c r="FMN136" s="18"/>
      <c r="FMO136" s="18"/>
      <c r="FMP136" s="17"/>
      <c r="FMQ136" s="9"/>
      <c r="FMR136" s="9"/>
      <c r="FMS136" s="18"/>
      <c r="FMT136" s="18"/>
      <c r="FMU136" s="18"/>
      <c r="FMV136" s="18"/>
      <c r="FMW136" s="18"/>
      <c r="FMX136" s="17"/>
      <c r="FMY136" s="9"/>
      <c r="FMZ136" s="9"/>
      <c r="FNA136" s="18"/>
      <c r="FNB136" s="18"/>
      <c r="FNC136" s="18"/>
      <c r="FND136" s="18"/>
      <c r="FNE136" s="18"/>
      <c r="FNF136" s="17"/>
      <c r="FNG136" s="9"/>
      <c r="FNH136" s="9"/>
      <c r="FNI136" s="18"/>
      <c r="FNJ136" s="18"/>
      <c r="FNK136" s="18"/>
      <c r="FNL136" s="18"/>
      <c r="FNM136" s="18"/>
      <c r="FNN136" s="17"/>
      <c r="FNO136" s="9"/>
      <c r="FNP136" s="9"/>
      <c r="FNQ136" s="18"/>
      <c r="FNR136" s="18"/>
      <c r="FNS136" s="18"/>
      <c r="FNT136" s="18"/>
      <c r="FNU136" s="18"/>
      <c r="FNV136" s="17"/>
      <c r="FNW136" s="9"/>
      <c r="FNX136" s="9"/>
      <c r="FNY136" s="18"/>
      <c r="FNZ136" s="18"/>
      <c r="FOA136" s="18"/>
      <c r="FOB136" s="18"/>
      <c r="FOC136" s="18"/>
      <c r="FOD136" s="17"/>
      <c r="FOE136" s="9"/>
      <c r="FOF136" s="9"/>
      <c r="FOG136" s="18"/>
      <c r="FOH136" s="18"/>
      <c r="FOI136" s="18"/>
      <c r="FOJ136" s="18"/>
      <c r="FOK136" s="18"/>
      <c r="FOL136" s="17"/>
      <c r="FOM136" s="9"/>
      <c r="FON136" s="9"/>
      <c r="FOO136" s="18"/>
      <c r="FOP136" s="18"/>
      <c r="FOQ136" s="18"/>
      <c r="FOR136" s="18"/>
      <c r="FOS136" s="18"/>
      <c r="FOT136" s="17"/>
      <c r="FOU136" s="9"/>
      <c r="FOV136" s="9"/>
      <c r="FOW136" s="18"/>
      <c r="FOX136" s="18"/>
      <c r="FOY136" s="18"/>
      <c r="FOZ136" s="18"/>
      <c r="FPA136" s="18"/>
      <c r="FPB136" s="17"/>
      <c r="FPC136" s="9"/>
      <c r="FPD136" s="9"/>
      <c r="FPE136" s="18"/>
      <c r="FPF136" s="18"/>
      <c r="FPG136" s="18"/>
      <c r="FPH136" s="18"/>
      <c r="FPI136" s="18"/>
      <c r="FPJ136" s="17"/>
      <c r="FPK136" s="9"/>
      <c r="FPL136" s="9"/>
      <c r="FPM136" s="18"/>
      <c r="FPN136" s="18"/>
      <c r="FPO136" s="18"/>
      <c r="FPP136" s="18"/>
      <c r="FPQ136" s="18"/>
      <c r="FPR136" s="17"/>
      <c r="FPS136" s="9"/>
      <c r="FPT136" s="9"/>
      <c r="FPU136" s="18"/>
      <c r="FPV136" s="18"/>
      <c r="FPW136" s="18"/>
      <c r="FPX136" s="18"/>
      <c r="FPY136" s="18"/>
      <c r="FPZ136" s="17"/>
      <c r="FQA136" s="9"/>
      <c r="FQB136" s="9"/>
      <c r="FQC136" s="18"/>
      <c r="FQD136" s="18"/>
      <c r="FQE136" s="18"/>
      <c r="FQF136" s="18"/>
      <c r="FQG136" s="18"/>
      <c r="FQH136" s="17"/>
      <c r="FQI136" s="9"/>
      <c r="FQJ136" s="9"/>
      <c r="FQK136" s="18"/>
      <c r="FQL136" s="18"/>
      <c r="FQM136" s="18"/>
      <c r="FQN136" s="18"/>
      <c r="FQO136" s="18"/>
      <c r="FQP136" s="17"/>
      <c r="FQQ136" s="9"/>
      <c r="FQR136" s="9"/>
      <c r="FQS136" s="18"/>
      <c r="FQT136" s="18"/>
      <c r="FQU136" s="18"/>
      <c r="FQV136" s="18"/>
      <c r="FQW136" s="18"/>
      <c r="FQX136" s="17"/>
      <c r="FQY136" s="9"/>
      <c r="FQZ136" s="9"/>
      <c r="FRA136" s="18"/>
      <c r="FRB136" s="18"/>
      <c r="FRC136" s="18"/>
      <c r="FRD136" s="18"/>
      <c r="FRE136" s="18"/>
      <c r="FRF136" s="17"/>
      <c r="FRG136" s="9"/>
      <c r="FRH136" s="9"/>
      <c r="FRI136" s="18"/>
      <c r="FRJ136" s="18"/>
      <c r="FRK136" s="18"/>
      <c r="FRL136" s="18"/>
      <c r="FRM136" s="18"/>
      <c r="FRN136" s="17"/>
      <c r="FRO136" s="9"/>
      <c r="FRP136" s="9"/>
      <c r="FRQ136" s="18"/>
      <c r="FRR136" s="18"/>
      <c r="FRS136" s="18"/>
      <c r="FRT136" s="18"/>
      <c r="FRU136" s="18"/>
      <c r="FRV136" s="17"/>
      <c r="FRW136" s="9"/>
      <c r="FRX136" s="9"/>
      <c r="FRY136" s="18"/>
      <c r="FRZ136" s="18"/>
      <c r="FSA136" s="18"/>
      <c r="FSB136" s="18"/>
      <c r="FSC136" s="18"/>
      <c r="FSD136" s="17"/>
      <c r="FSE136" s="9"/>
      <c r="FSF136" s="9"/>
      <c r="FSG136" s="18"/>
      <c r="FSH136" s="18"/>
      <c r="FSI136" s="18"/>
      <c r="FSJ136" s="18"/>
      <c r="FSK136" s="18"/>
      <c r="FSL136" s="17"/>
      <c r="FSM136" s="9"/>
      <c r="FSN136" s="9"/>
      <c r="FSO136" s="18"/>
      <c r="FSP136" s="18"/>
      <c r="FSQ136" s="18"/>
      <c r="FSR136" s="18"/>
      <c r="FSS136" s="18"/>
      <c r="FST136" s="17"/>
      <c r="FSU136" s="9"/>
      <c r="FSV136" s="9"/>
      <c r="FSW136" s="18"/>
      <c r="FSX136" s="18"/>
      <c r="FSY136" s="18"/>
      <c r="FSZ136" s="18"/>
      <c r="FTA136" s="18"/>
      <c r="FTB136" s="17"/>
      <c r="FTC136" s="9"/>
      <c r="FTD136" s="9"/>
      <c r="FTE136" s="18"/>
      <c r="FTF136" s="18"/>
      <c r="FTG136" s="18"/>
      <c r="FTH136" s="18"/>
      <c r="FTI136" s="18"/>
      <c r="FTJ136" s="17"/>
      <c r="FTK136" s="9"/>
      <c r="FTL136" s="9"/>
      <c r="FTM136" s="18"/>
      <c r="FTN136" s="18"/>
      <c r="FTO136" s="18"/>
      <c r="FTP136" s="18"/>
      <c r="FTQ136" s="18"/>
      <c r="FTR136" s="17"/>
      <c r="FTS136" s="9"/>
      <c r="FTT136" s="9"/>
      <c r="FTU136" s="18"/>
      <c r="FTV136" s="18"/>
      <c r="FTW136" s="18"/>
      <c r="FTX136" s="18"/>
      <c r="FTY136" s="18"/>
      <c r="FTZ136" s="17"/>
      <c r="FUA136" s="9"/>
      <c r="FUB136" s="9"/>
      <c r="FUC136" s="18"/>
      <c r="FUD136" s="18"/>
      <c r="FUE136" s="18"/>
      <c r="FUF136" s="18"/>
      <c r="FUG136" s="18"/>
      <c r="FUH136" s="17"/>
      <c r="FUI136" s="9"/>
      <c r="FUJ136" s="9"/>
      <c r="FUK136" s="18"/>
      <c r="FUL136" s="18"/>
      <c r="FUM136" s="18"/>
      <c r="FUN136" s="18"/>
      <c r="FUO136" s="18"/>
      <c r="FUP136" s="17"/>
      <c r="FUQ136" s="9"/>
      <c r="FUR136" s="9"/>
      <c r="FUS136" s="18"/>
      <c r="FUT136" s="18"/>
      <c r="FUU136" s="18"/>
      <c r="FUV136" s="18"/>
      <c r="FUW136" s="18"/>
      <c r="FUX136" s="17"/>
      <c r="FUY136" s="9"/>
      <c r="FUZ136" s="9"/>
      <c r="FVA136" s="18"/>
      <c r="FVB136" s="18"/>
      <c r="FVC136" s="18"/>
      <c r="FVD136" s="18"/>
      <c r="FVE136" s="18"/>
      <c r="FVF136" s="17"/>
      <c r="FVG136" s="9"/>
      <c r="FVH136" s="9"/>
      <c r="FVI136" s="18"/>
      <c r="FVJ136" s="18"/>
      <c r="FVK136" s="18"/>
      <c r="FVL136" s="18"/>
      <c r="FVM136" s="18"/>
      <c r="FVN136" s="17"/>
      <c r="FVO136" s="9"/>
      <c r="FVP136" s="9"/>
      <c r="FVQ136" s="18"/>
      <c r="FVR136" s="18"/>
      <c r="FVS136" s="18"/>
      <c r="FVT136" s="18"/>
      <c r="FVU136" s="18"/>
      <c r="FVV136" s="17"/>
      <c r="FVW136" s="9"/>
      <c r="FVX136" s="9"/>
      <c r="FVY136" s="18"/>
      <c r="FVZ136" s="18"/>
      <c r="FWA136" s="18"/>
      <c r="FWB136" s="18"/>
      <c r="FWC136" s="18"/>
      <c r="FWD136" s="17"/>
      <c r="FWE136" s="9"/>
      <c r="FWF136" s="9"/>
      <c r="FWG136" s="18"/>
      <c r="FWH136" s="18"/>
      <c r="FWI136" s="18"/>
      <c r="FWJ136" s="18"/>
      <c r="FWK136" s="18"/>
      <c r="FWL136" s="17"/>
      <c r="FWM136" s="9"/>
      <c r="FWN136" s="9"/>
      <c r="FWO136" s="18"/>
      <c r="FWP136" s="18"/>
      <c r="FWQ136" s="18"/>
      <c r="FWR136" s="18"/>
      <c r="FWS136" s="18"/>
      <c r="FWT136" s="17"/>
      <c r="FWU136" s="9"/>
      <c r="FWV136" s="9"/>
      <c r="FWW136" s="18"/>
      <c r="FWX136" s="18"/>
      <c r="FWY136" s="18"/>
      <c r="FWZ136" s="18"/>
      <c r="FXA136" s="18"/>
      <c r="FXB136" s="17"/>
      <c r="FXC136" s="9"/>
      <c r="FXD136" s="9"/>
      <c r="FXE136" s="18"/>
      <c r="FXF136" s="18"/>
      <c r="FXG136" s="18"/>
      <c r="FXH136" s="18"/>
      <c r="FXI136" s="18"/>
      <c r="FXJ136" s="17"/>
      <c r="FXK136" s="9"/>
      <c r="FXL136" s="9"/>
      <c r="FXM136" s="18"/>
      <c r="FXN136" s="18"/>
      <c r="FXO136" s="18"/>
      <c r="FXP136" s="18"/>
      <c r="FXQ136" s="18"/>
      <c r="FXR136" s="17"/>
      <c r="FXS136" s="9"/>
      <c r="FXT136" s="9"/>
      <c r="FXU136" s="18"/>
      <c r="FXV136" s="18"/>
      <c r="FXW136" s="18"/>
      <c r="FXX136" s="18"/>
      <c r="FXY136" s="18"/>
      <c r="FXZ136" s="17"/>
      <c r="FYA136" s="9"/>
      <c r="FYB136" s="9"/>
      <c r="FYC136" s="18"/>
      <c r="FYD136" s="18"/>
      <c r="FYE136" s="18"/>
      <c r="FYF136" s="18"/>
      <c r="FYG136" s="18"/>
      <c r="FYH136" s="17"/>
      <c r="FYI136" s="9"/>
      <c r="FYJ136" s="9"/>
      <c r="FYK136" s="18"/>
      <c r="FYL136" s="18"/>
      <c r="FYM136" s="18"/>
      <c r="FYN136" s="18"/>
      <c r="FYO136" s="18"/>
      <c r="FYP136" s="17"/>
      <c r="FYQ136" s="9"/>
      <c r="FYR136" s="9"/>
      <c r="FYS136" s="18"/>
      <c r="FYT136" s="18"/>
      <c r="FYU136" s="18"/>
      <c r="FYV136" s="18"/>
      <c r="FYW136" s="18"/>
      <c r="FYX136" s="17"/>
      <c r="FYY136" s="9"/>
      <c r="FYZ136" s="9"/>
      <c r="FZA136" s="18"/>
      <c r="FZB136" s="18"/>
      <c r="FZC136" s="18"/>
      <c r="FZD136" s="18"/>
      <c r="FZE136" s="18"/>
      <c r="FZF136" s="17"/>
      <c r="FZG136" s="9"/>
      <c r="FZH136" s="9"/>
      <c r="FZI136" s="18"/>
      <c r="FZJ136" s="18"/>
      <c r="FZK136" s="18"/>
      <c r="FZL136" s="18"/>
      <c r="FZM136" s="18"/>
      <c r="FZN136" s="17"/>
      <c r="FZO136" s="9"/>
      <c r="FZP136" s="9"/>
      <c r="FZQ136" s="18"/>
      <c r="FZR136" s="18"/>
      <c r="FZS136" s="18"/>
      <c r="FZT136" s="18"/>
      <c r="FZU136" s="18"/>
      <c r="FZV136" s="17"/>
      <c r="FZW136" s="9"/>
      <c r="FZX136" s="9"/>
      <c r="FZY136" s="18"/>
      <c r="FZZ136" s="18"/>
      <c r="GAA136" s="18"/>
      <c r="GAB136" s="18"/>
      <c r="GAC136" s="18"/>
      <c r="GAD136" s="17"/>
      <c r="GAE136" s="9"/>
      <c r="GAF136" s="9"/>
      <c r="GAG136" s="18"/>
      <c r="GAH136" s="18"/>
      <c r="GAI136" s="18"/>
      <c r="GAJ136" s="18"/>
      <c r="GAK136" s="18"/>
      <c r="GAL136" s="17"/>
      <c r="GAM136" s="9"/>
      <c r="GAN136" s="9"/>
      <c r="GAO136" s="18"/>
      <c r="GAP136" s="18"/>
      <c r="GAQ136" s="18"/>
      <c r="GAR136" s="18"/>
      <c r="GAS136" s="18"/>
      <c r="GAT136" s="17"/>
      <c r="GAU136" s="9"/>
      <c r="GAV136" s="9"/>
      <c r="GAW136" s="18"/>
      <c r="GAX136" s="18"/>
      <c r="GAY136" s="18"/>
      <c r="GAZ136" s="18"/>
      <c r="GBA136" s="18"/>
      <c r="GBB136" s="17"/>
      <c r="GBC136" s="9"/>
      <c r="GBD136" s="9"/>
      <c r="GBE136" s="18"/>
      <c r="GBF136" s="18"/>
      <c r="GBG136" s="18"/>
      <c r="GBH136" s="18"/>
      <c r="GBI136" s="18"/>
      <c r="GBJ136" s="17"/>
      <c r="GBK136" s="9"/>
      <c r="GBL136" s="9"/>
      <c r="GBM136" s="18"/>
      <c r="GBN136" s="18"/>
      <c r="GBO136" s="18"/>
      <c r="GBP136" s="18"/>
      <c r="GBQ136" s="18"/>
      <c r="GBR136" s="17"/>
      <c r="GBS136" s="9"/>
      <c r="GBT136" s="9"/>
      <c r="GBU136" s="18"/>
      <c r="GBV136" s="18"/>
      <c r="GBW136" s="18"/>
      <c r="GBX136" s="18"/>
      <c r="GBY136" s="18"/>
      <c r="GBZ136" s="17"/>
      <c r="GCA136" s="9"/>
      <c r="GCB136" s="9"/>
      <c r="GCC136" s="18"/>
      <c r="GCD136" s="18"/>
      <c r="GCE136" s="18"/>
      <c r="GCF136" s="18"/>
      <c r="GCG136" s="18"/>
      <c r="GCH136" s="17"/>
      <c r="GCI136" s="9"/>
      <c r="GCJ136" s="9"/>
      <c r="GCK136" s="18"/>
      <c r="GCL136" s="18"/>
      <c r="GCM136" s="18"/>
      <c r="GCN136" s="18"/>
      <c r="GCO136" s="18"/>
      <c r="GCP136" s="17"/>
      <c r="GCQ136" s="9"/>
      <c r="GCR136" s="9"/>
      <c r="GCS136" s="18"/>
      <c r="GCT136" s="18"/>
      <c r="GCU136" s="18"/>
      <c r="GCV136" s="18"/>
      <c r="GCW136" s="18"/>
      <c r="GCX136" s="17"/>
      <c r="GCY136" s="9"/>
      <c r="GCZ136" s="9"/>
      <c r="GDA136" s="18"/>
      <c r="GDB136" s="18"/>
      <c r="GDC136" s="18"/>
      <c r="GDD136" s="18"/>
      <c r="GDE136" s="18"/>
      <c r="GDF136" s="17"/>
      <c r="GDG136" s="9"/>
      <c r="GDH136" s="9"/>
      <c r="GDI136" s="18"/>
      <c r="GDJ136" s="18"/>
      <c r="GDK136" s="18"/>
      <c r="GDL136" s="18"/>
      <c r="GDM136" s="18"/>
      <c r="GDN136" s="17"/>
      <c r="GDO136" s="9"/>
      <c r="GDP136" s="9"/>
      <c r="GDQ136" s="18"/>
      <c r="GDR136" s="18"/>
      <c r="GDS136" s="18"/>
      <c r="GDT136" s="18"/>
      <c r="GDU136" s="18"/>
      <c r="GDV136" s="17"/>
      <c r="GDW136" s="9"/>
      <c r="GDX136" s="9"/>
      <c r="GDY136" s="18"/>
      <c r="GDZ136" s="18"/>
      <c r="GEA136" s="18"/>
      <c r="GEB136" s="18"/>
      <c r="GEC136" s="18"/>
      <c r="GED136" s="17"/>
      <c r="GEE136" s="9"/>
      <c r="GEF136" s="9"/>
      <c r="GEG136" s="18"/>
      <c r="GEH136" s="18"/>
      <c r="GEI136" s="18"/>
      <c r="GEJ136" s="18"/>
      <c r="GEK136" s="18"/>
      <c r="GEL136" s="17"/>
      <c r="GEM136" s="9"/>
      <c r="GEN136" s="9"/>
      <c r="GEO136" s="18"/>
      <c r="GEP136" s="18"/>
      <c r="GEQ136" s="18"/>
      <c r="GER136" s="18"/>
      <c r="GES136" s="18"/>
      <c r="GET136" s="17"/>
      <c r="GEU136" s="9"/>
      <c r="GEV136" s="9"/>
      <c r="GEW136" s="18"/>
      <c r="GEX136" s="18"/>
      <c r="GEY136" s="18"/>
      <c r="GEZ136" s="18"/>
      <c r="GFA136" s="18"/>
      <c r="GFB136" s="17"/>
      <c r="GFC136" s="9"/>
      <c r="GFD136" s="9"/>
      <c r="GFE136" s="18"/>
      <c r="GFF136" s="18"/>
      <c r="GFG136" s="18"/>
      <c r="GFH136" s="18"/>
      <c r="GFI136" s="18"/>
      <c r="GFJ136" s="17"/>
      <c r="GFK136" s="9"/>
      <c r="GFL136" s="9"/>
      <c r="GFM136" s="18"/>
      <c r="GFN136" s="18"/>
      <c r="GFO136" s="18"/>
      <c r="GFP136" s="18"/>
      <c r="GFQ136" s="18"/>
      <c r="GFR136" s="17"/>
      <c r="GFS136" s="9"/>
      <c r="GFT136" s="9"/>
      <c r="GFU136" s="18"/>
      <c r="GFV136" s="18"/>
      <c r="GFW136" s="18"/>
      <c r="GFX136" s="18"/>
      <c r="GFY136" s="18"/>
      <c r="GFZ136" s="17"/>
      <c r="GGA136" s="9"/>
      <c r="GGB136" s="9"/>
      <c r="GGC136" s="18"/>
      <c r="GGD136" s="18"/>
      <c r="GGE136" s="18"/>
      <c r="GGF136" s="18"/>
      <c r="GGG136" s="18"/>
      <c r="GGH136" s="17"/>
      <c r="GGI136" s="9"/>
      <c r="GGJ136" s="9"/>
      <c r="GGK136" s="18"/>
      <c r="GGL136" s="18"/>
      <c r="GGM136" s="18"/>
      <c r="GGN136" s="18"/>
      <c r="GGO136" s="18"/>
      <c r="GGP136" s="17"/>
      <c r="GGQ136" s="9"/>
      <c r="GGR136" s="9"/>
      <c r="GGS136" s="18"/>
      <c r="GGT136" s="18"/>
      <c r="GGU136" s="18"/>
      <c r="GGV136" s="18"/>
      <c r="GGW136" s="18"/>
      <c r="GGX136" s="17"/>
      <c r="GGY136" s="9"/>
      <c r="GGZ136" s="9"/>
      <c r="GHA136" s="18"/>
      <c r="GHB136" s="18"/>
      <c r="GHC136" s="18"/>
      <c r="GHD136" s="18"/>
      <c r="GHE136" s="18"/>
      <c r="GHF136" s="17"/>
      <c r="GHG136" s="9"/>
      <c r="GHH136" s="9"/>
      <c r="GHI136" s="18"/>
      <c r="GHJ136" s="18"/>
      <c r="GHK136" s="18"/>
      <c r="GHL136" s="18"/>
      <c r="GHM136" s="18"/>
      <c r="GHN136" s="17"/>
      <c r="GHO136" s="9"/>
      <c r="GHP136" s="9"/>
      <c r="GHQ136" s="18"/>
      <c r="GHR136" s="18"/>
      <c r="GHS136" s="18"/>
      <c r="GHT136" s="18"/>
      <c r="GHU136" s="18"/>
      <c r="GHV136" s="17"/>
      <c r="GHW136" s="9"/>
      <c r="GHX136" s="9"/>
      <c r="GHY136" s="18"/>
      <c r="GHZ136" s="18"/>
      <c r="GIA136" s="18"/>
      <c r="GIB136" s="18"/>
      <c r="GIC136" s="18"/>
      <c r="GID136" s="17"/>
      <c r="GIE136" s="9"/>
      <c r="GIF136" s="9"/>
      <c r="GIG136" s="18"/>
      <c r="GIH136" s="18"/>
      <c r="GII136" s="18"/>
      <c r="GIJ136" s="18"/>
      <c r="GIK136" s="18"/>
      <c r="GIL136" s="17"/>
      <c r="GIM136" s="9"/>
      <c r="GIN136" s="9"/>
      <c r="GIO136" s="18"/>
      <c r="GIP136" s="18"/>
      <c r="GIQ136" s="18"/>
      <c r="GIR136" s="18"/>
      <c r="GIS136" s="18"/>
      <c r="GIT136" s="17"/>
      <c r="GIU136" s="9"/>
      <c r="GIV136" s="9"/>
      <c r="GIW136" s="18"/>
      <c r="GIX136" s="18"/>
      <c r="GIY136" s="18"/>
      <c r="GIZ136" s="18"/>
      <c r="GJA136" s="18"/>
      <c r="GJB136" s="17"/>
      <c r="GJC136" s="9"/>
      <c r="GJD136" s="9"/>
      <c r="GJE136" s="18"/>
      <c r="GJF136" s="18"/>
      <c r="GJG136" s="18"/>
      <c r="GJH136" s="18"/>
      <c r="GJI136" s="18"/>
      <c r="GJJ136" s="17"/>
      <c r="GJK136" s="9"/>
      <c r="GJL136" s="9"/>
      <c r="GJM136" s="18"/>
      <c r="GJN136" s="18"/>
      <c r="GJO136" s="18"/>
      <c r="GJP136" s="18"/>
      <c r="GJQ136" s="18"/>
      <c r="GJR136" s="17"/>
      <c r="GJS136" s="9"/>
      <c r="GJT136" s="9"/>
      <c r="GJU136" s="18"/>
      <c r="GJV136" s="18"/>
      <c r="GJW136" s="18"/>
      <c r="GJX136" s="18"/>
      <c r="GJY136" s="18"/>
      <c r="GJZ136" s="17"/>
      <c r="GKA136" s="9"/>
      <c r="GKB136" s="9"/>
      <c r="GKC136" s="18"/>
      <c r="GKD136" s="18"/>
      <c r="GKE136" s="18"/>
      <c r="GKF136" s="18"/>
      <c r="GKG136" s="18"/>
      <c r="GKH136" s="17"/>
      <c r="GKI136" s="9"/>
      <c r="GKJ136" s="9"/>
      <c r="GKK136" s="18"/>
      <c r="GKL136" s="18"/>
      <c r="GKM136" s="18"/>
      <c r="GKN136" s="18"/>
      <c r="GKO136" s="18"/>
      <c r="GKP136" s="17"/>
      <c r="GKQ136" s="9"/>
      <c r="GKR136" s="9"/>
      <c r="GKS136" s="18"/>
      <c r="GKT136" s="18"/>
      <c r="GKU136" s="18"/>
      <c r="GKV136" s="18"/>
      <c r="GKW136" s="18"/>
      <c r="GKX136" s="17"/>
      <c r="GKY136" s="9"/>
      <c r="GKZ136" s="9"/>
      <c r="GLA136" s="18"/>
      <c r="GLB136" s="18"/>
      <c r="GLC136" s="18"/>
      <c r="GLD136" s="18"/>
      <c r="GLE136" s="18"/>
      <c r="GLF136" s="17"/>
      <c r="GLG136" s="9"/>
      <c r="GLH136" s="9"/>
      <c r="GLI136" s="18"/>
      <c r="GLJ136" s="18"/>
      <c r="GLK136" s="18"/>
      <c r="GLL136" s="18"/>
      <c r="GLM136" s="18"/>
      <c r="GLN136" s="17"/>
      <c r="GLO136" s="9"/>
      <c r="GLP136" s="9"/>
      <c r="GLQ136" s="18"/>
      <c r="GLR136" s="18"/>
      <c r="GLS136" s="18"/>
      <c r="GLT136" s="18"/>
      <c r="GLU136" s="18"/>
      <c r="GLV136" s="17"/>
      <c r="GLW136" s="9"/>
      <c r="GLX136" s="9"/>
      <c r="GLY136" s="18"/>
      <c r="GLZ136" s="18"/>
      <c r="GMA136" s="18"/>
      <c r="GMB136" s="18"/>
      <c r="GMC136" s="18"/>
      <c r="GMD136" s="17"/>
      <c r="GME136" s="9"/>
      <c r="GMF136" s="9"/>
      <c r="GMG136" s="18"/>
      <c r="GMH136" s="18"/>
      <c r="GMI136" s="18"/>
      <c r="GMJ136" s="18"/>
      <c r="GMK136" s="18"/>
      <c r="GML136" s="17"/>
      <c r="GMM136" s="9"/>
      <c r="GMN136" s="9"/>
      <c r="GMO136" s="18"/>
      <c r="GMP136" s="18"/>
      <c r="GMQ136" s="18"/>
      <c r="GMR136" s="18"/>
      <c r="GMS136" s="18"/>
      <c r="GMT136" s="17"/>
      <c r="GMU136" s="9"/>
      <c r="GMV136" s="9"/>
      <c r="GMW136" s="18"/>
      <c r="GMX136" s="18"/>
      <c r="GMY136" s="18"/>
      <c r="GMZ136" s="18"/>
      <c r="GNA136" s="18"/>
      <c r="GNB136" s="17"/>
      <c r="GNC136" s="9"/>
      <c r="GND136" s="9"/>
      <c r="GNE136" s="18"/>
      <c r="GNF136" s="18"/>
      <c r="GNG136" s="18"/>
      <c r="GNH136" s="18"/>
      <c r="GNI136" s="18"/>
      <c r="GNJ136" s="17"/>
      <c r="GNK136" s="9"/>
      <c r="GNL136" s="9"/>
      <c r="GNM136" s="18"/>
      <c r="GNN136" s="18"/>
      <c r="GNO136" s="18"/>
      <c r="GNP136" s="18"/>
      <c r="GNQ136" s="18"/>
      <c r="GNR136" s="17"/>
      <c r="GNS136" s="9"/>
      <c r="GNT136" s="9"/>
      <c r="GNU136" s="18"/>
      <c r="GNV136" s="18"/>
      <c r="GNW136" s="18"/>
      <c r="GNX136" s="18"/>
      <c r="GNY136" s="18"/>
      <c r="GNZ136" s="17"/>
      <c r="GOA136" s="9"/>
      <c r="GOB136" s="9"/>
      <c r="GOC136" s="18"/>
      <c r="GOD136" s="18"/>
      <c r="GOE136" s="18"/>
      <c r="GOF136" s="18"/>
      <c r="GOG136" s="18"/>
      <c r="GOH136" s="17"/>
      <c r="GOI136" s="9"/>
      <c r="GOJ136" s="9"/>
      <c r="GOK136" s="18"/>
      <c r="GOL136" s="18"/>
      <c r="GOM136" s="18"/>
      <c r="GON136" s="18"/>
      <c r="GOO136" s="18"/>
      <c r="GOP136" s="17"/>
      <c r="GOQ136" s="9"/>
      <c r="GOR136" s="9"/>
      <c r="GOS136" s="18"/>
      <c r="GOT136" s="18"/>
      <c r="GOU136" s="18"/>
      <c r="GOV136" s="18"/>
      <c r="GOW136" s="18"/>
      <c r="GOX136" s="17"/>
      <c r="GOY136" s="9"/>
      <c r="GOZ136" s="9"/>
      <c r="GPA136" s="18"/>
      <c r="GPB136" s="18"/>
      <c r="GPC136" s="18"/>
      <c r="GPD136" s="18"/>
      <c r="GPE136" s="18"/>
      <c r="GPF136" s="17"/>
      <c r="GPG136" s="9"/>
      <c r="GPH136" s="9"/>
      <c r="GPI136" s="18"/>
      <c r="GPJ136" s="18"/>
      <c r="GPK136" s="18"/>
      <c r="GPL136" s="18"/>
      <c r="GPM136" s="18"/>
      <c r="GPN136" s="17"/>
      <c r="GPO136" s="9"/>
      <c r="GPP136" s="9"/>
      <c r="GPQ136" s="18"/>
      <c r="GPR136" s="18"/>
      <c r="GPS136" s="18"/>
      <c r="GPT136" s="18"/>
      <c r="GPU136" s="18"/>
      <c r="GPV136" s="17"/>
      <c r="GPW136" s="9"/>
      <c r="GPX136" s="9"/>
      <c r="GPY136" s="18"/>
      <c r="GPZ136" s="18"/>
      <c r="GQA136" s="18"/>
      <c r="GQB136" s="18"/>
      <c r="GQC136" s="18"/>
      <c r="GQD136" s="17"/>
      <c r="GQE136" s="9"/>
      <c r="GQF136" s="9"/>
      <c r="GQG136" s="18"/>
      <c r="GQH136" s="18"/>
      <c r="GQI136" s="18"/>
      <c r="GQJ136" s="18"/>
      <c r="GQK136" s="18"/>
      <c r="GQL136" s="17"/>
      <c r="GQM136" s="9"/>
      <c r="GQN136" s="9"/>
      <c r="GQO136" s="18"/>
      <c r="GQP136" s="18"/>
      <c r="GQQ136" s="18"/>
      <c r="GQR136" s="18"/>
      <c r="GQS136" s="18"/>
      <c r="GQT136" s="17"/>
      <c r="GQU136" s="9"/>
      <c r="GQV136" s="9"/>
      <c r="GQW136" s="18"/>
      <c r="GQX136" s="18"/>
      <c r="GQY136" s="18"/>
      <c r="GQZ136" s="18"/>
      <c r="GRA136" s="18"/>
      <c r="GRB136" s="17"/>
      <c r="GRC136" s="9"/>
      <c r="GRD136" s="9"/>
      <c r="GRE136" s="18"/>
      <c r="GRF136" s="18"/>
      <c r="GRG136" s="18"/>
      <c r="GRH136" s="18"/>
      <c r="GRI136" s="18"/>
      <c r="GRJ136" s="17"/>
      <c r="GRK136" s="9"/>
      <c r="GRL136" s="9"/>
      <c r="GRM136" s="18"/>
      <c r="GRN136" s="18"/>
      <c r="GRO136" s="18"/>
      <c r="GRP136" s="18"/>
      <c r="GRQ136" s="18"/>
      <c r="GRR136" s="17"/>
      <c r="GRS136" s="9"/>
      <c r="GRT136" s="9"/>
      <c r="GRU136" s="18"/>
      <c r="GRV136" s="18"/>
      <c r="GRW136" s="18"/>
      <c r="GRX136" s="18"/>
      <c r="GRY136" s="18"/>
      <c r="GRZ136" s="17"/>
      <c r="GSA136" s="9"/>
      <c r="GSB136" s="9"/>
      <c r="GSC136" s="18"/>
      <c r="GSD136" s="18"/>
      <c r="GSE136" s="18"/>
      <c r="GSF136" s="18"/>
      <c r="GSG136" s="18"/>
      <c r="GSH136" s="17"/>
      <c r="GSI136" s="9"/>
      <c r="GSJ136" s="9"/>
      <c r="GSK136" s="18"/>
      <c r="GSL136" s="18"/>
      <c r="GSM136" s="18"/>
      <c r="GSN136" s="18"/>
      <c r="GSO136" s="18"/>
      <c r="GSP136" s="17"/>
      <c r="GSQ136" s="9"/>
      <c r="GSR136" s="9"/>
      <c r="GSS136" s="18"/>
      <c r="GST136" s="18"/>
      <c r="GSU136" s="18"/>
      <c r="GSV136" s="18"/>
      <c r="GSW136" s="18"/>
      <c r="GSX136" s="17"/>
      <c r="GSY136" s="9"/>
      <c r="GSZ136" s="9"/>
      <c r="GTA136" s="18"/>
      <c r="GTB136" s="18"/>
      <c r="GTC136" s="18"/>
      <c r="GTD136" s="18"/>
      <c r="GTE136" s="18"/>
      <c r="GTF136" s="17"/>
      <c r="GTG136" s="9"/>
      <c r="GTH136" s="9"/>
      <c r="GTI136" s="18"/>
      <c r="GTJ136" s="18"/>
      <c r="GTK136" s="18"/>
      <c r="GTL136" s="18"/>
      <c r="GTM136" s="18"/>
      <c r="GTN136" s="17"/>
      <c r="GTO136" s="9"/>
      <c r="GTP136" s="9"/>
      <c r="GTQ136" s="18"/>
      <c r="GTR136" s="18"/>
      <c r="GTS136" s="18"/>
      <c r="GTT136" s="18"/>
      <c r="GTU136" s="18"/>
      <c r="GTV136" s="17"/>
      <c r="GTW136" s="9"/>
      <c r="GTX136" s="9"/>
      <c r="GTY136" s="18"/>
      <c r="GTZ136" s="18"/>
      <c r="GUA136" s="18"/>
      <c r="GUB136" s="18"/>
      <c r="GUC136" s="18"/>
      <c r="GUD136" s="17"/>
      <c r="GUE136" s="9"/>
      <c r="GUF136" s="9"/>
      <c r="GUG136" s="18"/>
      <c r="GUH136" s="18"/>
      <c r="GUI136" s="18"/>
      <c r="GUJ136" s="18"/>
      <c r="GUK136" s="18"/>
      <c r="GUL136" s="17"/>
      <c r="GUM136" s="9"/>
      <c r="GUN136" s="9"/>
      <c r="GUO136" s="18"/>
      <c r="GUP136" s="18"/>
      <c r="GUQ136" s="18"/>
      <c r="GUR136" s="18"/>
      <c r="GUS136" s="18"/>
      <c r="GUT136" s="17"/>
      <c r="GUU136" s="9"/>
      <c r="GUV136" s="9"/>
      <c r="GUW136" s="18"/>
      <c r="GUX136" s="18"/>
      <c r="GUY136" s="18"/>
      <c r="GUZ136" s="18"/>
      <c r="GVA136" s="18"/>
      <c r="GVB136" s="17"/>
      <c r="GVC136" s="9"/>
      <c r="GVD136" s="9"/>
      <c r="GVE136" s="18"/>
      <c r="GVF136" s="18"/>
      <c r="GVG136" s="18"/>
      <c r="GVH136" s="18"/>
      <c r="GVI136" s="18"/>
      <c r="GVJ136" s="17"/>
      <c r="GVK136" s="9"/>
      <c r="GVL136" s="9"/>
      <c r="GVM136" s="18"/>
      <c r="GVN136" s="18"/>
      <c r="GVO136" s="18"/>
      <c r="GVP136" s="18"/>
      <c r="GVQ136" s="18"/>
      <c r="GVR136" s="17"/>
      <c r="GVS136" s="9"/>
      <c r="GVT136" s="9"/>
      <c r="GVU136" s="18"/>
      <c r="GVV136" s="18"/>
      <c r="GVW136" s="18"/>
      <c r="GVX136" s="18"/>
      <c r="GVY136" s="18"/>
      <c r="GVZ136" s="17"/>
      <c r="GWA136" s="9"/>
      <c r="GWB136" s="9"/>
      <c r="GWC136" s="18"/>
      <c r="GWD136" s="18"/>
      <c r="GWE136" s="18"/>
      <c r="GWF136" s="18"/>
      <c r="GWG136" s="18"/>
      <c r="GWH136" s="17"/>
      <c r="GWI136" s="9"/>
      <c r="GWJ136" s="9"/>
      <c r="GWK136" s="18"/>
      <c r="GWL136" s="18"/>
      <c r="GWM136" s="18"/>
      <c r="GWN136" s="18"/>
      <c r="GWO136" s="18"/>
      <c r="GWP136" s="17"/>
      <c r="GWQ136" s="9"/>
      <c r="GWR136" s="9"/>
      <c r="GWS136" s="18"/>
      <c r="GWT136" s="18"/>
      <c r="GWU136" s="18"/>
      <c r="GWV136" s="18"/>
      <c r="GWW136" s="18"/>
      <c r="GWX136" s="17"/>
      <c r="GWY136" s="9"/>
      <c r="GWZ136" s="9"/>
      <c r="GXA136" s="18"/>
      <c r="GXB136" s="18"/>
      <c r="GXC136" s="18"/>
      <c r="GXD136" s="18"/>
      <c r="GXE136" s="18"/>
      <c r="GXF136" s="17"/>
      <c r="GXG136" s="9"/>
      <c r="GXH136" s="9"/>
      <c r="GXI136" s="18"/>
      <c r="GXJ136" s="18"/>
      <c r="GXK136" s="18"/>
      <c r="GXL136" s="18"/>
      <c r="GXM136" s="18"/>
      <c r="GXN136" s="17"/>
      <c r="GXO136" s="9"/>
      <c r="GXP136" s="9"/>
      <c r="GXQ136" s="18"/>
      <c r="GXR136" s="18"/>
      <c r="GXS136" s="18"/>
      <c r="GXT136" s="18"/>
      <c r="GXU136" s="18"/>
      <c r="GXV136" s="17"/>
      <c r="GXW136" s="9"/>
      <c r="GXX136" s="9"/>
      <c r="GXY136" s="18"/>
      <c r="GXZ136" s="18"/>
      <c r="GYA136" s="18"/>
      <c r="GYB136" s="18"/>
      <c r="GYC136" s="18"/>
      <c r="GYD136" s="17"/>
      <c r="GYE136" s="9"/>
      <c r="GYF136" s="9"/>
      <c r="GYG136" s="18"/>
      <c r="GYH136" s="18"/>
      <c r="GYI136" s="18"/>
      <c r="GYJ136" s="18"/>
      <c r="GYK136" s="18"/>
      <c r="GYL136" s="17"/>
      <c r="GYM136" s="9"/>
      <c r="GYN136" s="9"/>
      <c r="GYO136" s="18"/>
      <c r="GYP136" s="18"/>
      <c r="GYQ136" s="18"/>
      <c r="GYR136" s="18"/>
      <c r="GYS136" s="18"/>
      <c r="GYT136" s="17"/>
      <c r="GYU136" s="9"/>
      <c r="GYV136" s="9"/>
      <c r="GYW136" s="18"/>
      <c r="GYX136" s="18"/>
      <c r="GYY136" s="18"/>
      <c r="GYZ136" s="18"/>
      <c r="GZA136" s="18"/>
      <c r="GZB136" s="17"/>
      <c r="GZC136" s="9"/>
      <c r="GZD136" s="9"/>
      <c r="GZE136" s="18"/>
      <c r="GZF136" s="18"/>
      <c r="GZG136" s="18"/>
      <c r="GZH136" s="18"/>
      <c r="GZI136" s="18"/>
      <c r="GZJ136" s="17"/>
      <c r="GZK136" s="9"/>
      <c r="GZL136" s="9"/>
      <c r="GZM136" s="18"/>
      <c r="GZN136" s="18"/>
      <c r="GZO136" s="18"/>
      <c r="GZP136" s="18"/>
      <c r="GZQ136" s="18"/>
      <c r="GZR136" s="17"/>
      <c r="GZS136" s="9"/>
      <c r="GZT136" s="9"/>
      <c r="GZU136" s="18"/>
      <c r="GZV136" s="18"/>
      <c r="GZW136" s="18"/>
      <c r="GZX136" s="18"/>
      <c r="GZY136" s="18"/>
      <c r="GZZ136" s="17"/>
      <c r="HAA136" s="9"/>
      <c r="HAB136" s="9"/>
      <c r="HAC136" s="18"/>
      <c r="HAD136" s="18"/>
      <c r="HAE136" s="18"/>
      <c r="HAF136" s="18"/>
      <c r="HAG136" s="18"/>
      <c r="HAH136" s="17"/>
      <c r="HAI136" s="9"/>
      <c r="HAJ136" s="9"/>
      <c r="HAK136" s="18"/>
      <c r="HAL136" s="18"/>
      <c r="HAM136" s="18"/>
      <c r="HAN136" s="18"/>
      <c r="HAO136" s="18"/>
      <c r="HAP136" s="17"/>
      <c r="HAQ136" s="9"/>
      <c r="HAR136" s="9"/>
      <c r="HAS136" s="18"/>
      <c r="HAT136" s="18"/>
      <c r="HAU136" s="18"/>
      <c r="HAV136" s="18"/>
      <c r="HAW136" s="18"/>
      <c r="HAX136" s="17"/>
      <c r="HAY136" s="9"/>
      <c r="HAZ136" s="9"/>
      <c r="HBA136" s="18"/>
      <c r="HBB136" s="18"/>
      <c r="HBC136" s="18"/>
      <c r="HBD136" s="18"/>
      <c r="HBE136" s="18"/>
      <c r="HBF136" s="17"/>
      <c r="HBG136" s="9"/>
      <c r="HBH136" s="9"/>
      <c r="HBI136" s="18"/>
      <c r="HBJ136" s="18"/>
      <c r="HBK136" s="18"/>
      <c r="HBL136" s="18"/>
      <c r="HBM136" s="18"/>
      <c r="HBN136" s="17"/>
      <c r="HBO136" s="9"/>
      <c r="HBP136" s="9"/>
      <c r="HBQ136" s="18"/>
      <c r="HBR136" s="18"/>
      <c r="HBS136" s="18"/>
      <c r="HBT136" s="18"/>
      <c r="HBU136" s="18"/>
      <c r="HBV136" s="17"/>
      <c r="HBW136" s="9"/>
      <c r="HBX136" s="9"/>
      <c r="HBY136" s="18"/>
      <c r="HBZ136" s="18"/>
      <c r="HCA136" s="18"/>
      <c r="HCB136" s="18"/>
      <c r="HCC136" s="18"/>
      <c r="HCD136" s="17"/>
      <c r="HCE136" s="9"/>
      <c r="HCF136" s="9"/>
      <c r="HCG136" s="18"/>
      <c r="HCH136" s="18"/>
      <c r="HCI136" s="18"/>
      <c r="HCJ136" s="18"/>
      <c r="HCK136" s="18"/>
      <c r="HCL136" s="17"/>
      <c r="HCM136" s="9"/>
      <c r="HCN136" s="9"/>
      <c r="HCO136" s="18"/>
      <c r="HCP136" s="18"/>
      <c r="HCQ136" s="18"/>
      <c r="HCR136" s="18"/>
      <c r="HCS136" s="18"/>
      <c r="HCT136" s="17"/>
      <c r="HCU136" s="9"/>
      <c r="HCV136" s="9"/>
      <c r="HCW136" s="18"/>
      <c r="HCX136" s="18"/>
      <c r="HCY136" s="18"/>
      <c r="HCZ136" s="18"/>
      <c r="HDA136" s="18"/>
      <c r="HDB136" s="17"/>
      <c r="HDC136" s="9"/>
      <c r="HDD136" s="9"/>
      <c r="HDE136" s="18"/>
      <c r="HDF136" s="18"/>
      <c r="HDG136" s="18"/>
      <c r="HDH136" s="18"/>
      <c r="HDI136" s="18"/>
      <c r="HDJ136" s="17"/>
      <c r="HDK136" s="9"/>
      <c r="HDL136" s="9"/>
      <c r="HDM136" s="18"/>
      <c r="HDN136" s="18"/>
      <c r="HDO136" s="18"/>
      <c r="HDP136" s="18"/>
      <c r="HDQ136" s="18"/>
      <c r="HDR136" s="17"/>
      <c r="HDS136" s="9"/>
      <c r="HDT136" s="9"/>
      <c r="HDU136" s="18"/>
      <c r="HDV136" s="18"/>
      <c r="HDW136" s="18"/>
      <c r="HDX136" s="18"/>
      <c r="HDY136" s="18"/>
      <c r="HDZ136" s="17"/>
      <c r="HEA136" s="9"/>
      <c r="HEB136" s="9"/>
      <c r="HEC136" s="18"/>
      <c r="HED136" s="18"/>
      <c r="HEE136" s="18"/>
      <c r="HEF136" s="18"/>
      <c r="HEG136" s="18"/>
      <c r="HEH136" s="17"/>
      <c r="HEI136" s="9"/>
      <c r="HEJ136" s="9"/>
      <c r="HEK136" s="18"/>
      <c r="HEL136" s="18"/>
      <c r="HEM136" s="18"/>
      <c r="HEN136" s="18"/>
      <c r="HEO136" s="18"/>
      <c r="HEP136" s="17"/>
      <c r="HEQ136" s="9"/>
      <c r="HER136" s="9"/>
      <c r="HES136" s="18"/>
      <c r="HET136" s="18"/>
      <c r="HEU136" s="18"/>
      <c r="HEV136" s="18"/>
      <c r="HEW136" s="18"/>
      <c r="HEX136" s="17"/>
      <c r="HEY136" s="9"/>
      <c r="HEZ136" s="9"/>
      <c r="HFA136" s="18"/>
      <c r="HFB136" s="18"/>
      <c r="HFC136" s="18"/>
      <c r="HFD136" s="18"/>
      <c r="HFE136" s="18"/>
      <c r="HFF136" s="17"/>
      <c r="HFG136" s="9"/>
      <c r="HFH136" s="9"/>
      <c r="HFI136" s="18"/>
      <c r="HFJ136" s="18"/>
      <c r="HFK136" s="18"/>
      <c r="HFL136" s="18"/>
      <c r="HFM136" s="18"/>
      <c r="HFN136" s="17"/>
      <c r="HFO136" s="9"/>
      <c r="HFP136" s="9"/>
      <c r="HFQ136" s="18"/>
      <c r="HFR136" s="18"/>
      <c r="HFS136" s="18"/>
      <c r="HFT136" s="18"/>
      <c r="HFU136" s="18"/>
      <c r="HFV136" s="17"/>
      <c r="HFW136" s="9"/>
      <c r="HFX136" s="9"/>
      <c r="HFY136" s="18"/>
      <c r="HFZ136" s="18"/>
      <c r="HGA136" s="18"/>
      <c r="HGB136" s="18"/>
      <c r="HGC136" s="18"/>
      <c r="HGD136" s="17"/>
      <c r="HGE136" s="9"/>
      <c r="HGF136" s="9"/>
      <c r="HGG136" s="18"/>
      <c r="HGH136" s="18"/>
      <c r="HGI136" s="18"/>
      <c r="HGJ136" s="18"/>
      <c r="HGK136" s="18"/>
      <c r="HGL136" s="17"/>
      <c r="HGM136" s="9"/>
      <c r="HGN136" s="9"/>
      <c r="HGO136" s="18"/>
      <c r="HGP136" s="18"/>
      <c r="HGQ136" s="18"/>
      <c r="HGR136" s="18"/>
      <c r="HGS136" s="18"/>
      <c r="HGT136" s="17"/>
      <c r="HGU136" s="9"/>
      <c r="HGV136" s="9"/>
      <c r="HGW136" s="18"/>
      <c r="HGX136" s="18"/>
      <c r="HGY136" s="18"/>
      <c r="HGZ136" s="18"/>
      <c r="HHA136" s="18"/>
      <c r="HHB136" s="17"/>
      <c r="HHC136" s="9"/>
      <c r="HHD136" s="9"/>
      <c r="HHE136" s="18"/>
      <c r="HHF136" s="18"/>
      <c r="HHG136" s="18"/>
      <c r="HHH136" s="18"/>
      <c r="HHI136" s="18"/>
      <c r="HHJ136" s="17"/>
      <c r="HHK136" s="9"/>
      <c r="HHL136" s="9"/>
      <c r="HHM136" s="18"/>
      <c r="HHN136" s="18"/>
      <c r="HHO136" s="18"/>
      <c r="HHP136" s="18"/>
      <c r="HHQ136" s="18"/>
      <c r="HHR136" s="17"/>
      <c r="HHS136" s="9"/>
      <c r="HHT136" s="9"/>
      <c r="HHU136" s="18"/>
      <c r="HHV136" s="18"/>
      <c r="HHW136" s="18"/>
      <c r="HHX136" s="18"/>
      <c r="HHY136" s="18"/>
      <c r="HHZ136" s="17"/>
      <c r="HIA136" s="9"/>
      <c r="HIB136" s="9"/>
      <c r="HIC136" s="18"/>
      <c r="HID136" s="18"/>
      <c r="HIE136" s="18"/>
      <c r="HIF136" s="18"/>
      <c r="HIG136" s="18"/>
      <c r="HIH136" s="17"/>
      <c r="HII136" s="9"/>
      <c r="HIJ136" s="9"/>
      <c r="HIK136" s="18"/>
      <c r="HIL136" s="18"/>
      <c r="HIM136" s="18"/>
      <c r="HIN136" s="18"/>
      <c r="HIO136" s="18"/>
      <c r="HIP136" s="17"/>
      <c r="HIQ136" s="9"/>
      <c r="HIR136" s="9"/>
      <c r="HIS136" s="18"/>
      <c r="HIT136" s="18"/>
      <c r="HIU136" s="18"/>
      <c r="HIV136" s="18"/>
      <c r="HIW136" s="18"/>
      <c r="HIX136" s="17"/>
      <c r="HIY136" s="9"/>
      <c r="HIZ136" s="9"/>
      <c r="HJA136" s="18"/>
      <c r="HJB136" s="18"/>
      <c r="HJC136" s="18"/>
      <c r="HJD136" s="18"/>
      <c r="HJE136" s="18"/>
      <c r="HJF136" s="17"/>
      <c r="HJG136" s="9"/>
      <c r="HJH136" s="9"/>
      <c r="HJI136" s="18"/>
      <c r="HJJ136" s="18"/>
      <c r="HJK136" s="18"/>
      <c r="HJL136" s="18"/>
      <c r="HJM136" s="18"/>
      <c r="HJN136" s="17"/>
      <c r="HJO136" s="9"/>
      <c r="HJP136" s="9"/>
      <c r="HJQ136" s="18"/>
      <c r="HJR136" s="18"/>
      <c r="HJS136" s="18"/>
      <c r="HJT136" s="18"/>
      <c r="HJU136" s="18"/>
      <c r="HJV136" s="17"/>
      <c r="HJW136" s="9"/>
      <c r="HJX136" s="9"/>
      <c r="HJY136" s="18"/>
      <c r="HJZ136" s="18"/>
      <c r="HKA136" s="18"/>
      <c r="HKB136" s="18"/>
      <c r="HKC136" s="18"/>
      <c r="HKD136" s="17"/>
      <c r="HKE136" s="9"/>
      <c r="HKF136" s="9"/>
      <c r="HKG136" s="18"/>
      <c r="HKH136" s="18"/>
      <c r="HKI136" s="18"/>
      <c r="HKJ136" s="18"/>
      <c r="HKK136" s="18"/>
      <c r="HKL136" s="17"/>
      <c r="HKM136" s="9"/>
      <c r="HKN136" s="9"/>
      <c r="HKO136" s="18"/>
      <c r="HKP136" s="18"/>
      <c r="HKQ136" s="18"/>
      <c r="HKR136" s="18"/>
      <c r="HKS136" s="18"/>
      <c r="HKT136" s="17"/>
      <c r="HKU136" s="9"/>
      <c r="HKV136" s="9"/>
      <c r="HKW136" s="18"/>
      <c r="HKX136" s="18"/>
      <c r="HKY136" s="18"/>
      <c r="HKZ136" s="18"/>
      <c r="HLA136" s="18"/>
      <c r="HLB136" s="17"/>
      <c r="HLC136" s="9"/>
      <c r="HLD136" s="9"/>
      <c r="HLE136" s="18"/>
      <c r="HLF136" s="18"/>
      <c r="HLG136" s="18"/>
      <c r="HLH136" s="18"/>
      <c r="HLI136" s="18"/>
      <c r="HLJ136" s="17"/>
      <c r="HLK136" s="9"/>
      <c r="HLL136" s="9"/>
      <c r="HLM136" s="18"/>
      <c r="HLN136" s="18"/>
      <c r="HLO136" s="18"/>
      <c r="HLP136" s="18"/>
      <c r="HLQ136" s="18"/>
      <c r="HLR136" s="17"/>
      <c r="HLS136" s="9"/>
      <c r="HLT136" s="9"/>
      <c r="HLU136" s="18"/>
      <c r="HLV136" s="18"/>
      <c r="HLW136" s="18"/>
      <c r="HLX136" s="18"/>
      <c r="HLY136" s="18"/>
      <c r="HLZ136" s="17"/>
      <c r="HMA136" s="9"/>
      <c r="HMB136" s="9"/>
      <c r="HMC136" s="18"/>
      <c r="HMD136" s="18"/>
      <c r="HME136" s="18"/>
      <c r="HMF136" s="18"/>
      <c r="HMG136" s="18"/>
      <c r="HMH136" s="17"/>
      <c r="HMI136" s="9"/>
      <c r="HMJ136" s="9"/>
      <c r="HMK136" s="18"/>
      <c r="HML136" s="18"/>
      <c r="HMM136" s="18"/>
      <c r="HMN136" s="18"/>
      <c r="HMO136" s="18"/>
      <c r="HMP136" s="17"/>
      <c r="HMQ136" s="9"/>
      <c r="HMR136" s="9"/>
      <c r="HMS136" s="18"/>
      <c r="HMT136" s="18"/>
      <c r="HMU136" s="18"/>
      <c r="HMV136" s="18"/>
      <c r="HMW136" s="18"/>
      <c r="HMX136" s="17"/>
      <c r="HMY136" s="9"/>
      <c r="HMZ136" s="9"/>
      <c r="HNA136" s="18"/>
      <c r="HNB136" s="18"/>
      <c r="HNC136" s="18"/>
      <c r="HND136" s="18"/>
      <c r="HNE136" s="18"/>
      <c r="HNF136" s="17"/>
      <c r="HNG136" s="9"/>
      <c r="HNH136" s="9"/>
      <c r="HNI136" s="18"/>
      <c r="HNJ136" s="18"/>
      <c r="HNK136" s="18"/>
      <c r="HNL136" s="18"/>
      <c r="HNM136" s="18"/>
      <c r="HNN136" s="17"/>
      <c r="HNO136" s="9"/>
      <c r="HNP136" s="9"/>
      <c r="HNQ136" s="18"/>
      <c r="HNR136" s="18"/>
      <c r="HNS136" s="18"/>
      <c r="HNT136" s="18"/>
      <c r="HNU136" s="18"/>
      <c r="HNV136" s="17"/>
      <c r="HNW136" s="9"/>
      <c r="HNX136" s="9"/>
      <c r="HNY136" s="18"/>
      <c r="HNZ136" s="18"/>
      <c r="HOA136" s="18"/>
      <c r="HOB136" s="18"/>
      <c r="HOC136" s="18"/>
      <c r="HOD136" s="17"/>
      <c r="HOE136" s="9"/>
      <c r="HOF136" s="9"/>
      <c r="HOG136" s="18"/>
      <c r="HOH136" s="18"/>
      <c r="HOI136" s="18"/>
      <c r="HOJ136" s="18"/>
      <c r="HOK136" s="18"/>
      <c r="HOL136" s="17"/>
      <c r="HOM136" s="9"/>
      <c r="HON136" s="9"/>
      <c r="HOO136" s="18"/>
      <c r="HOP136" s="18"/>
      <c r="HOQ136" s="18"/>
      <c r="HOR136" s="18"/>
      <c r="HOS136" s="18"/>
      <c r="HOT136" s="17"/>
      <c r="HOU136" s="9"/>
      <c r="HOV136" s="9"/>
      <c r="HOW136" s="18"/>
      <c r="HOX136" s="18"/>
      <c r="HOY136" s="18"/>
      <c r="HOZ136" s="18"/>
      <c r="HPA136" s="18"/>
      <c r="HPB136" s="17"/>
      <c r="HPC136" s="9"/>
      <c r="HPD136" s="9"/>
      <c r="HPE136" s="18"/>
      <c r="HPF136" s="18"/>
      <c r="HPG136" s="18"/>
      <c r="HPH136" s="18"/>
      <c r="HPI136" s="18"/>
      <c r="HPJ136" s="17"/>
      <c r="HPK136" s="9"/>
      <c r="HPL136" s="9"/>
      <c r="HPM136" s="18"/>
      <c r="HPN136" s="18"/>
      <c r="HPO136" s="18"/>
      <c r="HPP136" s="18"/>
      <c r="HPQ136" s="18"/>
      <c r="HPR136" s="17"/>
      <c r="HPS136" s="9"/>
      <c r="HPT136" s="9"/>
      <c r="HPU136" s="18"/>
      <c r="HPV136" s="18"/>
      <c r="HPW136" s="18"/>
      <c r="HPX136" s="18"/>
      <c r="HPY136" s="18"/>
      <c r="HPZ136" s="17"/>
      <c r="HQA136" s="9"/>
      <c r="HQB136" s="9"/>
      <c r="HQC136" s="18"/>
      <c r="HQD136" s="18"/>
      <c r="HQE136" s="18"/>
      <c r="HQF136" s="18"/>
      <c r="HQG136" s="18"/>
      <c r="HQH136" s="17"/>
      <c r="HQI136" s="9"/>
      <c r="HQJ136" s="9"/>
      <c r="HQK136" s="18"/>
      <c r="HQL136" s="18"/>
      <c r="HQM136" s="18"/>
      <c r="HQN136" s="18"/>
      <c r="HQO136" s="18"/>
      <c r="HQP136" s="17"/>
      <c r="HQQ136" s="9"/>
      <c r="HQR136" s="9"/>
      <c r="HQS136" s="18"/>
      <c r="HQT136" s="18"/>
      <c r="HQU136" s="18"/>
      <c r="HQV136" s="18"/>
      <c r="HQW136" s="18"/>
      <c r="HQX136" s="17"/>
      <c r="HQY136" s="9"/>
      <c r="HQZ136" s="9"/>
      <c r="HRA136" s="18"/>
      <c r="HRB136" s="18"/>
      <c r="HRC136" s="18"/>
      <c r="HRD136" s="18"/>
      <c r="HRE136" s="18"/>
      <c r="HRF136" s="17"/>
      <c r="HRG136" s="9"/>
      <c r="HRH136" s="9"/>
      <c r="HRI136" s="18"/>
      <c r="HRJ136" s="18"/>
      <c r="HRK136" s="18"/>
      <c r="HRL136" s="18"/>
      <c r="HRM136" s="18"/>
      <c r="HRN136" s="17"/>
      <c r="HRO136" s="9"/>
      <c r="HRP136" s="9"/>
      <c r="HRQ136" s="18"/>
      <c r="HRR136" s="18"/>
      <c r="HRS136" s="18"/>
      <c r="HRT136" s="18"/>
      <c r="HRU136" s="18"/>
      <c r="HRV136" s="17"/>
      <c r="HRW136" s="9"/>
      <c r="HRX136" s="9"/>
      <c r="HRY136" s="18"/>
      <c r="HRZ136" s="18"/>
      <c r="HSA136" s="18"/>
      <c r="HSB136" s="18"/>
      <c r="HSC136" s="18"/>
      <c r="HSD136" s="17"/>
      <c r="HSE136" s="9"/>
      <c r="HSF136" s="9"/>
      <c r="HSG136" s="18"/>
      <c r="HSH136" s="18"/>
      <c r="HSI136" s="18"/>
      <c r="HSJ136" s="18"/>
      <c r="HSK136" s="18"/>
      <c r="HSL136" s="17"/>
      <c r="HSM136" s="9"/>
      <c r="HSN136" s="9"/>
      <c r="HSO136" s="18"/>
      <c r="HSP136" s="18"/>
      <c r="HSQ136" s="18"/>
      <c r="HSR136" s="18"/>
      <c r="HSS136" s="18"/>
      <c r="HST136" s="17"/>
      <c r="HSU136" s="9"/>
      <c r="HSV136" s="9"/>
      <c r="HSW136" s="18"/>
      <c r="HSX136" s="18"/>
      <c r="HSY136" s="18"/>
      <c r="HSZ136" s="18"/>
      <c r="HTA136" s="18"/>
      <c r="HTB136" s="17"/>
      <c r="HTC136" s="9"/>
      <c r="HTD136" s="9"/>
      <c r="HTE136" s="18"/>
      <c r="HTF136" s="18"/>
      <c r="HTG136" s="18"/>
      <c r="HTH136" s="18"/>
      <c r="HTI136" s="18"/>
      <c r="HTJ136" s="17"/>
      <c r="HTK136" s="9"/>
      <c r="HTL136" s="9"/>
      <c r="HTM136" s="18"/>
      <c r="HTN136" s="18"/>
      <c r="HTO136" s="18"/>
      <c r="HTP136" s="18"/>
      <c r="HTQ136" s="18"/>
      <c r="HTR136" s="17"/>
      <c r="HTS136" s="9"/>
      <c r="HTT136" s="9"/>
      <c r="HTU136" s="18"/>
      <c r="HTV136" s="18"/>
      <c r="HTW136" s="18"/>
      <c r="HTX136" s="18"/>
      <c r="HTY136" s="18"/>
      <c r="HTZ136" s="17"/>
      <c r="HUA136" s="9"/>
      <c r="HUB136" s="9"/>
      <c r="HUC136" s="18"/>
      <c r="HUD136" s="18"/>
      <c r="HUE136" s="18"/>
      <c r="HUF136" s="18"/>
      <c r="HUG136" s="18"/>
      <c r="HUH136" s="17"/>
      <c r="HUI136" s="9"/>
      <c r="HUJ136" s="9"/>
      <c r="HUK136" s="18"/>
      <c r="HUL136" s="18"/>
      <c r="HUM136" s="18"/>
      <c r="HUN136" s="18"/>
      <c r="HUO136" s="18"/>
      <c r="HUP136" s="17"/>
      <c r="HUQ136" s="9"/>
      <c r="HUR136" s="9"/>
      <c r="HUS136" s="18"/>
      <c r="HUT136" s="18"/>
      <c r="HUU136" s="18"/>
      <c r="HUV136" s="18"/>
      <c r="HUW136" s="18"/>
      <c r="HUX136" s="17"/>
      <c r="HUY136" s="9"/>
      <c r="HUZ136" s="9"/>
      <c r="HVA136" s="18"/>
      <c r="HVB136" s="18"/>
      <c r="HVC136" s="18"/>
      <c r="HVD136" s="18"/>
      <c r="HVE136" s="18"/>
      <c r="HVF136" s="17"/>
      <c r="HVG136" s="9"/>
      <c r="HVH136" s="9"/>
      <c r="HVI136" s="18"/>
      <c r="HVJ136" s="18"/>
      <c r="HVK136" s="18"/>
      <c r="HVL136" s="18"/>
      <c r="HVM136" s="18"/>
      <c r="HVN136" s="17"/>
      <c r="HVO136" s="9"/>
      <c r="HVP136" s="9"/>
      <c r="HVQ136" s="18"/>
      <c r="HVR136" s="18"/>
      <c r="HVS136" s="18"/>
      <c r="HVT136" s="18"/>
      <c r="HVU136" s="18"/>
      <c r="HVV136" s="17"/>
      <c r="HVW136" s="9"/>
      <c r="HVX136" s="9"/>
      <c r="HVY136" s="18"/>
      <c r="HVZ136" s="18"/>
      <c r="HWA136" s="18"/>
      <c r="HWB136" s="18"/>
      <c r="HWC136" s="18"/>
      <c r="HWD136" s="17"/>
      <c r="HWE136" s="9"/>
      <c r="HWF136" s="9"/>
      <c r="HWG136" s="18"/>
      <c r="HWH136" s="18"/>
      <c r="HWI136" s="18"/>
      <c r="HWJ136" s="18"/>
      <c r="HWK136" s="18"/>
      <c r="HWL136" s="17"/>
      <c r="HWM136" s="9"/>
      <c r="HWN136" s="9"/>
      <c r="HWO136" s="18"/>
      <c r="HWP136" s="18"/>
      <c r="HWQ136" s="18"/>
      <c r="HWR136" s="18"/>
      <c r="HWS136" s="18"/>
      <c r="HWT136" s="17"/>
      <c r="HWU136" s="9"/>
      <c r="HWV136" s="9"/>
      <c r="HWW136" s="18"/>
      <c r="HWX136" s="18"/>
      <c r="HWY136" s="18"/>
      <c r="HWZ136" s="18"/>
      <c r="HXA136" s="18"/>
      <c r="HXB136" s="17"/>
      <c r="HXC136" s="9"/>
      <c r="HXD136" s="9"/>
      <c r="HXE136" s="18"/>
      <c r="HXF136" s="18"/>
      <c r="HXG136" s="18"/>
      <c r="HXH136" s="18"/>
      <c r="HXI136" s="18"/>
      <c r="HXJ136" s="17"/>
      <c r="HXK136" s="9"/>
      <c r="HXL136" s="9"/>
      <c r="HXM136" s="18"/>
      <c r="HXN136" s="18"/>
      <c r="HXO136" s="18"/>
      <c r="HXP136" s="18"/>
      <c r="HXQ136" s="18"/>
      <c r="HXR136" s="17"/>
      <c r="HXS136" s="9"/>
      <c r="HXT136" s="9"/>
      <c r="HXU136" s="18"/>
      <c r="HXV136" s="18"/>
      <c r="HXW136" s="18"/>
      <c r="HXX136" s="18"/>
      <c r="HXY136" s="18"/>
      <c r="HXZ136" s="17"/>
      <c r="HYA136" s="9"/>
      <c r="HYB136" s="9"/>
      <c r="HYC136" s="18"/>
      <c r="HYD136" s="18"/>
      <c r="HYE136" s="18"/>
      <c r="HYF136" s="18"/>
      <c r="HYG136" s="18"/>
      <c r="HYH136" s="17"/>
      <c r="HYI136" s="9"/>
      <c r="HYJ136" s="9"/>
      <c r="HYK136" s="18"/>
      <c r="HYL136" s="18"/>
      <c r="HYM136" s="18"/>
      <c r="HYN136" s="18"/>
      <c r="HYO136" s="18"/>
      <c r="HYP136" s="17"/>
      <c r="HYQ136" s="9"/>
      <c r="HYR136" s="9"/>
      <c r="HYS136" s="18"/>
      <c r="HYT136" s="18"/>
      <c r="HYU136" s="18"/>
      <c r="HYV136" s="18"/>
      <c r="HYW136" s="18"/>
      <c r="HYX136" s="17"/>
      <c r="HYY136" s="9"/>
      <c r="HYZ136" s="9"/>
      <c r="HZA136" s="18"/>
      <c r="HZB136" s="18"/>
      <c r="HZC136" s="18"/>
      <c r="HZD136" s="18"/>
      <c r="HZE136" s="18"/>
      <c r="HZF136" s="17"/>
      <c r="HZG136" s="9"/>
      <c r="HZH136" s="9"/>
      <c r="HZI136" s="18"/>
      <c r="HZJ136" s="18"/>
      <c r="HZK136" s="18"/>
      <c r="HZL136" s="18"/>
      <c r="HZM136" s="18"/>
      <c r="HZN136" s="17"/>
      <c r="HZO136" s="9"/>
      <c r="HZP136" s="9"/>
      <c r="HZQ136" s="18"/>
      <c r="HZR136" s="18"/>
      <c r="HZS136" s="18"/>
      <c r="HZT136" s="18"/>
      <c r="HZU136" s="18"/>
      <c r="HZV136" s="17"/>
      <c r="HZW136" s="9"/>
      <c r="HZX136" s="9"/>
      <c r="HZY136" s="18"/>
      <c r="HZZ136" s="18"/>
      <c r="IAA136" s="18"/>
      <c r="IAB136" s="18"/>
      <c r="IAC136" s="18"/>
      <c r="IAD136" s="17"/>
      <c r="IAE136" s="9"/>
      <c r="IAF136" s="9"/>
      <c r="IAG136" s="18"/>
      <c r="IAH136" s="18"/>
      <c r="IAI136" s="18"/>
      <c r="IAJ136" s="18"/>
      <c r="IAK136" s="18"/>
      <c r="IAL136" s="17"/>
      <c r="IAM136" s="9"/>
      <c r="IAN136" s="9"/>
      <c r="IAO136" s="18"/>
      <c r="IAP136" s="18"/>
      <c r="IAQ136" s="18"/>
      <c r="IAR136" s="18"/>
      <c r="IAS136" s="18"/>
      <c r="IAT136" s="17"/>
      <c r="IAU136" s="9"/>
      <c r="IAV136" s="9"/>
      <c r="IAW136" s="18"/>
      <c r="IAX136" s="18"/>
      <c r="IAY136" s="18"/>
      <c r="IAZ136" s="18"/>
      <c r="IBA136" s="18"/>
      <c r="IBB136" s="17"/>
      <c r="IBC136" s="9"/>
      <c r="IBD136" s="9"/>
      <c r="IBE136" s="18"/>
      <c r="IBF136" s="18"/>
      <c r="IBG136" s="18"/>
      <c r="IBH136" s="18"/>
      <c r="IBI136" s="18"/>
      <c r="IBJ136" s="17"/>
      <c r="IBK136" s="9"/>
      <c r="IBL136" s="9"/>
      <c r="IBM136" s="18"/>
      <c r="IBN136" s="18"/>
      <c r="IBO136" s="18"/>
      <c r="IBP136" s="18"/>
      <c r="IBQ136" s="18"/>
      <c r="IBR136" s="17"/>
      <c r="IBS136" s="9"/>
      <c r="IBT136" s="9"/>
      <c r="IBU136" s="18"/>
      <c r="IBV136" s="18"/>
      <c r="IBW136" s="18"/>
      <c r="IBX136" s="18"/>
      <c r="IBY136" s="18"/>
      <c r="IBZ136" s="17"/>
      <c r="ICA136" s="9"/>
      <c r="ICB136" s="9"/>
      <c r="ICC136" s="18"/>
      <c r="ICD136" s="18"/>
      <c r="ICE136" s="18"/>
      <c r="ICF136" s="18"/>
      <c r="ICG136" s="18"/>
      <c r="ICH136" s="17"/>
      <c r="ICI136" s="9"/>
      <c r="ICJ136" s="9"/>
      <c r="ICK136" s="18"/>
      <c r="ICL136" s="18"/>
      <c r="ICM136" s="18"/>
      <c r="ICN136" s="18"/>
      <c r="ICO136" s="18"/>
      <c r="ICP136" s="17"/>
      <c r="ICQ136" s="9"/>
      <c r="ICR136" s="9"/>
      <c r="ICS136" s="18"/>
      <c r="ICT136" s="18"/>
      <c r="ICU136" s="18"/>
      <c r="ICV136" s="18"/>
      <c r="ICW136" s="18"/>
      <c r="ICX136" s="17"/>
      <c r="ICY136" s="9"/>
      <c r="ICZ136" s="9"/>
      <c r="IDA136" s="18"/>
      <c r="IDB136" s="18"/>
      <c r="IDC136" s="18"/>
      <c r="IDD136" s="18"/>
      <c r="IDE136" s="18"/>
      <c r="IDF136" s="17"/>
      <c r="IDG136" s="9"/>
      <c r="IDH136" s="9"/>
      <c r="IDI136" s="18"/>
      <c r="IDJ136" s="18"/>
      <c r="IDK136" s="18"/>
      <c r="IDL136" s="18"/>
      <c r="IDM136" s="18"/>
      <c r="IDN136" s="17"/>
      <c r="IDO136" s="9"/>
      <c r="IDP136" s="9"/>
      <c r="IDQ136" s="18"/>
      <c r="IDR136" s="18"/>
      <c r="IDS136" s="18"/>
      <c r="IDT136" s="18"/>
      <c r="IDU136" s="18"/>
      <c r="IDV136" s="17"/>
      <c r="IDW136" s="9"/>
      <c r="IDX136" s="9"/>
      <c r="IDY136" s="18"/>
      <c r="IDZ136" s="18"/>
      <c r="IEA136" s="18"/>
      <c r="IEB136" s="18"/>
      <c r="IEC136" s="18"/>
      <c r="IED136" s="17"/>
      <c r="IEE136" s="9"/>
      <c r="IEF136" s="9"/>
      <c r="IEG136" s="18"/>
      <c r="IEH136" s="18"/>
      <c r="IEI136" s="18"/>
      <c r="IEJ136" s="18"/>
      <c r="IEK136" s="18"/>
      <c r="IEL136" s="17"/>
      <c r="IEM136" s="9"/>
      <c r="IEN136" s="9"/>
      <c r="IEO136" s="18"/>
      <c r="IEP136" s="18"/>
      <c r="IEQ136" s="18"/>
      <c r="IER136" s="18"/>
      <c r="IES136" s="18"/>
      <c r="IET136" s="17"/>
      <c r="IEU136" s="9"/>
      <c r="IEV136" s="9"/>
      <c r="IEW136" s="18"/>
      <c r="IEX136" s="18"/>
      <c r="IEY136" s="18"/>
      <c r="IEZ136" s="18"/>
      <c r="IFA136" s="18"/>
      <c r="IFB136" s="17"/>
      <c r="IFC136" s="9"/>
      <c r="IFD136" s="9"/>
      <c r="IFE136" s="18"/>
      <c r="IFF136" s="18"/>
      <c r="IFG136" s="18"/>
      <c r="IFH136" s="18"/>
      <c r="IFI136" s="18"/>
      <c r="IFJ136" s="17"/>
      <c r="IFK136" s="9"/>
      <c r="IFL136" s="9"/>
      <c r="IFM136" s="18"/>
      <c r="IFN136" s="18"/>
      <c r="IFO136" s="18"/>
      <c r="IFP136" s="18"/>
      <c r="IFQ136" s="18"/>
      <c r="IFR136" s="17"/>
      <c r="IFS136" s="9"/>
      <c r="IFT136" s="9"/>
      <c r="IFU136" s="18"/>
      <c r="IFV136" s="18"/>
      <c r="IFW136" s="18"/>
      <c r="IFX136" s="18"/>
      <c r="IFY136" s="18"/>
      <c r="IFZ136" s="17"/>
      <c r="IGA136" s="9"/>
      <c r="IGB136" s="9"/>
      <c r="IGC136" s="18"/>
      <c r="IGD136" s="18"/>
      <c r="IGE136" s="18"/>
      <c r="IGF136" s="18"/>
      <c r="IGG136" s="18"/>
      <c r="IGH136" s="17"/>
      <c r="IGI136" s="9"/>
      <c r="IGJ136" s="9"/>
      <c r="IGK136" s="18"/>
      <c r="IGL136" s="18"/>
      <c r="IGM136" s="18"/>
      <c r="IGN136" s="18"/>
      <c r="IGO136" s="18"/>
      <c r="IGP136" s="17"/>
      <c r="IGQ136" s="9"/>
      <c r="IGR136" s="9"/>
      <c r="IGS136" s="18"/>
      <c r="IGT136" s="18"/>
      <c r="IGU136" s="18"/>
      <c r="IGV136" s="18"/>
      <c r="IGW136" s="18"/>
      <c r="IGX136" s="17"/>
      <c r="IGY136" s="9"/>
      <c r="IGZ136" s="9"/>
      <c r="IHA136" s="18"/>
      <c r="IHB136" s="18"/>
      <c r="IHC136" s="18"/>
      <c r="IHD136" s="18"/>
      <c r="IHE136" s="18"/>
      <c r="IHF136" s="17"/>
      <c r="IHG136" s="9"/>
      <c r="IHH136" s="9"/>
      <c r="IHI136" s="18"/>
      <c r="IHJ136" s="18"/>
      <c r="IHK136" s="18"/>
      <c r="IHL136" s="18"/>
      <c r="IHM136" s="18"/>
      <c r="IHN136" s="17"/>
      <c r="IHO136" s="9"/>
      <c r="IHP136" s="9"/>
      <c r="IHQ136" s="18"/>
      <c r="IHR136" s="18"/>
      <c r="IHS136" s="18"/>
      <c r="IHT136" s="18"/>
      <c r="IHU136" s="18"/>
      <c r="IHV136" s="17"/>
      <c r="IHW136" s="9"/>
      <c r="IHX136" s="9"/>
      <c r="IHY136" s="18"/>
      <c r="IHZ136" s="18"/>
      <c r="IIA136" s="18"/>
      <c r="IIB136" s="18"/>
      <c r="IIC136" s="18"/>
      <c r="IID136" s="17"/>
      <c r="IIE136" s="9"/>
      <c r="IIF136" s="9"/>
      <c r="IIG136" s="18"/>
      <c r="IIH136" s="18"/>
      <c r="III136" s="18"/>
      <c r="IIJ136" s="18"/>
      <c r="IIK136" s="18"/>
      <c r="IIL136" s="17"/>
      <c r="IIM136" s="9"/>
      <c r="IIN136" s="9"/>
      <c r="IIO136" s="18"/>
      <c r="IIP136" s="18"/>
      <c r="IIQ136" s="18"/>
      <c r="IIR136" s="18"/>
      <c r="IIS136" s="18"/>
      <c r="IIT136" s="17"/>
      <c r="IIU136" s="9"/>
      <c r="IIV136" s="9"/>
      <c r="IIW136" s="18"/>
      <c r="IIX136" s="18"/>
      <c r="IIY136" s="18"/>
      <c r="IIZ136" s="18"/>
      <c r="IJA136" s="18"/>
      <c r="IJB136" s="17"/>
      <c r="IJC136" s="9"/>
      <c r="IJD136" s="9"/>
      <c r="IJE136" s="18"/>
      <c r="IJF136" s="18"/>
      <c r="IJG136" s="18"/>
      <c r="IJH136" s="18"/>
      <c r="IJI136" s="18"/>
      <c r="IJJ136" s="17"/>
      <c r="IJK136" s="9"/>
      <c r="IJL136" s="9"/>
      <c r="IJM136" s="18"/>
      <c r="IJN136" s="18"/>
      <c r="IJO136" s="18"/>
      <c r="IJP136" s="18"/>
      <c r="IJQ136" s="18"/>
      <c r="IJR136" s="17"/>
      <c r="IJS136" s="9"/>
      <c r="IJT136" s="9"/>
      <c r="IJU136" s="18"/>
      <c r="IJV136" s="18"/>
      <c r="IJW136" s="18"/>
      <c r="IJX136" s="18"/>
      <c r="IJY136" s="18"/>
      <c r="IJZ136" s="17"/>
      <c r="IKA136" s="9"/>
      <c r="IKB136" s="9"/>
      <c r="IKC136" s="18"/>
      <c r="IKD136" s="18"/>
      <c r="IKE136" s="18"/>
      <c r="IKF136" s="18"/>
      <c r="IKG136" s="18"/>
      <c r="IKH136" s="17"/>
      <c r="IKI136" s="9"/>
      <c r="IKJ136" s="9"/>
      <c r="IKK136" s="18"/>
      <c r="IKL136" s="18"/>
      <c r="IKM136" s="18"/>
      <c r="IKN136" s="18"/>
      <c r="IKO136" s="18"/>
      <c r="IKP136" s="17"/>
      <c r="IKQ136" s="9"/>
      <c r="IKR136" s="9"/>
      <c r="IKS136" s="18"/>
      <c r="IKT136" s="18"/>
      <c r="IKU136" s="18"/>
      <c r="IKV136" s="18"/>
      <c r="IKW136" s="18"/>
      <c r="IKX136" s="17"/>
      <c r="IKY136" s="9"/>
      <c r="IKZ136" s="9"/>
      <c r="ILA136" s="18"/>
      <c r="ILB136" s="18"/>
      <c r="ILC136" s="18"/>
      <c r="ILD136" s="18"/>
      <c r="ILE136" s="18"/>
      <c r="ILF136" s="17"/>
      <c r="ILG136" s="9"/>
      <c r="ILH136" s="9"/>
      <c r="ILI136" s="18"/>
      <c r="ILJ136" s="18"/>
      <c r="ILK136" s="18"/>
      <c r="ILL136" s="18"/>
      <c r="ILM136" s="18"/>
      <c r="ILN136" s="17"/>
      <c r="ILO136" s="9"/>
      <c r="ILP136" s="9"/>
      <c r="ILQ136" s="18"/>
      <c r="ILR136" s="18"/>
      <c r="ILS136" s="18"/>
      <c r="ILT136" s="18"/>
      <c r="ILU136" s="18"/>
      <c r="ILV136" s="17"/>
      <c r="ILW136" s="9"/>
      <c r="ILX136" s="9"/>
      <c r="ILY136" s="18"/>
      <c r="ILZ136" s="18"/>
      <c r="IMA136" s="18"/>
      <c r="IMB136" s="18"/>
      <c r="IMC136" s="18"/>
      <c r="IMD136" s="17"/>
      <c r="IME136" s="9"/>
      <c r="IMF136" s="9"/>
      <c r="IMG136" s="18"/>
      <c r="IMH136" s="18"/>
      <c r="IMI136" s="18"/>
      <c r="IMJ136" s="18"/>
      <c r="IMK136" s="18"/>
      <c r="IML136" s="17"/>
      <c r="IMM136" s="9"/>
      <c r="IMN136" s="9"/>
      <c r="IMO136" s="18"/>
      <c r="IMP136" s="18"/>
      <c r="IMQ136" s="18"/>
      <c r="IMR136" s="18"/>
      <c r="IMS136" s="18"/>
      <c r="IMT136" s="17"/>
      <c r="IMU136" s="9"/>
      <c r="IMV136" s="9"/>
      <c r="IMW136" s="18"/>
      <c r="IMX136" s="18"/>
      <c r="IMY136" s="18"/>
      <c r="IMZ136" s="18"/>
      <c r="INA136" s="18"/>
      <c r="INB136" s="17"/>
      <c r="INC136" s="9"/>
      <c r="IND136" s="9"/>
      <c r="INE136" s="18"/>
      <c r="INF136" s="18"/>
      <c r="ING136" s="18"/>
      <c r="INH136" s="18"/>
      <c r="INI136" s="18"/>
      <c r="INJ136" s="17"/>
      <c r="INK136" s="9"/>
      <c r="INL136" s="9"/>
      <c r="INM136" s="18"/>
      <c r="INN136" s="18"/>
      <c r="INO136" s="18"/>
      <c r="INP136" s="18"/>
      <c r="INQ136" s="18"/>
      <c r="INR136" s="17"/>
      <c r="INS136" s="9"/>
      <c r="INT136" s="9"/>
      <c r="INU136" s="18"/>
      <c r="INV136" s="18"/>
      <c r="INW136" s="18"/>
      <c r="INX136" s="18"/>
      <c r="INY136" s="18"/>
      <c r="INZ136" s="17"/>
      <c r="IOA136" s="9"/>
      <c r="IOB136" s="9"/>
      <c r="IOC136" s="18"/>
      <c r="IOD136" s="18"/>
      <c r="IOE136" s="18"/>
      <c r="IOF136" s="18"/>
      <c r="IOG136" s="18"/>
      <c r="IOH136" s="17"/>
      <c r="IOI136" s="9"/>
      <c r="IOJ136" s="9"/>
      <c r="IOK136" s="18"/>
      <c r="IOL136" s="18"/>
      <c r="IOM136" s="18"/>
      <c r="ION136" s="18"/>
      <c r="IOO136" s="18"/>
      <c r="IOP136" s="17"/>
      <c r="IOQ136" s="9"/>
      <c r="IOR136" s="9"/>
      <c r="IOS136" s="18"/>
      <c r="IOT136" s="18"/>
      <c r="IOU136" s="18"/>
      <c r="IOV136" s="18"/>
      <c r="IOW136" s="18"/>
      <c r="IOX136" s="17"/>
      <c r="IOY136" s="9"/>
      <c r="IOZ136" s="9"/>
      <c r="IPA136" s="18"/>
      <c r="IPB136" s="18"/>
      <c r="IPC136" s="18"/>
      <c r="IPD136" s="18"/>
      <c r="IPE136" s="18"/>
      <c r="IPF136" s="17"/>
      <c r="IPG136" s="9"/>
      <c r="IPH136" s="9"/>
      <c r="IPI136" s="18"/>
      <c r="IPJ136" s="18"/>
      <c r="IPK136" s="18"/>
      <c r="IPL136" s="18"/>
      <c r="IPM136" s="18"/>
      <c r="IPN136" s="17"/>
      <c r="IPO136" s="9"/>
      <c r="IPP136" s="9"/>
      <c r="IPQ136" s="18"/>
      <c r="IPR136" s="18"/>
      <c r="IPS136" s="18"/>
      <c r="IPT136" s="18"/>
      <c r="IPU136" s="18"/>
      <c r="IPV136" s="17"/>
      <c r="IPW136" s="9"/>
      <c r="IPX136" s="9"/>
      <c r="IPY136" s="18"/>
      <c r="IPZ136" s="18"/>
      <c r="IQA136" s="18"/>
      <c r="IQB136" s="18"/>
      <c r="IQC136" s="18"/>
      <c r="IQD136" s="17"/>
      <c r="IQE136" s="9"/>
      <c r="IQF136" s="9"/>
      <c r="IQG136" s="18"/>
      <c r="IQH136" s="18"/>
      <c r="IQI136" s="18"/>
      <c r="IQJ136" s="18"/>
      <c r="IQK136" s="18"/>
      <c r="IQL136" s="17"/>
      <c r="IQM136" s="9"/>
      <c r="IQN136" s="9"/>
      <c r="IQO136" s="18"/>
      <c r="IQP136" s="18"/>
      <c r="IQQ136" s="18"/>
      <c r="IQR136" s="18"/>
      <c r="IQS136" s="18"/>
      <c r="IQT136" s="17"/>
      <c r="IQU136" s="9"/>
      <c r="IQV136" s="9"/>
      <c r="IQW136" s="18"/>
      <c r="IQX136" s="18"/>
      <c r="IQY136" s="18"/>
      <c r="IQZ136" s="18"/>
      <c r="IRA136" s="18"/>
      <c r="IRB136" s="17"/>
      <c r="IRC136" s="9"/>
      <c r="IRD136" s="9"/>
      <c r="IRE136" s="18"/>
      <c r="IRF136" s="18"/>
      <c r="IRG136" s="18"/>
      <c r="IRH136" s="18"/>
      <c r="IRI136" s="18"/>
      <c r="IRJ136" s="17"/>
      <c r="IRK136" s="9"/>
      <c r="IRL136" s="9"/>
      <c r="IRM136" s="18"/>
      <c r="IRN136" s="18"/>
      <c r="IRO136" s="18"/>
      <c r="IRP136" s="18"/>
      <c r="IRQ136" s="18"/>
      <c r="IRR136" s="17"/>
      <c r="IRS136" s="9"/>
      <c r="IRT136" s="9"/>
      <c r="IRU136" s="18"/>
      <c r="IRV136" s="18"/>
      <c r="IRW136" s="18"/>
      <c r="IRX136" s="18"/>
      <c r="IRY136" s="18"/>
      <c r="IRZ136" s="17"/>
      <c r="ISA136" s="9"/>
      <c r="ISB136" s="9"/>
      <c r="ISC136" s="18"/>
      <c r="ISD136" s="18"/>
      <c r="ISE136" s="18"/>
      <c r="ISF136" s="18"/>
      <c r="ISG136" s="18"/>
      <c r="ISH136" s="17"/>
      <c r="ISI136" s="9"/>
      <c r="ISJ136" s="9"/>
      <c r="ISK136" s="18"/>
      <c r="ISL136" s="18"/>
      <c r="ISM136" s="18"/>
      <c r="ISN136" s="18"/>
      <c r="ISO136" s="18"/>
      <c r="ISP136" s="17"/>
      <c r="ISQ136" s="9"/>
      <c r="ISR136" s="9"/>
      <c r="ISS136" s="18"/>
      <c r="IST136" s="18"/>
      <c r="ISU136" s="18"/>
      <c r="ISV136" s="18"/>
      <c r="ISW136" s="18"/>
      <c r="ISX136" s="17"/>
      <c r="ISY136" s="9"/>
      <c r="ISZ136" s="9"/>
      <c r="ITA136" s="18"/>
      <c r="ITB136" s="18"/>
      <c r="ITC136" s="18"/>
      <c r="ITD136" s="18"/>
      <c r="ITE136" s="18"/>
      <c r="ITF136" s="17"/>
      <c r="ITG136" s="9"/>
      <c r="ITH136" s="9"/>
      <c r="ITI136" s="18"/>
      <c r="ITJ136" s="18"/>
      <c r="ITK136" s="18"/>
      <c r="ITL136" s="18"/>
      <c r="ITM136" s="18"/>
      <c r="ITN136" s="17"/>
      <c r="ITO136" s="9"/>
      <c r="ITP136" s="9"/>
      <c r="ITQ136" s="18"/>
      <c r="ITR136" s="18"/>
      <c r="ITS136" s="18"/>
      <c r="ITT136" s="18"/>
      <c r="ITU136" s="18"/>
      <c r="ITV136" s="17"/>
      <c r="ITW136" s="9"/>
      <c r="ITX136" s="9"/>
      <c r="ITY136" s="18"/>
      <c r="ITZ136" s="18"/>
      <c r="IUA136" s="18"/>
      <c r="IUB136" s="18"/>
      <c r="IUC136" s="18"/>
      <c r="IUD136" s="17"/>
      <c r="IUE136" s="9"/>
      <c r="IUF136" s="9"/>
      <c r="IUG136" s="18"/>
      <c r="IUH136" s="18"/>
      <c r="IUI136" s="18"/>
      <c r="IUJ136" s="18"/>
      <c r="IUK136" s="18"/>
      <c r="IUL136" s="17"/>
      <c r="IUM136" s="9"/>
      <c r="IUN136" s="9"/>
      <c r="IUO136" s="18"/>
      <c r="IUP136" s="18"/>
      <c r="IUQ136" s="18"/>
      <c r="IUR136" s="18"/>
      <c r="IUS136" s="18"/>
      <c r="IUT136" s="17"/>
      <c r="IUU136" s="9"/>
      <c r="IUV136" s="9"/>
      <c r="IUW136" s="18"/>
      <c r="IUX136" s="18"/>
      <c r="IUY136" s="18"/>
      <c r="IUZ136" s="18"/>
      <c r="IVA136" s="18"/>
      <c r="IVB136" s="17"/>
      <c r="IVC136" s="9"/>
      <c r="IVD136" s="9"/>
      <c r="IVE136" s="18"/>
      <c r="IVF136" s="18"/>
      <c r="IVG136" s="18"/>
      <c r="IVH136" s="18"/>
      <c r="IVI136" s="18"/>
      <c r="IVJ136" s="17"/>
      <c r="IVK136" s="9"/>
      <c r="IVL136" s="9"/>
      <c r="IVM136" s="18"/>
      <c r="IVN136" s="18"/>
      <c r="IVO136" s="18"/>
      <c r="IVP136" s="18"/>
      <c r="IVQ136" s="18"/>
      <c r="IVR136" s="17"/>
      <c r="IVS136" s="9"/>
      <c r="IVT136" s="9"/>
      <c r="IVU136" s="18"/>
      <c r="IVV136" s="18"/>
      <c r="IVW136" s="18"/>
      <c r="IVX136" s="18"/>
      <c r="IVY136" s="18"/>
      <c r="IVZ136" s="17"/>
      <c r="IWA136" s="9"/>
      <c r="IWB136" s="9"/>
      <c r="IWC136" s="18"/>
      <c r="IWD136" s="18"/>
      <c r="IWE136" s="18"/>
      <c r="IWF136" s="18"/>
      <c r="IWG136" s="18"/>
      <c r="IWH136" s="17"/>
      <c r="IWI136" s="9"/>
      <c r="IWJ136" s="9"/>
      <c r="IWK136" s="18"/>
      <c r="IWL136" s="18"/>
      <c r="IWM136" s="18"/>
      <c r="IWN136" s="18"/>
      <c r="IWO136" s="18"/>
      <c r="IWP136" s="17"/>
      <c r="IWQ136" s="9"/>
      <c r="IWR136" s="9"/>
      <c r="IWS136" s="18"/>
      <c r="IWT136" s="18"/>
      <c r="IWU136" s="18"/>
      <c r="IWV136" s="18"/>
      <c r="IWW136" s="18"/>
      <c r="IWX136" s="17"/>
      <c r="IWY136" s="9"/>
      <c r="IWZ136" s="9"/>
      <c r="IXA136" s="18"/>
      <c r="IXB136" s="18"/>
      <c r="IXC136" s="18"/>
      <c r="IXD136" s="18"/>
      <c r="IXE136" s="18"/>
      <c r="IXF136" s="17"/>
      <c r="IXG136" s="9"/>
      <c r="IXH136" s="9"/>
      <c r="IXI136" s="18"/>
      <c r="IXJ136" s="18"/>
      <c r="IXK136" s="18"/>
      <c r="IXL136" s="18"/>
      <c r="IXM136" s="18"/>
      <c r="IXN136" s="17"/>
      <c r="IXO136" s="9"/>
      <c r="IXP136" s="9"/>
      <c r="IXQ136" s="18"/>
      <c r="IXR136" s="18"/>
      <c r="IXS136" s="18"/>
      <c r="IXT136" s="18"/>
      <c r="IXU136" s="18"/>
      <c r="IXV136" s="17"/>
      <c r="IXW136" s="9"/>
      <c r="IXX136" s="9"/>
      <c r="IXY136" s="18"/>
      <c r="IXZ136" s="18"/>
      <c r="IYA136" s="18"/>
      <c r="IYB136" s="18"/>
      <c r="IYC136" s="18"/>
      <c r="IYD136" s="17"/>
      <c r="IYE136" s="9"/>
      <c r="IYF136" s="9"/>
      <c r="IYG136" s="18"/>
      <c r="IYH136" s="18"/>
      <c r="IYI136" s="18"/>
      <c r="IYJ136" s="18"/>
      <c r="IYK136" s="18"/>
      <c r="IYL136" s="17"/>
      <c r="IYM136" s="9"/>
      <c r="IYN136" s="9"/>
      <c r="IYO136" s="18"/>
      <c r="IYP136" s="18"/>
      <c r="IYQ136" s="18"/>
      <c r="IYR136" s="18"/>
      <c r="IYS136" s="18"/>
      <c r="IYT136" s="17"/>
      <c r="IYU136" s="9"/>
      <c r="IYV136" s="9"/>
      <c r="IYW136" s="18"/>
      <c r="IYX136" s="18"/>
      <c r="IYY136" s="18"/>
      <c r="IYZ136" s="18"/>
      <c r="IZA136" s="18"/>
      <c r="IZB136" s="17"/>
      <c r="IZC136" s="9"/>
      <c r="IZD136" s="9"/>
      <c r="IZE136" s="18"/>
      <c r="IZF136" s="18"/>
      <c r="IZG136" s="18"/>
      <c r="IZH136" s="18"/>
      <c r="IZI136" s="18"/>
      <c r="IZJ136" s="17"/>
      <c r="IZK136" s="9"/>
      <c r="IZL136" s="9"/>
      <c r="IZM136" s="18"/>
      <c r="IZN136" s="18"/>
      <c r="IZO136" s="18"/>
      <c r="IZP136" s="18"/>
      <c r="IZQ136" s="18"/>
      <c r="IZR136" s="17"/>
      <c r="IZS136" s="9"/>
      <c r="IZT136" s="9"/>
      <c r="IZU136" s="18"/>
      <c r="IZV136" s="18"/>
      <c r="IZW136" s="18"/>
      <c r="IZX136" s="18"/>
      <c r="IZY136" s="18"/>
      <c r="IZZ136" s="17"/>
      <c r="JAA136" s="9"/>
      <c r="JAB136" s="9"/>
      <c r="JAC136" s="18"/>
      <c r="JAD136" s="18"/>
      <c r="JAE136" s="18"/>
      <c r="JAF136" s="18"/>
      <c r="JAG136" s="18"/>
      <c r="JAH136" s="17"/>
      <c r="JAI136" s="9"/>
      <c r="JAJ136" s="9"/>
      <c r="JAK136" s="18"/>
      <c r="JAL136" s="18"/>
      <c r="JAM136" s="18"/>
      <c r="JAN136" s="18"/>
      <c r="JAO136" s="18"/>
      <c r="JAP136" s="17"/>
      <c r="JAQ136" s="9"/>
      <c r="JAR136" s="9"/>
      <c r="JAS136" s="18"/>
      <c r="JAT136" s="18"/>
      <c r="JAU136" s="18"/>
      <c r="JAV136" s="18"/>
      <c r="JAW136" s="18"/>
      <c r="JAX136" s="17"/>
      <c r="JAY136" s="9"/>
      <c r="JAZ136" s="9"/>
      <c r="JBA136" s="18"/>
      <c r="JBB136" s="18"/>
      <c r="JBC136" s="18"/>
      <c r="JBD136" s="18"/>
      <c r="JBE136" s="18"/>
      <c r="JBF136" s="17"/>
      <c r="JBG136" s="9"/>
      <c r="JBH136" s="9"/>
      <c r="JBI136" s="18"/>
      <c r="JBJ136" s="18"/>
      <c r="JBK136" s="18"/>
      <c r="JBL136" s="18"/>
      <c r="JBM136" s="18"/>
      <c r="JBN136" s="17"/>
      <c r="JBO136" s="9"/>
      <c r="JBP136" s="9"/>
      <c r="JBQ136" s="18"/>
      <c r="JBR136" s="18"/>
      <c r="JBS136" s="18"/>
      <c r="JBT136" s="18"/>
      <c r="JBU136" s="18"/>
      <c r="JBV136" s="17"/>
      <c r="JBW136" s="9"/>
      <c r="JBX136" s="9"/>
      <c r="JBY136" s="18"/>
      <c r="JBZ136" s="18"/>
      <c r="JCA136" s="18"/>
      <c r="JCB136" s="18"/>
      <c r="JCC136" s="18"/>
      <c r="JCD136" s="17"/>
      <c r="JCE136" s="9"/>
      <c r="JCF136" s="9"/>
      <c r="JCG136" s="18"/>
      <c r="JCH136" s="18"/>
      <c r="JCI136" s="18"/>
      <c r="JCJ136" s="18"/>
      <c r="JCK136" s="18"/>
      <c r="JCL136" s="17"/>
      <c r="JCM136" s="9"/>
      <c r="JCN136" s="9"/>
      <c r="JCO136" s="18"/>
      <c r="JCP136" s="18"/>
      <c r="JCQ136" s="18"/>
      <c r="JCR136" s="18"/>
      <c r="JCS136" s="18"/>
      <c r="JCT136" s="17"/>
      <c r="JCU136" s="9"/>
      <c r="JCV136" s="9"/>
      <c r="JCW136" s="18"/>
      <c r="JCX136" s="18"/>
      <c r="JCY136" s="18"/>
      <c r="JCZ136" s="18"/>
      <c r="JDA136" s="18"/>
      <c r="JDB136" s="17"/>
      <c r="JDC136" s="9"/>
      <c r="JDD136" s="9"/>
      <c r="JDE136" s="18"/>
      <c r="JDF136" s="18"/>
      <c r="JDG136" s="18"/>
      <c r="JDH136" s="18"/>
      <c r="JDI136" s="18"/>
      <c r="JDJ136" s="17"/>
      <c r="JDK136" s="9"/>
      <c r="JDL136" s="9"/>
      <c r="JDM136" s="18"/>
      <c r="JDN136" s="18"/>
      <c r="JDO136" s="18"/>
      <c r="JDP136" s="18"/>
      <c r="JDQ136" s="18"/>
      <c r="JDR136" s="17"/>
      <c r="JDS136" s="9"/>
      <c r="JDT136" s="9"/>
      <c r="JDU136" s="18"/>
      <c r="JDV136" s="18"/>
      <c r="JDW136" s="18"/>
      <c r="JDX136" s="18"/>
      <c r="JDY136" s="18"/>
      <c r="JDZ136" s="17"/>
      <c r="JEA136" s="9"/>
      <c r="JEB136" s="9"/>
      <c r="JEC136" s="18"/>
      <c r="JED136" s="18"/>
      <c r="JEE136" s="18"/>
      <c r="JEF136" s="18"/>
      <c r="JEG136" s="18"/>
      <c r="JEH136" s="17"/>
      <c r="JEI136" s="9"/>
      <c r="JEJ136" s="9"/>
      <c r="JEK136" s="18"/>
      <c r="JEL136" s="18"/>
      <c r="JEM136" s="18"/>
      <c r="JEN136" s="18"/>
      <c r="JEO136" s="18"/>
      <c r="JEP136" s="17"/>
      <c r="JEQ136" s="9"/>
      <c r="JER136" s="9"/>
      <c r="JES136" s="18"/>
      <c r="JET136" s="18"/>
      <c r="JEU136" s="18"/>
      <c r="JEV136" s="18"/>
      <c r="JEW136" s="18"/>
      <c r="JEX136" s="17"/>
      <c r="JEY136" s="9"/>
      <c r="JEZ136" s="9"/>
      <c r="JFA136" s="18"/>
      <c r="JFB136" s="18"/>
      <c r="JFC136" s="18"/>
      <c r="JFD136" s="18"/>
      <c r="JFE136" s="18"/>
      <c r="JFF136" s="17"/>
      <c r="JFG136" s="9"/>
      <c r="JFH136" s="9"/>
      <c r="JFI136" s="18"/>
      <c r="JFJ136" s="18"/>
      <c r="JFK136" s="18"/>
      <c r="JFL136" s="18"/>
      <c r="JFM136" s="18"/>
      <c r="JFN136" s="17"/>
      <c r="JFO136" s="9"/>
      <c r="JFP136" s="9"/>
      <c r="JFQ136" s="18"/>
      <c r="JFR136" s="18"/>
      <c r="JFS136" s="18"/>
      <c r="JFT136" s="18"/>
      <c r="JFU136" s="18"/>
      <c r="JFV136" s="17"/>
      <c r="JFW136" s="9"/>
      <c r="JFX136" s="9"/>
      <c r="JFY136" s="18"/>
      <c r="JFZ136" s="18"/>
      <c r="JGA136" s="18"/>
      <c r="JGB136" s="18"/>
      <c r="JGC136" s="18"/>
      <c r="JGD136" s="17"/>
      <c r="JGE136" s="9"/>
      <c r="JGF136" s="9"/>
      <c r="JGG136" s="18"/>
      <c r="JGH136" s="18"/>
      <c r="JGI136" s="18"/>
      <c r="JGJ136" s="18"/>
      <c r="JGK136" s="18"/>
      <c r="JGL136" s="17"/>
      <c r="JGM136" s="9"/>
      <c r="JGN136" s="9"/>
      <c r="JGO136" s="18"/>
      <c r="JGP136" s="18"/>
      <c r="JGQ136" s="18"/>
      <c r="JGR136" s="18"/>
      <c r="JGS136" s="18"/>
      <c r="JGT136" s="17"/>
      <c r="JGU136" s="9"/>
      <c r="JGV136" s="9"/>
      <c r="JGW136" s="18"/>
      <c r="JGX136" s="18"/>
      <c r="JGY136" s="18"/>
      <c r="JGZ136" s="18"/>
      <c r="JHA136" s="18"/>
      <c r="JHB136" s="17"/>
      <c r="JHC136" s="9"/>
      <c r="JHD136" s="9"/>
      <c r="JHE136" s="18"/>
      <c r="JHF136" s="18"/>
      <c r="JHG136" s="18"/>
      <c r="JHH136" s="18"/>
      <c r="JHI136" s="18"/>
      <c r="JHJ136" s="17"/>
      <c r="JHK136" s="9"/>
      <c r="JHL136" s="9"/>
      <c r="JHM136" s="18"/>
      <c r="JHN136" s="18"/>
      <c r="JHO136" s="18"/>
      <c r="JHP136" s="18"/>
      <c r="JHQ136" s="18"/>
      <c r="JHR136" s="17"/>
      <c r="JHS136" s="9"/>
      <c r="JHT136" s="9"/>
      <c r="JHU136" s="18"/>
      <c r="JHV136" s="18"/>
      <c r="JHW136" s="18"/>
      <c r="JHX136" s="18"/>
      <c r="JHY136" s="18"/>
      <c r="JHZ136" s="17"/>
      <c r="JIA136" s="9"/>
      <c r="JIB136" s="9"/>
      <c r="JIC136" s="18"/>
      <c r="JID136" s="18"/>
      <c r="JIE136" s="18"/>
      <c r="JIF136" s="18"/>
      <c r="JIG136" s="18"/>
      <c r="JIH136" s="17"/>
      <c r="JII136" s="9"/>
      <c r="JIJ136" s="9"/>
      <c r="JIK136" s="18"/>
      <c r="JIL136" s="18"/>
      <c r="JIM136" s="18"/>
      <c r="JIN136" s="18"/>
      <c r="JIO136" s="18"/>
      <c r="JIP136" s="17"/>
      <c r="JIQ136" s="9"/>
      <c r="JIR136" s="9"/>
      <c r="JIS136" s="18"/>
      <c r="JIT136" s="18"/>
      <c r="JIU136" s="18"/>
      <c r="JIV136" s="18"/>
      <c r="JIW136" s="18"/>
      <c r="JIX136" s="17"/>
      <c r="JIY136" s="9"/>
      <c r="JIZ136" s="9"/>
      <c r="JJA136" s="18"/>
      <c r="JJB136" s="18"/>
      <c r="JJC136" s="18"/>
      <c r="JJD136" s="18"/>
      <c r="JJE136" s="18"/>
      <c r="JJF136" s="17"/>
      <c r="JJG136" s="9"/>
      <c r="JJH136" s="9"/>
      <c r="JJI136" s="18"/>
      <c r="JJJ136" s="18"/>
      <c r="JJK136" s="18"/>
      <c r="JJL136" s="18"/>
      <c r="JJM136" s="18"/>
      <c r="JJN136" s="17"/>
      <c r="JJO136" s="9"/>
      <c r="JJP136" s="9"/>
      <c r="JJQ136" s="18"/>
      <c r="JJR136" s="18"/>
      <c r="JJS136" s="18"/>
      <c r="JJT136" s="18"/>
      <c r="JJU136" s="18"/>
      <c r="JJV136" s="17"/>
      <c r="JJW136" s="9"/>
      <c r="JJX136" s="9"/>
      <c r="JJY136" s="18"/>
      <c r="JJZ136" s="18"/>
      <c r="JKA136" s="18"/>
      <c r="JKB136" s="18"/>
      <c r="JKC136" s="18"/>
      <c r="JKD136" s="17"/>
      <c r="JKE136" s="9"/>
      <c r="JKF136" s="9"/>
      <c r="JKG136" s="18"/>
      <c r="JKH136" s="18"/>
      <c r="JKI136" s="18"/>
      <c r="JKJ136" s="18"/>
      <c r="JKK136" s="18"/>
      <c r="JKL136" s="17"/>
      <c r="JKM136" s="9"/>
      <c r="JKN136" s="9"/>
      <c r="JKO136" s="18"/>
      <c r="JKP136" s="18"/>
      <c r="JKQ136" s="18"/>
      <c r="JKR136" s="18"/>
      <c r="JKS136" s="18"/>
      <c r="JKT136" s="17"/>
      <c r="JKU136" s="9"/>
      <c r="JKV136" s="9"/>
      <c r="JKW136" s="18"/>
      <c r="JKX136" s="18"/>
      <c r="JKY136" s="18"/>
      <c r="JKZ136" s="18"/>
      <c r="JLA136" s="18"/>
      <c r="JLB136" s="17"/>
      <c r="JLC136" s="9"/>
      <c r="JLD136" s="9"/>
      <c r="JLE136" s="18"/>
      <c r="JLF136" s="18"/>
      <c r="JLG136" s="18"/>
      <c r="JLH136" s="18"/>
      <c r="JLI136" s="18"/>
      <c r="JLJ136" s="17"/>
      <c r="JLK136" s="9"/>
      <c r="JLL136" s="9"/>
      <c r="JLM136" s="18"/>
      <c r="JLN136" s="18"/>
      <c r="JLO136" s="18"/>
      <c r="JLP136" s="18"/>
      <c r="JLQ136" s="18"/>
      <c r="JLR136" s="17"/>
      <c r="JLS136" s="9"/>
      <c r="JLT136" s="9"/>
      <c r="JLU136" s="18"/>
      <c r="JLV136" s="18"/>
      <c r="JLW136" s="18"/>
      <c r="JLX136" s="18"/>
      <c r="JLY136" s="18"/>
      <c r="JLZ136" s="17"/>
      <c r="JMA136" s="9"/>
      <c r="JMB136" s="9"/>
      <c r="JMC136" s="18"/>
      <c r="JMD136" s="18"/>
      <c r="JME136" s="18"/>
      <c r="JMF136" s="18"/>
      <c r="JMG136" s="18"/>
      <c r="JMH136" s="17"/>
      <c r="JMI136" s="9"/>
      <c r="JMJ136" s="9"/>
      <c r="JMK136" s="18"/>
      <c r="JML136" s="18"/>
      <c r="JMM136" s="18"/>
      <c r="JMN136" s="18"/>
      <c r="JMO136" s="18"/>
      <c r="JMP136" s="17"/>
      <c r="JMQ136" s="9"/>
      <c r="JMR136" s="9"/>
      <c r="JMS136" s="18"/>
      <c r="JMT136" s="18"/>
      <c r="JMU136" s="18"/>
      <c r="JMV136" s="18"/>
      <c r="JMW136" s="18"/>
      <c r="JMX136" s="17"/>
      <c r="JMY136" s="9"/>
      <c r="JMZ136" s="9"/>
      <c r="JNA136" s="18"/>
      <c r="JNB136" s="18"/>
      <c r="JNC136" s="18"/>
      <c r="JND136" s="18"/>
      <c r="JNE136" s="18"/>
      <c r="JNF136" s="17"/>
      <c r="JNG136" s="9"/>
      <c r="JNH136" s="9"/>
      <c r="JNI136" s="18"/>
      <c r="JNJ136" s="18"/>
      <c r="JNK136" s="18"/>
      <c r="JNL136" s="18"/>
      <c r="JNM136" s="18"/>
      <c r="JNN136" s="17"/>
      <c r="JNO136" s="9"/>
      <c r="JNP136" s="9"/>
      <c r="JNQ136" s="18"/>
      <c r="JNR136" s="18"/>
      <c r="JNS136" s="18"/>
      <c r="JNT136" s="18"/>
      <c r="JNU136" s="18"/>
      <c r="JNV136" s="17"/>
      <c r="JNW136" s="9"/>
      <c r="JNX136" s="9"/>
      <c r="JNY136" s="18"/>
      <c r="JNZ136" s="18"/>
      <c r="JOA136" s="18"/>
      <c r="JOB136" s="18"/>
      <c r="JOC136" s="18"/>
      <c r="JOD136" s="17"/>
      <c r="JOE136" s="9"/>
      <c r="JOF136" s="9"/>
      <c r="JOG136" s="18"/>
      <c r="JOH136" s="18"/>
      <c r="JOI136" s="18"/>
      <c r="JOJ136" s="18"/>
      <c r="JOK136" s="18"/>
      <c r="JOL136" s="17"/>
      <c r="JOM136" s="9"/>
      <c r="JON136" s="9"/>
      <c r="JOO136" s="18"/>
      <c r="JOP136" s="18"/>
      <c r="JOQ136" s="18"/>
      <c r="JOR136" s="18"/>
      <c r="JOS136" s="18"/>
      <c r="JOT136" s="17"/>
      <c r="JOU136" s="9"/>
      <c r="JOV136" s="9"/>
      <c r="JOW136" s="18"/>
      <c r="JOX136" s="18"/>
      <c r="JOY136" s="18"/>
      <c r="JOZ136" s="18"/>
      <c r="JPA136" s="18"/>
      <c r="JPB136" s="17"/>
      <c r="JPC136" s="9"/>
      <c r="JPD136" s="9"/>
      <c r="JPE136" s="18"/>
      <c r="JPF136" s="18"/>
      <c r="JPG136" s="18"/>
      <c r="JPH136" s="18"/>
      <c r="JPI136" s="18"/>
      <c r="JPJ136" s="17"/>
      <c r="JPK136" s="9"/>
      <c r="JPL136" s="9"/>
      <c r="JPM136" s="18"/>
      <c r="JPN136" s="18"/>
      <c r="JPO136" s="18"/>
      <c r="JPP136" s="18"/>
      <c r="JPQ136" s="18"/>
      <c r="JPR136" s="17"/>
      <c r="JPS136" s="9"/>
      <c r="JPT136" s="9"/>
      <c r="JPU136" s="18"/>
      <c r="JPV136" s="18"/>
      <c r="JPW136" s="18"/>
      <c r="JPX136" s="18"/>
      <c r="JPY136" s="18"/>
      <c r="JPZ136" s="17"/>
      <c r="JQA136" s="9"/>
      <c r="JQB136" s="9"/>
      <c r="JQC136" s="18"/>
      <c r="JQD136" s="18"/>
      <c r="JQE136" s="18"/>
      <c r="JQF136" s="18"/>
      <c r="JQG136" s="18"/>
      <c r="JQH136" s="17"/>
      <c r="JQI136" s="9"/>
      <c r="JQJ136" s="9"/>
      <c r="JQK136" s="18"/>
      <c r="JQL136" s="18"/>
      <c r="JQM136" s="18"/>
      <c r="JQN136" s="18"/>
      <c r="JQO136" s="18"/>
      <c r="JQP136" s="17"/>
      <c r="JQQ136" s="9"/>
      <c r="JQR136" s="9"/>
      <c r="JQS136" s="18"/>
      <c r="JQT136" s="18"/>
      <c r="JQU136" s="18"/>
      <c r="JQV136" s="18"/>
      <c r="JQW136" s="18"/>
      <c r="JQX136" s="17"/>
      <c r="JQY136" s="9"/>
      <c r="JQZ136" s="9"/>
      <c r="JRA136" s="18"/>
      <c r="JRB136" s="18"/>
      <c r="JRC136" s="18"/>
      <c r="JRD136" s="18"/>
      <c r="JRE136" s="18"/>
      <c r="JRF136" s="17"/>
      <c r="JRG136" s="9"/>
      <c r="JRH136" s="9"/>
      <c r="JRI136" s="18"/>
      <c r="JRJ136" s="18"/>
      <c r="JRK136" s="18"/>
      <c r="JRL136" s="18"/>
      <c r="JRM136" s="18"/>
      <c r="JRN136" s="17"/>
      <c r="JRO136" s="9"/>
      <c r="JRP136" s="9"/>
      <c r="JRQ136" s="18"/>
      <c r="JRR136" s="18"/>
      <c r="JRS136" s="18"/>
      <c r="JRT136" s="18"/>
      <c r="JRU136" s="18"/>
      <c r="JRV136" s="17"/>
      <c r="JRW136" s="9"/>
      <c r="JRX136" s="9"/>
      <c r="JRY136" s="18"/>
      <c r="JRZ136" s="18"/>
      <c r="JSA136" s="18"/>
      <c r="JSB136" s="18"/>
      <c r="JSC136" s="18"/>
      <c r="JSD136" s="17"/>
      <c r="JSE136" s="9"/>
      <c r="JSF136" s="9"/>
      <c r="JSG136" s="18"/>
      <c r="JSH136" s="18"/>
      <c r="JSI136" s="18"/>
      <c r="JSJ136" s="18"/>
      <c r="JSK136" s="18"/>
      <c r="JSL136" s="17"/>
      <c r="JSM136" s="9"/>
      <c r="JSN136" s="9"/>
      <c r="JSO136" s="18"/>
      <c r="JSP136" s="18"/>
      <c r="JSQ136" s="18"/>
      <c r="JSR136" s="18"/>
      <c r="JSS136" s="18"/>
      <c r="JST136" s="17"/>
      <c r="JSU136" s="9"/>
      <c r="JSV136" s="9"/>
      <c r="JSW136" s="18"/>
      <c r="JSX136" s="18"/>
      <c r="JSY136" s="18"/>
      <c r="JSZ136" s="18"/>
      <c r="JTA136" s="18"/>
      <c r="JTB136" s="17"/>
      <c r="JTC136" s="9"/>
      <c r="JTD136" s="9"/>
      <c r="JTE136" s="18"/>
      <c r="JTF136" s="18"/>
      <c r="JTG136" s="18"/>
      <c r="JTH136" s="18"/>
      <c r="JTI136" s="18"/>
      <c r="JTJ136" s="17"/>
      <c r="JTK136" s="9"/>
      <c r="JTL136" s="9"/>
      <c r="JTM136" s="18"/>
      <c r="JTN136" s="18"/>
      <c r="JTO136" s="18"/>
      <c r="JTP136" s="18"/>
      <c r="JTQ136" s="18"/>
      <c r="JTR136" s="17"/>
      <c r="JTS136" s="9"/>
      <c r="JTT136" s="9"/>
      <c r="JTU136" s="18"/>
      <c r="JTV136" s="18"/>
      <c r="JTW136" s="18"/>
      <c r="JTX136" s="18"/>
      <c r="JTY136" s="18"/>
      <c r="JTZ136" s="17"/>
      <c r="JUA136" s="9"/>
      <c r="JUB136" s="9"/>
      <c r="JUC136" s="18"/>
      <c r="JUD136" s="18"/>
      <c r="JUE136" s="18"/>
      <c r="JUF136" s="18"/>
      <c r="JUG136" s="18"/>
      <c r="JUH136" s="17"/>
      <c r="JUI136" s="9"/>
      <c r="JUJ136" s="9"/>
      <c r="JUK136" s="18"/>
      <c r="JUL136" s="18"/>
      <c r="JUM136" s="18"/>
      <c r="JUN136" s="18"/>
      <c r="JUO136" s="18"/>
      <c r="JUP136" s="17"/>
      <c r="JUQ136" s="9"/>
      <c r="JUR136" s="9"/>
      <c r="JUS136" s="18"/>
      <c r="JUT136" s="18"/>
      <c r="JUU136" s="18"/>
      <c r="JUV136" s="18"/>
      <c r="JUW136" s="18"/>
      <c r="JUX136" s="17"/>
      <c r="JUY136" s="9"/>
      <c r="JUZ136" s="9"/>
      <c r="JVA136" s="18"/>
      <c r="JVB136" s="18"/>
      <c r="JVC136" s="18"/>
      <c r="JVD136" s="18"/>
      <c r="JVE136" s="18"/>
      <c r="JVF136" s="17"/>
      <c r="JVG136" s="9"/>
      <c r="JVH136" s="9"/>
      <c r="JVI136" s="18"/>
      <c r="JVJ136" s="18"/>
      <c r="JVK136" s="18"/>
      <c r="JVL136" s="18"/>
      <c r="JVM136" s="18"/>
      <c r="JVN136" s="17"/>
      <c r="JVO136" s="9"/>
      <c r="JVP136" s="9"/>
      <c r="JVQ136" s="18"/>
      <c r="JVR136" s="18"/>
      <c r="JVS136" s="18"/>
      <c r="JVT136" s="18"/>
      <c r="JVU136" s="18"/>
      <c r="JVV136" s="17"/>
      <c r="JVW136" s="9"/>
      <c r="JVX136" s="9"/>
      <c r="JVY136" s="18"/>
      <c r="JVZ136" s="18"/>
      <c r="JWA136" s="18"/>
      <c r="JWB136" s="18"/>
      <c r="JWC136" s="18"/>
      <c r="JWD136" s="17"/>
      <c r="JWE136" s="9"/>
      <c r="JWF136" s="9"/>
      <c r="JWG136" s="18"/>
      <c r="JWH136" s="18"/>
      <c r="JWI136" s="18"/>
      <c r="JWJ136" s="18"/>
      <c r="JWK136" s="18"/>
      <c r="JWL136" s="17"/>
      <c r="JWM136" s="9"/>
      <c r="JWN136" s="9"/>
      <c r="JWO136" s="18"/>
      <c r="JWP136" s="18"/>
      <c r="JWQ136" s="18"/>
      <c r="JWR136" s="18"/>
      <c r="JWS136" s="18"/>
      <c r="JWT136" s="17"/>
      <c r="JWU136" s="9"/>
      <c r="JWV136" s="9"/>
      <c r="JWW136" s="18"/>
      <c r="JWX136" s="18"/>
      <c r="JWY136" s="18"/>
      <c r="JWZ136" s="18"/>
      <c r="JXA136" s="18"/>
      <c r="JXB136" s="17"/>
      <c r="JXC136" s="9"/>
      <c r="JXD136" s="9"/>
      <c r="JXE136" s="18"/>
      <c r="JXF136" s="18"/>
      <c r="JXG136" s="18"/>
      <c r="JXH136" s="18"/>
      <c r="JXI136" s="18"/>
      <c r="JXJ136" s="17"/>
      <c r="JXK136" s="9"/>
      <c r="JXL136" s="9"/>
      <c r="JXM136" s="18"/>
      <c r="JXN136" s="18"/>
      <c r="JXO136" s="18"/>
      <c r="JXP136" s="18"/>
      <c r="JXQ136" s="18"/>
      <c r="JXR136" s="17"/>
      <c r="JXS136" s="9"/>
      <c r="JXT136" s="9"/>
      <c r="JXU136" s="18"/>
      <c r="JXV136" s="18"/>
      <c r="JXW136" s="18"/>
      <c r="JXX136" s="18"/>
      <c r="JXY136" s="18"/>
      <c r="JXZ136" s="17"/>
      <c r="JYA136" s="9"/>
      <c r="JYB136" s="9"/>
      <c r="JYC136" s="18"/>
      <c r="JYD136" s="18"/>
      <c r="JYE136" s="18"/>
      <c r="JYF136" s="18"/>
      <c r="JYG136" s="18"/>
      <c r="JYH136" s="17"/>
      <c r="JYI136" s="9"/>
      <c r="JYJ136" s="9"/>
      <c r="JYK136" s="18"/>
      <c r="JYL136" s="18"/>
      <c r="JYM136" s="18"/>
      <c r="JYN136" s="18"/>
      <c r="JYO136" s="18"/>
      <c r="JYP136" s="17"/>
      <c r="JYQ136" s="9"/>
      <c r="JYR136" s="9"/>
      <c r="JYS136" s="18"/>
      <c r="JYT136" s="18"/>
      <c r="JYU136" s="18"/>
      <c r="JYV136" s="18"/>
      <c r="JYW136" s="18"/>
      <c r="JYX136" s="17"/>
      <c r="JYY136" s="9"/>
      <c r="JYZ136" s="9"/>
      <c r="JZA136" s="18"/>
      <c r="JZB136" s="18"/>
      <c r="JZC136" s="18"/>
      <c r="JZD136" s="18"/>
      <c r="JZE136" s="18"/>
      <c r="JZF136" s="17"/>
      <c r="JZG136" s="9"/>
      <c r="JZH136" s="9"/>
      <c r="JZI136" s="18"/>
      <c r="JZJ136" s="18"/>
      <c r="JZK136" s="18"/>
      <c r="JZL136" s="18"/>
      <c r="JZM136" s="18"/>
      <c r="JZN136" s="17"/>
      <c r="JZO136" s="9"/>
      <c r="JZP136" s="9"/>
      <c r="JZQ136" s="18"/>
      <c r="JZR136" s="18"/>
      <c r="JZS136" s="18"/>
      <c r="JZT136" s="18"/>
      <c r="JZU136" s="18"/>
      <c r="JZV136" s="17"/>
      <c r="JZW136" s="9"/>
      <c r="JZX136" s="9"/>
      <c r="JZY136" s="18"/>
      <c r="JZZ136" s="18"/>
      <c r="KAA136" s="18"/>
      <c r="KAB136" s="18"/>
      <c r="KAC136" s="18"/>
      <c r="KAD136" s="17"/>
      <c r="KAE136" s="9"/>
      <c r="KAF136" s="9"/>
      <c r="KAG136" s="18"/>
      <c r="KAH136" s="18"/>
      <c r="KAI136" s="18"/>
      <c r="KAJ136" s="18"/>
      <c r="KAK136" s="18"/>
      <c r="KAL136" s="17"/>
      <c r="KAM136" s="9"/>
      <c r="KAN136" s="9"/>
      <c r="KAO136" s="18"/>
      <c r="KAP136" s="18"/>
      <c r="KAQ136" s="18"/>
      <c r="KAR136" s="18"/>
      <c r="KAS136" s="18"/>
      <c r="KAT136" s="17"/>
      <c r="KAU136" s="9"/>
      <c r="KAV136" s="9"/>
      <c r="KAW136" s="18"/>
      <c r="KAX136" s="18"/>
      <c r="KAY136" s="18"/>
      <c r="KAZ136" s="18"/>
      <c r="KBA136" s="18"/>
      <c r="KBB136" s="17"/>
      <c r="KBC136" s="9"/>
      <c r="KBD136" s="9"/>
      <c r="KBE136" s="18"/>
      <c r="KBF136" s="18"/>
      <c r="KBG136" s="18"/>
      <c r="KBH136" s="18"/>
      <c r="KBI136" s="18"/>
      <c r="KBJ136" s="17"/>
      <c r="KBK136" s="9"/>
      <c r="KBL136" s="9"/>
      <c r="KBM136" s="18"/>
      <c r="KBN136" s="18"/>
      <c r="KBO136" s="18"/>
      <c r="KBP136" s="18"/>
      <c r="KBQ136" s="18"/>
      <c r="KBR136" s="17"/>
      <c r="KBS136" s="9"/>
      <c r="KBT136" s="9"/>
      <c r="KBU136" s="18"/>
      <c r="KBV136" s="18"/>
      <c r="KBW136" s="18"/>
      <c r="KBX136" s="18"/>
      <c r="KBY136" s="18"/>
      <c r="KBZ136" s="17"/>
      <c r="KCA136" s="9"/>
      <c r="KCB136" s="9"/>
      <c r="KCC136" s="18"/>
      <c r="KCD136" s="18"/>
      <c r="KCE136" s="18"/>
      <c r="KCF136" s="18"/>
      <c r="KCG136" s="18"/>
      <c r="KCH136" s="17"/>
      <c r="KCI136" s="9"/>
      <c r="KCJ136" s="9"/>
      <c r="KCK136" s="18"/>
      <c r="KCL136" s="18"/>
      <c r="KCM136" s="18"/>
      <c r="KCN136" s="18"/>
      <c r="KCO136" s="18"/>
      <c r="KCP136" s="17"/>
      <c r="KCQ136" s="9"/>
      <c r="KCR136" s="9"/>
      <c r="KCS136" s="18"/>
      <c r="KCT136" s="18"/>
      <c r="KCU136" s="18"/>
      <c r="KCV136" s="18"/>
      <c r="KCW136" s="18"/>
      <c r="KCX136" s="17"/>
      <c r="KCY136" s="9"/>
      <c r="KCZ136" s="9"/>
      <c r="KDA136" s="18"/>
      <c r="KDB136" s="18"/>
      <c r="KDC136" s="18"/>
      <c r="KDD136" s="18"/>
      <c r="KDE136" s="18"/>
      <c r="KDF136" s="17"/>
      <c r="KDG136" s="9"/>
      <c r="KDH136" s="9"/>
      <c r="KDI136" s="18"/>
      <c r="KDJ136" s="18"/>
      <c r="KDK136" s="18"/>
      <c r="KDL136" s="18"/>
      <c r="KDM136" s="18"/>
      <c r="KDN136" s="17"/>
      <c r="KDO136" s="9"/>
      <c r="KDP136" s="9"/>
      <c r="KDQ136" s="18"/>
      <c r="KDR136" s="18"/>
      <c r="KDS136" s="18"/>
      <c r="KDT136" s="18"/>
      <c r="KDU136" s="18"/>
      <c r="KDV136" s="17"/>
      <c r="KDW136" s="9"/>
      <c r="KDX136" s="9"/>
      <c r="KDY136" s="18"/>
      <c r="KDZ136" s="18"/>
      <c r="KEA136" s="18"/>
      <c r="KEB136" s="18"/>
      <c r="KEC136" s="18"/>
      <c r="KED136" s="17"/>
      <c r="KEE136" s="9"/>
      <c r="KEF136" s="9"/>
      <c r="KEG136" s="18"/>
      <c r="KEH136" s="18"/>
      <c r="KEI136" s="18"/>
      <c r="KEJ136" s="18"/>
      <c r="KEK136" s="18"/>
      <c r="KEL136" s="17"/>
      <c r="KEM136" s="9"/>
      <c r="KEN136" s="9"/>
      <c r="KEO136" s="18"/>
      <c r="KEP136" s="18"/>
      <c r="KEQ136" s="18"/>
      <c r="KER136" s="18"/>
      <c r="KES136" s="18"/>
      <c r="KET136" s="17"/>
      <c r="KEU136" s="9"/>
      <c r="KEV136" s="9"/>
      <c r="KEW136" s="18"/>
      <c r="KEX136" s="18"/>
      <c r="KEY136" s="18"/>
      <c r="KEZ136" s="18"/>
      <c r="KFA136" s="18"/>
      <c r="KFB136" s="17"/>
      <c r="KFC136" s="9"/>
      <c r="KFD136" s="9"/>
      <c r="KFE136" s="18"/>
      <c r="KFF136" s="18"/>
      <c r="KFG136" s="18"/>
      <c r="KFH136" s="18"/>
      <c r="KFI136" s="18"/>
      <c r="KFJ136" s="17"/>
      <c r="KFK136" s="9"/>
      <c r="KFL136" s="9"/>
      <c r="KFM136" s="18"/>
      <c r="KFN136" s="18"/>
      <c r="KFO136" s="18"/>
      <c r="KFP136" s="18"/>
      <c r="KFQ136" s="18"/>
      <c r="KFR136" s="17"/>
      <c r="KFS136" s="9"/>
      <c r="KFT136" s="9"/>
      <c r="KFU136" s="18"/>
      <c r="KFV136" s="18"/>
      <c r="KFW136" s="18"/>
      <c r="KFX136" s="18"/>
      <c r="KFY136" s="18"/>
      <c r="KFZ136" s="17"/>
      <c r="KGA136" s="9"/>
      <c r="KGB136" s="9"/>
      <c r="KGC136" s="18"/>
      <c r="KGD136" s="18"/>
      <c r="KGE136" s="18"/>
      <c r="KGF136" s="18"/>
      <c r="KGG136" s="18"/>
      <c r="KGH136" s="17"/>
      <c r="KGI136" s="9"/>
      <c r="KGJ136" s="9"/>
      <c r="KGK136" s="18"/>
      <c r="KGL136" s="18"/>
      <c r="KGM136" s="18"/>
      <c r="KGN136" s="18"/>
      <c r="KGO136" s="18"/>
      <c r="KGP136" s="17"/>
      <c r="KGQ136" s="9"/>
      <c r="KGR136" s="9"/>
      <c r="KGS136" s="18"/>
      <c r="KGT136" s="18"/>
      <c r="KGU136" s="18"/>
      <c r="KGV136" s="18"/>
      <c r="KGW136" s="18"/>
      <c r="KGX136" s="17"/>
      <c r="KGY136" s="9"/>
      <c r="KGZ136" s="9"/>
      <c r="KHA136" s="18"/>
      <c r="KHB136" s="18"/>
      <c r="KHC136" s="18"/>
      <c r="KHD136" s="18"/>
      <c r="KHE136" s="18"/>
      <c r="KHF136" s="17"/>
      <c r="KHG136" s="9"/>
      <c r="KHH136" s="9"/>
      <c r="KHI136" s="18"/>
      <c r="KHJ136" s="18"/>
      <c r="KHK136" s="18"/>
      <c r="KHL136" s="18"/>
      <c r="KHM136" s="18"/>
      <c r="KHN136" s="17"/>
      <c r="KHO136" s="9"/>
      <c r="KHP136" s="9"/>
      <c r="KHQ136" s="18"/>
      <c r="KHR136" s="18"/>
      <c r="KHS136" s="18"/>
      <c r="KHT136" s="18"/>
      <c r="KHU136" s="18"/>
      <c r="KHV136" s="17"/>
      <c r="KHW136" s="9"/>
      <c r="KHX136" s="9"/>
      <c r="KHY136" s="18"/>
      <c r="KHZ136" s="18"/>
      <c r="KIA136" s="18"/>
      <c r="KIB136" s="18"/>
      <c r="KIC136" s="18"/>
      <c r="KID136" s="17"/>
      <c r="KIE136" s="9"/>
      <c r="KIF136" s="9"/>
      <c r="KIG136" s="18"/>
      <c r="KIH136" s="18"/>
      <c r="KII136" s="18"/>
      <c r="KIJ136" s="18"/>
      <c r="KIK136" s="18"/>
      <c r="KIL136" s="17"/>
      <c r="KIM136" s="9"/>
      <c r="KIN136" s="9"/>
      <c r="KIO136" s="18"/>
      <c r="KIP136" s="18"/>
      <c r="KIQ136" s="18"/>
      <c r="KIR136" s="18"/>
      <c r="KIS136" s="18"/>
      <c r="KIT136" s="17"/>
      <c r="KIU136" s="9"/>
      <c r="KIV136" s="9"/>
      <c r="KIW136" s="18"/>
      <c r="KIX136" s="18"/>
      <c r="KIY136" s="18"/>
      <c r="KIZ136" s="18"/>
      <c r="KJA136" s="18"/>
      <c r="KJB136" s="17"/>
      <c r="KJC136" s="9"/>
      <c r="KJD136" s="9"/>
      <c r="KJE136" s="18"/>
      <c r="KJF136" s="18"/>
      <c r="KJG136" s="18"/>
      <c r="KJH136" s="18"/>
      <c r="KJI136" s="18"/>
      <c r="KJJ136" s="17"/>
      <c r="KJK136" s="9"/>
      <c r="KJL136" s="9"/>
      <c r="KJM136" s="18"/>
      <c r="KJN136" s="18"/>
      <c r="KJO136" s="18"/>
      <c r="KJP136" s="18"/>
      <c r="KJQ136" s="18"/>
      <c r="KJR136" s="17"/>
      <c r="KJS136" s="9"/>
      <c r="KJT136" s="9"/>
      <c r="KJU136" s="18"/>
      <c r="KJV136" s="18"/>
      <c r="KJW136" s="18"/>
      <c r="KJX136" s="18"/>
      <c r="KJY136" s="18"/>
      <c r="KJZ136" s="17"/>
      <c r="KKA136" s="9"/>
      <c r="KKB136" s="9"/>
      <c r="KKC136" s="18"/>
      <c r="KKD136" s="18"/>
      <c r="KKE136" s="18"/>
      <c r="KKF136" s="18"/>
      <c r="KKG136" s="18"/>
      <c r="KKH136" s="17"/>
      <c r="KKI136" s="9"/>
      <c r="KKJ136" s="9"/>
      <c r="KKK136" s="18"/>
      <c r="KKL136" s="18"/>
      <c r="KKM136" s="18"/>
      <c r="KKN136" s="18"/>
      <c r="KKO136" s="18"/>
      <c r="KKP136" s="17"/>
      <c r="KKQ136" s="9"/>
      <c r="KKR136" s="9"/>
      <c r="KKS136" s="18"/>
      <c r="KKT136" s="18"/>
      <c r="KKU136" s="18"/>
      <c r="KKV136" s="18"/>
      <c r="KKW136" s="18"/>
      <c r="KKX136" s="17"/>
      <c r="KKY136" s="9"/>
      <c r="KKZ136" s="9"/>
      <c r="KLA136" s="18"/>
      <c r="KLB136" s="18"/>
      <c r="KLC136" s="18"/>
      <c r="KLD136" s="18"/>
      <c r="KLE136" s="18"/>
      <c r="KLF136" s="17"/>
      <c r="KLG136" s="9"/>
      <c r="KLH136" s="9"/>
      <c r="KLI136" s="18"/>
      <c r="KLJ136" s="18"/>
      <c r="KLK136" s="18"/>
      <c r="KLL136" s="18"/>
      <c r="KLM136" s="18"/>
      <c r="KLN136" s="17"/>
      <c r="KLO136" s="9"/>
      <c r="KLP136" s="9"/>
      <c r="KLQ136" s="18"/>
      <c r="KLR136" s="18"/>
      <c r="KLS136" s="18"/>
      <c r="KLT136" s="18"/>
      <c r="KLU136" s="18"/>
      <c r="KLV136" s="17"/>
      <c r="KLW136" s="9"/>
      <c r="KLX136" s="9"/>
      <c r="KLY136" s="18"/>
      <c r="KLZ136" s="18"/>
      <c r="KMA136" s="18"/>
      <c r="KMB136" s="18"/>
      <c r="KMC136" s="18"/>
      <c r="KMD136" s="17"/>
      <c r="KME136" s="9"/>
      <c r="KMF136" s="9"/>
      <c r="KMG136" s="18"/>
      <c r="KMH136" s="18"/>
      <c r="KMI136" s="18"/>
      <c r="KMJ136" s="18"/>
      <c r="KMK136" s="18"/>
      <c r="KML136" s="17"/>
      <c r="KMM136" s="9"/>
      <c r="KMN136" s="9"/>
      <c r="KMO136" s="18"/>
      <c r="KMP136" s="18"/>
      <c r="KMQ136" s="18"/>
      <c r="KMR136" s="18"/>
      <c r="KMS136" s="18"/>
      <c r="KMT136" s="17"/>
      <c r="KMU136" s="9"/>
      <c r="KMV136" s="9"/>
      <c r="KMW136" s="18"/>
      <c r="KMX136" s="18"/>
      <c r="KMY136" s="18"/>
      <c r="KMZ136" s="18"/>
      <c r="KNA136" s="18"/>
      <c r="KNB136" s="17"/>
      <c r="KNC136" s="9"/>
      <c r="KND136" s="9"/>
      <c r="KNE136" s="18"/>
      <c r="KNF136" s="18"/>
      <c r="KNG136" s="18"/>
      <c r="KNH136" s="18"/>
      <c r="KNI136" s="18"/>
      <c r="KNJ136" s="17"/>
      <c r="KNK136" s="9"/>
      <c r="KNL136" s="9"/>
      <c r="KNM136" s="18"/>
      <c r="KNN136" s="18"/>
      <c r="KNO136" s="18"/>
      <c r="KNP136" s="18"/>
      <c r="KNQ136" s="18"/>
      <c r="KNR136" s="17"/>
      <c r="KNS136" s="9"/>
      <c r="KNT136" s="9"/>
      <c r="KNU136" s="18"/>
      <c r="KNV136" s="18"/>
      <c r="KNW136" s="18"/>
      <c r="KNX136" s="18"/>
      <c r="KNY136" s="18"/>
      <c r="KNZ136" s="17"/>
      <c r="KOA136" s="9"/>
      <c r="KOB136" s="9"/>
      <c r="KOC136" s="18"/>
      <c r="KOD136" s="18"/>
      <c r="KOE136" s="18"/>
      <c r="KOF136" s="18"/>
      <c r="KOG136" s="18"/>
      <c r="KOH136" s="17"/>
      <c r="KOI136" s="9"/>
      <c r="KOJ136" s="9"/>
      <c r="KOK136" s="18"/>
      <c r="KOL136" s="18"/>
      <c r="KOM136" s="18"/>
      <c r="KON136" s="18"/>
      <c r="KOO136" s="18"/>
      <c r="KOP136" s="17"/>
      <c r="KOQ136" s="9"/>
      <c r="KOR136" s="9"/>
      <c r="KOS136" s="18"/>
      <c r="KOT136" s="18"/>
      <c r="KOU136" s="18"/>
      <c r="KOV136" s="18"/>
      <c r="KOW136" s="18"/>
      <c r="KOX136" s="17"/>
      <c r="KOY136" s="9"/>
      <c r="KOZ136" s="9"/>
      <c r="KPA136" s="18"/>
      <c r="KPB136" s="18"/>
      <c r="KPC136" s="18"/>
      <c r="KPD136" s="18"/>
      <c r="KPE136" s="18"/>
      <c r="KPF136" s="17"/>
      <c r="KPG136" s="9"/>
      <c r="KPH136" s="9"/>
      <c r="KPI136" s="18"/>
      <c r="KPJ136" s="18"/>
      <c r="KPK136" s="18"/>
      <c r="KPL136" s="18"/>
      <c r="KPM136" s="18"/>
      <c r="KPN136" s="17"/>
      <c r="KPO136" s="9"/>
      <c r="KPP136" s="9"/>
      <c r="KPQ136" s="18"/>
      <c r="KPR136" s="18"/>
      <c r="KPS136" s="18"/>
      <c r="KPT136" s="18"/>
      <c r="KPU136" s="18"/>
      <c r="KPV136" s="17"/>
      <c r="KPW136" s="9"/>
      <c r="KPX136" s="9"/>
      <c r="KPY136" s="18"/>
      <c r="KPZ136" s="18"/>
      <c r="KQA136" s="18"/>
      <c r="KQB136" s="18"/>
      <c r="KQC136" s="18"/>
      <c r="KQD136" s="17"/>
      <c r="KQE136" s="9"/>
      <c r="KQF136" s="9"/>
      <c r="KQG136" s="18"/>
      <c r="KQH136" s="18"/>
      <c r="KQI136" s="18"/>
      <c r="KQJ136" s="18"/>
      <c r="KQK136" s="18"/>
      <c r="KQL136" s="17"/>
      <c r="KQM136" s="9"/>
      <c r="KQN136" s="9"/>
      <c r="KQO136" s="18"/>
      <c r="KQP136" s="18"/>
      <c r="KQQ136" s="18"/>
      <c r="KQR136" s="18"/>
      <c r="KQS136" s="18"/>
      <c r="KQT136" s="17"/>
      <c r="KQU136" s="9"/>
      <c r="KQV136" s="9"/>
      <c r="KQW136" s="18"/>
      <c r="KQX136" s="18"/>
      <c r="KQY136" s="18"/>
      <c r="KQZ136" s="18"/>
      <c r="KRA136" s="18"/>
      <c r="KRB136" s="17"/>
      <c r="KRC136" s="9"/>
      <c r="KRD136" s="9"/>
      <c r="KRE136" s="18"/>
      <c r="KRF136" s="18"/>
      <c r="KRG136" s="18"/>
      <c r="KRH136" s="18"/>
      <c r="KRI136" s="18"/>
      <c r="KRJ136" s="17"/>
      <c r="KRK136" s="9"/>
      <c r="KRL136" s="9"/>
      <c r="KRM136" s="18"/>
      <c r="KRN136" s="18"/>
      <c r="KRO136" s="18"/>
      <c r="KRP136" s="18"/>
      <c r="KRQ136" s="18"/>
      <c r="KRR136" s="17"/>
      <c r="KRS136" s="9"/>
      <c r="KRT136" s="9"/>
      <c r="KRU136" s="18"/>
      <c r="KRV136" s="18"/>
      <c r="KRW136" s="18"/>
      <c r="KRX136" s="18"/>
      <c r="KRY136" s="18"/>
      <c r="KRZ136" s="17"/>
      <c r="KSA136" s="9"/>
      <c r="KSB136" s="9"/>
      <c r="KSC136" s="18"/>
      <c r="KSD136" s="18"/>
      <c r="KSE136" s="18"/>
      <c r="KSF136" s="18"/>
      <c r="KSG136" s="18"/>
      <c r="KSH136" s="17"/>
      <c r="KSI136" s="9"/>
      <c r="KSJ136" s="9"/>
      <c r="KSK136" s="18"/>
      <c r="KSL136" s="18"/>
      <c r="KSM136" s="18"/>
      <c r="KSN136" s="18"/>
      <c r="KSO136" s="18"/>
      <c r="KSP136" s="17"/>
      <c r="KSQ136" s="9"/>
      <c r="KSR136" s="9"/>
      <c r="KSS136" s="18"/>
      <c r="KST136" s="18"/>
      <c r="KSU136" s="18"/>
      <c r="KSV136" s="18"/>
      <c r="KSW136" s="18"/>
      <c r="KSX136" s="17"/>
      <c r="KSY136" s="9"/>
      <c r="KSZ136" s="9"/>
      <c r="KTA136" s="18"/>
      <c r="KTB136" s="18"/>
      <c r="KTC136" s="18"/>
      <c r="KTD136" s="18"/>
      <c r="KTE136" s="18"/>
      <c r="KTF136" s="17"/>
      <c r="KTG136" s="9"/>
      <c r="KTH136" s="9"/>
      <c r="KTI136" s="18"/>
      <c r="KTJ136" s="18"/>
      <c r="KTK136" s="18"/>
      <c r="KTL136" s="18"/>
      <c r="KTM136" s="18"/>
      <c r="KTN136" s="17"/>
      <c r="KTO136" s="9"/>
      <c r="KTP136" s="9"/>
      <c r="KTQ136" s="18"/>
      <c r="KTR136" s="18"/>
      <c r="KTS136" s="18"/>
      <c r="KTT136" s="18"/>
      <c r="KTU136" s="18"/>
      <c r="KTV136" s="17"/>
      <c r="KTW136" s="9"/>
      <c r="KTX136" s="9"/>
      <c r="KTY136" s="18"/>
      <c r="KTZ136" s="18"/>
      <c r="KUA136" s="18"/>
      <c r="KUB136" s="18"/>
      <c r="KUC136" s="18"/>
      <c r="KUD136" s="17"/>
      <c r="KUE136" s="9"/>
      <c r="KUF136" s="9"/>
      <c r="KUG136" s="18"/>
      <c r="KUH136" s="18"/>
      <c r="KUI136" s="18"/>
      <c r="KUJ136" s="18"/>
      <c r="KUK136" s="18"/>
      <c r="KUL136" s="17"/>
      <c r="KUM136" s="9"/>
      <c r="KUN136" s="9"/>
      <c r="KUO136" s="18"/>
      <c r="KUP136" s="18"/>
      <c r="KUQ136" s="18"/>
      <c r="KUR136" s="18"/>
      <c r="KUS136" s="18"/>
      <c r="KUT136" s="17"/>
      <c r="KUU136" s="9"/>
      <c r="KUV136" s="9"/>
      <c r="KUW136" s="18"/>
      <c r="KUX136" s="18"/>
      <c r="KUY136" s="18"/>
      <c r="KUZ136" s="18"/>
      <c r="KVA136" s="18"/>
      <c r="KVB136" s="17"/>
      <c r="KVC136" s="9"/>
      <c r="KVD136" s="9"/>
      <c r="KVE136" s="18"/>
      <c r="KVF136" s="18"/>
      <c r="KVG136" s="18"/>
      <c r="KVH136" s="18"/>
      <c r="KVI136" s="18"/>
      <c r="KVJ136" s="17"/>
      <c r="KVK136" s="9"/>
      <c r="KVL136" s="9"/>
      <c r="KVM136" s="18"/>
      <c r="KVN136" s="18"/>
      <c r="KVO136" s="18"/>
      <c r="KVP136" s="18"/>
      <c r="KVQ136" s="18"/>
      <c r="KVR136" s="17"/>
      <c r="KVS136" s="9"/>
      <c r="KVT136" s="9"/>
      <c r="KVU136" s="18"/>
      <c r="KVV136" s="18"/>
      <c r="KVW136" s="18"/>
      <c r="KVX136" s="18"/>
      <c r="KVY136" s="18"/>
      <c r="KVZ136" s="17"/>
      <c r="KWA136" s="9"/>
      <c r="KWB136" s="9"/>
      <c r="KWC136" s="18"/>
      <c r="KWD136" s="18"/>
      <c r="KWE136" s="18"/>
      <c r="KWF136" s="18"/>
      <c r="KWG136" s="18"/>
      <c r="KWH136" s="17"/>
      <c r="KWI136" s="9"/>
      <c r="KWJ136" s="9"/>
      <c r="KWK136" s="18"/>
      <c r="KWL136" s="18"/>
      <c r="KWM136" s="18"/>
      <c r="KWN136" s="18"/>
      <c r="KWO136" s="18"/>
      <c r="KWP136" s="17"/>
      <c r="KWQ136" s="9"/>
      <c r="KWR136" s="9"/>
      <c r="KWS136" s="18"/>
      <c r="KWT136" s="18"/>
      <c r="KWU136" s="18"/>
      <c r="KWV136" s="18"/>
      <c r="KWW136" s="18"/>
      <c r="KWX136" s="17"/>
      <c r="KWY136" s="9"/>
      <c r="KWZ136" s="9"/>
      <c r="KXA136" s="18"/>
      <c r="KXB136" s="18"/>
      <c r="KXC136" s="18"/>
      <c r="KXD136" s="18"/>
      <c r="KXE136" s="18"/>
      <c r="KXF136" s="17"/>
      <c r="KXG136" s="9"/>
      <c r="KXH136" s="9"/>
      <c r="KXI136" s="18"/>
      <c r="KXJ136" s="18"/>
      <c r="KXK136" s="18"/>
      <c r="KXL136" s="18"/>
      <c r="KXM136" s="18"/>
      <c r="KXN136" s="17"/>
      <c r="KXO136" s="9"/>
      <c r="KXP136" s="9"/>
      <c r="KXQ136" s="18"/>
      <c r="KXR136" s="18"/>
      <c r="KXS136" s="18"/>
      <c r="KXT136" s="18"/>
      <c r="KXU136" s="18"/>
      <c r="KXV136" s="17"/>
      <c r="KXW136" s="9"/>
      <c r="KXX136" s="9"/>
      <c r="KXY136" s="18"/>
      <c r="KXZ136" s="18"/>
      <c r="KYA136" s="18"/>
      <c r="KYB136" s="18"/>
      <c r="KYC136" s="18"/>
      <c r="KYD136" s="17"/>
      <c r="KYE136" s="9"/>
      <c r="KYF136" s="9"/>
      <c r="KYG136" s="18"/>
      <c r="KYH136" s="18"/>
      <c r="KYI136" s="18"/>
      <c r="KYJ136" s="18"/>
      <c r="KYK136" s="18"/>
      <c r="KYL136" s="17"/>
      <c r="KYM136" s="9"/>
      <c r="KYN136" s="9"/>
      <c r="KYO136" s="18"/>
      <c r="KYP136" s="18"/>
      <c r="KYQ136" s="18"/>
      <c r="KYR136" s="18"/>
      <c r="KYS136" s="18"/>
      <c r="KYT136" s="17"/>
      <c r="KYU136" s="9"/>
      <c r="KYV136" s="9"/>
      <c r="KYW136" s="18"/>
      <c r="KYX136" s="18"/>
      <c r="KYY136" s="18"/>
      <c r="KYZ136" s="18"/>
      <c r="KZA136" s="18"/>
      <c r="KZB136" s="17"/>
      <c r="KZC136" s="9"/>
      <c r="KZD136" s="9"/>
      <c r="KZE136" s="18"/>
      <c r="KZF136" s="18"/>
      <c r="KZG136" s="18"/>
      <c r="KZH136" s="18"/>
      <c r="KZI136" s="18"/>
      <c r="KZJ136" s="17"/>
      <c r="KZK136" s="9"/>
      <c r="KZL136" s="9"/>
      <c r="KZM136" s="18"/>
      <c r="KZN136" s="18"/>
      <c r="KZO136" s="18"/>
      <c r="KZP136" s="18"/>
      <c r="KZQ136" s="18"/>
      <c r="KZR136" s="17"/>
      <c r="KZS136" s="9"/>
      <c r="KZT136" s="9"/>
      <c r="KZU136" s="18"/>
      <c r="KZV136" s="18"/>
      <c r="KZW136" s="18"/>
      <c r="KZX136" s="18"/>
      <c r="KZY136" s="18"/>
      <c r="KZZ136" s="17"/>
      <c r="LAA136" s="9"/>
      <c r="LAB136" s="9"/>
      <c r="LAC136" s="18"/>
      <c r="LAD136" s="18"/>
      <c r="LAE136" s="18"/>
      <c r="LAF136" s="18"/>
      <c r="LAG136" s="18"/>
      <c r="LAH136" s="17"/>
      <c r="LAI136" s="9"/>
      <c r="LAJ136" s="9"/>
      <c r="LAK136" s="18"/>
      <c r="LAL136" s="18"/>
      <c r="LAM136" s="18"/>
      <c r="LAN136" s="18"/>
      <c r="LAO136" s="18"/>
      <c r="LAP136" s="17"/>
      <c r="LAQ136" s="9"/>
      <c r="LAR136" s="9"/>
      <c r="LAS136" s="18"/>
      <c r="LAT136" s="18"/>
      <c r="LAU136" s="18"/>
      <c r="LAV136" s="18"/>
      <c r="LAW136" s="18"/>
      <c r="LAX136" s="17"/>
      <c r="LAY136" s="9"/>
      <c r="LAZ136" s="9"/>
      <c r="LBA136" s="18"/>
      <c r="LBB136" s="18"/>
      <c r="LBC136" s="18"/>
      <c r="LBD136" s="18"/>
      <c r="LBE136" s="18"/>
      <c r="LBF136" s="17"/>
      <c r="LBG136" s="9"/>
      <c r="LBH136" s="9"/>
      <c r="LBI136" s="18"/>
      <c r="LBJ136" s="18"/>
      <c r="LBK136" s="18"/>
      <c r="LBL136" s="18"/>
      <c r="LBM136" s="18"/>
      <c r="LBN136" s="17"/>
      <c r="LBO136" s="9"/>
      <c r="LBP136" s="9"/>
      <c r="LBQ136" s="18"/>
      <c r="LBR136" s="18"/>
      <c r="LBS136" s="18"/>
      <c r="LBT136" s="18"/>
      <c r="LBU136" s="18"/>
      <c r="LBV136" s="17"/>
      <c r="LBW136" s="9"/>
      <c r="LBX136" s="9"/>
      <c r="LBY136" s="18"/>
      <c r="LBZ136" s="18"/>
      <c r="LCA136" s="18"/>
      <c r="LCB136" s="18"/>
      <c r="LCC136" s="18"/>
      <c r="LCD136" s="17"/>
      <c r="LCE136" s="9"/>
      <c r="LCF136" s="9"/>
      <c r="LCG136" s="18"/>
      <c r="LCH136" s="18"/>
      <c r="LCI136" s="18"/>
      <c r="LCJ136" s="18"/>
      <c r="LCK136" s="18"/>
      <c r="LCL136" s="17"/>
      <c r="LCM136" s="9"/>
      <c r="LCN136" s="9"/>
      <c r="LCO136" s="18"/>
      <c r="LCP136" s="18"/>
      <c r="LCQ136" s="18"/>
      <c r="LCR136" s="18"/>
      <c r="LCS136" s="18"/>
      <c r="LCT136" s="17"/>
      <c r="LCU136" s="9"/>
      <c r="LCV136" s="9"/>
      <c r="LCW136" s="18"/>
      <c r="LCX136" s="18"/>
      <c r="LCY136" s="18"/>
      <c r="LCZ136" s="18"/>
      <c r="LDA136" s="18"/>
      <c r="LDB136" s="17"/>
      <c r="LDC136" s="9"/>
      <c r="LDD136" s="9"/>
      <c r="LDE136" s="18"/>
      <c r="LDF136" s="18"/>
      <c r="LDG136" s="18"/>
      <c r="LDH136" s="18"/>
      <c r="LDI136" s="18"/>
      <c r="LDJ136" s="17"/>
      <c r="LDK136" s="9"/>
      <c r="LDL136" s="9"/>
      <c r="LDM136" s="18"/>
      <c r="LDN136" s="18"/>
      <c r="LDO136" s="18"/>
      <c r="LDP136" s="18"/>
      <c r="LDQ136" s="18"/>
      <c r="LDR136" s="17"/>
      <c r="LDS136" s="9"/>
      <c r="LDT136" s="9"/>
      <c r="LDU136" s="18"/>
      <c r="LDV136" s="18"/>
      <c r="LDW136" s="18"/>
      <c r="LDX136" s="18"/>
      <c r="LDY136" s="18"/>
      <c r="LDZ136" s="17"/>
      <c r="LEA136" s="9"/>
      <c r="LEB136" s="9"/>
      <c r="LEC136" s="18"/>
      <c r="LED136" s="18"/>
      <c r="LEE136" s="18"/>
      <c r="LEF136" s="18"/>
      <c r="LEG136" s="18"/>
      <c r="LEH136" s="17"/>
      <c r="LEI136" s="9"/>
      <c r="LEJ136" s="9"/>
      <c r="LEK136" s="18"/>
      <c r="LEL136" s="18"/>
      <c r="LEM136" s="18"/>
      <c r="LEN136" s="18"/>
      <c r="LEO136" s="18"/>
      <c r="LEP136" s="17"/>
      <c r="LEQ136" s="9"/>
      <c r="LER136" s="9"/>
      <c r="LES136" s="18"/>
      <c r="LET136" s="18"/>
      <c r="LEU136" s="18"/>
      <c r="LEV136" s="18"/>
      <c r="LEW136" s="18"/>
      <c r="LEX136" s="17"/>
      <c r="LEY136" s="9"/>
      <c r="LEZ136" s="9"/>
      <c r="LFA136" s="18"/>
      <c r="LFB136" s="18"/>
      <c r="LFC136" s="18"/>
      <c r="LFD136" s="18"/>
      <c r="LFE136" s="18"/>
      <c r="LFF136" s="17"/>
      <c r="LFG136" s="9"/>
      <c r="LFH136" s="9"/>
      <c r="LFI136" s="18"/>
      <c r="LFJ136" s="18"/>
      <c r="LFK136" s="18"/>
      <c r="LFL136" s="18"/>
      <c r="LFM136" s="18"/>
      <c r="LFN136" s="17"/>
      <c r="LFO136" s="9"/>
      <c r="LFP136" s="9"/>
      <c r="LFQ136" s="18"/>
      <c r="LFR136" s="18"/>
      <c r="LFS136" s="18"/>
      <c r="LFT136" s="18"/>
      <c r="LFU136" s="18"/>
      <c r="LFV136" s="17"/>
      <c r="LFW136" s="9"/>
      <c r="LFX136" s="9"/>
      <c r="LFY136" s="18"/>
      <c r="LFZ136" s="18"/>
      <c r="LGA136" s="18"/>
      <c r="LGB136" s="18"/>
      <c r="LGC136" s="18"/>
      <c r="LGD136" s="17"/>
      <c r="LGE136" s="9"/>
      <c r="LGF136" s="9"/>
      <c r="LGG136" s="18"/>
      <c r="LGH136" s="18"/>
      <c r="LGI136" s="18"/>
      <c r="LGJ136" s="18"/>
      <c r="LGK136" s="18"/>
      <c r="LGL136" s="17"/>
      <c r="LGM136" s="9"/>
      <c r="LGN136" s="9"/>
      <c r="LGO136" s="18"/>
      <c r="LGP136" s="18"/>
      <c r="LGQ136" s="18"/>
      <c r="LGR136" s="18"/>
      <c r="LGS136" s="18"/>
      <c r="LGT136" s="17"/>
      <c r="LGU136" s="9"/>
      <c r="LGV136" s="9"/>
      <c r="LGW136" s="18"/>
      <c r="LGX136" s="18"/>
      <c r="LGY136" s="18"/>
      <c r="LGZ136" s="18"/>
      <c r="LHA136" s="18"/>
      <c r="LHB136" s="17"/>
      <c r="LHC136" s="9"/>
      <c r="LHD136" s="9"/>
      <c r="LHE136" s="18"/>
      <c r="LHF136" s="18"/>
      <c r="LHG136" s="18"/>
      <c r="LHH136" s="18"/>
      <c r="LHI136" s="18"/>
      <c r="LHJ136" s="17"/>
      <c r="LHK136" s="9"/>
      <c r="LHL136" s="9"/>
      <c r="LHM136" s="18"/>
      <c r="LHN136" s="18"/>
      <c r="LHO136" s="18"/>
      <c r="LHP136" s="18"/>
      <c r="LHQ136" s="18"/>
      <c r="LHR136" s="17"/>
      <c r="LHS136" s="9"/>
      <c r="LHT136" s="9"/>
      <c r="LHU136" s="18"/>
      <c r="LHV136" s="18"/>
      <c r="LHW136" s="18"/>
      <c r="LHX136" s="18"/>
      <c r="LHY136" s="18"/>
      <c r="LHZ136" s="17"/>
      <c r="LIA136" s="9"/>
      <c r="LIB136" s="9"/>
      <c r="LIC136" s="18"/>
      <c r="LID136" s="18"/>
      <c r="LIE136" s="18"/>
      <c r="LIF136" s="18"/>
      <c r="LIG136" s="18"/>
      <c r="LIH136" s="17"/>
      <c r="LII136" s="9"/>
      <c r="LIJ136" s="9"/>
      <c r="LIK136" s="18"/>
      <c r="LIL136" s="18"/>
      <c r="LIM136" s="18"/>
      <c r="LIN136" s="18"/>
      <c r="LIO136" s="18"/>
      <c r="LIP136" s="17"/>
      <c r="LIQ136" s="9"/>
      <c r="LIR136" s="9"/>
      <c r="LIS136" s="18"/>
      <c r="LIT136" s="18"/>
      <c r="LIU136" s="18"/>
      <c r="LIV136" s="18"/>
      <c r="LIW136" s="18"/>
      <c r="LIX136" s="17"/>
      <c r="LIY136" s="9"/>
      <c r="LIZ136" s="9"/>
      <c r="LJA136" s="18"/>
      <c r="LJB136" s="18"/>
      <c r="LJC136" s="18"/>
      <c r="LJD136" s="18"/>
      <c r="LJE136" s="18"/>
      <c r="LJF136" s="17"/>
      <c r="LJG136" s="9"/>
      <c r="LJH136" s="9"/>
      <c r="LJI136" s="18"/>
      <c r="LJJ136" s="18"/>
      <c r="LJK136" s="18"/>
      <c r="LJL136" s="18"/>
      <c r="LJM136" s="18"/>
      <c r="LJN136" s="17"/>
      <c r="LJO136" s="9"/>
      <c r="LJP136" s="9"/>
      <c r="LJQ136" s="18"/>
      <c r="LJR136" s="18"/>
      <c r="LJS136" s="18"/>
      <c r="LJT136" s="18"/>
      <c r="LJU136" s="18"/>
      <c r="LJV136" s="17"/>
      <c r="LJW136" s="9"/>
      <c r="LJX136" s="9"/>
      <c r="LJY136" s="18"/>
      <c r="LJZ136" s="18"/>
      <c r="LKA136" s="18"/>
      <c r="LKB136" s="18"/>
      <c r="LKC136" s="18"/>
      <c r="LKD136" s="17"/>
      <c r="LKE136" s="9"/>
      <c r="LKF136" s="9"/>
      <c r="LKG136" s="18"/>
      <c r="LKH136" s="18"/>
      <c r="LKI136" s="18"/>
      <c r="LKJ136" s="18"/>
      <c r="LKK136" s="18"/>
      <c r="LKL136" s="17"/>
      <c r="LKM136" s="9"/>
      <c r="LKN136" s="9"/>
      <c r="LKO136" s="18"/>
      <c r="LKP136" s="18"/>
      <c r="LKQ136" s="18"/>
      <c r="LKR136" s="18"/>
      <c r="LKS136" s="18"/>
      <c r="LKT136" s="17"/>
      <c r="LKU136" s="9"/>
      <c r="LKV136" s="9"/>
      <c r="LKW136" s="18"/>
      <c r="LKX136" s="18"/>
      <c r="LKY136" s="18"/>
      <c r="LKZ136" s="18"/>
      <c r="LLA136" s="18"/>
      <c r="LLB136" s="17"/>
      <c r="LLC136" s="9"/>
      <c r="LLD136" s="9"/>
      <c r="LLE136" s="18"/>
      <c r="LLF136" s="18"/>
      <c r="LLG136" s="18"/>
      <c r="LLH136" s="18"/>
      <c r="LLI136" s="18"/>
      <c r="LLJ136" s="17"/>
      <c r="LLK136" s="9"/>
      <c r="LLL136" s="9"/>
      <c r="LLM136" s="18"/>
      <c r="LLN136" s="18"/>
      <c r="LLO136" s="18"/>
      <c r="LLP136" s="18"/>
      <c r="LLQ136" s="18"/>
      <c r="LLR136" s="17"/>
      <c r="LLS136" s="9"/>
      <c r="LLT136" s="9"/>
      <c r="LLU136" s="18"/>
      <c r="LLV136" s="18"/>
      <c r="LLW136" s="18"/>
      <c r="LLX136" s="18"/>
      <c r="LLY136" s="18"/>
      <c r="LLZ136" s="17"/>
      <c r="LMA136" s="9"/>
      <c r="LMB136" s="9"/>
      <c r="LMC136" s="18"/>
      <c r="LMD136" s="18"/>
      <c r="LME136" s="18"/>
      <c r="LMF136" s="18"/>
      <c r="LMG136" s="18"/>
      <c r="LMH136" s="17"/>
      <c r="LMI136" s="9"/>
      <c r="LMJ136" s="9"/>
      <c r="LMK136" s="18"/>
      <c r="LML136" s="18"/>
      <c r="LMM136" s="18"/>
      <c r="LMN136" s="18"/>
      <c r="LMO136" s="18"/>
      <c r="LMP136" s="17"/>
      <c r="LMQ136" s="9"/>
      <c r="LMR136" s="9"/>
      <c r="LMS136" s="18"/>
      <c r="LMT136" s="18"/>
      <c r="LMU136" s="18"/>
      <c r="LMV136" s="18"/>
      <c r="LMW136" s="18"/>
      <c r="LMX136" s="17"/>
      <c r="LMY136" s="9"/>
      <c r="LMZ136" s="9"/>
      <c r="LNA136" s="18"/>
      <c r="LNB136" s="18"/>
      <c r="LNC136" s="18"/>
      <c r="LND136" s="18"/>
      <c r="LNE136" s="18"/>
      <c r="LNF136" s="17"/>
      <c r="LNG136" s="9"/>
      <c r="LNH136" s="9"/>
      <c r="LNI136" s="18"/>
      <c r="LNJ136" s="18"/>
      <c r="LNK136" s="18"/>
      <c r="LNL136" s="18"/>
      <c r="LNM136" s="18"/>
      <c r="LNN136" s="17"/>
      <c r="LNO136" s="9"/>
      <c r="LNP136" s="9"/>
      <c r="LNQ136" s="18"/>
      <c r="LNR136" s="18"/>
      <c r="LNS136" s="18"/>
      <c r="LNT136" s="18"/>
      <c r="LNU136" s="18"/>
      <c r="LNV136" s="17"/>
      <c r="LNW136" s="9"/>
      <c r="LNX136" s="9"/>
      <c r="LNY136" s="18"/>
      <c r="LNZ136" s="18"/>
      <c r="LOA136" s="18"/>
      <c r="LOB136" s="18"/>
      <c r="LOC136" s="18"/>
      <c r="LOD136" s="17"/>
      <c r="LOE136" s="9"/>
      <c r="LOF136" s="9"/>
      <c r="LOG136" s="18"/>
      <c r="LOH136" s="18"/>
      <c r="LOI136" s="18"/>
      <c r="LOJ136" s="18"/>
      <c r="LOK136" s="18"/>
      <c r="LOL136" s="17"/>
      <c r="LOM136" s="9"/>
      <c r="LON136" s="9"/>
      <c r="LOO136" s="18"/>
      <c r="LOP136" s="18"/>
      <c r="LOQ136" s="18"/>
      <c r="LOR136" s="18"/>
      <c r="LOS136" s="18"/>
      <c r="LOT136" s="17"/>
      <c r="LOU136" s="9"/>
      <c r="LOV136" s="9"/>
      <c r="LOW136" s="18"/>
      <c r="LOX136" s="18"/>
      <c r="LOY136" s="18"/>
      <c r="LOZ136" s="18"/>
      <c r="LPA136" s="18"/>
      <c r="LPB136" s="17"/>
      <c r="LPC136" s="9"/>
      <c r="LPD136" s="9"/>
      <c r="LPE136" s="18"/>
      <c r="LPF136" s="18"/>
      <c r="LPG136" s="18"/>
      <c r="LPH136" s="18"/>
      <c r="LPI136" s="18"/>
      <c r="LPJ136" s="17"/>
      <c r="LPK136" s="9"/>
      <c r="LPL136" s="9"/>
      <c r="LPM136" s="18"/>
      <c r="LPN136" s="18"/>
      <c r="LPO136" s="18"/>
      <c r="LPP136" s="18"/>
      <c r="LPQ136" s="18"/>
      <c r="LPR136" s="17"/>
      <c r="LPS136" s="9"/>
      <c r="LPT136" s="9"/>
      <c r="LPU136" s="18"/>
      <c r="LPV136" s="18"/>
      <c r="LPW136" s="18"/>
      <c r="LPX136" s="18"/>
      <c r="LPY136" s="18"/>
      <c r="LPZ136" s="17"/>
      <c r="LQA136" s="9"/>
      <c r="LQB136" s="9"/>
      <c r="LQC136" s="18"/>
      <c r="LQD136" s="18"/>
      <c r="LQE136" s="18"/>
      <c r="LQF136" s="18"/>
      <c r="LQG136" s="18"/>
      <c r="LQH136" s="17"/>
      <c r="LQI136" s="9"/>
      <c r="LQJ136" s="9"/>
      <c r="LQK136" s="18"/>
      <c r="LQL136" s="18"/>
      <c r="LQM136" s="18"/>
      <c r="LQN136" s="18"/>
      <c r="LQO136" s="18"/>
      <c r="LQP136" s="17"/>
      <c r="LQQ136" s="9"/>
      <c r="LQR136" s="9"/>
      <c r="LQS136" s="18"/>
      <c r="LQT136" s="18"/>
      <c r="LQU136" s="18"/>
      <c r="LQV136" s="18"/>
      <c r="LQW136" s="18"/>
      <c r="LQX136" s="17"/>
      <c r="LQY136" s="9"/>
      <c r="LQZ136" s="9"/>
      <c r="LRA136" s="18"/>
      <c r="LRB136" s="18"/>
      <c r="LRC136" s="18"/>
      <c r="LRD136" s="18"/>
      <c r="LRE136" s="18"/>
      <c r="LRF136" s="17"/>
      <c r="LRG136" s="9"/>
      <c r="LRH136" s="9"/>
      <c r="LRI136" s="18"/>
      <c r="LRJ136" s="18"/>
      <c r="LRK136" s="18"/>
      <c r="LRL136" s="18"/>
      <c r="LRM136" s="18"/>
      <c r="LRN136" s="17"/>
      <c r="LRO136" s="9"/>
      <c r="LRP136" s="9"/>
      <c r="LRQ136" s="18"/>
      <c r="LRR136" s="18"/>
      <c r="LRS136" s="18"/>
      <c r="LRT136" s="18"/>
      <c r="LRU136" s="18"/>
      <c r="LRV136" s="17"/>
      <c r="LRW136" s="9"/>
      <c r="LRX136" s="9"/>
      <c r="LRY136" s="18"/>
      <c r="LRZ136" s="18"/>
      <c r="LSA136" s="18"/>
      <c r="LSB136" s="18"/>
      <c r="LSC136" s="18"/>
      <c r="LSD136" s="17"/>
      <c r="LSE136" s="9"/>
      <c r="LSF136" s="9"/>
      <c r="LSG136" s="18"/>
      <c r="LSH136" s="18"/>
      <c r="LSI136" s="18"/>
      <c r="LSJ136" s="18"/>
      <c r="LSK136" s="18"/>
      <c r="LSL136" s="17"/>
      <c r="LSM136" s="9"/>
      <c r="LSN136" s="9"/>
      <c r="LSO136" s="18"/>
      <c r="LSP136" s="18"/>
      <c r="LSQ136" s="18"/>
      <c r="LSR136" s="18"/>
      <c r="LSS136" s="18"/>
      <c r="LST136" s="17"/>
      <c r="LSU136" s="9"/>
      <c r="LSV136" s="9"/>
      <c r="LSW136" s="18"/>
      <c r="LSX136" s="18"/>
      <c r="LSY136" s="18"/>
      <c r="LSZ136" s="18"/>
      <c r="LTA136" s="18"/>
      <c r="LTB136" s="17"/>
      <c r="LTC136" s="9"/>
      <c r="LTD136" s="9"/>
      <c r="LTE136" s="18"/>
      <c r="LTF136" s="18"/>
      <c r="LTG136" s="18"/>
      <c r="LTH136" s="18"/>
      <c r="LTI136" s="18"/>
      <c r="LTJ136" s="17"/>
      <c r="LTK136" s="9"/>
      <c r="LTL136" s="9"/>
      <c r="LTM136" s="18"/>
      <c r="LTN136" s="18"/>
      <c r="LTO136" s="18"/>
      <c r="LTP136" s="18"/>
      <c r="LTQ136" s="18"/>
      <c r="LTR136" s="17"/>
      <c r="LTS136" s="9"/>
      <c r="LTT136" s="9"/>
      <c r="LTU136" s="18"/>
      <c r="LTV136" s="18"/>
      <c r="LTW136" s="18"/>
      <c r="LTX136" s="18"/>
      <c r="LTY136" s="18"/>
      <c r="LTZ136" s="17"/>
      <c r="LUA136" s="9"/>
      <c r="LUB136" s="9"/>
      <c r="LUC136" s="18"/>
      <c r="LUD136" s="18"/>
      <c r="LUE136" s="18"/>
      <c r="LUF136" s="18"/>
      <c r="LUG136" s="18"/>
      <c r="LUH136" s="17"/>
      <c r="LUI136" s="9"/>
      <c r="LUJ136" s="9"/>
      <c r="LUK136" s="18"/>
      <c r="LUL136" s="18"/>
      <c r="LUM136" s="18"/>
      <c r="LUN136" s="18"/>
      <c r="LUO136" s="18"/>
      <c r="LUP136" s="17"/>
      <c r="LUQ136" s="9"/>
      <c r="LUR136" s="9"/>
      <c r="LUS136" s="18"/>
      <c r="LUT136" s="18"/>
      <c r="LUU136" s="18"/>
      <c r="LUV136" s="18"/>
      <c r="LUW136" s="18"/>
      <c r="LUX136" s="17"/>
      <c r="LUY136" s="9"/>
      <c r="LUZ136" s="9"/>
      <c r="LVA136" s="18"/>
      <c r="LVB136" s="18"/>
      <c r="LVC136" s="18"/>
      <c r="LVD136" s="18"/>
      <c r="LVE136" s="18"/>
      <c r="LVF136" s="17"/>
      <c r="LVG136" s="9"/>
      <c r="LVH136" s="9"/>
      <c r="LVI136" s="18"/>
      <c r="LVJ136" s="18"/>
      <c r="LVK136" s="18"/>
      <c r="LVL136" s="18"/>
      <c r="LVM136" s="18"/>
      <c r="LVN136" s="17"/>
      <c r="LVO136" s="9"/>
      <c r="LVP136" s="9"/>
      <c r="LVQ136" s="18"/>
      <c r="LVR136" s="18"/>
      <c r="LVS136" s="18"/>
      <c r="LVT136" s="18"/>
      <c r="LVU136" s="18"/>
      <c r="LVV136" s="17"/>
      <c r="LVW136" s="9"/>
      <c r="LVX136" s="9"/>
      <c r="LVY136" s="18"/>
      <c r="LVZ136" s="18"/>
      <c r="LWA136" s="18"/>
      <c r="LWB136" s="18"/>
      <c r="LWC136" s="18"/>
      <c r="LWD136" s="17"/>
      <c r="LWE136" s="9"/>
      <c r="LWF136" s="9"/>
      <c r="LWG136" s="18"/>
      <c r="LWH136" s="18"/>
      <c r="LWI136" s="18"/>
      <c r="LWJ136" s="18"/>
      <c r="LWK136" s="18"/>
      <c r="LWL136" s="17"/>
      <c r="LWM136" s="9"/>
      <c r="LWN136" s="9"/>
      <c r="LWO136" s="18"/>
      <c r="LWP136" s="18"/>
      <c r="LWQ136" s="18"/>
      <c r="LWR136" s="18"/>
      <c r="LWS136" s="18"/>
      <c r="LWT136" s="17"/>
      <c r="LWU136" s="9"/>
      <c r="LWV136" s="9"/>
      <c r="LWW136" s="18"/>
      <c r="LWX136" s="18"/>
      <c r="LWY136" s="18"/>
      <c r="LWZ136" s="18"/>
      <c r="LXA136" s="18"/>
      <c r="LXB136" s="17"/>
      <c r="LXC136" s="9"/>
      <c r="LXD136" s="9"/>
      <c r="LXE136" s="18"/>
      <c r="LXF136" s="18"/>
      <c r="LXG136" s="18"/>
      <c r="LXH136" s="18"/>
      <c r="LXI136" s="18"/>
      <c r="LXJ136" s="17"/>
      <c r="LXK136" s="9"/>
      <c r="LXL136" s="9"/>
      <c r="LXM136" s="18"/>
      <c r="LXN136" s="18"/>
      <c r="LXO136" s="18"/>
      <c r="LXP136" s="18"/>
      <c r="LXQ136" s="18"/>
      <c r="LXR136" s="17"/>
      <c r="LXS136" s="9"/>
      <c r="LXT136" s="9"/>
      <c r="LXU136" s="18"/>
      <c r="LXV136" s="18"/>
      <c r="LXW136" s="18"/>
      <c r="LXX136" s="18"/>
      <c r="LXY136" s="18"/>
      <c r="LXZ136" s="17"/>
      <c r="LYA136" s="9"/>
      <c r="LYB136" s="9"/>
      <c r="LYC136" s="18"/>
      <c r="LYD136" s="18"/>
      <c r="LYE136" s="18"/>
      <c r="LYF136" s="18"/>
      <c r="LYG136" s="18"/>
      <c r="LYH136" s="17"/>
      <c r="LYI136" s="9"/>
      <c r="LYJ136" s="9"/>
      <c r="LYK136" s="18"/>
      <c r="LYL136" s="18"/>
      <c r="LYM136" s="18"/>
      <c r="LYN136" s="18"/>
      <c r="LYO136" s="18"/>
      <c r="LYP136" s="17"/>
      <c r="LYQ136" s="9"/>
      <c r="LYR136" s="9"/>
      <c r="LYS136" s="18"/>
      <c r="LYT136" s="18"/>
      <c r="LYU136" s="18"/>
      <c r="LYV136" s="18"/>
      <c r="LYW136" s="18"/>
      <c r="LYX136" s="17"/>
      <c r="LYY136" s="9"/>
      <c r="LYZ136" s="9"/>
      <c r="LZA136" s="18"/>
      <c r="LZB136" s="18"/>
      <c r="LZC136" s="18"/>
      <c r="LZD136" s="18"/>
      <c r="LZE136" s="18"/>
      <c r="LZF136" s="17"/>
      <c r="LZG136" s="9"/>
      <c r="LZH136" s="9"/>
      <c r="LZI136" s="18"/>
      <c r="LZJ136" s="18"/>
      <c r="LZK136" s="18"/>
      <c r="LZL136" s="18"/>
      <c r="LZM136" s="18"/>
      <c r="LZN136" s="17"/>
      <c r="LZO136" s="9"/>
      <c r="LZP136" s="9"/>
      <c r="LZQ136" s="18"/>
      <c r="LZR136" s="18"/>
      <c r="LZS136" s="18"/>
      <c r="LZT136" s="18"/>
      <c r="LZU136" s="18"/>
      <c r="LZV136" s="17"/>
      <c r="LZW136" s="9"/>
      <c r="LZX136" s="9"/>
      <c r="LZY136" s="18"/>
      <c r="LZZ136" s="18"/>
      <c r="MAA136" s="18"/>
      <c r="MAB136" s="18"/>
      <c r="MAC136" s="18"/>
      <c r="MAD136" s="17"/>
      <c r="MAE136" s="9"/>
      <c r="MAF136" s="9"/>
      <c r="MAG136" s="18"/>
      <c r="MAH136" s="18"/>
      <c r="MAI136" s="18"/>
      <c r="MAJ136" s="18"/>
      <c r="MAK136" s="18"/>
      <c r="MAL136" s="17"/>
      <c r="MAM136" s="9"/>
      <c r="MAN136" s="9"/>
      <c r="MAO136" s="18"/>
      <c r="MAP136" s="18"/>
      <c r="MAQ136" s="18"/>
      <c r="MAR136" s="18"/>
      <c r="MAS136" s="18"/>
      <c r="MAT136" s="17"/>
      <c r="MAU136" s="9"/>
      <c r="MAV136" s="9"/>
      <c r="MAW136" s="18"/>
      <c r="MAX136" s="18"/>
      <c r="MAY136" s="18"/>
      <c r="MAZ136" s="18"/>
      <c r="MBA136" s="18"/>
      <c r="MBB136" s="17"/>
      <c r="MBC136" s="9"/>
      <c r="MBD136" s="9"/>
      <c r="MBE136" s="18"/>
      <c r="MBF136" s="18"/>
      <c r="MBG136" s="18"/>
      <c r="MBH136" s="18"/>
      <c r="MBI136" s="18"/>
      <c r="MBJ136" s="17"/>
      <c r="MBK136" s="9"/>
      <c r="MBL136" s="9"/>
      <c r="MBM136" s="18"/>
      <c r="MBN136" s="18"/>
      <c r="MBO136" s="18"/>
      <c r="MBP136" s="18"/>
      <c r="MBQ136" s="18"/>
      <c r="MBR136" s="17"/>
      <c r="MBS136" s="9"/>
      <c r="MBT136" s="9"/>
      <c r="MBU136" s="18"/>
      <c r="MBV136" s="18"/>
      <c r="MBW136" s="18"/>
      <c r="MBX136" s="18"/>
      <c r="MBY136" s="18"/>
      <c r="MBZ136" s="17"/>
      <c r="MCA136" s="9"/>
      <c r="MCB136" s="9"/>
      <c r="MCC136" s="18"/>
      <c r="MCD136" s="18"/>
      <c r="MCE136" s="18"/>
      <c r="MCF136" s="18"/>
      <c r="MCG136" s="18"/>
      <c r="MCH136" s="17"/>
      <c r="MCI136" s="9"/>
      <c r="MCJ136" s="9"/>
      <c r="MCK136" s="18"/>
      <c r="MCL136" s="18"/>
      <c r="MCM136" s="18"/>
      <c r="MCN136" s="18"/>
      <c r="MCO136" s="18"/>
      <c r="MCP136" s="17"/>
      <c r="MCQ136" s="9"/>
      <c r="MCR136" s="9"/>
      <c r="MCS136" s="18"/>
      <c r="MCT136" s="18"/>
      <c r="MCU136" s="18"/>
      <c r="MCV136" s="18"/>
      <c r="MCW136" s="18"/>
      <c r="MCX136" s="17"/>
      <c r="MCY136" s="9"/>
      <c r="MCZ136" s="9"/>
      <c r="MDA136" s="18"/>
      <c r="MDB136" s="18"/>
      <c r="MDC136" s="18"/>
      <c r="MDD136" s="18"/>
      <c r="MDE136" s="18"/>
      <c r="MDF136" s="17"/>
      <c r="MDG136" s="9"/>
      <c r="MDH136" s="9"/>
      <c r="MDI136" s="18"/>
      <c r="MDJ136" s="18"/>
      <c r="MDK136" s="18"/>
      <c r="MDL136" s="18"/>
      <c r="MDM136" s="18"/>
      <c r="MDN136" s="17"/>
      <c r="MDO136" s="9"/>
      <c r="MDP136" s="9"/>
      <c r="MDQ136" s="18"/>
      <c r="MDR136" s="18"/>
      <c r="MDS136" s="18"/>
      <c r="MDT136" s="18"/>
      <c r="MDU136" s="18"/>
      <c r="MDV136" s="17"/>
      <c r="MDW136" s="9"/>
      <c r="MDX136" s="9"/>
      <c r="MDY136" s="18"/>
      <c r="MDZ136" s="18"/>
      <c r="MEA136" s="18"/>
      <c r="MEB136" s="18"/>
      <c r="MEC136" s="18"/>
      <c r="MED136" s="17"/>
      <c r="MEE136" s="9"/>
      <c r="MEF136" s="9"/>
      <c r="MEG136" s="18"/>
      <c r="MEH136" s="18"/>
      <c r="MEI136" s="18"/>
      <c r="MEJ136" s="18"/>
      <c r="MEK136" s="18"/>
      <c r="MEL136" s="17"/>
      <c r="MEM136" s="9"/>
      <c r="MEN136" s="9"/>
      <c r="MEO136" s="18"/>
      <c r="MEP136" s="18"/>
      <c r="MEQ136" s="18"/>
      <c r="MER136" s="18"/>
      <c r="MES136" s="18"/>
      <c r="MET136" s="17"/>
      <c r="MEU136" s="9"/>
      <c r="MEV136" s="9"/>
      <c r="MEW136" s="18"/>
      <c r="MEX136" s="18"/>
      <c r="MEY136" s="18"/>
      <c r="MEZ136" s="18"/>
      <c r="MFA136" s="18"/>
      <c r="MFB136" s="17"/>
      <c r="MFC136" s="9"/>
      <c r="MFD136" s="9"/>
      <c r="MFE136" s="18"/>
      <c r="MFF136" s="18"/>
      <c r="MFG136" s="18"/>
      <c r="MFH136" s="18"/>
      <c r="MFI136" s="18"/>
      <c r="MFJ136" s="17"/>
      <c r="MFK136" s="9"/>
      <c r="MFL136" s="9"/>
      <c r="MFM136" s="18"/>
      <c r="MFN136" s="18"/>
      <c r="MFO136" s="18"/>
      <c r="MFP136" s="18"/>
      <c r="MFQ136" s="18"/>
      <c r="MFR136" s="17"/>
      <c r="MFS136" s="9"/>
      <c r="MFT136" s="9"/>
      <c r="MFU136" s="18"/>
      <c r="MFV136" s="18"/>
      <c r="MFW136" s="18"/>
      <c r="MFX136" s="18"/>
      <c r="MFY136" s="18"/>
      <c r="MFZ136" s="17"/>
      <c r="MGA136" s="9"/>
      <c r="MGB136" s="9"/>
      <c r="MGC136" s="18"/>
      <c r="MGD136" s="18"/>
      <c r="MGE136" s="18"/>
      <c r="MGF136" s="18"/>
      <c r="MGG136" s="18"/>
      <c r="MGH136" s="17"/>
      <c r="MGI136" s="9"/>
      <c r="MGJ136" s="9"/>
      <c r="MGK136" s="18"/>
      <c r="MGL136" s="18"/>
      <c r="MGM136" s="18"/>
      <c r="MGN136" s="18"/>
      <c r="MGO136" s="18"/>
      <c r="MGP136" s="17"/>
      <c r="MGQ136" s="9"/>
      <c r="MGR136" s="9"/>
      <c r="MGS136" s="18"/>
      <c r="MGT136" s="18"/>
      <c r="MGU136" s="18"/>
      <c r="MGV136" s="18"/>
      <c r="MGW136" s="18"/>
      <c r="MGX136" s="17"/>
      <c r="MGY136" s="9"/>
      <c r="MGZ136" s="9"/>
      <c r="MHA136" s="18"/>
      <c r="MHB136" s="18"/>
      <c r="MHC136" s="18"/>
      <c r="MHD136" s="18"/>
      <c r="MHE136" s="18"/>
      <c r="MHF136" s="17"/>
      <c r="MHG136" s="9"/>
      <c r="MHH136" s="9"/>
      <c r="MHI136" s="18"/>
      <c r="MHJ136" s="18"/>
      <c r="MHK136" s="18"/>
      <c r="MHL136" s="18"/>
      <c r="MHM136" s="18"/>
      <c r="MHN136" s="17"/>
      <c r="MHO136" s="9"/>
      <c r="MHP136" s="9"/>
      <c r="MHQ136" s="18"/>
      <c r="MHR136" s="18"/>
      <c r="MHS136" s="18"/>
      <c r="MHT136" s="18"/>
      <c r="MHU136" s="18"/>
      <c r="MHV136" s="17"/>
      <c r="MHW136" s="9"/>
      <c r="MHX136" s="9"/>
      <c r="MHY136" s="18"/>
      <c r="MHZ136" s="18"/>
      <c r="MIA136" s="18"/>
      <c r="MIB136" s="18"/>
      <c r="MIC136" s="18"/>
      <c r="MID136" s="17"/>
      <c r="MIE136" s="9"/>
      <c r="MIF136" s="9"/>
      <c r="MIG136" s="18"/>
      <c r="MIH136" s="18"/>
      <c r="MII136" s="18"/>
      <c r="MIJ136" s="18"/>
      <c r="MIK136" s="18"/>
      <c r="MIL136" s="17"/>
      <c r="MIM136" s="9"/>
      <c r="MIN136" s="9"/>
      <c r="MIO136" s="18"/>
      <c r="MIP136" s="18"/>
      <c r="MIQ136" s="18"/>
      <c r="MIR136" s="18"/>
      <c r="MIS136" s="18"/>
      <c r="MIT136" s="17"/>
      <c r="MIU136" s="9"/>
      <c r="MIV136" s="9"/>
      <c r="MIW136" s="18"/>
      <c r="MIX136" s="18"/>
      <c r="MIY136" s="18"/>
      <c r="MIZ136" s="18"/>
      <c r="MJA136" s="18"/>
      <c r="MJB136" s="17"/>
      <c r="MJC136" s="9"/>
      <c r="MJD136" s="9"/>
      <c r="MJE136" s="18"/>
      <c r="MJF136" s="18"/>
      <c r="MJG136" s="18"/>
      <c r="MJH136" s="18"/>
      <c r="MJI136" s="18"/>
      <c r="MJJ136" s="17"/>
      <c r="MJK136" s="9"/>
      <c r="MJL136" s="9"/>
      <c r="MJM136" s="18"/>
      <c r="MJN136" s="18"/>
      <c r="MJO136" s="18"/>
      <c r="MJP136" s="18"/>
      <c r="MJQ136" s="18"/>
      <c r="MJR136" s="17"/>
      <c r="MJS136" s="9"/>
      <c r="MJT136" s="9"/>
      <c r="MJU136" s="18"/>
      <c r="MJV136" s="18"/>
      <c r="MJW136" s="18"/>
      <c r="MJX136" s="18"/>
      <c r="MJY136" s="18"/>
      <c r="MJZ136" s="17"/>
      <c r="MKA136" s="9"/>
      <c r="MKB136" s="9"/>
      <c r="MKC136" s="18"/>
      <c r="MKD136" s="18"/>
      <c r="MKE136" s="18"/>
      <c r="MKF136" s="18"/>
      <c r="MKG136" s="18"/>
      <c r="MKH136" s="17"/>
      <c r="MKI136" s="9"/>
      <c r="MKJ136" s="9"/>
      <c r="MKK136" s="18"/>
      <c r="MKL136" s="18"/>
      <c r="MKM136" s="18"/>
      <c r="MKN136" s="18"/>
      <c r="MKO136" s="18"/>
      <c r="MKP136" s="17"/>
      <c r="MKQ136" s="9"/>
      <c r="MKR136" s="9"/>
      <c r="MKS136" s="18"/>
      <c r="MKT136" s="18"/>
      <c r="MKU136" s="18"/>
      <c r="MKV136" s="18"/>
      <c r="MKW136" s="18"/>
      <c r="MKX136" s="17"/>
      <c r="MKY136" s="9"/>
      <c r="MKZ136" s="9"/>
      <c r="MLA136" s="18"/>
      <c r="MLB136" s="18"/>
      <c r="MLC136" s="18"/>
      <c r="MLD136" s="18"/>
      <c r="MLE136" s="18"/>
      <c r="MLF136" s="17"/>
      <c r="MLG136" s="9"/>
      <c r="MLH136" s="9"/>
      <c r="MLI136" s="18"/>
      <c r="MLJ136" s="18"/>
      <c r="MLK136" s="18"/>
      <c r="MLL136" s="18"/>
      <c r="MLM136" s="18"/>
      <c r="MLN136" s="17"/>
      <c r="MLO136" s="9"/>
      <c r="MLP136" s="9"/>
      <c r="MLQ136" s="18"/>
      <c r="MLR136" s="18"/>
      <c r="MLS136" s="18"/>
      <c r="MLT136" s="18"/>
      <c r="MLU136" s="18"/>
      <c r="MLV136" s="17"/>
      <c r="MLW136" s="9"/>
      <c r="MLX136" s="9"/>
      <c r="MLY136" s="18"/>
      <c r="MLZ136" s="18"/>
      <c r="MMA136" s="18"/>
      <c r="MMB136" s="18"/>
      <c r="MMC136" s="18"/>
      <c r="MMD136" s="17"/>
      <c r="MME136" s="9"/>
      <c r="MMF136" s="9"/>
      <c r="MMG136" s="18"/>
      <c r="MMH136" s="18"/>
      <c r="MMI136" s="18"/>
      <c r="MMJ136" s="18"/>
      <c r="MMK136" s="18"/>
      <c r="MML136" s="17"/>
      <c r="MMM136" s="9"/>
      <c r="MMN136" s="9"/>
      <c r="MMO136" s="18"/>
      <c r="MMP136" s="18"/>
      <c r="MMQ136" s="18"/>
      <c r="MMR136" s="18"/>
      <c r="MMS136" s="18"/>
      <c r="MMT136" s="17"/>
      <c r="MMU136" s="9"/>
      <c r="MMV136" s="9"/>
      <c r="MMW136" s="18"/>
      <c r="MMX136" s="18"/>
      <c r="MMY136" s="18"/>
      <c r="MMZ136" s="18"/>
      <c r="MNA136" s="18"/>
      <c r="MNB136" s="17"/>
      <c r="MNC136" s="9"/>
      <c r="MND136" s="9"/>
      <c r="MNE136" s="18"/>
      <c r="MNF136" s="18"/>
      <c r="MNG136" s="18"/>
      <c r="MNH136" s="18"/>
      <c r="MNI136" s="18"/>
      <c r="MNJ136" s="17"/>
      <c r="MNK136" s="9"/>
      <c r="MNL136" s="9"/>
      <c r="MNM136" s="18"/>
      <c r="MNN136" s="18"/>
      <c r="MNO136" s="18"/>
      <c r="MNP136" s="18"/>
      <c r="MNQ136" s="18"/>
      <c r="MNR136" s="17"/>
      <c r="MNS136" s="9"/>
      <c r="MNT136" s="9"/>
      <c r="MNU136" s="18"/>
      <c r="MNV136" s="18"/>
      <c r="MNW136" s="18"/>
      <c r="MNX136" s="18"/>
      <c r="MNY136" s="18"/>
      <c r="MNZ136" s="17"/>
      <c r="MOA136" s="9"/>
      <c r="MOB136" s="9"/>
      <c r="MOC136" s="18"/>
      <c r="MOD136" s="18"/>
      <c r="MOE136" s="18"/>
      <c r="MOF136" s="18"/>
      <c r="MOG136" s="18"/>
      <c r="MOH136" s="17"/>
      <c r="MOI136" s="9"/>
      <c r="MOJ136" s="9"/>
      <c r="MOK136" s="18"/>
      <c r="MOL136" s="18"/>
      <c r="MOM136" s="18"/>
      <c r="MON136" s="18"/>
      <c r="MOO136" s="18"/>
      <c r="MOP136" s="17"/>
      <c r="MOQ136" s="9"/>
      <c r="MOR136" s="9"/>
      <c r="MOS136" s="18"/>
      <c r="MOT136" s="18"/>
      <c r="MOU136" s="18"/>
      <c r="MOV136" s="18"/>
      <c r="MOW136" s="18"/>
      <c r="MOX136" s="17"/>
      <c r="MOY136" s="9"/>
      <c r="MOZ136" s="9"/>
      <c r="MPA136" s="18"/>
      <c r="MPB136" s="18"/>
      <c r="MPC136" s="18"/>
      <c r="MPD136" s="18"/>
      <c r="MPE136" s="18"/>
      <c r="MPF136" s="17"/>
      <c r="MPG136" s="9"/>
      <c r="MPH136" s="9"/>
      <c r="MPI136" s="18"/>
      <c r="MPJ136" s="18"/>
      <c r="MPK136" s="18"/>
      <c r="MPL136" s="18"/>
      <c r="MPM136" s="18"/>
      <c r="MPN136" s="17"/>
      <c r="MPO136" s="9"/>
      <c r="MPP136" s="9"/>
      <c r="MPQ136" s="18"/>
      <c r="MPR136" s="18"/>
      <c r="MPS136" s="18"/>
      <c r="MPT136" s="18"/>
      <c r="MPU136" s="18"/>
      <c r="MPV136" s="17"/>
      <c r="MPW136" s="9"/>
      <c r="MPX136" s="9"/>
      <c r="MPY136" s="18"/>
      <c r="MPZ136" s="18"/>
      <c r="MQA136" s="18"/>
      <c r="MQB136" s="18"/>
      <c r="MQC136" s="18"/>
      <c r="MQD136" s="17"/>
      <c r="MQE136" s="9"/>
      <c r="MQF136" s="9"/>
      <c r="MQG136" s="18"/>
      <c r="MQH136" s="18"/>
      <c r="MQI136" s="18"/>
      <c r="MQJ136" s="18"/>
      <c r="MQK136" s="18"/>
      <c r="MQL136" s="17"/>
      <c r="MQM136" s="9"/>
      <c r="MQN136" s="9"/>
      <c r="MQO136" s="18"/>
      <c r="MQP136" s="18"/>
      <c r="MQQ136" s="18"/>
      <c r="MQR136" s="18"/>
      <c r="MQS136" s="18"/>
      <c r="MQT136" s="17"/>
      <c r="MQU136" s="9"/>
      <c r="MQV136" s="9"/>
      <c r="MQW136" s="18"/>
      <c r="MQX136" s="18"/>
      <c r="MQY136" s="18"/>
      <c r="MQZ136" s="18"/>
      <c r="MRA136" s="18"/>
      <c r="MRB136" s="17"/>
      <c r="MRC136" s="9"/>
      <c r="MRD136" s="9"/>
      <c r="MRE136" s="18"/>
      <c r="MRF136" s="18"/>
      <c r="MRG136" s="18"/>
      <c r="MRH136" s="18"/>
      <c r="MRI136" s="18"/>
      <c r="MRJ136" s="17"/>
      <c r="MRK136" s="9"/>
      <c r="MRL136" s="9"/>
      <c r="MRM136" s="18"/>
      <c r="MRN136" s="18"/>
      <c r="MRO136" s="18"/>
      <c r="MRP136" s="18"/>
      <c r="MRQ136" s="18"/>
      <c r="MRR136" s="17"/>
      <c r="MRS136" s="9"/>
      <c r="MRT136" s="9"/>
      <c r="MRU136" s="18"/>
      <c r="MRV136" s="18"/>
      <c r="MRW136" s="18"/>
      <c r="MRX136" s="18"/>
      <c r="MRY136" s="18"/>
      <c r="MRZ136" s="17"/>
      <c r="MSA136" s="9"/>
      <c r="MSB136" s="9"/>
      <c r="MSC136" s="18"/>
      <c r="MSD136" s="18"/>
      <c r="MSE136" s="18"/>
      <c r="MSF136" s="18"/>
      <c r="MSG136" s="18"/>
      <c r="MSH136" s="17"/>
      <c r="MSI136" s="9"/>
      <c r="MSJ136" s="9"/>
      <c r="MSK136" s="18"/>
      <c r="MSL136" s="18"/>
      <c r="MSM136" s="18"/>
      <c r="MSN136" s="18"/>
      <c r="MSO136" s="18"/>
      <c r="MSP136" s="17"/>
      <c r="MSQ136" s="9"/>
      <c r="MSR136" s="9"/>
      <c r="MSS136" s="18"/>
      <c r="MST136" s="18"/>
      <c r="MSU136" s="18"/>
      <c r="MSV136" s="18"/>
      <c r="MSW136" s="18"/>
      <c r="MSX136" s="17"/>
      <c r="MSY136" s="9"/>
      <c r="MSZ136" s="9"/>
      <c r="MTA136" s="18"/>
      <c r="MTB136" s="18"/>
      <c r="MTC136" s="18"/>
      <c r="MTD136" s="18"/>
      <c r="MTE136" s="18"/>
      <c r="MTF136" s="17"/>
      <c r="MTG136" s="9"/>
      <c r="MTH136" s="9"/>
      <c r="MTI136" s="18"/>
      <c r="MTJ136" s="18"/>
      <c r="MTK136" s="18"/>
      <c r="MTL136" s="18"/>
      <c r="MTM136" s="18"/>
      <c r="MTN136" s="17"/>
      <c r="MTO136" s="9"/>
      <c r="MTP136" s="9"/>
      <c r="MTQ136" s="18"/>
      <c r="MTR136" s="18"/>
      <c r="MTS136" s="18"/>
      <c r="MTT136" s="18"/>
      <c r="MTU136" s="18"/>
      <c r="MTV136" s="17"/>
      <c r="MTW136" s="9"/>
      <c r="MTX136" s="9"/>
      <c r="MTY136" s="18"/>
      <c r="MTZ136" s="18"/>
      <c r="MUA136" s="18"/>
      <c r="MUB136" s="18"/>
      <c r="MUC136" s="18"/>
      <c r="MUD136" s="17"/>
      <c r="MUE136" s="9"/>
      <c r="MUF136" s="9"/>
      <c r="MUG136" s="18"/>
      <c r="MUH136" s="18"/>
      <c r="MUI136" s="18"/>
      <c r="MUJ136" s="18"/>
      <c r="MUK136" s="18"/>
      <c r="MUL136" s="17"/>
      <c r="MUM136" s="9"/>
      <c r="MUN136" s="9"/>
      <c r="MUO136" s="18"/>
      <c r="MUP136" s="18"/>
      <c r="MUQ136" s="18"/>
      <c r="MUR136" s="18"/>
      <c r="MUS136" s="18"/>
      <c r="MUT136" s="17"/>
      <c r="MUU136" s="9"/>
      <c r="MUV136" s="9"/>
      <c r="MUW136" s="18"/>
      <c r="MUX136" s="18"/>
      <c r="MUY136" s="18"/>
      <c r="MUZ136" s="18"/>
      <c r="MVA136" s="18"/>
      <c r="MVB136" s="17"/>
      <c r="MVC136" s="9"/>
      <c r="MVD136" s="9"/>
      <c r="MVE136" s="18"/>
      <c r="MVF136" s="18"/>
      <c r="MVG136" s="18"/>
      <c r="MVH136" s="18"/>
      <c r="MVI136" s="18"/>
      <c r="MVJ136" s="17"/>
      <c r="MVK136" s="9"/>
      <c r="MVL136" s="9"/>
      <c r="MVM136" s="18"/>
      <c r="MVN136" s="18"/>
      <c r="MVO136" s="18"/>
      <c r="MVP136" s="18"/>
      <c r="MVQ136" s="18"/>
      <c r="MVR136" s="17"/>
      <c r="MVS136" s="9"/>
      <c r="MVT136" s="9"/>
      <c r="MVU136" s="18"/>
      <c r="MVV136" s="18"/>
      <c r="MVW136" s="18"/>
      <c r="MVX136" s="18"/>
      <c r="MVY136" s="18"/>
      <c r="MVZ136" s="17"/>
      <c r="MWA136" s="9"/>
      <c r="MWB136" s="9"/>
      <c r="MWC136" s="18"/>
      <c r="MWD136" s="18"/>
      <c r="MWE136" s="18"/>
      <c r="MWF136" s="18"/>
      <c r="MWG136" s="18"/>
      <c r="MWH136" s="17"/>
      <c r="MWI136" s="9"/>
      <c r="MWJ136" s="9"/>
      <c r="MWK136" s="18"/>
      <c r="MWL136" s="18"/>
      <c r="MWM136" s="18"/>
      <c r="MWN136" s="18"/>
      <c r="MWO136" s="18"/>
      <c r="MWP136" s="17"/>
      <c r="MWQ136" s="9"/>
      <c r="MWR136" s="9"/>
      <c r="MWS136" s="18"/>
      <c r="MWT136" s="18"/>
      <c r="MWU136" s="18"/>
      <c r="MWV136" s="18"/>
      <c r="MWW136" s="18"/>
      <c r="MWX136" s="17"/>
      <c r="MWY136" s="9"/>
      <c r="MWZ136" s="9"/>
      <c r="MXA136" s="18"/>
      <c r="MXB136" s="18"/>
      <c r="MXC136" s="18"/>
      <c r="MXD136" s="18"/>
      <c r="MXE136" s="18"/>
      <c r="MXF136" s="17"/>
      <c r="MXG136" s="9"/>
      <c r="MXH136" s="9"/>
      <c r="MXI136" s="18"/>
      <c r="MXJ136" s="18"/>
      <c r="MXK136" s="18"/>
      <c r="MXL136" s="18"/>
      <c r="MXM136" s="18"/>
      <c r="MXN136" s="17"/>
      <c r="MXO136" s="9"/>
      <c r="MXP136" s="9"/>
      <c r="MXQ136" s="18"/>
      <c r="MXR136" s="18"/>
      <c r="MXS136" s="18"/>
      <c r="MXT136" s="18"/>
      <c r="MXU136" s="18"/>
      <c r="MXV136" s="17"/>
      <c r="MXW136" s="9"/>
      <c r="MXX136" s="9"/>
      <c r="MXY136" s="18"/>
      <c r="MXZ136" s="18"/>
      <c r="MYA136" s="18"/>
      <c r="MYB136" s="18"/>
      <c r="MYC136" s="18"/>
      <c r="MYD136" s="17"/>
      <c r="MYE136" s="9"/>
      <c r="MYF136" s="9"/>
      <c r="MYG136" s="18"/>
      <c r="MYH136" s="18"/>
      <c r="MYI136" s="18"/>
      <c r="MYJ136" s="18"/>
      <c r="MYK136" s="18"/>
      <c r="MYL136" s="17"/>
      <c r="MYM136" s="9"/>
      <c r="MYN136" s="9"/>
      <c r="MYO136" s="18"/>
      <c r="MYP136" s="18"/>
      <c r="MYQ136" s="18"/>
      <c r="MYR136" s="18"/>
      <c r="MYS136" s="18"/>
      <c r="MYT136" s="17"/>
      <c r="MYU136" s="9"/>
      <c r="MYV136" s="9"/>
      <c r="MYW136" s="18"/>
      <c r="MYX136" s="18"/>
      <c r="MYY136" s="18"/>
      <c r="MYZ136" s="18"/>
      <c r="MZA136" s="18"/>
      <c r="MZB136" s="17"/>
      <c r="MZC136" s="9"/>
      <c r="MZD136" s="9"/>
      <c r="MZE136" s="18"/>
      <c r="MZF136" s="18"/>
      <c r="MZG136" s="18"/>
      <c r="MZH136" s="18"/>
      <c r="MZI136" s="18"/>
      <c r="MZJ136" s="17"/>
      <c r="MZK136" s="9"/>
      <c r="MZL136" s="9"/>
      <c r="MZM136" s="18"/>
      <c r="MZN136" s="18"/>
      <c r="MZO136" s="18"/>
      <c r="MZP136" s="18"/>
      <c r="MZQ136" s="18"/>
      <c r="MZR136" s="17"/>
      <c r="MZS136" s="9"/>
      <c r="MZT136" s="9"/>
      <c r="MZU136" s="18"/>
      <c r="MZV136" s="18"/>
      <c r="MZW136" s="18"/>
      <c r="MZX136" s="18"/>
      <c r="MZY136" s="18"/>
      <c r="MZZ136" s="17"/>
      <c r="NAA136" s="9"/>
      <c r="NAB136" s="9"/>
      <c r="NAC136" s="18"/>
      <c r="NAD136" s="18"/>
      <c r="NAE136" s="18"/>
      <c r="NAF136" s="18"/>
      <c r="NAG136" s="18"/>
      <c r="NAH136" s="17"/>
      <c r="NAI136" s="9"/>
      <c r="NAJ136" s="9"/>
      <c r="NAK136" s="18"/>
      <c r="NAL136" s="18"/>
      <c r="NAM136" s="18"/>
      <c r="NAN136" s="18"/>
      <c r="NAO136" s="18"/>
      <c r="NAP136" s="17"/>
      <c r="NAQ136" s="9"/>
      <c r="NAR136" s="9"/>
      <c r="NAS136" s="18"/>
      <c r="NAT136" s="18"/>
      <c r="NAU136" s="18"/>
      <c r="NAV136" s="18"/>
      <c r="NAW136" s="18"/>
      <c r="NAX136" s="17"/>
      <c r="NAY136" s="9"/>
      <c r="NAZ136" s="9"/>
      <c r="NBA136" s="18"/>
      <c r="NBB136" s="18"/>
      <c r="NBC136" s="18"/>
      <c r="NBD136" s="18"/>
      <c r="NBE136" s="18"/>
      <c r="NBF136" s="17"/>
      <c r="NBG136" s="9"/>
      <c r="NBH136" s="9"/>
      <c r="NBI136" s="18"/>
      <c r="NBJ136" s="18"/>
      <c r="NBK136" s="18"/>
      <c r="NBL136" s="18"/>
      <c r="NBM136" s="18"/>
      <c r="NBN136" s="17"/>
      <c r="NBO136" s="9"/>
      <c r="NBP136" s="9"/>
      <c r="NBQ136" s="18"/>
      <c r="NBR136" s="18"/>
      <c r="NBS136" s="18"/>
      <c r="NBT136" s="18"/>
      <c r="NBU136" s="18"/>
      <c r="NBV136" s="17"/>
      <c r="NBW136" s="9"/>
      <c r="NBX136" s="9"/>
      <c r="NBY136" s="18"/>
      <c r="NBZ136" s="18"/>
      <c r="NCA136" s="18"/>
      <c r="NCB136" s="18"/>
      <c r="NCC136" s="18"/>
      <c r="NCD136" s="17"/>
      <c r="NCE136" s="9"/>
      <c r="NCF136" s="9"/>
      <c r="NCG136" s="18"/>
      <c r="NCH136" s="18"/>
      <c r="NCI136" s="18"/>
      <c r="NCJ136" s="18"/>
      <c r="NCK136" s="18"/>
      <c r="NCL136" s="17"/>
      <c r="NCM136" s="9"/>
      <c r="NCN136" s="9"/>
      <c r="NCO136" s="18"/>
      <c r="NCP136" s="18"/>
      <c r="NCQ136" s="18"/>
      <c r="NCR136" s="18"/>
      <c r="NCS136" s="18"/>
      <c r="NCT136" s="17"/>
      <c r="NCU136" s="9"/>
      <c r="NCV136" s="9"/>
      <c r="NCW136" s="18"/>
      <c r="NCX136" s="18"/>
      <c r="NCY136" s="18"/>
      <c r="NCZ136" s="18"/>
      <c r="NDA136" s="18"/>
      <c r="NDB136" s="17"/>
      <c r="NDC136" s="9"/>
      <c r="NDD136" s="9"/>
      <c r="NDE136" s="18"/>
      <c r="NDF136" s="18"/>
      <c r="NDG136" s="18"/>
      <c r="NDH136" s="18"/>
      <c r="NDI136" s="18"/>
      <c r="NDJ136" s="17"/>
      <c r="NDK136" s="9"/>
      <c r="NDL136" s="9"/>
      <c r="NDM136" s="18"/>
      <c r="NDN136" s="18"/>
      <c r="NDO136" s="18"/>
      <c r="NDP136" s="18"/>
      <c r="NDQ136" s="18"/>
      <c r="NDR136" s="17"/>
      <c r="NDS136" s="9"/>
      <c r="NDT136" s="9"/>
      <c r="NDU136" s="18"/>
      <c r="NDV136" s="18"/>
      <c r="NDW136" s="18"/>
      <c r="NDX136" s="18"/>
      <c r="NDY136" s="18"/>
      <c r="NDZ136" s="17"/>
      <c r="NEA136" s="9"/>
      <c r="NEB136" s="9"/>
      <c r="NEC136" s="18"/>
      <c r="NED136" s="18"/>
      <c r="NEE136" s="18"/>
      <c r="NEF136" s="18"/>
      <c r="NEG136" s="18"/>
      <c r="NEH136" s="17"/>
      <c r="NEI136" s="9"/>
      <c r="NEJ136" s="9"/>
      <c r="NEK136" s="18"/>
      <c r="NEL136" s="18"/>
      <c r="NEM136" s="18"/>
      <c r="NEN136" s="18"/>
      <c r="NEO136" s="18"/>
      <c r="NEP136" s="17"/>
      <c r="NEQ136" s="9"/>
      <c r="NER136" s="9"/>
      <c r="NES136" s="18"/>
      <c r="NET136" s="18"/>
      <c r="NEU136" s="18"/>
      <c r="NEV136" s="18"/>
      <c r="NEW136" s="18"/>
      <c r="NEX136" s="17"/>
      <c r="NEY136" s="9"/>
      <c r="NEZ136" s="9"/>
      <c r="NFA136" s="18"/>
      <c r="NFB136" s="18"/>
      <c r="NFC136" s="18"/>
      <c r="NFD136" s="18"/>
      <c r="NFE136" s="18"/>
      <c r="NFF136" s="17"/>
      <c r="NFG136" s="9"/>
      <c r="NFH136" s="9"/>
      <c r="NFI136" s="18"/>
      <c r="NFJ136" s="18"/>
      <c r="NFK136" s="18"/>
      <c r="NFL136" s="18"/>
      <c r="NFM136" s="18"/>
      <c r="NFN136" s="17"/>
      <c r="NFO136" s="9"/>
      <c r="NFP136" s="9"/>
      <c r="NFQ136" s="18"/>
      <c r="NFR136" s="18"/>
      <c r="NFS136" s="18"/>
      <c r="NFT136" s="18"/>
      <c r="NFU136" s="18"/>
      <c r="NFV136" s="17"/>
      <c r="NFW136" s="9"/>
      <c r="NFX136" s="9"/>
      <c r="NFY136" s="18"/>
      <c r="NFZ136" s="18"/>
      <c r="NGA136" s="18"/>
      <c r="NGB136" s="18"/>
      <c r="NGC136" s="18"/>
      <c r="NGD136" s="17"/>
      <c r="NGE136" s="9"/>
      <c r="NGF136" s="9"/>
      <c r="NGG136" s="18"/>
      <c r="NGH136" s="18"/>
      <c r="NGI136" s="18"/>
      <c r="NGJ136" s="18"/>
      <c r="NGK136" s="18"/>
      <c r="NGL136" s="17"/>
      <c r="NGM136" s="9"/>
      <c r="NGN136" s="9"/>
      <c r="NGO136" s="18"/>
      <c r="NGP136" s="18"/>
      <c r="NGQ136" s="18"/>
      <c r="NGR136" s="18"/>
      <c r="NGS136" s="18"/>
      <c r="NGT136" s="17"/>
      <c r="NGU136" s="9"/>
      <c r="NGV136" s="9"/>
      <c r="NGW136" s="18"/>
      <c r="NGX136" s="18"/>
      <c r="NGY136" s="18"/>
      <c r="NGZ136" s="18"/>
      <c r="NHA136" s="18"/>
      <c r="NHB136" s="17"/>
      <c r="NHC136" s="9"/>
      <c r="NHD136" s="9"/>
      <c r="NHE136" s="18"/>
      <c r="NHF136" s="18"/>
      <c r="NHG136" s="18"/>
      <c r="NHH136" s="18"/>
      <c r="NHI136" s="18"/>
      <c r="NHJ136" s="17"/>
      <c r="NHK136" s="9"/>
      <c r="NHL136" s="9"/>
      <c r="NHM136" s="18"/>
      <c r="NHN136" s="18"/>
      <c r="NHO136" s="18"/>
      <c r="NHP136" s="18"/>
      <c r="NHQ136" s="18"/>
      <c r="NHR136" s="17"/>
      <c r="NHS136" s="9"/>
      <c r="NHT136" s="9"/>
      <c r="NHU136" s="18"/>
      <c r="NHV136" s="18"/>
      <c r="NHW136" s="18"/>
      <c r="NHX136" s="18"/>
      <c r="NHY136" s="18"/>
      <c r="NHZ136" s="17"/>
      <c r="NIA136" s="9"/>
      <c r="NIB136" s="9"/>
      <c r="NIC136" s="18"/>
      <c r="NID136" s="18"/>
      <c r="NIE136" s="18"/>
      <c r="NIF136" s="18"/>
      <c r="NIG136" s="18"/>
      <c r="NIH136" s="17"/>
      <c r="NII136" s="9"/>
      <c r="NIJ136" s="9"/>
      <c r="NIK136" s="18"/>
      <c r="NIL136" s="18"/>
      <c r="NIM136" s="18"/>
      <c r="NIN136" s="18"/>
      <c r="NIO136" s="18"/>
      <c r="NIP136" s="17"/>
      <c r="NIQ136" s="9"/>
      <c r="NIR136" s="9"/>
      <c r="NIS136" s="18"/>
      <c r="NIT136" s="18"/>
      <c r="NIU136" s="18"/>
      <c r="NIV136" s="18"/>
      <c r="NIW136" s="18"/>
      <c r="NIX136" s="17"/>
      <c r="NIY136" s="9"/>
      <c r="NIZ136" s="9"/>
      <c r="NJA136" s="18"/>
      <c r="NJB136" s="18"/>
      <c r="NJC136" s="18"/>
      <c r="NJD136" s="18"/>
      <c r="NJE136" s="18"/>
      <c r="NJF136" s="17"/>
      <c r="NJG136" s="9"/>
      <c r="NJH136" s="9"/>
      <c r="NJI136" s="18"/>
      <c r="NJJ136" s="18"/>
      <c r="NJK136" s="18"/>
      <c r="NJL136" s="18"/>
      <c r="NJM136" s="18"/>
      <c r="NJN136" s="17"/>
      <c r="NJO136" s="9"/>
      <c r="NJP136" s="9"/>
      <c r="NJQ136" s="18"/>
      <c r="NJR136" s="18"/>
      <c r="NJS136" s="18"/>
      <c r="NJT136" s="18"/>
      <c r="NJU136" s="18"/>
      <c r="NJV136" s="17"/>
      <c r="NJW136" s="9"/>
      <c r="NJX136" s="9"/>
      <c r="NJY136" s="18"/>
      <c r="NJZ136" s="18"/>
      <c r="NKA136" s="18"/>
      <c r="NKB136" s="18"/>
      <c r="NKC136" s="18"/>
      <c r="NKD136" s="17"/>
      <c r="NKE136" s="9"/>
      <c r="NKF136" s="9"/>
      <c r="NKG136" s="18"/>
      <c r="NKH136" s="18"/>
      <c r="NKI136" s="18"/>
      <c r="NKJ136" s="18"/>
      <c r="NKK136" s="18"/>
      <c r="NKL136" s="17"/>
      <c r="NKM136" s="9"/>
      <c r="NKN136" s="9"/>
      <c r="NKO136" s="18"/>
      <c r="NKP136" s="18"/>
      <c r="NKQ136" s="18"/>
      <c r="NKR136" s="18"/>
      <c r="NKS136" s="18"/>
      <c r="NKT136" s="17"/>
      <c r="NKU136" s="9"/>
      <c r="NKV136" s="9"/>
      <c r="NKW136" s="18"/>
      <c r="NKX136" s="18"/>
      <c r="NKY136" s="18"/>
      <c r="NKZ136" s="18"/>
      <c r="NLA136" s="18"/>
      <c r="NLB136" s="17"/>
      <c r="NLC136" s="9"/>
      <c r="NLD136" s="9"/>
      <c r="NLE136" s="18"/>
      <c r="NLF136" s="18"/>
      <c r="NLG136" s="18"/>
      <c r="NLH136" s="18"/>
      <c r="NLI136" s="18"/>
      <c r="NLJ136" s="17"/>
      <c r="NLK136" s="9"/>
      <c r="NLL136" s="9"/>
      <c r="NLM136" s="18"/>
      <c r="NLN136" s="18"/>
      <c r="NLO136" s="18"/>
      <c r="NLP136" s="18"/>
      <c r="NLQ136" s="18"/>
      <c r="NLR136" s="17"/>
      <c r="NLS136" s="9"/>
      <c r="NLT136" s="9"/>
      <c r="NLU136" s="18"/>
      <c r="NLV136" s="18"/>
      <c r="NLW136" s="18"/>
      <c r="NLX136" s="18"/>
      <c r="NLY136" s="18"/>
      <c r="NLZ136" s="17"/>
      <c r="NMA136" s="9"/>
      <c r="NMB136" s="9"/>
      <c r="NMC136" s="18"/>
      <c r="NMD136" s="18"/>
      <c r="NME136" s="18"/>
      <c r="NMF136" s="18"/>
      <c r="NMG136" s="18"/>
      <c r="NMH136" s="17"/>
      <c r="NMI136" s="9"/>
      <c r="NMJ136" s="9"/>
      <c r="NMK136" s="18"/>
      <c r="NML136" s="18"/>
      <c r="NMM136" s="18"/>
      <c r="NMN136" s="18"/>
      <c r="NMO136" s="18"/>
      <c r="NMP136" s="17"/>
      <c r="NMQ136" s="9"/>
      <c r="NMR136" s="9"/>
      <c r="NMS136" s="18"/>
      <c r="NMT136" s="18"/>
      <c r="NMU136" s="18"/>
      <c r="NMV136" s="18"/>
      <c r="NMW136" s="18"/>
      <c r="NMX136" s="17"/>
      <c r="NMY136" s="9"/>
      <c r="NMZ136" s="9"/>
      <c r="NNA136" s="18"/>
      <c r="NNB136" s="18"/>
      <c r="NNC136" s="18"/>
      <c r="NND136" s="18"/>
      <c r="NNE136" s="18"/>
      <c r="NNF136" s="17"/>
      <c r="NNG136" s="9"/>
      <c r="NNH136" s="9"/>
      <c r="NNI136" s="18"/>
      <c r="NNJ136" s="18"/>
      <c r="NNK136" s="18"/>
      <c r="NNL136" s="18"/>
      <c r="NNM136" s="18"/>
      <c r="NNN136" s="17"/>
      <c r="NNO136" s="9"/>
      <c r="NNP136" s="9"/>
      <c r="NNQ136" s="18"/>
      <c r="NNR136" s="18"/>
      <c r="NNS136" s="18"/>
      <c r="NNT136" s="18"/>
      <c r="NNU136" s="18"/>
      <c r="NNV136" s="17"/>
      <c r="NNW136" s="9"/>
      <c r="NNX136" s="9"/>
      <c r="NNY136" s="18"/>
      <c r="NNZ136" s="18"/>
      <c r="NOA136" s="18"/>
      <c r="NOB136" s="18"/>
      <c r="NOC136" s="18"/>
      <c r="NOD136" s="17"/>
      <c r="NOE136" s="9"/>
      <c r="NOF136" s="9"/>
      <c r="NOG136" s="18"/>
      <c r="NOH136" s="18"/>
      <c r="NOI136" s="18"/>
      <c r="NOJ136" s="18"/>
      <c r="NOK136" s="18"/>
      <c r="NOL136" s="17"/>
      <c r="NOM136" s="9"/>
      <c r="NON136" s="9"/>
      <c r="NOO136" s="18"/>
      <c r="NOP136" s="18"/>
      <c r="NOQ136" s="18"/>
      <c r="NOR136" s="18"/>
      <c r="NOS136" s="18"/>
      <c r="NOT136" s="17"/>
      <c r="NOU136" s="9"/>
      <c r="NOV136" s="9"/>
      <c r="NOW136" s="18"/>
      <c r="NOX136" s="18"/>
      <c r="NOY136" s="18"/>
      <c r="NOZ136" s="18"/>
      <c r="NPA136" s="18"/>
      <c r="NPB136" s="17"/>
      <c r="NPC136" s="9"/>
      <c r="NPD136" s="9"/>
      <c r="NPE136" s="18"/>
      <c r="NPF136" s="18"/>
      <c r="NPG136" s="18"/>
      <c r="NPH136" s="18"/>
      <c r="NPI136" s="18"/>
      <c r="NPJ136" s="17"/>
      <c r="NPK136" s="9"/>
      <c r="NPL136" s="9"/>
      <c r="NPM136" s="18"/>
      <c r="NPN136" s="18"/>
      <c r="NPO136" s="18"/>
      <c r="NPP136" s="18"/>
      <c r="NPQ136" s="18"/>
      <c r="NPR136" s="17"/>
      <c r="NPS136" s="9"/>
      <c r="NPT136" s="9"/>
      <c r="NPU136" s="18"/>
      <c r="NPV136" s="18"/>
      <c r="NPW136" s="18"/>
      <c r="NPX136" s="18"/>
      <c r="NPY136" s="18"/>
      <c r="NPZ136" s="17"/>
      <c r="NQA136" s="9"/>
      <c r="NQB136" s="9"/>
      <c r="NQC136" s="18"/>
      <c r="NQD136" s="18"/>
      <c r="NQE136" s="18"/>
      <c r="NQF136" s="18"/>
      <c r="NQG136" s="18"/>
      <c r="NQH136" s="17"/>
      <c r="NQI136" s="9"/>
      <c r="NQJ136" s="9"/>
      <c r="NQK136" s="18"/>
      <c r="NQL136" s="18"/>
      <c r="NQM136" s="18"/>
      <c r="NQN136" s="18"/>
      <c r="NQO136" s="18"/>
      <c r="NQP136" s="17"/>
      <c r="NQQ136" s="9"/>
      <c r="NQR136" s="9"/>
      <c r="NQS136" s="18"/>
      <c r="NQT136" s="18"/>
      <c r="NQU136" s="18"/>
      <c r="NQV136" s="18"/>
      <c r="NQW136" s="18"/>
      <c r="NQX136" s="17"/>
      <c r="NQY136" s="9"/>
      <c r="NQZ136" s="9"/>
      <c r="NRA136" s="18"/>
      <c r="NRB136" s="18"/>
      <c r="NRC136" s="18"/>
      <c r="NRD136" s="18"/>
      <c r="NRE136" s="18"/>
      <c r="NRF136" s="17"/>
      <c r="NRG136" s="9"/>
      <c r="NRH136" s="9"/>
      <c r="NRI136" s="18"/>
      <c r="NRJ136" s="18"/>
      <c r="NRK136" s="18"/>
      <c r="NRL136" s="18"/>
      <c r="NRM136" s="18"/>
      <c r="NRN136" s="17"/>
      <c r="NRO136" s="9"/>
      <c r="NRP136" s="9"/>
      <c r="NRQ136" s="18"/>
      <c r="NRR136" s="18"/>
      <c r="NRS136" s="18"/>
      <c r="NRT136" s="18"/>
      <c r="NRU136" s="18"/>
      <c r="NRV136" s="17"/>
      <c r="NRW136" s="9"/>
      <c r="NRX136" s="9"/>
      <c r="NRY136" s="18"/>
      <c r="NRZ136" s="18"/>
      <c r="NSA136" s="18"/>
      <c r="NSB136" s="18"/>
      <c r="NSC136" s="18"/>
      <c r="NSD136" s="17"/>
      <c r="NSE136" s="9"/>
      <c r="NSF136" s="9"/>
      <c r="NSG136" s="18"/>
      <c r="NSH136" s="18"/>
      <c r="NSI136" s="18"/>
      <c r="NSJ136" s="18"/>
      <c r="NSK136" s="18"/>
      <c r="NSL136" s="17"/>
      <c r="NSM136" s="9"/>
      <c r="NSN136" s="9"/>
      <c r="NSO136" s="18"/>
      <c r="NSP136" s="18"/>
      <c r="NSQ136" s="18"/>
      <c r="NSR136" s="18"/>
      <c r="NSS136" s="18"/>
      <c r="NST136" s="17"/>
      <c r="NSU136" s="9"/>
      <c r="NSV136" s="9"/>
      <c r="NSW136" s="18"/>
      <c r="NSX136" s="18"/>
      <c r="NSY136" s="18"/>
      <c r="NSZ136" s="18"/>
      <c r="NTA136" s="18"/>
      <c r="NTB136" s="17"/>
      <c r="NTC136" s="9"/>
      <c r="NTD136" s="9"/>
      <c r="NTE136" s="18"/>
      <c r="NTF136" s="18"/>
      <c r="NTG136" s="18"/>
      <c r="NTH136" s="18"/>
      <c r="NTI136" s="18"/>
      <c r="NTJ136" s="17"/>
      <c r="NTK136" s="9"/>
      <c r="NTL136" s="9"/>
      <c r="NTM136" s="18"/>
      <c r="NTN136" s="18"/>
      <c r="NTO136" s="18"/>
      <c r="NTP136" s="18"/>
      <c r="NTQ136" s="18"/>
      <c r="NTR136" s="17"/>
      <c r="NTS136" s="9"/>
      <c r="NTT136" s="9"/>
      <c r="NTU136" s="18"/>
      <c r="NTV136" s="18"/>
      <c r="NTW136" s="18"/>
      <c r="NTX136" s="18"/>
      <c r="NTY136" s="18"/>
      <c r="NTZ136" s="17"/>
      <c r="NUA136" s="9"/>
      <c r="NUB136" s="9"/>
      <c r="NUC136" s="18"/>
      <c r="NUD136" s="18"/>
      <c r="NUE136" s="18"/>
      <c r="NUF136" s="18"/>
      <c r="NUG136" s="18"/>
      <c r="NUH136" s="17"/>
      <c r="NUI136" s="9"/>
      <c r="NUJ136" s="9"/>
      <c r="NUK136" s="18"/>
      <c r="NUL136" s="18"/>
      <c r="NUM136" s="18"/>
      <c r="NUN136" s="18"/>
      <c r="NUO136" s="18"/>
      <c r="NUP136" s="17"/>
      <c r="NUQ136" s="9"/>
      <c r="NUR136" s="9"/>
      <c r="NUS136" s="18"/>
      <c r="NUT136" s="18"/>
      <c r="NUU136" s="18"/>
      <c r="NUV136" s="18"/>
      <c r="NUW136" s="18"/>
      <c r="NUX136" s="17"/>
      <c r="NUY136" s="9"/>
      <c r="NUZ136" s="9"/>
      <c r="NVA136" s="18"/>
      <c r="NVB136" s="18"/>
      <c r="NVC136" s="18"/>
      <c r="NVD136" s="18"/>
      <c r="NVE136" s="18"/>
      <c r="NVF136" s="17"/>
      <c r="NVG136" s="9"/>
      <c r="NVH136" s="9"/>
      <c r="NVI136" s="18"/>
      <c r="NVJ136" s="18"/>
      <c r="NVK136" s="18"/>
      <c r="NVL136" s="18"/>
      <c r="NVM136" s="18"/>
      <c r="NVN136" s="17"/>
      <c r="NVO136" s="9"/>
      <c r="NVP136" s="9"/>
      <c r="NVQ136" s="18"/>
      <c r="NVR136" s="18"/>
      <c r="NVS136" s="18"/>
      <c r="NVT136" s="18"/>
      <c r="NVU136" s="18"/>
      <c r="NVV136" s="17"/>
      <c r="NVW136" s="9"/>
      <c r="NVX136" s="9"/>
      <c r="NVY136" s="18"/>
      <c r="NVZ136" s="18"/>
      <c r="NWA136" s="18"/>
      <c r="NWB136" s="18"/>
      <c r="NWC136" s="18"/>
      <c r="NWD136" s="17"/>
      <c r="NWE136" s="9"/>
      <c r="NWF136" s="9"/>
      <c r="NWG136" s="18"/>
      <c r="NWH136" s="18"/>
      <c r="NWI136" s="18"/>
      <c r="NWJ136" s="18"/>
      <c r="NWK136" s="18"/>
      <c r="NWL136" s="17"/>
      <c r="NWM136" s="9"/>
      <c r="NWN136" s="9"/>
      <c r="NWO136" s="18"/>
      <c r="NWP136" s="18"/>
      <c r="NWQ136" s="18"/>
      <c r="NWR136" s="18"/>
      <c r="NWS136" s="18"/>
      <c r="NWT136" s="17"/>
      <c r="NWU136" s="9"/>
      <c r="NWV136" s="9"/>
      <c r="NWW136" s="18"/>
      <c r="NWX136" s="18"/>
      <c r="NWY136" s="18"/>
      <c r="NWZ136" s="18"/>
      <c r="NXA136" s="18"/>
      <c r="NXB136" s="17"/>
      <c r="NXC136" s="9"/>
      <c r="NXD136" s="9"/>
      <c r="NXE136" s="18"/>
      <c r="NXF136" s="18"/>
      <c r="NXG136" s="18"/>
      <c r="NXH136" s="18"/>
      <c r="NXI136" s="18"/>
      <c r="NXJ136" s="17"/>
      <c r="NXK136" s="9"/>
      <c r="NXL136" s="9"/>
      <c r="NXM136" s="18"/>
      <c r="NXN136" s="18"/>
      <c r="NXO136" s="18"/>
      <c r="NXP136" s="18"/>
      <c r="NXQ136" s="18"/>
      <c r="NXR136" s="17"/>
      <c r="NXS136" s="9"/>
      <c r="NXT136" s="9"/>
      <c r="NXU136" s="18"/>
      <c r="NXV136" s="18"/>
      <c r="NXW136" s="18"/>
      <c r="NXX136" s="18"/>
      <c r="NXY136" s="18"/>
      <c r="NXZ136" s="17"/>
      <c r="NYA136" s="9"/>
      <c r="NYB136" s="9"/>
      <c r="NYC136" s="18"/>
      <c r="NYD136" s="18"/>
      <c r="NYE136" s="18"/>
      <c r="NYF136" s="18"/>
      <c r="NYG136" s="18"/>
      <c r="NYH136" s="17"/>
      <c r="NYI136" s="9"/>
      <c r="NYJ136" s="9"/>
      <c r="NYK136" s="18"/>
      <c r="NYL136" s="18"/>
      <c r="NYM136" s="18"/>
      <c r="NYN136" s="18"/>
      <c r="NYO136" s="18"/>
      <c r="NYP136" s="17"/>
      <c r="NYQ136" s="9"/>
      <c r="NYR136" s="9"/>
      <c r="NYS136" s="18"/>
      <c r="NYT136" s="18"/>
      <c r="NYU136" s="18"/>
      <c r="NYV136" s="18"/>
      <c r="NYW136" s="18"/>
      <c r="NYX136" s="17"/>
      <c r="NYY136" s="9"/>
      <c r="NYZ136" s="9"/>
      <c r="NZA136" s="18"/>
      <c r="NZB136" s="18"/>
      <c r="NZC136" s="18"/>
      <c r="NZD136" s="18"/>
      <c r="NZE136" s="18"/>
      <c r="NZF136" s="17"/>
      <c r="NZG136" s="9"/>
      <c r="NZH136" s="9"/>
      <c r="NZI136" s="18"/>
      <c r="NZJ136" s="18"/>
      <c r="NZK136" s="18"/>
      <c r="NZL136" s="18"/>
      <c r="NZM136" s="18"/>
      <c r="NZN136" s="17"/>
      <c r="NZO136" s="9"/>
      <c r="NZP136" s="9"/>
      <c r="NZQ136" s="18"/>
      <c r="NZR136" s="18"/>
      <c r="NZS136" s="18"/>
      <c r="NZT136" s="18"/>
      <c r="NZU136" s="18"/>
      <c r="NZV136" s="17"/>
      <c r="NZW136" s="9"/>
      <c r="NZX136" s="9"/>
      <c r="NZY136" s="18"/>
      <c r="NZZ136" s="18"/>
      <c r="OAA136" s="18"/>
      <c r="OAB136" s="18"/>
      <c r="OAC136" s="18"/>
      <c r="OAD136" s="17"/>
      <c r="OAE136" s="9"/>
      <c r="OAF136" s="9"/>
      <c r="OAG136" s="18"/>
      <c r="OAH136" s="18"/>
      <c r="OAI136" s="18"/>
      <c r="OAJ136" s="18"/>
      <c r="OAK136" s="18"/>
      <c r="OAL136" s="17"/>
      <c r="OAM136" s="9"/>
      <c r="OAN136" s="9"/>
      <c r="OAO136" s="18"/>
      <c r="OAP136" s="18"/>
      <c r="OAQ136" s="18"/>
      <c r="OAR136" s="18"/>
      <c r="OAS136" s="18"/>
      <c r="OAT136" s="17"/>
      <c r="OAU136" s="9"/>
      <c r="OAV136" s="9"/>
      <c r="OAW136" s="18"/>
      <c r="OAX136" s="18"/>
      <c r="OAY136" s="18"/>
      <c r="OAZ136" s="18"/>
      <c r="OBA136" s="18"/>
      <c r="OBB136" s="17"/>
      <c r="OBC136" s="9"/>
      <c r="OBD136" s="9"/>
      <c r="OBE136" s="18"/>
      <c r="OBF136" s="18"/>
      <c r="OBG136" s="18"/>
      <c r="OBH136" s="18"/>
      <c r="OBI136" s="18"/>
      <c r="OBJ136" s="17"/>
      <c r="OBK136" s="9"/>
      <c r="OBL136" s="9"/>
      <c r="OBM136" s="18"/>
      <c r="OBN136" s="18"/>
      <c r="OBO136" s="18"/>
      <c r="OBP136" s="18"/>
      <c r="OBQ136" s="18"/>
      <c r="OBR136" s="17"/>
      <c r="OBS136" s="9"/>
      <c r="OBT136" s="9"/>
      <c r="OBU136" s="18"/>
      <c r="OBV136" s="18"/>
      <c r="OBW136" s="18"/>
      <c r="OBX136" s="18"/>
      <c r="OBY136" s="18"/>
      <c r="OBZ136" s="17"/>
      <c r="OCA136" s="9"/>
      <c r="OCB136" s="9"/>
      <c r="OCC136" s="18"/>
      <c r="OCD136" s="18"/>
      <c r="OCE136" s="18"/>
      <c r="OCF136" s="18"/>
      <c r="OCG136" s="18"/>
      <c r="OCH136" s="17"/>
      <c r="OCI136" s="9"/>
      <c r="OCJ136" s="9"/>
      <c r="OCK136" s="18"/>
      <c r="OCL136" s="18"/>
      <c r="OCM136" s="18"/>
      <c r="OCN136" s="18"/>
      <c r="OCO136" s="18"/>
      <c r="OCP136" s="17"/>
      <c r="OCQ136" s="9"/>
      <c r="OCR136" s="9"/>
      <c r="OCS136" s="18"/>
      <c r="OCT136" s="18"/>
      <c r="OCU136" s="18"/>
      <c r="OCV136" s="18"/>
      <c r="OCW136" s="18"/>
      <c r="OCX136" s="17"/>
      <c r="OCY136" s="9"/>
      <c r="OCZ136" s="9"/>
      <c r="ODA136" s="18"/>
      <c r="ODB136" s="18"/>
      <c r="ODC136" s="18"/>
      <c r="ODD136" s="18"/>
      <c r="ODE136" s="18"/>
      <c r="ODF136" s="17"/>
      <c r="ODG136" s="9"/>
      <c r="ODH136" s="9"/>
      <c r="ODI136" s="18"/>
      <c r="ODJ136" s="18"/>
      <c r="ODK136" s="18"/>
      <c r="ODL136" s="18"/>
      <c r="ODM136" s="18"/>
      <c r="ODN136" s="17"/>
      <c r="ODO136" s="9"/>
      <c r="ODP136" s="9"/>
      <c r="ODQ136" s="18"/>
      <c r="ODR136" s="18"/>
      <c r="ODS136" s="18"/>
      <c r="ODT136" s="18"/>
      <c r="ODU136" s="18"/>
      <c r="ODV136" s="17"/>
      <c r="ODW136" s="9"/>
      <c r="ODX136" s="9"/>
      <c r="ODY136" s="18"/>
      <c r="ODZ136" s="18"/>
      <c r="OEA136" s="18"/>
      <c r="OEB136" s="18"/>
      <c r="OEC136" s="18"/>
      <c r="OED136" s="17"/>
      <c r="OEE136" s="9"/>
      <c r="OEF136" s="9"/>
      <c r="OEG136" s="18"/>
      <c r="OEH136" s="18"/>
      <c r="OEI136" s="18"/>
      <c r="OEJ136" s="18"/>
      <c r="OEK136" s="18"/>
      <c r="OEL136" s="17"/>
      <c r="OEM136" s="9"/>
      <c r="OEN136" s="9"/>
      <c r="OEO136" s="18"/>
      <c r="OEP136" s="18"/>
      <c r="OEQ136" s="18"/>
      <c r="OER136" s="18"/>
      <c r="OES136" s="18"/>
      <c r="OET136" s="17"/>
      <c r="OEU136" s="9"/>
      <c r="OEV136" s="9"/>
      <c r="OEW136" s="18"/>
      <c r="OEX136" s="18"/>
      <c r="OEY136" s="18"/>
      <c r="OEZ136" s="18"/>
      <c r="OFA136" s="18"/>
      <c r="OFB136" s="17"/>
      <c r="OFC136" s="9"/>
      <c r="OFD136" s="9"/>
      <c r="OFE136" s="18"/>
      <c r="OFF136" s="18"/>
      <c r="OFG136" s="18"/>
      <c r="OFH136" s="18"/>
      <c r="OFI136" s="18"/>
      <c r="OFJ136" s="17"/>
      <c r="OFK136" s="9"/>
      <c r="OFL136" s="9"/>
      <c r="OFM136" s="18"/>
      <c r="OFN136" s="18"/>
      <c r="OFO136" s="18"/>
      <c r="OFP136" s="18"/>
      <c r="OFQ136" s="18"/>
      <c r="OFR136" s="17"/>
      <c r="OFS136" s="9"/>
      <c r="OFT136" s="9"/>
      <c r="OFU136" s="18"/>
      <c r="OFV136" s="18"/>
      <c r="OFW136" s="18"/>
      <c r="OFX136" s="18"/>
      <c r="OFY136" s="18"/>
      <c r="OFZ136" s="17"/>
      <c r="OGA136" s="9"/>
      <c r="OGB136" s="9"/>
      <c r="OGC136" s="18"/>
      <c r="OGD136" s="18"/>
      <c r="OGE136" s="18"/>
      <c r="OGF136" s="18"/>
      <c r="OGG136" s="18"/>
      <c r="OGH136" s="17"/>
      <c r="OGI136" s="9"/>
      <c r="OGJ136" s="9"/>
      <c r="OGK136" s="18"/>
      <c r="OGL136" s="18"/>
      <c r="OGM136" s="18"/>
      <c r="OGN136" s="18"/>
      <c r="OGO136" s="18"/>
      <c r="OGP136" s="17"/>
      <c r="OGQ136" s="9"/>
      <c r="OGR136" s="9"/>
      <c r="OGS136" s="18"/>
      <c r="OGT136" s="18"/>
      <c r="OGU136" s="18"/>
      <c r="OGV136" s="18"/>
      <c r="OGW136" s="18"/>
      <c r="OGX136" s="17"/>
      <c r="OGY136" s="9"/>
      <c r="OGZ136" s="9"/>
      <c r="OHA136" s="18"/>
      <c r="OHB136" s="18"/>
      <c r="OHC136" s="18"/>
      <c r="OHD136" s="18"/>
      <c r="OHE136" s="18"/>
      <c r="OHF136" s="17"/>
      <c r="OHG136" s="9"/>
      <c r="OHH136" s="9"/>
      <c r="OHI136" s="18"/>
      <c r="OHJ136" s="18"/>
      <c r="OHK136" s="18"/>
      <c r="OHL136" s="18"/>
      <c r="OHM136" s="18"/>
      <c r="OHN136" s="17"/>
      <c r="OHO136" s="9"/>
      <c r="OHP136" s="9"/>
      <c r="OHQ136" s="18"/>
      <c r="OHR136" s="18"/>
      <c r="OHS136" s="18"/>
      <c r="OHT136" s="18"/>
      <c r="OHU136" s="18"/>
      <c r="OHV136" s="17"/>
      <c r="OHW136" s="9"/>
      <c r="OHX136" s="9"/>
      <c r="OHY136" s="18"/>
      <c r="OHZ136" s="18"/>
      <c r="OIA136" s="18"/>
      <c r="OIB136" s="18"/>
      <c r="OIC136" s="18"/>
      <c r="OID136" s="17"/>
      <c r="OIE136" s="9"/>
      <c r="OIF136" s="9"/>
      <c r="OIG136" s="18"/>
      <c r="OIH136" s="18"/>
      <c r="OII136" s="18"/>
      <c r="OIJ136" s="18"/>
      <c r="OIK136" s="18"/>
      <c r="OIL136" s="17"/>
      <c r="OIM136" s="9"/>
      <c r="OIN136" s="9"/>
      <c r="OIO136" s="18"/>
      <c r="OIP136" s="18"/>
      <c r="OIQ136" s="18"/>
      <c r="OIR136" s="18"/>
      <c r="OIS136" s="18"/>
      <c r="OIT136" s="17"/>
      <c r="OIU136" s="9"/>
      <c r="OIV136" s="9"/>
      <c r="OIW136" s="18"/>
      <c r="OIX136" s="18"/>
      <c r="OIY136" s="18"/>
      <c r="OIZ136" s="18"/>
      <c r="OJA136" s="18"/>
      <c r="OJB136" s="17"/>
      <c r="OJC136" s="9"/>
      <c r="OJD136" s="9"/>
      <c r="OJE136" s="18"/>
      <c r="OJF136" s="18"/>
      <c r="OJG136" s="18"/>
      <c r="OJH136" s="18"/>
      <c r="OJI136" s="18"/>
      <c r="OJJ136" s="17"/>
      <c r="OJK136" s="9"/>
      <c r="OJL136" s="9"/>
      <c r="OJM136" s="18"/>
      <c r="OJN136" s="18"/>
      <c r="OJO136" s="18"/>
      <c r="OJP136" s="18"/>
      <c r="OJQ136" s="18"/>
      <c r="OJR136" s="17"/>
      <c r="OJS136" s="9"/>
      <c r="OJT136" s="9"/>
      <c r="OJU136" s="18"/>
      <c r="OJV136" s="18"/>
      <c r="OJW136" s="18"/>
      <c r="OJX136" s="18"/>
      <c r="OJY136" s="18"/>
      <c r="OJZ136" s="17"/>
      <c r="OKA136" s="9"/>
      <c r="OKB136" s="9"/>
      <c r="OKC136" s="18"/>
      <c r="OKD136" s="18"/>
      <c r="OKE136" s="18"/>
      <c r="OKF136" s="18"/>
      <c r="OKG136" s="18"/>
      <c r="OKH136" s="17"/>
      <c r="OKI136" s="9"/>
      <c r="OKJ136" s="9"/>
      <c r="OKK136" s="18"/>
      <c r="OKL136" s="18"/>
      <c r="OKM136" s="18"/>
      <c r="OKN136" s="18"/>
      <c r="OKO136" s="18"/>
      <c r="OKP136" s="17"/>
      <c r="OKQ136" s="9"/>
      <c r="OKR136" s="9"/>
      <c r="OKS136" s="18"/>
      <c r="OKT136" s="18"/>
      <c r="OKU136" s="18"/>
      <c r="OKV136" s="18"/>
      <c r="OKW136" s="18"/>
      <c r="OKX136" s="17"/>
      <c r="OKY136" s="9"/>
      <c r="OKZ136" s="9"/>
      <c r="OLA136" s="18"/>
      <c r="OLB136" s="18"/>
      <c r="OLC136" s="18"/>
      <c r="OLD136" s="18"/>
      <c r="OLE136" s="18"/>
      <c r="OLF136" s="17"/>
      <c r="OLG136" s="9"/>
      <c r="OLH136" s="9"/>
      <c r="OLI136" s="18"/>
      <c r="OLJ136" s="18"/>
      <c r="OLK136" s="18"/>
      <c r="OLL136" s="18"/>
      <c r="OLM136" s="18"/>
      <c r="OLN136" s="17"/>
      <c r="OLO136" s="9"/>
      <c r="OLP136" s="9"/>
      <c r="OLQ136" s="18"/>
      <c r="OLR136" s="18"/>
      <c r="OLS136" s="18"/>
      <c r="OLT136" s="18"/>
      <c r="OLU136" s="18"/>
      <c r="OLV136" s="17"/>
      <c r="OLW136" s="9"/>
      <c r="OLX136" s="9"/>
      <c r="OLY136" s="18"/>
      <c r="OLZ136" s="18"/>
      <c r="OMA136" s="18"/>
      <c r="OMB136" s="18"/>
      <c r="OMC136" s="18"/>
      <c r="OMD136" s="17"/>
      <c r="OME136" s="9"/>
      <c r="OMF136" s="9"/>
      <c r="OMG136" s="18"/>
      <c r="OMH136" s="18"/>
      <c r="OMI136" s="18"/>
      <c r="OMJ136" s="18"/>
      <c r="OMK136" s="18"/>
      <c r="OML136" s="17"/>
      <c r="OMM136" s="9"/>
      <c r="OMN136" s="9"/>
      <c r="OMO136" s="18"/>
      <c r="OMP136" s="18"/>
      <c r="OMQ136" s="18"/>
      <c r="OMR136" s="18"/>
      <c r="OMS136" s="18"/>
      <c r="OMT136" s="17"/>
      <c r="OMU136" s="9"/>
      <c r="OMV136" s="9"/>
      <c r="OMW136" s="18"/>
      <c r="OMX136" s="18"/>
      <c r="OMY136" s="18"/>
      <c r="OMZ136" s="18"/>
      <c r="ONA136" s="18"/>
      <c r="ONB136" s="17"/>
      <c r="ONC136" s="9"/>
      <c r="OND136" s="9"/>
      <c r="ONE136" s="18"/>
      <c r="ONF136" s="18"/>
      <c r="ONG136" s="18"/>
      <c r="ONH136" s="18"/>
      <c r="ONI136" s="18"/>
      <c r="ONJ136" s="17"/>
      <c r="ONK136" s="9"/>
      <c r="ONL136" s="9"/>
      <c r="ONM136" s="18"/>
      <c r="ONN136" s="18"/>
      <c r="ONO136" s="18"/>
      <c r="ONP136" s="18"/>
      <c r="ONQ136" s="18"/>
      <c r="ONR136" s="17"/>
      <c r="ONS136" s="9"/>
      <c r="ONT136" s="9"/>
      <c r="ONU136" s="18"/>
      <c r="ONV136" s="18"/>
      <c r="ONW136" s="18"/>
      <c r="ONX136" s="18"/>
      <c r="ONY136" s="18"/>
      <c r="ONZ136" s="17"/>
      <c r="OOA136" s="9"/>
      <c r="OOB136" s="9"/>
      <c r="OOC136" s="18"/>
      <c r="OOD136" s="18"/>
      <c r="OOE136" s="18"/>
      <c r="OOF136" s="18"/>
      <c r="OOG136" s="18"/>
      <c r="OOH136" s="17"/>
      <c r="OOI136" s="9"/>
      <c r="OOJ136" s="9"/>
      <c r="OOK136" s="18"/>
      <c r="OOL136" s="18"/>
      <c r="OOM136" s="18"/>
      <c r="OON136" s="18"/>
      <c r="OOO136" s="18"/>
      <c r="OOP136" s="17"/>
      <c r="OOQ136" s="9"/>
      <c r="OOR136" s="9"/>
      <c r="OOS136" s="18"/>
      <c r="OOT136" s="18"/>
      <c r="OOU136" s="18"/>
      <c r="OOV136" s="18"/>
      <c r="OOW136" s="18"/>
      <c r="OOX136" s="17"/>
      <c r="OOY136" s="9"/>
      <c r="OOZ136" s="9"/>
      <c r="OPA136" s="18"/>
      <c r="OPB136" s="18"/>
      <c r="OPC136" s="18"/>
      <c r="OPD136" s="18"/>
      <c r="OPE136" s="18"/>
      <c r="OPF136" s="17"/>
      <c r="OPG136" s="9"/>
      <c r="OPH136" s="9"/>
      <c r="OPI136" s="18"/>
      <c r="OPJ136" s="18"/>
      <c r="OPK136" s="18"/>
      <c r="OPL136" s="18"/>
      <c r="OPM136" s="18"/>
      <c r="OPN136" s="17"/>
      <c r="OPO136" s="9"/>
      <c r="OPP136" s="9"/>
      <c r="OPQ136" s="18"/>
      <c r="OPR136" s="18"/>
      <c r="OPS136" s="18"/>
      <c r="OPT136" s="18"/>
      <c r="OPU136" s="18"/>
      <c r="OPV136" s="17"/>
      <c r="OPW136" s="9"/>
      <c r="OPX136" s="9"/>
      <c r="OPY136" s="18"/>
      <c r="OPZ136" s="18"/>
      <c r="OQA136" s="18"/>
      <c r="OQB136" s="18"/>
      <c r="OQC136" s="18"/>
      <c r="OQD136" s="17"/>
      <c r="OQE136" s="9"/>
      <c r="OQF136" s="9"/>
      <c r="OQG136" s="18"/>
      <c r="OQH136" s="18"/>
      <c r="OQI136" s="18"/>
      <c r="OQJ136" s="18"/>
      <c r="OQK136" s="18"/>
      <c r="OQL136" s="17"/>
      <c r="OQM136" s="9"/>
      <c r="OQN136" s="9"/>
      <c r="OQO136" s="18"/>
      <c r="OQP136" s="18"/>
      <c r="OQQ136" s="18"/>
      <c r="OQR136" s="18"/>
      <c r="OQS136" s="18"/>
      <c r="OQT136" s="17"/>
      <c r="OQU136" s="9"/>
      <c r="OQV136" s="9"/>
      <c r="OQW136" s="18"/>
      <c r="OQX136" s="18"/>
      <c r="OQY136" s="18"/>
      <c r="OQZ136" s="18"/>
      <c r="ORA136" s="18"/>
      <c r="ORB136" s="17"/>
      <c r="ORC136" s="9"/>
      <c r="ORD136" s="9"/>
      <c r="ORE136" s="18"/>
      <c r="ORF136" s="18"/>
      <c r="ORG136" s="18"/>
      <c r="ORH136" s="18"/>
      <c r="ORI136" s="18"/>
      <c r="ORJ136" s="17"/>
      <c r="ORK136" s="9"/>
      <c r="ORL136" s="9"/>
      <c r="ORM136" s="18"/>
      <c r="ORN136" s="18"/>
      <c r="ORO136" s="18"/>
      <c r="ORP136" s="18"/>
      <c r="ORQ136" s="18"/>
      <c r="ORR136" s="17"/>
      <c r="ORS136" s="9"/>
      <c r="ORT136" s="9"/>
      <c r="ORU136" s="18"/>
      <c r="ORV136" s="18"/>
      <c r="ORW136" s="18"/>
      <c r="ORX136" s="18"/>
      <c r="ORY136" s="18"/>
      <c r="ORZ136" s="17"/>
      <c r="OSA136" s="9"/>
      <c r="OSB136" s="9"/>
      <c r="OSC136" s="18"/>
      <c r="OSD136" s="18"/>
      <c r="OSE136" s="18"/>
      <c r="OSF136" s="18"/>
      <c r="OSG136" s="18"/>
      <c r="OSH136" s="17"/>
      <c r="OSI136" s="9"/>
      <c r="OSJ136" s="9"/>
      <c r="OSK136" s="18"/>
      <c r="OSL136" s="18"/>
      <c r="OSM136" s="18"/>
      <c r="OSN136" s="18"/>
      <c r="OSO136" s="18"/>
      <c r="OSP136" s="17"/>
      <c r="OSQ136" s="9"/>
      <c r="OSR136" s="9"/>
      <c r="OSS136" s="18"/>
      <c r="OST136" s="18"/>
      <c r="OSU136" s="18"/>
      <c r="OSV136" s="18"/>
      <c r="OSW136" s="18"/>
      <c r="OSX136" s="17"/>
      <c r="OSY136" s="9"/>
      <c r="OSZ136" s="9"/>
      <c r="OTA136" s="18"/>
      <c r="OTB136" s="18"/>
      <c r="OTC136" s="18"/>
      <c r="OTD136" s="18"/>
      <c r="OTE136" s="18"/>
      <c r="OTF136" s="17"/>
      <c r="OTG136" s="9"/>
      <c r="OTH136" s="9"/>
      <c r="OTI136" s="18"/>
      <c r="OTJ136" s="18"/>
      <c r="OTK136" s="18"/>
      <c r="OTL136" s="18"/>
      <c r="OTM136" s="18"/>
      <c r="OTN136" s="17"/>
      <c r="OTO136" s="9"/>
      <c r="OTP136" s="9"/>
      <c r="OTQ136" s="18"/>
      <c r="OTR136" s="18"/>
      <c r="OTS136" s="18"/>
      <c r="OTT136" s="18"/>
      <c r="OTU136" s="18"/>
      <c r="OTV136" s="17"/>
      <c r="OTW136" s="9"/>
      <c r="OTX136" s="9"/>
      <c r="OTY136" s="18"/>
      <c r="OTZ136" s="18"/>
      <c r="OUA136" s="18"/>
      <c r="OUB136" s="18"/>
      <c r="OUC136" s="18"/>
      <c r="OUD136" s="17"/>
      <c r="OUE136" s="9"/>
      <c r="OUF136" s="9"/>
      <c r="OUG136" s="18"/>
      <c r="OUH136" s="18"/>
      <c r="OUI136" s="18"/>
      <c r="OUJ136" s="18"/>
      <c r="OUK136" s="18"/>
      <c r="OUL136" s="17"/>
      <c r="OUM136" s="9"/>
      <c r="OUN136" s="9"/>
      <c r="OUO136" s="18"/>
      <c r="OUP136" s="18"/>
      <c r="OUQ136" s="18"/>
      <c r="OUR136" s="18"/>
      <c r="OUS136" s="18"/>
      <c r="OUT136" s="17"/>
      <c r="OUU136" s="9"/>
      <c r="OUV136" s="9"/>
      <c r="OUW136" s="18"/>
      <c r="OUX136" s="18"/>
      <c r="OUY136" s="18"/>
      <c r="OUZ136" s="18"/>
      <c r="OVA136" s="18"/>
      <c r="OVB136" s="17"/>
      <c r="OVC136" s="9"/>
      <c r="OVD136" s="9"/>
      <c r="OVE136" s="18"/>
      <c r="OVF136" s="18"/>
      <c r="OVG136" s="18"/>
      <c r="OVH136" s="18"/>
      <c r="OVI136" s="18"/>
      <c r="OVJ136" s="17"/>
      <c r="OVK136" s="9"/>
      <c r="OVL136" s="9"/>
      <c r="OVM136" s="18"/>
      <c r="OVN136" s="18"/>
      <c r="OVO136" s="18"/>
      <c r="OVP136" s="18"/>
      <c r="OVQ136" s="18"/>
      <c r="OVR136" s="17"/>
      <c r="OVS136" s="9"/>
      <c r="OVT136" s="9"/>
      <c r="OVU136" s="18"/>
      <c r="OVV136" s="18"/>
      <c r="OVW136" s="18"/>
      <c r="OVX136" s="18"/>
      <c r="OVY136" s="18"/>
      <c r="OVZ136" s="17"/>
      <c r="OWA136" s="9"/>
      <c r="OWB136" s="9"/>
      <c r="OWC136" s="18"/>
      <c r="OWD136" s="18"/>
      <c r="OWE136" s="18"/>
      <c r="OWF136" s="18"/>
      <c r="OWG136" s="18"/>
      <c r="OWH136" s="17"/>
      <c r="OWI136" s="9"/>
      <c r="OWJ136" s="9"/>
      <c r="OWK136" s="18"/>
      <c r="OWL136" s="18"/>
      <c r="OWM136" s="18"/>
      <c r="OWN136" s="18"/>
      <c r="OWO136" s="18"/>
      <c r="OWP136" s="17"/>
      <c r="OWQ136" s="9"/>
      <c r="OWR136" s="9"/>
      <c r="OWS136" s="18"/>
      <c r="OWT136" s="18"/>
      <c r="OWU136" s="18"/>
      <c r="OWV136" s="18"/>
      <c r="OWW136" s="18"/>
      <c r="OWX136" s="17"/>
      <c r="OWY136" s="9"/>
      <c r="OWZ136" s="9"/>
      <c r="OXA136" s="18"/>
      <c r="OXB136" s="18"/>
      <c r="OXC136" s="18"/>
      <c r="OXD136" s="18"/>
      <c r="OXE136" s="18"/>
      <c r="OXF136" s="17"/>
      <c r="OXG136" s="9"/>
      <c r="OXH136" s="9"/>
      <c r="OXI136" s="18"/>
      <c r="OXJ136" s="18"/>
      <c r="OXK136" s="18"/>
      <c r="OXL136" s="18"/>
      <c r="OXM136" s="18"/>
      <c r="OXN136" s="17"/>
      <c r="OXO136" s="9"/>
      <c r="OXP136" s="9"/>
      <c r="OXQ136" s="18"/>
      <c r="OXR136" s="18"/>
      <c r="OXS136" s="18"/>
      <c r="OXT136" s="18"/>
      <c r="OXU136" s="18"/>
      <c r="OXV136" s="17"/>
      <c r="OXW136" s="9"/>
      <c r="OXX136" s="9"/>
      <c r="OXY136" s="18"/>
      <c r="OXZ136" s="18"/>
      <c r="OYA136" s="18"/>
      <c r="OYB136" s="18"/>
      <c r="OYC136" s="18"/>
      <c r="OYD136" s="17"/>
      <c r="OYE136" s="9"/>
      <c r="OYF136" s="9"/>
      <c r="OYG136" s="18"/>
      <c r="OYH136" s="18"/>
      <c r="OYI136" s="18"/>
      <c r="OYJ136" s="18"/>
      <c r="OYK136" s="18"/>
      <c r="OYL136" s="17"/>
      <c r="OYM136" s="9"/>
      <c r="OYN136" s="9"/>
      <c r="OYO136" s="18"/>
      <c r="OYP136" s="18"/>
      <c r="OYQ136" s="18"/>
      <c r="OYR136" s="18"/>
      <c r="OYS136" s="18"/>
      <c r="OYT136" s="17"/>
      <c r="OYU136" s="9"/>
      <c r="OYV136" s="9"/>
      <c r="OYW136" s="18"/>
      <c r="OYX136" s="18"/>
      <c r="OYY136" s="18"/>
      <c r="OYZ136" s="18"/>
      <c r="OZA136" s="18"/>
      <c r="OZB136" s="17"/>
      <c r="OZC136" s="9"/>
      <c r="OZD136" s="9"/>
      <c r="OZE136" s="18"/>
      <c r="OZF136" s="18"/>
      <c r="OZG136" s="18"/>
      <c r="OZH136" s="18"/>
      <c r="OZI136" s="18"/>
      <c r="OZJ136" s="17"/>
      <c r="OZK136" s="9"/>
      <c r="OZL136" s="9"/>
      <c r="OZM136" s="18"/>
      <c r="OZN136" s="18"/>
      <c r="OZO136" s="18"/>
      <c r="OZP136" s="18"/>
      <c r="OZQ136" s="18"/>
      <c r="OZR136" s="17"/>
      <c r="OZS136" s="9"/>
      <c r="OZT136" s="9"/>
      <c r="OZU136" s="18"/>
      <c r="OZV136" s="18"/>
      <c r="OZW136" s="18"/>
      <c r="OZX136" s="18"/>
      <c r="OZY136" s="18"/>
      <c r="OZZ136" s="17"/>
      <c r="PAA136" s="9"/>
      <c r="PAB136" s="9"/>
      <c r="PAC136" s="18"/>
      <c r="PAD136" s="18"/>
      <c r="PAE136" s="18"/>
      <c r="PAF136" s="18"/>
      <c r="PAG136" s="18"/>
      <c r="PAH136" s="17"/>
      <c r="PAI136" s="9"/>
      <c r="PAJ136" s="9"/>
      <c r="PAK136" s="18"/>
      <c r="PAL136" s="18"/>
      <c r="PAM136" s="18"/>
      <c r="PAN136" s="18"/>
      <c r="PAO136" s="18"/>
      <c r="PAP136" s="17"/>
      <c r="PAQ136" s="9"/>
      <c r="PAR136" s="9"/>
      <c r="PAS136" s="18"/>
      <c r="PAT136" s="18"/>
      <c r="PAU136" s="18"/>
      <c r="PAV136" s="18"/>
      <c r="PAW136" s="18"/>
      <c r="PAX136" s="17"/>
      <c r="PAY136" s="9"/>
      <c r="PAZ136" s="9"/>
      <c r="PBA136" s="18"/>
      <c r="PBB136" s="18"/>
      <c r="PBC136" s="18"/>
      <c r="PBD136" s="18"/>
      <c r="PBE136" s="18"/>
      <c r="PBF136" s="17"/>
      <c r="PBG136" s="9"/>
      <c r="PBH136" s="9"/>
      <c r="PBI136" s="18"/>
      <c r="PBJ136" s="18"/>
      <c r="PBK136" s="18"/>
      <c r="PBL136" s="18"/>
      <c r="PBM136" s="18"/>
      <c r="PBN136" s="17"/>
      <c r="PBO136" s="9"/>
      <c r="PBP136" s="9"/>
      <c r="PBQ136" s="18"/>
      <c r="PBR136" s="18"/>
      <c r="PBS136" s="18"/>
      <c r="PBT136" s="18"/>
      <c r="PBU136" s="18"/>
      <c r="PBV136" s="17"/>
      <c r="PBW136" s="9"/>
      <c r="PBX136" s="9"/>
      <c r="PBY136" s="18"/>
      <c r="PBZ136" s="18"/>
      <c r="PCA136" s="18"/>
      <c r="PCB136" s="18"/>
      <c r="PCC136" s="18"/>
      <c r="PCD136" s="17"/>
      <c r="PCE136" s="9"/>
      <c r="PCF136" s="9"/>
      <c r="PCG136" s="18"/>
      <c r="PCH136" s="18"/>
      <c r="PCI136" s="18"/>
      <c r="PCJ136" s="18"/>
      <c r="PCK136" s="18"/>
      <c r="PCL136" s="17"/>
      <c r="PCM136" s="9"/>
      <c r="PCN136" s="9"/>
      <c r="PCO136" s="18"/>
      <c r="PCP136" s="18"/>
      <c r="PCQ136" s="18"/>
      <c r="PCR136" s="18"/>
      <c r="PCS136" s="18"/>
      <c r="PCT136" s="17"/>
      <c r="PCU136" s="9"/>
      <c r="PCV136" s="9"/>
      <c r="PCW136" s="18"/>
      <c r="PCX136" s="18"/>
      <c r="PCY136" s="18"/>
      <c r="PCZ136" s="18"/>
      <c r="PDA136" s="18"/>
      <c r="PDB136" s="17"/>
      <c r="PDC136" s="9"/>
      <c r="PDD136" s="9"/>
      <c r="PDE136" s="18"/>
      <c r="PDF136" s="18"/>
      <c r="PDG136" s="18"/>
      <c r="PDH136" s="18"/>
      <c r="PDI136" s="18"/>
      <c r="PDJ136" s="17"/>
      <c r="PDK136" s="9"/>
      <c r="PDL136" s="9"/>
      <c r="PDM136" s="18"/>
      <c r="PDN136" s="18"/>
      <c r="PDO136" s="18"/>
      <c r="PDP136" s="18"/>
      <c r="PDQ136" s="18"/>
      <c r="PDR136" s="17"/>
      <c r="PDS136" s="9"/>
      <c r="PDT136" s="9"/>
      <c r="PDU136" s="18"/>
      <c r="PDV136" s="18"/>
      <c r="PDW136" s="18"/>
      <c r="PDX136" s="18"/>
      <c r="PDY136" s="18"/>
      <c r="PDZ136" s="17"/>
      <c r="PEA136" s="9"/>
      <c r="PEB136" s="9"/>
      <c r="PEC136" s="18"/>
      <c r="PED136" s="18"/>
      <c r="PEE136" s="18"/>
      <c r="PEF136" s="18"/>
      <c r="PEG136" s="18"/>
      <c r="PEH136" s="17"/>
      <c r="PEI136" s="9"/>
      <c r="PEJ136" s="9"/>
      <c r="PEK136" s="18"/>
      <c r="PEL136" s="18"/>
      <c r="PEM136" s="18"/>
      <c r="PEN136" s="18"/>
      <c r="PEO136" s="18"/>
      <c r="PEP136" s="17"/>
      <c r="PEQ136" s="9"/>
      <c r="PER136" s="9"/>
      <c r="PES136" s="18"/>
      <c r="PET136" s="18"/>
      <c r="PEU136" s="18"/>
      <c r="PEV136" s="18"/>
      <c r="PEW136" s="18"/>
      <c r="PEX136" s="17"/>
      <c r="PEY136" s="9"/>
      <c r="PEZ136" s="9"/>
      <c r="PFA136" s="18"/>
      <c r="PFB136" s="18"/>
      <c r="PFC136" s="18"/>
      <c r="PFD136" s="18"/>
      <c r="PFE136" s="18"/>
      <c r="PFF136" s="17"/>
      <c r="PFG136" s="9"/>
      <c r="PFH136" s="9"/>
      <c r="PFI136" s="18"/>
      <c r="PFJ136" s="18"/>
      <c r="PFK136" s="18"/>
      <c r="PFL136" s="18"/>
      <c r="PFM136" s="18"/>
      <c r="PFN136" s="17"/>
      <c r="PFO136" s="9"/>
      <c r="PFP136" s="9"/>
      <c r="PFQ136" s="18"/>
      <c r="PFR136" s="18"/>
      <c r="PFS136" s="18"/>
      <c r="PFT136" s="18"/>
      <c r="PFU136" s="18"/>
      <c r="PFV136" s="17"/>
      <c r="PFW136" s="9"/>
      <c r="PFX136" s="9"/>
      <c r="PFY136" s="18"/>
      <c r="PFZ136" s="18"/>
      <c r="PGA136" s="18"/>
      <c r="PGB136" s="18"/>
      <c r="PGC136" s="18"/>
      <c r="PGD136" s="17"/>
      <c r="PGE136" s="9"/>
      <c r="PGF136" s="9"/>
      <c r="PGG136" s="18"/>
      <c r="PGH136" s="18"/>
      <c r="PGI136" s="18"/>
      <c r="PGJ136" s="18"/>
      <c r="PGK136" s="18"/>
      <c r="PGL136" s="17"/>
      <c r="PGM136" s="9"/>
      <c r="PGN136" s="9"/>
      <c r="PGO136" s="18"/>
      <c r="PGP136" s="18"/>
      <c r="PGQ136" s="18"/>
      <c r="PGR136" s="18"/>
      <c r="PGS136" s="18"/>
      <c r="PGT136" s="17"/>
      <c r="PGU136" s="9"/>
      <c r="PGV136" s="9"/>
      <c r="PGW136" s="18"/>
      <c r="PGX136" s="18"/>
      <c r="PGY136" s="18"/>
      <c r="PGZ136" s="18"/>
      <c r="PHA136" s="18"/>
      <c r="PHB136" s="17"/>
      <c r="PHC136" s="9"/>
      <c r="PHD136" s="9"/>
      <c r="PHE136" s="18"/>
      <c r="PHF136" s="18"/>
      <c r="PHG136" s="18"/>
      <c r="PHH136" s="18"/>
      <c r="PHI136" s="18"/>
      <c r="PHJ136" s="17"/>
      <c r="PHK136" s="9"/>
      <c r="PHL136" s="9"/>
      <c r="PHM136" s="18"/>
      <c r="PHN136" s="18"/>
      <c r="PHO136" s="18"/>
      <c r="PHP136" s="18"/>
      <c r="PHQ136" s="18"/>
      <c r="PHR136" s="17"/>
      <c r="PHS136" s="9"/>
      <c r="PHT136" s="9"/>
      <c r="PHU136" s="18"/>
      <c r="PHV136" s="18"/>
      <c r="PHW136" s="18"/>
      <c r="PHX136" s="18"/>
      <c r="PHY136" s="18"/>
      <c r="PHZ136" s="17"/>
      <c r="PIA136" s="9"/>
      <c r="PIB136" s="9"/>
      <c r="PIC136" s="18"/>
      <c r="PID136" s="18"/>
      <c r="PIE136" s="18"/>
      <c r="PIF136" s="18"/>
      <c r="PIG136" s="18"/>
      <c r="PIH136" s="17"/>
      <c r="PII136" s="9"/>
      <c r="PIJ136" s="9"/>
      <c r="PIK136" s="18"/>
      <c r="PIL136" s="18"/>
      <c r="PIM136" s="18"/>
      <c r="PIN136" s="18"/>
      <c r="PIO136" s="18"/>
      <c r="PIP136" s="17"/>
      <c r="PIQ136" s="9"/>
      <c r="PIR136" s="9"/>
      <c r="PIS136" s="18"/>
      <c r="PIT136" s="18"/>
      <c r="PIU136" s="18"/>
      <c r="PIV136" s="18"/>
      <c r="PIW136" s="18"/>
      <c r="PIX136" s="17"/>
      <c r="PIY136" s="9"/>
      <c r="PIZ136" s="9"/>
      <c r="PJA136" s="18"/>
      <c r="PJB136" s="18"/>
      <c r="PJC136" s="18"/>
      <c r="PJD136" s="18"/>
      <c r="PJE136" s="18"/>
      <c r="PJF136" s="17"/>
      <c r="PJG136" s="9"/>
      <c r="PJH136" s="9"/>
      <c r="PJI136" s="18"/>
      <c r="PJJ136" s="18"/>
      <c r="PJK136" s="18"/>
      <c r="PJL136" s="18"/>
      <c r="PJM136" s="18"/>
      <c r="PJN136" s="17"/>
      <c r="PJO136" s="9"/>
      <c r="PJP136" s="9"/>
      <c r="PJQ136" s="18"/>
      <c r="PJR136" s="18"/>
      <c r="PJS136" s="18"/>
      <c r="PJT136" s="18"/>
      <c r="PJU136" s="18"/>
      <c r="PJV136" s="17"/>
      <c r="PJW136" s="9"/>
      <c r="PJX136" s="9"/>
      <c r="PJY136" s="18"/>
      <c r="PJZ136" s="18"/>
      <c r="PKA136" s="18"/>
      <c r="PKB136" s="18"/>
      <c r="PKC136" s="18"/>
      <c r="PKD136" s="17"/>
      <c r="PKE136" s="9"/>
      <c r="PKF136" s="9"/>
      <c r="PKG136" s="18"/>
      <c r="PKH136" s="18"/>
      <c r="PKI136" s="18"/>
      <c r="PKJ136" s="18"/>
      <c r="PKK136" s="18"/>
      <c r="PKL136" s="17"/>
      <c r="PKM136" s="9"/>
      <c r="PKN136" s="9"/>
      <c r="PKO136" s="18"/>
      <c r="PKP136" s="18"/>
      <c r="PKQ136" s="18"/>
      <c r="PKR136" s="18"/>
      <c r="PKS136" s="18"/>
      <c r="PKT136" s="17"/>
      <c r="PKU136" s="9"/>
      <c r="PKV136" s="9"/>
      <c r="PKW136" s="18"/>
      <c r="PKX136" s="18"/>
      <c r="PKY136" s="18"/>
      <c r="PKZ136" s="18"/>
      <c r="PLA136" s="18"/>
      <c r="PLB136" s="17"/>
      <c r="PLC136" s="9"/>
      <c r="PLD136" s="9"/>
      <c r="PLE136" s="18"/>
      <c r="PLF136" s="18"/>
      <c r="PLG136" s="18"/>
      <c r="PLH136" s="18"/>
      <c r="PLI136" s="18"/>
      <c r="PLJ136" s="17"/>
      <c r="PLK136" s="9"/>
      <c r="PLL136" s="9"/>
      <c r="PLM136" s="18"/>
      <c r="PLN136" s="18"/>
      <c r="PLO136" s="18"/>
      <c r="PLP136" s="18"/>
      <c r="PLQ136" s="18"/>
      <c r="PLR136" s="17"/>
      <c r="PLS136" s="9"/>
      <c r="PLT136" s="9"/>
      <c r="PLU136" s="18"/>
      <c r="PLV136" s="18"/>
      <c r="PLW136" s="18"/>
      <c r="PLX136" s="18"/>
      <c r="PLY136" s="18"/>
      <c r="PLZ136" s="17"/>
      <c r="PMA136" s="9"/>
      <c r="PMB136" s="9"/>
      <c r="PMC136" s="18"/>
      <c r="PMD136" s="18"/>
      <c r="PME136" s="18"/>
      <c r="PMF136" s="18"/>
      <c r="PMG136" s="18"/>
      <c r="PMH136" s="17"/>
      <c r="PMI136" s="9"/>
      <c r="PMJ136" s="9"/>
      <c r="PMK136" s="18"/>
      <c r="PML136" s="18"/>
      <c r="PMM136" s="18"/>
      <c r="PMN136" s="18"/>
      <c r="PMO136" s="18"/>
      <c r="PMP136" s="17"/>
      <c r="PMQ136" s="9"/>
      <c r="PMR136" s="9"/>
      <c r="PMS136" s="18"/>
      <c r="PMT136" s="18"/>
      <c r="PMU136" s="18"/>
      <c r="PMV136" s="18"/>
      <c r="PMW136" s="18"/>
      <c r="PMX136" s="17"/>
      <c r="PMY136" s="9"/>
      <c r="PMZ136" s="9"/>
      <c r="PNA136" s="18"/>
      <c r="PNB136" s="18"/>
      <c r="PNC136" s="18"/>
      <c r="PND136" s="18"/>
      <c r="PNE136" s="18"/>
      <c r="PNF136" s="17"/>
      <c r="PNG136" s="9"/>
      <c r="PNH136" s="9"/>
      <c r="PNI136" s="18"/>
      <c r="PNJ136" s="18"/>
      <c r="PNK136" s="18"/>
      <c r="PNL136" s="18"/>
      <c r="PNM136" s="18"/>
      <c r="PNN136" s="17"/>
      <c r="PNO136" s="9"/>
      <c r="PNP136" s="9"/>
      <c r="PNQ136" s="18"/>
      <c r="PNR136" s="18"/>
      <c r="PNS136" s="18"/>
      <c r="PNT136" s="18"/>
      <c r="PNU136" s="18"/>
      <c r="PNV136" s="17"/>
      <c r="PNW136" s="9"/>
      <c r="PNX136" s="9"/>
      <c r="PNY136" s="18"/>
      <c r="PNZ136" s="18"/>
      <c r="POA136" s="18"/>
      <c r="POB136" s="18"/>
      <c r="POC136" s="18"/>
      <c r="POD136" s="17"/>
      <c r="POE136" s="9"/>
      <c r="POF136" s="9"/>
      <c r="POG136" s="18"/>
      <c r="POH136" s="18"/>
      <c r="POI136" s="18"/>
      <c r="POJ136" s="18"/>
      <c r="POK136" s="18"/>
      <c r="POL136" s="17"/>
      <c r="POM136" s="9"/>
      <c r="PON136" s="9"/>
      <c r="POO136" s="18"/>
      <c r="POP136" s="18"/>
      <c r="POQ136" s="18"/>
      <c r="POR136" s="18"/>
      <c r="POS136" s="18"/>
      <c r="POT136" s="17"/>
      <c r="POU136" s="9"/>
      <c r="POV136" s="9"/>
      <c r="POW136" s="18"/>
      <c r="POX136" s="18"/>
      <c r="POY136" s="18"/>
      <c r="POZ136" s="18"/>
      <c r="PPA136" s="18"/>
      <c r="PPB136" s="17"/>
      <c r="PPC136" s="9"/>
      <c r="PPD136" s="9"/>
      <c r="PPE136" s="18"/>
      <c r="PPF136" s="18"/>
      <c r="PPG136" s="18"/>
      <c r="PPH136" s="18"/>
      <c r="PPI136" s="18"/>
      <c r="PPJ136" s="17"/>
      <c r="PPK136" s="9"/>
      <c r="PPL136" s="9"/>
      <c r="PPM136" s="18"/>
      <c r="PPN136" s="18"/>
      <c r="PPO136" s="18"/>
      <c r="PPP136" s="18"/>
      <c r="PPQ136" s="18"/>
      <c r="PPR136" s="17"/>
      <c r="PPS136" s="9"/>
      <c r="PPT136" s="9"/>
      <c r="PPU136" s="18"/>
      <c r="PPV136" s="18"/>
      <c r="PPW136" s="18"/>
      <c r="PPX136" s="18"/>
      <c r="PPY136" s="18"/>
      <c r="PPZ136" s="17"/>
      <c r="PQA136" s="9"/>
      <c r="PQB136" s="9"/>
      <c r="PQC136" s="18"/>
      <c r="PQD136" s="18"/>
      <c r="PQE136" s="18"/>
      <c r="PQF136" s="18"/>
      <c r="PQG136" s="18"/>
      <c r="PQH136" s="17"/>
      <c r="PQI136" s="9"/>
      <c r="PQJ136" s="9"/>
      <c r="PQK136" s="18"/>
      <c r="PQL136" s="18"/>
      <c r="PQM136" s="18"/>
      <c r="PQN136" s="18"/>
      <c r="PQO136" s="18"/>
      <c r="PQP136" s="17"/>
      <c r="PQQ136" s="9"/>
      <c r="PQR136" s="9"/>
      <c r="PQS136" s="18"/>
      <c r="PQT136" s="18"/>
      <c r="PQU136" s="18"/>
      <c r="PQV136" s="18"/>
      <c r="PQW136" s="18"/>
      <c r="PQX136" s="17"/>
      <c r="PQY136" s="9"/>
      <c r="PQZ136" s="9"/>
      <c r="PRA136" s="18"/>
      <c r="PRB136" s="18"/>
      <c r="PRC136" s="18"/>
      <c r="PRD136" s="18"/>
      <c r="PRE136" s="18"/>
      <c r="PRF136" s="17"/>
      <c r="PRG136" s="9"/>
      <c r="PRH136" s="9"/>
      <c r="PRI136" s="18"/>
      <c r="PRJ136" s="18"/>
      <c r="PRK136" s="18"/>
      <c r="PRL136" s="18"/>
      <c r="PRM136" s="18"/>
      <c r="PRN136" s="17"/>
      <c r="PRO136" s="9"/>
      <c r="PRP136" s="9"/>
      <c r="PRQ136" s="18"/>
      <c r="PRR136" s="18"/>
      <c r="PRS136" s="18"/>
      <c r="PRT136" s="18"/>
      <c r="PRU136" s="18"/>
      <c r="PRV136" s="17"/>
      <c r="PRW136" s="9"/>
      <c r="PRX136" s="9"/>
      <c r="PRY136" s="18"/>
      <c r="PRZ136" s="18"/>
      <c r="PSA136" s="18"/>
      <c r="PSB136" s="18"/>
      <c r="PSC136" s="18"/>
      <c r="PSD136" s="17"/>
      <c r="PSE136" s="9"/>
      <c r="PSF136" s="9"/>
      <c r="PSG136" s="18"/>
      <c r="PSH136" s="18"/>
      <c r="PSI136" s="18"/>
      <c r="PSJ136" s="18"/>
      <c r="PSK136" s="18"/>
      <c r="PSL136" s="17"/>
      <c r="PSM136" s="9"/>
      <c r="PSN136" s="9"/>
      <c r="PSO136" s="18"/>
      <c r="PSP136" s="18"/>
      <c r="PSQ136" s="18"/>
      <c r="PSR136" s="18"/>
      <c r="PSS136" s="18"/>
      <c r="PST136" s="17"/>
      <c r="PSU136" s="9"/>
      <c r="PSV136" s="9"/>
      <c r="PSW136" s="18"/>
      <c r="PSX136" s="18"/>
      <c r="PSY136" s="18"/>
      <c r="PSZ136" s="18"/>
      <c r="PTA136" s="18"/>
      <c r="PTB136" s="17"/>
      <c r="PTC136" s="9"/>
      <c r="PTD136" s="9"/>
      <c r="PTE136" s="18"/>
      <c r="PTF136" s="18"/>
      <c r="PTG136" s="18"/>
      <c r="PTH136" s="18"/>
      <c r="PTI136" s="18"/>
      <c r="PTJ136" s="17"/>
      <c r="PTK136" s="9"/>
      <c r="PTL136" s="9"/>
      <c r="PTM136" s="18"/>
      <c r="PTN136" s="18"/>
      <c r="PTO136" s="18"/>
      <c r="PTP136" s="18"/>
      <c r="PTQ136" s="18"/>
      <c r="PTR136" s="17"/>
      <c r="PTS136" s="9"/>
      <c r="PTT136" s="9"/>
      <c r="PTU136" s="18"/>
      <c r="PTV136" s="18"/>
      <c r="PTW136" s="18"/>
      <c r="PTX136" s="18"/>
      <c r="PTY136" s="18"/>
      <c r="PTZ136" s="17"/>
      <c r="PUA136" s="9"/>
      <c r="PUB136" s="9"/>
      <c r="PUC136" s="18"/>
      <c r="PUD136" s="18"/>
      <c r="PUE136" s="18"/>
      <c r="PUF136" s="18"/>
      <c r="PUG136" s="18"/>
      <c r="PUH136" s="17"/>
      <c r="PUI136" s="9"/>
      <c r="PUJ136" s="9"/>
      <c r="PUK136" s="18"/>
      <c r="PUL136" s="18"/>
      <c r="PUM136" s="18"/>
      <c r="PUN136" s="18"/>
      <c r="PUO136" s="18"/>
      <c r="PUP136" s="17"/>
      <c r="PUQ136" s="9"/>
      <c r="PUR136" s="9"/>
      <c r="PUS136" s="18"/>
      <c r="PUT136" s="18"/>
      <c r="PUU136" s="18"/>
      <c r="PUV136" s="18"/>
      <c r="PUW136" s="18"/>
      <c r="PUX136" s="17"/>
      <c r="PUY136" s="9"/>
      <c r="PUZ136" s="9"/>
      <c r="PVA136" s="18"/>
      <c r="PVB136" s="18"/>
      <c r="PVC136" s="18"/>
      <c r="PVD136" s="18"/>
      <c r="PVE136" s="18"/>
      <c r="PVF136" s="17"/>
      <c r="PVG136" s="9"/>
      <c r="PVH136" s="9"/>
      <c r="PVI136" s="18"/>
      <c r="PVJ136" s="18"/>
      <c r="PVK136" s="18"/>
      <c r="PVL136" s="18"/>
      <c r="PVM136" s="18"/>
      <c r="PVN136" s="17"/>
      <c r="PVO136" s="9"/>
      <c r="PVP136" s="9"/>
      <c r="PVQ136" s="18"/>
      <c r="PVR136" s="18"/>
      <c r="PVS136" s="18"/>
      <c r="PVT136" s="18"/>
      <c r="PVU136" s="18"/>
      <c r="PVV136" s="17"/>
      <c r="PVW136" s="9"/>
      <c r="PVX136" s="9"/>
      <c r="PVY136" s="18"/>
      <c r="PVZ136" s="18"/>
      <c r="PWA136" s="18"/>
      <c r="PWB136" s="18"/>
      <c r="PWC136" s="18"/>
      <c r="PWD136" s="17"/>
      <c r="PWE136" s="9"/>
      <c r="PWF136" s="9"/>
      <c r="PWG136" s="18"/>
      <c r="PWH136" s="18"/>
      <c r="PWI136" s="18"/>
      <c r="PWJ136" s="18"/>
      <c r="PWK136" s="18"/>
      <c r="PWL136" s="17"/>
      <c r="PWM136" s="9"/>
      <c r="PWN136" s="9"/>
      <c r="PWO136" s="18"/>
      <c r="PWP136" s="18"/>
      <c r="PWQ136" s="18"/>
      <c r="PWR136" s="18"/>
      <c r="PWS136" s="18"/>
      <c r="PWT136" s="17"/>
      <c r="PWU136" s="9"/>
      <c r="PWV136" s="9"/>
      <c r="PWW136" s="18"/>
      <c r="PWX136" s="18"/>
      <c r="PWY136" s="18"/>
      <c r="PWZ136" s="18"/>
      <c r="PXA136" s="18"/>
      <c r="PXB136" s="17"/>
      <c r="PXC136" s="9"/>
      <c r="PXD136" s="9"/>
      <c r="PXE136" s="18"/>
      <c r="PXF136" s="18"/>
      <c r="PXG136" s="18"/>
      <c r="PXH136" s="18"/>
      <c r="PXI136" s="18"/>
      <c r="PXJ136" s="17"/>
      <c r="PXK136" s="9"/>
      <c r="PXL136" s="9"/>
      <c r="PXM136" s="18"/>
      <c r="PXN136" s="18"/>
      <c r="PXO136" s="18"/>
      <c r="PXP136" s="18"/>
      <c r="PXQ136" s="18"/>
      <c r="PXR136" s="17"/>
      <c r="PXS136" s="9"/>
      <c r="PXT136" s="9"/>
      <c r="PXU136" s="18"/>
      <c r="PXV136" s="18"/>
      <c r="PXW136" s="18"/>
      <c r="PXX136" s="18"/>
      <c r="PXY136" s="18"/>
      <c r="PXZ136" s="17"/>
      <c r="PYA136" s="9"/>
      <c r="PYB136" s="9"/>
      <c r="PYC136" s="18"/>
      <c r="PYD136" s="18"/>
      <c r="PYE136" s="18"/>
      <c r="PYF136" s="18"/>
      <c r="PYG136" s="18"/>
      <c r="PYH136" s="17"/>
      <c r="PYI136" s="9"/>
      <c r="PYJ136" s="9"/>
      <c r="PYK136" s="18"/>
      <c r="PYL136" s="18"/>
      <c r="PYM136" s="18"/>
      <c r="PYN136" s="18"/>
      <c r="PYO136" s="18"/>
      <c r="PYP136" s="17"/>
      <c r="PYQ136" s="9"/>
      <c r="PYR136" s="9"/>
      <c r="PYS136" s="18"/>
      <c r="PYT136" s="18"/>
      <c r="PYU136" s="18"/>
      <c r="PYV136" s="18"/>
      <c r="PYW136" s="18"/>
      <c r="PYX136" s="17"/>
      <c r="PYY136" s="9"/>
      <c r="PYZ136" s="9"/>
      <c r="PZA136" s="18"/>
      <c r="PZB136" s="18"/>
      <c r="PZC136" s="18"/>
      <c r="PZD136" s="18"/>
      <c r="PZE136" s="18"/>
      <c r="PZF136" s="17"/>
      <c r="PZG136" s="9"/>
      <c r="PZH136" s="9"/>
      <c r="PZI136" s="18"/>
      <c r="PZJ136" s="18"/>
      <c r="PZK136" s="18"/>
      <c r="PZL136" s="18"/>
      <c r="PZM136" s="18"/>
      <c r="PZN136" s="17"/>
      <c r="PZO136" s="9"/>
      <c r="PZP136" s="9"/>
      <c r="PZQ136" s="18"/>
      <c r="PZR136" s="18"/>
      <c r="PZS136" s="18"/>
      <c r="PZT136" s="18"/>
      <c r="PZU136" s="18"/>
      <c r="PZV136" s="17"/>
      <c r="PZW136" s="9"/>
      <c r="PZX136" s="9"/>
      <c r="PZY136" s="18"/>
      <c r="PZZ136" s="18"/>
      <c r="QAA136" s="18"/>
      <c r="QAB136" s="18"/>
      <c r="QAC136" s="18"/>
      <c r="QAD136" s="17"/>
      <c r="QAE136" s="9"/>
      <c r="QAF136" s="9"/>
      <c r="QAG136" s="18"/>
      <c r="QAH136" s="18"/>
      <c r="QAI136" s="18"/>
      <c r="QAJ136" s="18"/>
      <c r="QAK136" s="18"/>
      <c r="QAL136" s="17"/>
      <c r="QAM136" s="9"/>
      <c r="QAN136" s="9"/>
      <c r="QAO136" s="18"/>
      <c r="QAP136" s="18"/>
      <c r="QAQ136" s="18"/>
      <c r="QAR136" s="18"/>
      <c r="QAS136" s="18"/>
      <c r="QAT136" s="17"/>
      <c r="QAU136" s="9"/>
      <c r="QAV136" s="9"/>
      <c r="QAW136" s="18"/>
      <c r="QAX136" s="18"/>
      <c r="QAY136" s="18"/>
      <c r="QAZ136" s="18"/>
      <c r="QBA136" s="18"/>
      <c r="QBB136" s="17"/>
      <c r="QBC136" s="9"/>
      <c r="QBD136" s="9"/>
      <c r="QBE136" s="18"/>
      <c r="QBF136" s="18"/>
      <c r="QBG136" s="18"/>
      <c r="QBH136" s="18"/>
      <c r="QBI136" s="18"/>
      <c r="QBJ136" s="17"/>
      <c r="QBK136" s="9"/>
      <c r="QBL136" s="9"/>
      <c r="QBM136" s="18"/>
      <c r="QBN136" s="18"/>
      <c r="QBO136" s="18"/>
      <c r="QBP136" s="18"/>
      <c r="QBQ136" s="18"/>
      <c r="QBR136" s="17"/>
      <c r="QBS136" s="9"/>
      <c r="QBT136" s="9"/>
      <c r="QBU136" s="18"/>
      <c r="QBV136" s="18"/>
      <c r="QBW136" s="18"/>
      <c r="QBX136" s="18"/>
      <c r="QBY136" s="18"/>
      <c r="QBZ136" s="17"/>
      <c r="QCA136" s="9"/>
      <c r="QCB136" s="9"/>
      <c r="QCC136" s="18"/>
      <c r="QCD136" s="18"/>
      <c r="QCE136" s="18"/>
      <c r="QCF136" s="18"/>
      <c r="QCG136" s="18"/>
      <c r="QCH136" s="17"/>
      <c r="QCI136" s="9"/>
      <c r="QCJ136" s="9"/>
      <c r="QCK136" s="18"/>
      <c r="QCL136" s="18"/>
      <c r="QCM136" s="18"/>
      <c r="QCN136" s="18"/>
      <c r="QCO136" s="18"/>
      <c r="QCP136" s="17"/>
      <c r="QCQ136" s="9"/>
      <c r="QCR136" s="9"/>
      <c r="QCS136" s="18"/>
      <c r="QCT136" s="18"/>
      <c r="QCU136" s="18"/>
      <c r="QCV136" s="18"/>
      <c r="QCW136" s="18"/>
      <c r="QCX136" s="17"/>
      <c r="QCY136" s="9"/>
      <c r="QCZ136" s="9"/>
      <c r="QDA136" s="18"/>
      <c r="QDB136" s="18"/>
      <c r="QDC136" s="18"/>
      <c r="QDD136" s="18"/>
      <c r="QDE136" s="18"/>
      <c r="QDF136" s="17"/>
      <c r="QDG136" s="9"/>
      <c r="QDH136" s="9"/>
      <c r="QDI136" s="18"/>
      <c r="QDJ136" s="18"/>
      <c r="QDK136" s="18"/>
      <c r="QDL136" s="18"/>
      <c r="QDM136" s="18"/>
      <c r="QDN136" s="17"/>
      <c r="QDO136" s="9"/>
      <c r="QDP136" s="9"/>
      <c r="QDQ136" s="18"/>
      <c r="QDR136" s="18"/>
      <c r="QDS136" s="18"/>
      <c r="QDT136" s="18"/>
      <c r="QDU136" s="18"/>
      <c r="QDV136" s="17"/>
      <c r="QDW136" s="9"/>
      <c r="QDX136" s="9"/>
      <c r="QDY136" s="18"/>
      <c r="QDZ136" s="18"/>
      <c r="QEA136" s="18"/>
      <c r="QEB136" s="18"/>
      <c r="QEC136" s="18"/>
      <c r="QED136" s="17"/>
      <c r="QEE136" s="9"/>
      <c r="QEF136" s="9"/>
      <c r="QEG136" s="18"/>
      <c r="QEH136" s="18"/>
      <c r="QEI136" s="18"/>
      <c r="QEJ136" s="18"/>
      <c r="QEK136" s="18"/>
      <c r="QEL136" s="17"/>
      <c r="QEM136" s="9"/>
      <c r="QEN136" s="9"/>
      <c r="QEO136" s="18"/>
      <c r="QEP136" s="18"/>
      <c r="QEQ136" s="18"/>
      <c r="QER136" s="18"/>
      <c r="QES136" s="18"/>
      <c r="QET136" s="17"/>
      <c r="QEU136" s="9"/>
      <c r="QEV136" s="9"/>
      <c r="QEW136" s="18"/>
      <c r="QEX136" s="18"/>
      <c r="QEY136" s="18"/>
      <c r="QEZ136" s="18"/>
      <c r="QFA136" s="18"/>
      <c r="QFB136" s="17"/>
      <c r="QFC136" s="9"/>
      <c r="QFD136" s="9"/>
      <c r="QFE136" s="18"/>
      <c r="QFF136" s="18"/>
      <c r="QFG136" s="18"/>
      <c r="QFH136" s="18"/>
      <c r="QFI136" s="18"/>
      <c r="QFJ136" s="17"/>
      <c r="QFK136" s="9"/>
      <c r="QFL136" s="9"/>
      <c r="QFM136" s="18"/>
      <c r="QFN136" s="18"/>
      <c r="QFO136" s="18"/>
      <c r="QFP136" s="18"/>
      <c r="QFQ136" s="18"/>
      <c r="QFR136" s="17"/>
      <c r="QFS136" s="9"/>
      <c r="QFT136" s="9"/>
      <c r="QFU136" s="18"/>
      <c r="QFV136" s="18"/>
      <c r="QFW136" s="18"/>
      <c r="QFX136" s="18"/>
      <c r="QFY136" s="18"/>
      <c r="QFZ136" s="17"/>
      <c r="QGA136" s="9"/>
      <c r="QGB136" s="9"/>
      <c r="QGC136" s="18"/>
      <c r="QGD136" s="18"/>
      <c r="QGE136" s="18"/>
      <c r="QGF136" s="18"/>
      <c r="QGG136" s="18"/>
      <c r="QGH136" s="17"/>
      <c r="QGI136" s="9"/>
      <c r="QGJ136" s="9"/>
      <c r="QGK136" s="18"/>
      <c r="QGL136" s="18"/>
      <c r="QGM136" s="18"/>
      <c r="QGN136" s="18"/>
      <c r="QGO136" s="18"/>
      <c r="QGP136" s="17"/>
      <c r="QGQ136" s="9"/>
      <c r="QGR136" s="9"/>
      <c r="QGS136" s="18"/>
      <c r="QGT136" s="18"/>
      <c r="QGU136" s="18"/>
      <c r="QGV136" s="18"/>
      <c r="QGW136" s="18"/>
      <c r="QGX136" s="17"/>
      <c r="QGY136" s="9"/>
      <c r="QGZ136" s="9"/>
      <c r="QHA136" s="18"/>
      <c r="QHB136" s="18"/>
      <c r="QHC136" s="18"/>
      <c r="QHD136" s="18"/>
      <c r="QHE136" s="18"/>
      <c r="QHF136" s="17"/>
      <c r="QHG136" s="9"/>
      <c r="QHH136" s="9"/>
      <c r="QHI136" s="18"/>
      <c r="QHJ136" s="18"/>
      <c r="QHK136" s="18"/>
      <c r="QHL136" s="18"/>
      <c r="QHM136" s="18"/>
      <c r="QHN136" s="17"/>
      <c r="QHO136" s="9"/>
      <c r="QHP136" s="9"/>
      <c r="QHQ136" s="18"/>
      <c r="QHR136" s="18"/>
      <c r="QHS136" s="18"/>
      <c r="QHT136" s="18"/>
      <c r="QHU136" s="18"/>
      <c r="QHV136" s="17"/>
      <c r="QHW136" s="9"/>
      <c r="QHX136" s="9"/>
      <c r="QHY136" s="18"/>
      <c r="QHZ136" s="18"/>
      <c r="QIA136" s="18"/>
      <c r="QIB136" s="18"/>
      <c r="QIC136" s="18"/>
      <c r="QID136" s="17"/>
      <c r="QIE136" s="9"/>
      <c r="QIF136" s="9"/>
      <c r="QIG136" s="18"/>
      <c r="QIH136" s="18"/>
      <c r="QII136" s="18"/>
      <c r="QIJ136" s="18"/>
      <c r="QIK136" s="18"/>
      <c r="QIL136" s="17"/>
      <c r="QIM136" s="9"/>
      <c r="QIN136" s="9"/>
      <c r="QIO136" s="18"/>
      <c r="QIP136" s="18"/>
      <c r="QIQ136" s="18"/>
      <c r="QIR136" s="18"/>
      <c r="QIS136" s="18"/>
      <c r="QIT136" s="17"/>
      <c r="QIU136" s="9"/>
      <c r="QIV136" s="9"/>
      <c r="QIW136" s="18"/>
      <c r="QIX136" s="18"/>
      <c r="QIY136" s="18"/>
      <c r="QIZ136" s="18"/>
      <c r="QJA136" s="18"/>
      <c r="QJB136" s="17"/>
      <c r="QJC136" s="9"/>
      <c r="QJD136" s="9"/>
      <c r="QJE136" s="18"/>
      <c r="QJF136" s="18"/>
      <c r="QJG136" s="18"/>
      <c r="QJH136" s="18"/>
      <c r="QJI136" s="18"/>
      <c r="QJJ136" s="17"/>
      <c r="QJK136" s="9"/>
      <c r="QJL136" s="9"/>
      <c r="QJM136" s="18"/>
      <c r="QJN136" s="18"/>
      <c r="QJO136" s="18"/>
      <c r="QJP136" s="18"/>
      <c r="QJQ136" s="18"/>
      <c r="QJR136" s="17"/>
      <c r="QJS136" s="9"/>
      <c r="QJT136" s="9"/>
      <c r="QJU136" s="18"/>
      <c r="QJV136" s="18"/>
      <c r="QJW136" s="18"/>
      <c r="QJX136" s="18"/>
      <c r="QJY136" s="18"/>
      <c r="QJZ136" s="17"/>
      <c r="QKA136" s="9"/>
      <c r="QKB136" s="9"/>
      <c r="QKC136" s="18"/>
      <c r="QKD136" s="18"/>
      <c r="QKE136" s="18"/>
      <c r="QKF136" s="18"/>
      <c r="QKG136" s="18"/>
      <c r="QKH136" s="17"/>
      <c r="QKI136" s="9"/>
      <c r="QKJ136" s="9"/>
      <c r="QKK136" s="18"/>
      <c r="QKL136" s="18"/>
      <c r="QKM136" s="18"/>
      <c r="QKN136" s="18"/>
      <c r="QKO136" s="18"/>
      <c r="QKP136" s="17"/>
      <c r="QKQ136" s="9"/>
      <c r="QKR136" s="9"/>
      <c r="QKS136" s="18"/>
      <c r="QKT136" s="18"/>
      <c r="QKU136" s="18"/>
      <c r="QKV136" s="18"/>
      <c r="QKW136" s="18"/>
      <c r="QKX136" s="17"/>
      <c r="QKY136" s="9"/>
      <c r="QKZ136" s="9"/>
      <c r="QLA136" s="18"/>
      <c r="QLB136" s="18"/>
      <c r="QLC136" s="18"/>
      <c r="QLD136" s="18"/>
      <c r="QLE136" s="18"/>
      <c r="QLF136" s="17"/>
      <c r="QLG136" s="9"/>
      <c r="QLH136" s="9"/>
      <c r="QLI136" s="18"/>
      <c r="QLJ136" s="18"/>
      <c r="QLK136" s="18"/>
      <c r="QLL136" s="18"/>
      <c r="QLM136" s="18"/>
      <c r="QLN136" s="17"/>
      <c r="QLO136" s="9"/>
      <c r="QLP136" s="9"/>
      <c r="QLQ136" s="18"/>
      <c r="QLR136" s="18"/>
      <c r="QLS136" s="18"/>
      <c r="QLT136" s="18"/>
      <c r="QLU136" s="18"/>
      <c r="QLV136" s="17"/>
      <c r="QLW136" s="9"/>
      <c r="QLX136" s="9"/>
      <c r="QLY136" s="18"/>
      <c r="QLZ136" s="18"/>
      <c r="QMA136" s="18"/>
      <c r="QMB136" s="18"/>
      <c r="QMC136" s="18"/>
      <c r="QMD136" s="17"/>
      <c r="QME136" s="9"/>
      <c r="QMF136" s="9"/>
      <c r="QMG136" s="18"/>
      <c r="QMH136" s="18"/>
      <c r="QMI136" s="18"/>
      <c r="QMJ136" s="18"/>
      <c r="QMK136" s="18"/>
      <c r="QML136" s="17"/>
      <c r="QMM136" s="9"/>
      <c r="QMN136" s="9"/>
      <c r="QMO136" s="18"/>
      <c r="QMP136" s="18"/>
      <c r="QMQ136" s="18"/>
      <c r="QMR136" s="18"/>
      <c r="QMS136" s="18"/>
      <c r="QMT136" s="17"/>
      <c r="QMU136" s="9"/>
      <c r="QMV136" s="9"/>
      <c r="QMW136" s="18"/>
      <c r="QMX136" s="18"/>
      <c r="QMY136" s="18"/>
      <c r="QMZ136" s="18"/>
      <c r="QNA136" s="18"/>
      <c r="QNB136" s="17"/>
      <c r="QNC136" s="9"/>
      <c r="QND136" s="9"/>
      <c r="QNE136" s="18"/>
      <c r="QNF136" s="18"/>
      <c r="QNG136" s="18"/>
      <c r="QNH136" s="18"/>
      <c r="QNI136" s="18"/>
      <c r="QNJ136" s="17"/>
      <c r="QNK136" s="9"/>
      <c r="QNL136" s="9"/>
      <c r="QNM136" s="18"/>
      <c r="QNN136" s="18"/>
      <c r="QNO136" s="18"/>
      <c r="QNP136" s="18"/>
      <c r="QNQ136" s="18"/>
      <c r="QNR136" s="17"/>
      <c r="QNS136" s="9"/>
      <c r="QNT136" s="9"/>
      <c r="QNU136" s="18"/>
      <c r="QNV136" s="18"/>
      <c r="QNW136" s="18"/>
      <c r="QNX136" s="18"/>
      <c r="QNY136" s="18"/>
      <c r="QNZ136" s="17"/>
      <c r="QOA136" s="9"/>
      <c r="QOB136" s="9"/>
      <c r="QOC136" s="18"/>
      <c r="QOD136" s="18"/>
      <c r="QOE136" s="18"/>
      <c r="QOF136" s="18"/>
      <c r="QOG136" s="18"/>
      <c r="QOH136" s="17"/>
      <c r="QOI136" s="9"/>
      <c r="QOJ136" s="9"/>
      <c r="QOK136" s="18"/>
      <c r="QOL136" s="18"/>
      <c r="QOM136" s="18"/>
      <c r="QON136" s="18"/>
      <c r="QOO136" s="18"/>
      <c r="QOP136" s="17"/>
      <c r="QOQ136" s="9"/>
      <c r="QOR136" s="9"/>
      <c r="QOS136" s="18"/>
      <c r="QOT136" s="18"/>
      <c r="QOU136" s="18"/>
      <c r="QOV136" s="18"/>
      <c r="QOW136" s="18"/>
      <c r="QOX136" s="17"/>
      <c r="QOY136" s="9"/>
      <c r="QOZ136" s="9"/>
      <c r="QPA136" s="18"/>
      <c r="QPB136" s="18"/>
      <c r="QPC136" s="18"/>
      <c r="QPD136" s="18"/>
      <c r="QPE136" s="18"/>
      <c r="QPF136" s="17"/>
      <c r="QPG136" s="9"/>
      <c r="QPH136" s="9"/>
      <c r="QPI136" s="18"/>
      <c r="QPJ136" s="18"/>
      <c r="QPK136" s="18"/>
      <c r="QPL136" s="18"/>
      <c r="QPM136" s="18"/>
      <c r="QPN136" s="17"/>
      <c r="QPO136" s="9"/>
      <c r="QPP136" s="9"/>
      <c r="QPQ136" s="18"/>
      <c r="QPR136" s="18"/>
      <c r="QPS136" s="18"/>
      <c r="QPT136" s="18"/>
      <c r="QPU136" s="18"/>
      <c r="QPV136" s="17"/>
      <c r="QPW136" s="9"/>
      <c r="QPX136" s="9"/>
      <c r="QPY136" s="18"/>
      <c r="QPZ136" s="18"/>
      <c r="QQA136" s="18"/>
      <c r="QQB136" s="18"/>
      <c r="QQC136" s="18"/>
      <c r="QQD136" s="17"/>
      <c r="QQE136" s="9"/>
      <c r="QQF136" s="9"/>
      <c r="QQG136" s="18"/>
      <c r="QQH136" s="18"/>
      <c r="QQI136" s="18"/>
      <c r="QQJ136" s="18"/>
      <c r="QQK136" s="18"/>
      <c r="QQL136" s="17"/>
      <c r="QQM136" s="9"/>
      <c r="QQN136" s="9"/>
      <c r="QQO136" s="18"/>
      <c r="QQP136" s="18"/>
      <c r="QQQ136" s="18"/>
      <c r="QQR136" s="18"/>
      <c r="QQS136" s="18"/>
      <c r="QQT136" s="17"/>
      <c r="QQU136" s="9"/>
      <c r="QQV136" s="9"/>
      <c r="QQW136" s="18"/>
      <c r="QQX136" s="18"/>
      <c r="QQY136" s="18"/>
      <c r="QQZ136" s="18"/>
      <c r="QRA136" s="18"/>
      <c r="QRB136" s="17"/>
      <c r="QRC136" s="9"/>
      <c r="QRD136" s="9"/>
      <c r="QRE136" s="18"/>
      <c r="QRF136" s="18"/>
      <c r="QRG136" s="18"/>
      <c r="QRH136" s="18"/>
      <c r="QRI136" s="18"/>
      <c r="QRJ136" s="17"/>
      <c r="QRK136" s="9"/>
      <c r="QRL136" s="9"/>
      <c r="QRM136" s="18"/>
      <c r="QRN136" s="18"/>
      <c r="QRO136" s="18"/>
      <c r="QRP136" s="18"/>
      <c r="QRQ136" s="18"/>
      <c r="QRR136" s="17"/>
      <c r="QRS136" s="9"/>
      <c r="QRT136" s="9"/>
      <c r="QRU136" s="18"/>
      <c r="QRV136" s="18"/>
      <c r="QRW136" s="18"/>
      <c r="QRX136" s="18"/>
      <c r="QRY136" s="18"/>
      <c r="QRZ136" s="17"/>
      <c r="QSA136" s="9"/>
      <c r="QSB136" s="9"/>
      <c r="QSC136" s="18"/>
      <c r="QSD136" s="18"/>
      <c r="QSE136" s="18"/>
      <c r="QSF136" s="18"/>
      <c r="QSG136" s="18"/>
      <c r="QSH136" s="17"/>
      <c r="QSI136" s="9"/>
      <c r="QSJ136" s="9"/>
      <c r="QSK136" s="18"/>
      <c r="QSL136" s="18"/>
      <c r="QSM136" s="18"/>
      <c r="QSN136" s="18"/>
      <c r="QSO136" s="18"/>
      <c r="QSP136" s="17"/>
      <c r="QSQ136" s="9"/>
      <c r="QSR136" s="9"/>
      <c r="QSS136" s="18"/>
      <c r="QST136" s="18"/>
      <c r="QSU136" s="18"/>
      <c r="QSV136" s="18"/>
      <c r="QSW136" s="18"/>
      <c r="QSX136" s="17"/>
      <c r="QSY136" s="9"/>
      <c r="QSZ136" s="9"/>
      <c r="QTA136" s="18"/>
      <c r="QTB136" s="18"/>
      <c r="QTC136" s="18"/>
      <c r="QTD136" s="18"/>
      <c r="QTE136" s="18"/>
      <c r="QTF136" s="17"/>
      <c r="QTG136" s="9"/>
      <c r="QTH136" s="9"/>
      <c r="QTI136" s="18"/>
      <c r="QTJ136" s="18"/>
      <c r="QTK136" s="18"/>
      <c r="QTL136" s="18"/>
      <c r="QTM136" s="18"/>
      <c r="QTN136" s="17"/>
      <c r="QTO136" s="9"/>
      <c r="QTP136" s="9"/>
      <c r="QTQ136" s="18"/>
      <c r="QTR136" s="18"/>
      <c r="QTS136" s="18"/>
      <c r="QTT136" s="18"/>
      <c r="QTU136" s="18"/>
      <c r="QTV136" s="17"/>
      <c r="QTW136" s="9"/>
      <c r="QTX136" s="9"/>
      <c r="QTY136" s="18"/>
      <c r="QTZ136" s="18"/>
      <c r="QUA136" s="18"/>
      <c r="QUB136" s="18"/>
      <c r="QUC136" s="18"/>
      <c r="QUD136" s="17"/>
      <c r="QUE136" s="9"/>
      <c r="QUF136" s="9"/>
      <c r="QUG136" s="18"/>
      <c r="QUH136" s="18"/>
      <c r="QUI136" s="18"/>
      <c r="QUJ136" s="18"/>
      <c r="QUK136" s="18"/>
      <c r="QUL136" s="17"/>
      <c r="QUM136" s="9"/>
      <c r="QUN136" s="9"/>
      <c r="QUO136" s="18"/>
      <c r="QUP136" s="18"/>
      <c r="QUQ136" s="18"/>
      <c r="QUR136" s="18"/>
      <c r="QUS136" s="18"/>
      <c r="QUT136" s="17"/>
      <c r="QUU136" s="9"/>
      <c r="QUV136" s="9"/>
      <c r="QUW136" s="18"/>
      <c r="QUX136" s="18"/>
      <c r="QUY136" s="18"/>
      <c r="QUZ136" s="18"/>
      <c r="QVA136" s="18"/>
      <c r="QVB136" s="17"/>
      <c r="QVC136" s="9"/>
      <c r="QVD136" s="9"/>
      <c r="QVE136" s="18"/>
      <c r="QVF136" s="18"/>
      <c r="QVG136" s="18"/>
      <c r="QVH136" s="18"/>
      <c r="QVI136" s="18"/>
      <c r="QVJ136" s="17"/>
      <c r="QVK136" s="9"/>
      <c r="QVL136" s="9"/>
      <c r="QVM136" s="18"/>
      <c r="QVN136" s="18"/>
      <c r="QVO136" s="18"/>
      <c r="QVP136" s="18"/>
      <c r="QVQ136" s="18"/>
      <c r="QVR136" s="17"/>
      <c r="QVS136" s="9"/>
      <c r="QVT136" s="9"/>
      <c r="QVU136" s="18"/>
      <c r="QVV136" s="18"/>
      <c r="QVW136" s="18"/>
      <c r="QVX136" s="18"/>
      <c r="QVY136" s="18"/>
      <c r="QVZ136" s="17"/>
      <c r="QWA136" s="9"/>
      <c r="QWB136" s="9"/>
      <c r="QWC136" s="18"/>
      <c r="QWD136" s="18"/>
      <c r="QWE136" s="18"/>
      <c r="QWF136" s="18"/>
      <c r="QWG136" s="18"/>
      <c r="QWH136" s="17"/>
      <c r="QWI136" s="9"/>
      <c r="QWJ136" s="9"/>
      <c r="QWK136" s="18"/>
      <c r="QWL136" s="18"/>
      <c r="QWM136" s="18"/>
      <c r="QWN136" s="18"/>
      <c r="QWO136" s="18"/>
      <c r="QWP136" s="17"/>
      <c r="QWQ136" s="9"/>
      <c r="QWR136" s="9"/>
      <c r="QWS136" s="18"/>
      <c r="QWT136" s="18"/>
      <c r="QWU136" s="18"/>
      <c r="QWV136" s="18"/>
      <c r="QWW136" s="18"/>
      <c r="QWX136" s="17"/>
      <c r="QWY136" s="9"/>
      <c r="QWZ136" s="9"/>
      <c r="QXA136" s="18"/>
      <c r="QXB136" s="18"/>
      <c r="QXC136" s="18"/>
      <c r="QXD136" s="18"/>
      <c r="QXE136" s="18"/>
      <c r="QXF136" s="17"/>
      <c r="QXG136" s="9"/>
      <c r="QXH136" s="9"/>
      <c r="QXI136" s="18"/>
      <c r="QXJ136" s="18"/>
      <c r="QXK136" s="18"/>
      <c r="QXL136" s="18"/>
      <c r="QXM136" s="18"/>
      <c r="QXN136" s="17"/>
      <c r="QXO136" s="9"/>
      <c r="QXP136" s="9"/>
      <c r="QXQ136" s="18"/>
      <c r="QXR136" s="18"/>
      <c r="QXS136" s="18"/>
      <c r="QXT136" s="18"/>
      <c r="QXU136" s="18"/>
      <c r="QXV136" s="17"/>
      <c r="QXW136" s="9"/>
      <c r="QXX136" s="9"/>
      <c r="QXY136" s="18"/>
      <c r="QXZ136" s="18"/>
      <c r="QYA136" s="18"/>
      <c r="QYB136" s="18"/>
      <c r="QYC136" s="18"/>
      <c r="QYD136" s="17"/>
      <c r="QYE136" s="9"/>
      <c r="QYF136" s="9"/>
      <c r="QYG136" s="18"/>
      <c r="QYH136" s="18"/>
      <c r="QYI136" s="18"/>
      <c r="QYJ136" s="18"/>
      <c r="QYK136" s="18"/>
      <c r="QYL136" s="17"/>
      <c r="QYM136" s="9"/>
      <c r="QYN136" s="9"/>
      <c r="QYO136" s="18"/>
      <c r="QYP136" s="18"/>
      <c r="QYQ136" s="18"/>
      <c r="QYR136" s="18"/>
      <c r="QYS136" s="18"/>
      <c r="QYT136" s="17"/>
      <c r="QYU136" s="9"/>
      <c r="QYV136" s="9"/>
      <c r="QYW136" s="18"/>
      <c r="QYX136" s="18"/>
      <c r="QYY136" s="18"/>
      <c r="QYZ136" s="18"/>
      <c r="QZA136" s="18"/>
      <c r="QZB136" s="17"/>
      <c r="QZC136" s="9"/>
      <c r="QZD136" s="9"/>
      <c r="QZE136" s="18"/>
      <c r="QZF136" s="18"/>
      <c r="QZG136" s="18"/>
      <c r="QZH136" s="18"/>
      <c r="QZI136" s="18"/>
      <c r="QZJ136" s="17"/>
      <c r="QZK136" s="9"/>
      <c r="QZL136" s="9"/>
      <c r="QZM136" s="18"/>
      <c r="QZN136" s="18"/>
      <c r="QZO136" s="18"/>
      <c r="QZP136" s="18"/>
      <c r="QZQ136" s="18"/>
      <c r="QZR136" s="17"/>
      <c r="QZS136" s="9"/>
      <c r="QZT136" s="9"/>
      <c r="QZU136" s="18"/>
      <c r="QZV136" s="18"/>
      <c r="QZW136" s="18"/>
      <c r="QZX136" s="18"/>
      <c r="QZY136" s="18"/>
      <c r="QZZ136" s="17"/>
      <c r="RAA136" s="9"/>
      <c r="RAB136" s="9"/>
      <c r="RAC136" s="18"/>
      <c r="RAD136" s="18"/>
      <c r="RAE136" s="18"/>
      <c r="RAF136" s="18"/>
      <c r="RAG136" s="18"/>
      <c r="RAH136" s="17"/>
      <c r="RAI136" s="9"/>
      <c r="RAJ136" s="9"/>
      <c r="RAK136" s="18"/>
      <c r="RAL136" s="18"/>
      <c r="RAM136" s="18"/>
      <c r="RAN136" s="18"/>
      <c r="RAO136" s="18"/>
      <c r="RAP136" s="17"/>
      <c r="RAQ136" s="9"/>
      <c r="RAR136" s="9"/>
      <c r="RAS136" s="18"/>
      <c r="RAT136" s="18"/>
      <c r="RAU136" s="18"/>
      <c r="RAV136" s="18"/>
      <c r="RAW136" s="18"/>
      <c r="RAX136" s="17"/>
      <c r="RAY136" s="9"/>
      <c r="RAZ136" s="9"/>
      <c r="RBA136" s="18"/>
      <c r="RBB136" s="18"/>
      <c r="RBC136" s="18"/>
      <c r="RBD136" s="18"/>
      <c r="RBE136" s="18"/>
      <c r="RBF136" s="17"/>
      <c r="RBG136" s="9"/>
      <c r="RBH136" s="9"/>
      <c r="RBI136" s="18"/>
      <c r="RBJ136" s="18"/>
      <c r="RBK136" s="18"/>
      <c r="RBL136" s="18"/>
      <c r="RBM136" s="18"/>
      <c r="RBN136" s="17"/>
      <c r="RBO136" s="9"/>
      <c r="RBP136" s="9"/>
      <c r="RBQ136" s="18"/>
      <c r="RBR136" s="18"/>
      <c r="RBS136" s="18"/>
      <c r="RBT136" s="18"/>
      <c r="RBU136" s="18"/>
      <c r="RBV136" s="17"/>
      <c r="RBW136" s="9"/>
      <c r="RBX136" s="9"/>
      <c r="RBY136" s="18"/>
      <c r="RBZ136" s="18"/>
      <c r="RCA136" s="18"/>
      <c r="RCB136" s="18"/>
      <c r="RCC136" s="18"/>
      <c r="RCD136" s="17"/>
      <c r="RCE136" s="9"/>
      <c r="RCF136" s="9"/>
      <c r="RCG136" s="18"/>
      <c r="RCH136" s="18"/>
      <c r="RCI136" s="18"/>
      <c r="RCJ136" s="18"/>
      <c r="RCK136" s="18"/>
      <c r="RCL136" s="17"/>
      <c r="RCM136" s="9"/>
      <c r="RCN136" s="9"/>
      <c r="RCO136" s="18"/>
      <c r="RCP136" s="18"/>
      <c r="RCQ136" s="18"/>
      <c r="RCR136" s="18"/>
      <c r="RCS136" s="18"/>
      <c r="RCT136" s="17"/>
      <c r="RCU136" s="9"/>
      <c r="RCV136" s="9"/>
      <c r="RCW136" s="18"/>
      <c r="RCX136" s="18"/>
      <c r="RCY136" s="18"/>
      <c r="RCZ136" s="18"/>
      <c r="RDA136" s="18"/>
      <c r="RDB136" s="17"/>
      <c r="RDC136" s="9"/>
      <c r="RDD136" s="9"/>
      <c r="RDE136" s="18"/>
      <c r="RDF136" s="18"/>
      <c r="RDG136" s="18"/>
      <c r="RDH136" s="18"/>
      <c r="RDI136" s="18"/>
      <c r="RDJ136" s="17"/>
      <c r="RDK136" s="9"/>
      <c r="RDL136" s="9"/>
      <c r="RDM136" s="18"/>
      <c r="RDN136" s="18"/>
      <c r="RDO136" s="18"/>
      <c r="RDP136" s="18"/>
      <c r="RDQ136" s="18"/>
      <c r="RDR136" s="17"/>
      <c r="RDS136" s="9"/>
      <c r="RDT136" s="9"/>
      <c r="RDU136" s="18"/>
      <c r="RDV136" s="18"/>
      <c r="RDW136" s="18"/>
      <c r="RDX136" s="18"/>
      <c r="RDY136" s="18"/>
      <c r="RDZ136" s="17"/>
      <c r="REA136" s="9"/>
      <c r="REB136" s="9"/>
      <c r="REC136" s="18"/>
      <c r="RED136" s="18"/>
      <c r="REE136" s="18"/>
      <c r="REF136" s="18"/>
      <c r="REG136" s="18"/>
      <c r="REH136" s="17"/>
      <c r="REI136" s="9"/>
      <c r="REJ136" s="9"/>
      <c r="REK136" s="18"/>
      <c r="REL136" s="18"/>
      <c r="REM136" s="18"/>
      <c r="REN136" s="18"/>
      <c r="REO136" s="18"/>
      <c r="REP136" s="17"/>
      <c r="REQ136" s="9"/>
      <c r="RER136" s="9"/>
      <c r="RES136" s="18"/>
      <c r="RET136" s="18"/>
      <c r="REU136" s="18"/>
      <c r="REV136" s="18"/>
      <c r="REW136" s="18"/>
      <c r="REX136" s="17"/>
      <c r="REY136" s="9"/>
      <c r="REZ136" s="9"/>
      <c r="RFA136" s="18"/>
      <c r="RFB136" s="18"/>
      <c r="RFC136" s="18"/>
      <c r="RFD136" s="18"/>
      <c r="RFE136" s="18"/>
      <c r="RFF136" s="17"/>
      <c r="RFG136" s="9"/>
      <c r="RFH136" s="9"/>
      <c r="RFI136" s="18"/>
      <c r="RFJ136" s="18"/>
      <c r="RFK136" s="18"/>
      <c r="RFL136" s="18"/>
      <c r="RFM136" s="18"/>
      <c r="RFN136" s="17"/>
      <c r="RFO136" s="9"/>
      <c r="RFP136" s="9"/>
      <c r="RFQ136" s="18"/>
      <c r="RFR136" s="18"/>
      <c r="RFS136" s="18"/>
      <c r="RFT136" s="18"/>
      <c r="RFU136" s="18"/>
      <c r="RFV136" s="17"/>
      <c r="RFW136" s="9"/>
      <c r="RFX136" s="9"/>
      <c r="RFY136" s="18"/>
      <c r="RFZ136" s="18"/>
      <c r="RGA136" s="18"/>
      <c r="RGB136" s="18"/>
      <c r="RGC136" s="18"/>
      <c r="RGD136" s="17"/>
      <c r="RGE136" s="9"/>
      <c r="RGF136" s="9"/>
      <c r="RGG136" s="18"/>
      <c r="RGH136" s="18"/>
      <c r="RGI136" s="18"/>
      <c r="RGJ136" s="18"/>
      <c r="RGK136" s="18"/>
      <c r="RGL136" s="17"/>
      <c r="RGM136" s="9"/>
      <c r="RGN136" s="9"/>
      <c r="RGO136" s="18"/>
      <c r="RGP136" s="18"/>
      <c r="RGQ136" s="18"/>
      <c r="RGR136" s="18"/>
      <c r="RGS136" s="18"/>
      <c r="RGT136" s="17"/>
      <c r="RGU136" s="9"/>
      <c r="RGV136" s="9"/>
      <c r="RGW136" s="18"/>
      <c r="RGX136" s="18"/>
      <c r="RGY136" s="18"/>
      <c r="RGZ136" s="18"/>
      <c r="RHA136" s="18"/>
      <c r="RHB136" s="17"/>
      <c r="RHC136" s="9"/>
      <c r="RHD136" s="9"/>
      <c r="RHE136" s="18"/>
      <c r="RHF136" s="18"/>
      <c r="RHG136" s="18"/>
      <c r="RHH136" s="18"/>
      <c r="RHI136" s="18"/>
      <c r="RHJ136" s="17"/>
      <c r="RHK136" s="9"/>
      <c r="RHL136" s="9"/>
      <c r="RHM136" s="18"/>
      <c r="RHN136" s="18"/>
      <c r="RHO136" s="18"/>
      <c r="RHP136" s="18"/>
      <c r="RHQ136" s="18"/>
      <c r="RHR136" s="17"/>
      <c r="RHS136" s="9"/>
      <c r="RHT136" s="9"/>
      <c r="RHU136" s="18"/>
      <c r="RHV136" s="18"/>
      <c r="RHW136" s="18"/>
      <c r="RHX136" s="18"/>
      <c r="RHY136" s="18"/>
      <c r="RHZ136" s="17"/>
      <c r="RIA136" s="9"/>
      <c r="RIB136" s="9"/>
      <c r="RIC136" s="18"/>
      <c r="RID136" s="18"/>
      <c r="RIE136" s="18"/>
      <c r="RIF136" s="18"/>
      <c r="RIG136" s="18"/>
      <c r="RIH136" s="17"/>
      <c r="RII136" s="9"/>
      <c r="RIJ136" s="9"/>
      <c r="RIK136" s="18"/>
      <c r="RIL136" s="18"/>
      <c r="RIM136" s="18"/>
      <c r="RIN136" s="18"/>
      <c r="RIO136" s="18"/>
      <c r="RIP136" s="17"/>
      <c r="RIQ136" s="9"/>
      <c r="RIR136" s="9"/>
      <c r="RIS136" s="18"/>
      <c r="RIT136" s="18"/>
      <c r="RIU136" s="18"/>
      <c r="RIV136" s="18"/>
      <c r="RIW136" s="18"/>
      <c r="RIX136" s="17"/>
      <c r="RIY136" s="9"/>
      <c r="RIZ136" s="9"/>
      <c r="RJA136" s="18"/>
      <c r="RJB136" s="18"/>
      <c r="RJC136" s="18"/>
      <c r="RJD136" s="18"/>
      <c r="RJE136" s="18"/>
      <c r="RJF136" s="17"/>
      <c r="RJG136" s="9"/>
      <c r="RJH136" s="9"/>
      <c r="RJI136" s="18"/>
      <c r="RJJ136" s="18"/>
      <c r="RJK136" s="18"/>
      <c r="RJL136" s="18"/>
      <c r="RJM136" s="18"/>
      <c r="RJN136" s="17"/>
      <c r="RJO136" s="9"/>
      <c r="RJP136" s="9"/>
      <c r="RJQ136" s="18"/>
      <c r="RJR136" s="18"/>
      <c r="RJS136" s="18"/>
      <c r="RJT136" s="18"/>
      <c r="RJU136" s="18"/>
      <c r="RJV136" s="17"/>
      <c r="RJW136" s="9"/>
      <c r="RJX136" s="9"/>
      <c r="RJY136" s="18"/>
      <c r="RJZ136" s="18"/>
      <c r="RKA136" s="18"/>
      <c r="RKB136" s="18"/>
      <c r="RKC136" s="18"/>
      <c r="RKD136" s="17"/>
      <c r="RKE136" s="9"/>
      <c r="RKF136" s="9"/>
      <c r="RKG136" s="18"/>
      <c r="RKH136" s="18"/>
      <c r="RKI136" s="18"/>
      <c r="RKJ136" s="18"/>
      <c r="RKK136" s="18"/>
      <c r="RKL136" s="17"/>
      <c r="RKM136" s="9"/>
      <c r="RKN136" s="9"/>
      <c r="RKO136" s="18"/>
      <c r="RKP136" s="18"/>
      <c r="RKQ136" s="18"/>
      <c r="RKR136" s="18"/>
      <c r="RKS136" s="18"/>
      <c r="RKT136" s="17"/>
      <c r="RKU136" s="9"/>
      <c r="RKV136" s="9"/>
      <c r="RKW136" s="18"/>
      <c r="RKX136" s="18"/>
      <c r="RKY136" s="18"/>
      <c r="RKZ136" s="18"/>
      <c r="RLA136" s="18"/>
      <c r="RLB136" s="17"/>
      <c r="RLC136" s="9"/>
      <c r="RLD136" s="9"/>
      <c r="RLE136" s="18"/>
      <c r="RLF136" s="18"/>
      <c r="RLG136" s="18"/>
      <c r="RLH136" s="18"/>
      <c r="RLI136" s="18"/>
      <c r="RLJ136" s="17"/>
      <c r="RLK136" s="9"/>
      <c r="RLL136" s="9"/>
      <c r="RLM136" s="18"/>
      <c r="RLN136" s="18"/>
      <c r="RLO136" s="18"/>
      <c r="RLP136" s="18"/>
      <c r="RLQ136" s="18"/>
      <c r="RLR136" s="17"/>
      <c r="RLS136" s="9"/>
      <c r="RLT136" s="9"/>
      <c r="RLU136" s="18"/>
      <c r="RLV136" s="18"/>
      <c r="RLW136" s="18"/>
      <c r="RLX136" s="18"/>
      <c r="RLY136" s="18"/>
      <c r="RLZ136" s="17"/>
      <c r="RMA136" s="9"/>
      <c r="RMB136" s="9"/>
      <c r="RMC136" s="18"/>
      <c r="RMD136" s="18"/>
      <c r="RME136" s="18"/>
      <c r="RMF136" s="18"/>
      <c r="RMG136" s="18"/>
      <c r="RMH136" s="17"/>
      <c r="RMI136" s="9"/>
      <c r="RMJ136" s="9"/>
      <c r="RMK136" s="18"/>
      <c r="RML136" s="18"/>
      <c r="RMM136" s="18"/>
      <c r="RMN136" s="18"/>
      <c r="RMO136" s="18"/>
      <c r="RMP136" s="17"/>
      <c r="RMQ136" s="9"/>
      <c r="RMR136" s="9"/>
      <c r="RMS136" s="18"/>
      <c r="RMT136" s="18"/>
      <c r="RMU136" s="18"/>
      <c r="RMV136" s="18"/>
      <c r="RMW136" s="18"/>
      <c r="RMX136" s="17"/>
      <c r="RMY136" s="9"/>
      <c r="RMZ136" s="9"/>
      <c r="RNA136" s="18"/>
      <c r="RNB136" s="18"/>
      <c r="RNC136" s="18"/>
      <c r="RND136" s="18"/>
      <c r="RNE136" s="18"/>
      <c r="RNF136" s="17"/>
      <c r="RNG136" s="9"/>
      <c r="RNH136" s="9"/>
      <c r="RNI136" s="18"/>
      <c r="RNJ136" s="18"/>
      <c r="RNK136" s="18"/>
      <c r="RNL136" s="18"/>
      <c r="RNM136" s="18"/>
      <c r="RNN136" s="17"/>
      <c r="RNO136" s="9"/>
      <c r="RNP136" s="9"/>
      <c r="RNQ136" s="18"/>
      <c r="RNR136" s="18"/>
      <c r="RNS136" s="18"/>
      <c r="RNT136" s="18"/>
      <c r="RNU136" s="18"/>
      <c r="RNV136" s="17"/>
      <c r="RNW136" s="9"/>
      <c r="RNX136" s="9"/>
      <c r="RNY136" s="18"/>
      <c r="RNZ136" s="18"/>
      <c r="ROA136" s="18"/>
      <c r="ROB136" s="18"/>
      <c r="ROC136" s="18"/>
      <c r="ROD136" s="17"/>
      <c r="ROE136" s="9"/>
      <c r="ROF136" s="9"/>
      <c r="ROG136" s="18"/>
      <c r="ROH136" s="18"/>
      <c r="ROI136" s="18"/>
      <c r="ROJ136" s="18"/>
      <c r="ROK136" s="18"/>
      <c r="ROL136" s="17"/>
      <c r="ROM136" s="9"/>
      <c r="RON136" s="9"/>
      <c r="ROO136" s="18"/>
      <c r="ROP136" s="18"/>
      <c r="ROQ136" s="18"/>
      <c r="ROR136" s="18"/>
      <c r="ROS136" s="18"/>
      <c r="ROT136" s="17"/>
      <c r="ROU136" s="9"/>
      <c r="ROV136" s="9"/>
      <c r="ROW136" s="18"/>
      <c r="ROX136" s="18"/>
      <c r="ROY136" s="18"/>
      <c r="ROZ136" s="18"/>
      <c r="RPA136" s="18"/>
      <c r="RPB136" s="17"/>
      <c r="RPC136" s="9"/>
      <c r="RPD136" s="9"/>
      <c r="RPE136" s="18"/>
      <c r="RPF136" s="18"/>
      <c r="RPG136" s="18"/>
      <c r="RPH136" s="18"/>
      <c r="RPI136" s="18"/>
      <c r="RPJ136" s="17"/>
      <c r="RPK136" s="9"/>
      <c r="RPL136" s="9"/>
      <c r="RPM136" s="18"/>
      <c r="RPN136" s="18"/>
      <c r="RPO136" s="18"/>
      <c r="RPP136" s="18"/>
      <c r="RPQ136" s="18"/>
      <c r="RPR136" s="17"/>
      <c r="RPS136" s="9"/>
      <c r="RPT136" s="9"/>
      <c r="RPU136" s="18"/>
      <c r="RPV136" s="18"/>
      <c r="RPW136" s="18"/>
      <c r="RPX136" s="18"/>
      <c r="RPY136" s="18"/>
      <c r="RPZ136" s="17"/>
      <c r="RQA136" s="9"/>
      <c r="RQB136" s="9"/>
      <c r="RQC136" s="18"/>
      <c r="RQD136" s="18"/>
      <c r="RQE136" s="18"/>
      <c r="RQF136" s="18"/>
      <c r="RQG136" s="18"/>
      <c r="RQH136" s="17"/>
      <c r="RQI136" s="9"/>
      <c r="RQJ136" s="9"/>
      <c r="RQK136" s="18"/>
      <c r="RQL136" s="18"/>
      <c r="RQM136" s="18"/>
      <c r="RQN136" s="18"/>
      <c r="RQO136" s="18"/>
      <c r="RQP136" s="17"/>
      <c r="RQQ136" s="9"/>
      <c r="RQR136" s="9"/>
      <c r="RQS136" s="18"/>
      <c r="RQT136" s="18"/>
      <c r="RQU136" s="18"/>
      <c r="RQV136" s="18"/>
      <c r="RQW136" s="18"/>
      <c r="RQX136" s="17"/>
      <c r="RQY136" s="9"/>
      <c r="RQZ136" s="9"/>
      <c r="RRA136" s="18"/>
      <c r="RRB136" s="18"/>
      <c r="RRC136" s="18"/>
      <c r="RRD136" s="18"/>
      <c r="RRE136" s="18"/>
      <c r="RRF136" s="17"/>
      <c r="RRG136" s="9"/>
      <c r="RRH136" s="9"/>
      <c r="RRI136" s="18"/>
      <c r="RRJ136" s="18"/>
      <c r="RRK136" s="18"/>
      <c r="RRL136" s="18"/>
      <c r="RRM136" s="18"/>
      <c r="RRN136" s="17"/>
      <c r="RRO136" s="9"/>
      <c r="RRP136" s="9"/>
      <c r="RRQ136" s="18"/>
      <c r="RRR136" s="18"/>
      <c r="RRS136" s="18"/>
      <c r="RRT136" s="18"/>
      <c r="RRU136" s="18"/>
      <c r="RRV136" s="17"/>
      <c r="RRW136" s="9"/>
      <c r="RRX136" s="9"/>
      <c r="RRY136" s="18"/>
      <c r="RRZ136" s="18"/>
      <c r="RSA136" s="18"/>
      <c r="RSB136" s="18"/>
      <c r="RSC136" s="18"/>
      <c r="RSD136" s="17"/>
      <c r="RSE136" s="9"/>
      <c r="RSF136" s="9"/>
      <c r="RSG136" s="18"/>
      <c r="RSH136" s="18"/>
      <c r="RSI136" s="18"/>
      <c r="RSJ136" s="18"/>
      <c r="RSK136" s="18"/>
      <c r="RSL136" s="17"/>
      <c r="RSM136" s="9"/>
      <c r="RSN136" s="9"/>
      <c r="RSO136" s="18"/>
      <c r="RSP136" s="18"/>
      <c r="RSQ136" s="18"/>
      <c r="RSR136" s="18"/>
      <c r="RSS136" s="18"/>
      <c r="RST136" s="17"/>
      <c r="RSU136" s="9"/>
      <c r="RSV136" s="9"/>
      <c r="RSW136" s="18"/>
      <c r="RSX136" s="18"/>
      <c r="RSY136" s="18"/>
      <c r="RSZ136" s="18"/>
      <c r="RTA136" s="18"/>
      <c r="RTB136" s="17"/>
      <c r="RTC136" s="9"/>
      <c r="RTD136" s="9"/>
      <c r="RTE136" s="18"/>
      <c r="RTF136" s="18"/>
      <c r="RTG136" s="18"/>
      <c r="RTH136" s="18"/>
      <c r="RTI136" s="18"/>
      <c r="RTJ136" s="17"/>
      <c r="RTK136" s="9"/>
      <c r="RTL136" s="9"/>
      <c r="RTM136" s="18"/>
      <c r="RTN136" s="18"/>
      <c r="RTO136" s="18"/>
      <c r="RTP136" s="18"/>
      <c r="RTQ136" s="18"/>
      <c r="RTR136" s="17"/>
      <c r="RTS136" s="9"/>
      <c r="RTT136" s="9"/>
      <c r="RTU136" s="18"/>
      <c r="RTV136" s="18"/>
      <c r="RTW136" s="18"/>
      <c r="RTX136" s="18"/>
      <c r="RTY136" s="18"/>
      <c r="RTZ136" s="17"/>
      <c r="RUA136" s="9"/>
      <c r="RUB136" s="9"/>
      <c r="RUC136" s="18"/>
      <c r="RUD136" s="18"/>
      <c r="RUE136" s="18"/>
      <c r="RUF136" s="18"/>
      <c r="RUG136" s="18"/>
      <c r="RUH136" s="17"/>
      <c r="RUI136" s="9"/>
      <c r="RUJ136" s="9"/>
      <c r="RUK136" s="18"/>
      <c r="RUL136" s="18"/>
      <c r="RUM136" s="18"/>
      <c r="RUN136" s="18"/>
      <c r="RUO136" s="18"/>
      <c r="RUP136" s="17"/>
      <c r="RUQ136" s="9"/>
      <c r="RUR136" s="9"/>
      <c r="RUS136" s="18"/>
      <c r="RUT136" s="18"/>
      <c r="RUU136" s="18"/>
      <c r="RUV136" s="18"/>
      <c r="RUW136" s="18"/>
      <c r="RUX136" s="17"/>
      <c r="RUY136" s="9"/>
      <c r="RUZ136" s="9"/>
      <c r="RVA136" s="18"/>
      <c r="RVB136" s="18"/>
      <c r="RVC136" s="18"/>
      <c r="RVD136" s="18"/>
      <c r="RVE136" s="18"/>
      <c r="RVF136" s="17"/>
      <c r="RVG136" s="9"/>
      <c r="RVH136" s="9"/>
      <c r="RVI136" s="18"/>
      <c r="RVJ136" s="18"/>
      <c r="RVK136" s="18"/>
      <c r="RVL136" s="18"/>
      <c r="RVM136" s="18"/>
      <c r="RVN136" s="17"/>
      <c r="RVO136" s="9"/>
      <c r="RVP136" s="9"/>
      <c r="RVQ136" s="18"/>
      <c r="RVR136" s="18"/>
      <c r="RVS136" s="18"/>
      <c r="RVT136" s="18"/>
      <c r="RVU136" s="18"/>
      <c r="RVV136" s="17"/>
      <c r="RVW136" s="9"/>
      <c r="RVX136" s="9"/>
      <c r="RVY136" s="18"/>
      <c r="RVZ136" s="18"/>
      <c r="RWA136" s="18"/>
      <c r="RWB136" s="18"/>
      <c r="RWC136" s="18"/>
      <c r="RWD136" s="17"/>
      <c r="RWE136" s="9"/>
      <c r="RWF136" s="9"/>
      <c r="RWG136" s="18"/>
      <c r="RWH136" s="18"/>
      <c r="RWI136" s="18"/>
      <c r="RWJ136" s="18"/>
      <c r="RWK136" s="18"/>
      <c r="RWL136" s="17"/>
      <c r="RWM136" s="9"/>
      <c r="RWN136" s="9"/>
      <c r="RWO136" s="18"/>
      <c r="RWP136" s="18"/>
      <c r="RWQ136" s="18"/>
      <c r="RWR136" s="18"/>
      <c r="RWS136" s="18"/>
      <c r="RWT136" s="17"/>
      <c r="RWU136" s="9"/>
      <c r="RWV136" s="9"/>
      <c r="RWW136" s="18"/>
      <c r="RWX136" s="18"/>
      <c r="RWY136" s="18"/>
      <c r="RWZ136" s="18"/>
      <c r="RXA136" s="18"/>
      <c r="RXB136" s="17"/>
      <c r="RXC136" s="9"/>
      <c r="RXD136" s="9"/>
      <c r="RXE136" s="18"/>
      <c r="RXF136" s="18"/>
      <c r="RXG136" s="18"/>
      <c r="RXH136" s="18"/>
      <c r="RXI136" s="18"/>
      <c r="RXJ136" s="17"/>
      <c r="RXK136" s="9"/>
      <c r="RXL136" s="9"/>
      <c r="RXM136" s="18"/>
      <c r="RXN136" s="18"/>
      <c r="RXO136" s="18"/>
      <c r="RXP136" s="18"/>
      <c r="RXQ136" s="18"/>
      <c r="RXR136" s="17"/>
      <c r="RXS136" s="9"/>
      <c r="RXT136" s="9"/>
      <c r="RXU136" s="18"/>
      <c r="RXV136" s="18"/>
      <c r="RXW136" s="18"/>
      <c r="RXX136" s="18"/>
      <c r="RXY136" s="18"/>
      <c r="RXZ136" s="17"/>
      <c r="RYA136" s="9"/>
      <c r="RYB136" s="9"/>
      <c r="RYC136" s="18"/>
      <c r="RYD136" s="18"/>
      <c r="RYE136" s="18"/>
      <c r="RYF136" s="18"/>
      <c r="RYG136" s="18"/>
      <c r="RYH136" s="17"/>
      <c r="RYI136" s="9"/>
      <c r="RYJ136" s="9"/>
      <c r="RYK136" s="18"/>
      <c r="RYL136" s="18"/>
      <c r="RYM136" s="18"/>
      <c r="RYN136" s="18"/>
      <c r="RYO136" s="18"/>
      <c r="RYP136" s="17"/>
      <c r="RYQ136" s="9"/>
      <c r="RYR136" s="9"/>
      <c r="RYS136" s="18"/>
      <c r="RYT136" s="18"/>
      <c r="RYU136" s="18"/>
      <c r="RYV136" s="18"/>
      <c r="RYW136" s="18"/>
      <c r="RYX136" s="17"/>
      <c r="RYY136" s="9"/>
      <c r="RYZ136" s="9"/>
      <c r="RZA136" s="18"/>
      <c r="RZB136" s="18"/>
      <c r="RZC136" s="18"/>
      <c r="RZD136" s="18"/>
      <c r="RZE136" s="18"/>
      <c r="RZF136" s="17"/>
      <c r="RZG136" s="9"/>
      <c r="RZH136" s="9"/>
      <c r="RZI136" s="18"/>
      <c r="RZJ136" s="18"/>
      <c r="RZK136" s="18"/>
      <c r="RZL136" s="18"/>
      <c r="RZM136" s="18"/>
      <c r="RZN136" s="17"/>
      <c r="RZO136" s="9"/>
      <c r="RZP136" s="9"/>
      <c r="RZQ136" s="18"/>
      <c r="RZR136" s="18"/>
      <c r="RZS136" s="18"/>
      <c r="RZT136" s="18"/>
      <c r="RZU136" s="18"/>
      <c r="RZV136" s="17"/>
      <c r="RZW136" s="9"/>
      <c r="RZX136" s="9"/>
      <c r="RZY136" s="18"/>
      <c r="RZZ136" s="18"/>
      <c r="SAA136" s="18"/>
      <c r="SAB136" s="18"/>
      <c r="SAC136" s="18"/>
      <c r="SAD136" s="17"/>
      <c r="SAE136" s="9"/>
      <c r="SAF136" s="9"/>
      <c r="SAG136" s="18"/>
      <c r="SAH136" s="18"/>
      <c r="SAI136" s="18"/>
      <c r="SAJ136" s="18"/>
      <c r="SAK136" s="18"/>
      <c r="SAL136" s="17"/>
      <c r="SAM136" s="9"/>
      <c r="SAN136" s="9"/>
      <c r="SAO136" s="18"/>
      <c r="SAP136" s="18"/>
      <c r="SAQ136" s="18"/>
      <c r="SAR136" s="18"/>
      <c r="SAS136" s="18"/>
      <c r="SAT136" s="17"/>
      <c r="SAU136" s="9"/>
      <c r="SAV136" s="9"/>
      <c r="SAW136" s="18"/>
      <c r="SAX136" s="18"/>
      <c r="SAY136" s="18"/>
      <c r="SAZ136" s="18"/>
      <c r="SBA136" s="18"/>
      <c r="SBB136" s="17"/>
      <c r="SBC136" s="9"/>
      <c r="SBD136" s="9"/>
      <c r="SBE136" s="18"/>
      <c r="SBF136" s="18"/>
      <c r="SBG136" s="18"/>
      <c r="SBH136" s="18"/>
      <c r="SBI136" s="18"/>
      <c r="SBJ136" s="17"/>
      <c r="SBK136" s="9"/>
      <c r="SBL136" s="9"/>
      <c r="SBM136" s="18"/>
      <c r="SBN136" s="18"/>
      <c r="SBO136" s="18"/>
      <c r="SBP136" s="18"/>
      <c r="SBQ136" s="18"/>
      <c r="SBR136" s="17"/>
      <c r="SBS136" s="9"/>
      <c r="SBT136" s="9"/>
      <c r="SBU136" s="18"/>
      <c r="SBV136" s="18"/>
      <c r="SBW136" s="18"/>
      <c r="SBX136" s="18"/>
      <c r="SBY136" s="18"/>
      <c r="SBZ136" s="17"/>
      <c r="SCA136" s="9"/>
      <c r="SCB136" s="9"/>
      <c r="SCC136" s="18"/>
      <c r="SCD136" s="18"/>
      <c r="SCE136" s="18"/>
      <c r="SCF136" s="18"/>
      <c r="SCG136" s="18"/>
      <c r="SCH136" s="17"/>
      <c r="SCI136" s="9"/>
      <c r="SCJ136" s="9"/>
      <c r="SCK136" s="18"/>
      <c r="SCL136" s="18"/>
      <c r="SCM136" s="18"/>
      <c r="SCN136" s="18"/>
      <c r="SCO136" s="18"/>
      <c r="SCP136" s="17"/>
      <c r="SCQ136" s="9"/>
      <c r="SCR136" s="9"/>
      <c r="SCS136" s="18"/>
      <c r="SCT136" s="18"/>
      <c r="SCU136" s="18"/>
      <c r="SCV136" s="18"/>
      <c r="SCW136" s="18"/>
      <c r="SCX136" s="17"/>
      <c r="SCY136" s="9"/>
      <c r="SCZ136" s="9"/>
      <c r="SDA136" s="18"/>
      <c r="SDB136" s="18"/>
      <c r="SDC136" s="18"/>
      <c r="SDD136" s="18"/>
      <c r="SDE136" s="18"/>
      <c r="SDF136" s="17"/>
      <c r="SDG136" s="9"/>
      <c r="SDH136" s="9"/>
      <c r="SDI136" s="18"/>
      <c r="SDJ136" s="18"/>
      <c r="SDK136" s="18"/>
      <c r="SDL136" s="18"/>
      <c r="SDM136" s="18"/>
      <c r="SDN136" s="17"/>
      <c r="SDO136" s="9"/>
      <c r="SDP136" s="9"/>
      <c r="SDQ136" s="18"/>
      <c r="SDR136" s="18"/>
      <c r="SDS136" s="18"/>
      <c r="SDT136" s="18"/>
      <c r="SDU136" s="18"/>
      <c r="SDV136" s="17"/>
      <c r="SDW136" s="9"/>
      <c r="SDX136" s="9"/>
      <c r="SDY136" s="18"/>
      <c r="SDZ136" s="18"/>
      <c r="SEA136" s="18"/>
      <c r="SEB136" s="18"/>
      <c r="SEC136" s="18"/>
      <c r="SED136" s="17"/>
      <c r="SEE136" s="9"/>
      <c r="SEF136" s="9"/>
      <c r="SEG136" s="18"/>
      <c r="SEH136" s="18"/>
      <c r="SEI136" s="18"/>
      <c r="SEJ136" s="18"/>
      <c r="SEK136" s="18"/>
      <c r="SEL136" s="17"/>
      <c r="SEM136" s="9"/>
      <c r="SEN136" s="9"/>
      <c r="SEO136" s="18"/>
      <c r="SEP136" s="18"/>
      <c r="SEQ136" s="18"/>
      <c r="SER136" s="18"/>
      <c r="SES136" s="18"/>
      <c r="SET136" s="17"/>
      <c r="SEU136" s="9"/>
      <c r="SEV136" s="9"/>
      <c r="SEW136" s="18"/>
      <c r="SEX136" s="18"/>
      <c r="SEY136" s="18"/>
      <c r="SEZ136" s="18"/>
      <c r="SFA136" s="18"/>
      <c r="SFB136" s="17"/>
      <c r="SFC136" s="9"/>
      <c r="SFD136" s="9"/>
      <c r="SFE136" s="18"/>
      <c r="SFF136" s="18"/>
      <c r="SFG136" s="18"/>
      <c r="SFH136" s="18"/>
      <c r="SFI136" s="18"/>
      <c r="SFJ136" s="17"/>
      <c r="SFK136" s="9"/>
      <c r="SFL136" s="9"/>
      <c r="SFM136" s="18"/>
      <c r="SFN136" s="18"/>
      <c r="SFO136" s="18"/>
      <c r="SFP136" s="18"/>
      <c r="SFQ136" s="18"/>
      <c r="SFR136" s="17"/>
      <c r="SFS136" s="9"/>
      <c r="SFT136" s="9"/>
      <c r="SFU136" s="18"/>
      <c r="SFV136" s="18"/>
      <c r="SFW136" s="18"/>
      <c r="SFX136" s="18"/>
      <c r="SFY136" s="18"/>
      <c r="SFZ136" s="17"/>
      <c r="SGA136" s="9"/>
      <c r="SGB136" s="9"/>
      <c r="SGC136" s="18"/>
      <c r="SGD136" s="18"/>
      <c r="SGE136" s="18"/>
      <c r="SGF136" s="18"/>
      <c r="SGG136" s="18"/>
      <c r="SGH136" s="17"/>
      <c r="SGI136" s="9"/>
      <c r="SGJ136" s="9"/>
      <c r="SGK136" s="18"/>
      <c r="SGL136" s="18"/>
      <c r="SGM136" s="18"/>
      <c r="SGN136" s="18"/>
      <c r="SGO136" s="18"/>
      <c r="SGP136" s="17"/>
      <c r="SGQ136" s="9"/>
      <c r="SGR136" s="9"/>
      <c r="SGS136" s="18"/>
      <c r="SGT136" s="18"/>
      <c r="SGU136" s="18"/>
      <c r="SGV136" s="18"/>
      <c r="SGW136" s="18"/>
      <c r="SGX136" s="17"/>
      <c r="SGY136" s="9"/>
      <c r="SGZ136" s="9"/>
      <c r="SHA136" s="18"/>
      <c r="SHB136" s="18"/>
      <c r="SHC136" s="18"/>
      <c r="SHD136" s="18"/>
      <c r="SHE136" s="18"/>
      <c r="SHF136" s="17"/>
      <c r="SHG136" s="9"/>
      <c r="SHH136" s="9"/>
      <c r="SHI136" s="18"/>
      <c r="SHJ136" s="18"/>
      <c r="SHK136" s="18"/>
      <c r="SHL136" s="18"/>
      <c r="SHM136" s="18"/>
      <c r="SHN136" s="17"/>
      <c r="SHO136" s="9"/>
      <c r="SHP136" s="9"/>
      <c r="SHQ136" s="18"/>
      <c r="SHR136" s="18"/>
      <c r="SHS136" s="18"/>
      <c r="SHT136" s="18"/>
      <c r="SHU136" s="18"/>
      <c r="SHV136" s="17"/>
      <c r="SHW136" s="9"/>
      <c r="SHX136" s="9"/>
      <c r="SHY136" s="18"/>
      <c r="SHZ136" s="18"/>
      <c r="SIA136" s="18"/>
      <c r="SIB136" s="18"/>
      <c r="SIC136" s="18"/>
      <c r="SID136" s="17"/>
      <c r="SIE136" s="9"/>
      <c r="SIF136" s="9"/>
      <c r="SIG136" s="18"/>
      <c r="SIH136" s="18"/>
      <c r="SII136" s="18"/>
      <c r="SIJ136" s="18"/>
      <c r="SIK136" s="18"/>
      <c r="SIL136" s="17"/>
      <c r="SIM136" s="9"/>
      <c r="SIN136" s="9"/>
      <c r="SIO136" s="18"/>
      <c r="SIP136" s="18"/>
      <c r="SIQ136" s="18"/>
      <c r="SIR136" s="18"/>
      <c r="SIS136" s="18"/>
      <c r="SIT136" s="17"/>
      <c r="SIU136" s="9"/>
      <c r="SIV136" s="9"/>
      <c r="SIW136" s="18"/>
      <c r="SIX136" s="18"/>
      <c r="SIY136" s="18"/>
      <c r="SIZ136" s="18"/>
      <c r="SJA136" s="18"/>
      <c r="SJB136" s="17"/>
      <c r="SJC136" s="9"/>
      <c r="SJD136" s="9"/>
      <c r="SJE136" s="18"/>
      <c r="SJF136" s="18"/>
      <c r="SJG136" s="18"/>
      <c r="SJH136" s="18"/>
      <c r="SJI136" s="18"/>
      <c r="SJJ136" s="17"/>
      <c r="SJK136" s="9"/>
      <c r="SJL136" s="9"/>
      <c r="SJM136" s="18"/>
      <c r="SJN136" s="18"/>
      <c r="SJO136" s="18"/>
      <c r="SJP136" s="18"/>
      <c r="SJQ136" s="18"/>
      <c r="SJR136" s="17"/>
      <c r="SJS136" s="9"/>
      <c r="SJT136" s="9"/>
      <c r="SJU136" s="18"/>
      <c r="SJV136" s="18"/>
      <c r="SJW136" s="18"/>
      <c r="SJX136" s="18"/>
      <c r="SJY136" s="18"/>
      <c r="SJZ136" s="17"/>
      <c r="SKA136" s="9"/>
      <c r="SKB136" s="9"/>
      <c r="SKC136" s="18"/>
      <c r="SKD136" s="18"/>
      <c r="SKE136" s="18"/>
      <c r="SKF136" s="18"/>
      <c r="SKG136" s="18"/>
      <c r="SKH136" s="17"/>
      <c r="SKI136" s="9"/>
      <c r="SKJ136" s="9"/>
      <c r="SKK136" s="18"/>
      <c r="SKL136" s="18"/>
      <c r="SKM136" s="18"/>
      <c r="SKN136" s="18"/>
      <c r="SKO136" s="18"/>
      <c r="SKP136" s="17"/>
      <c r="SKQ136" s="9"/>
      <c r="SKR136" s="9"/>
      <c r="SKS136" s="18"/>
      <c r="SKT136" s="18"/>
      <c r="SKU136" s="18"/>
      <c r="SKV136" s="18"/>
      <c r="SKW136" s="18"/>
      <c r="SKX136" s="17"/>
      <c r="SKY136" s="9"/>
      <c r="SKZ136" s="9"/>
      <c r="SLA136" s="18"/>
      <c r="SLB136" s="18"/>
      <c r="SLC136" s="18"/>
      <c r="SLD136" s="18"/>
      <c r="SLE136" s="18"/>
      <c r="SLF136" s="17"/>
      <c r="SLG136" s="9"/>
      <c r="SLH136" s="9"/>
      <c r="SLI136" s="18"/>
      <c r="SLJ136" s="18"/>
      <c r="SLK136" s="18"/>
      <c r="SLL136" s="18"/>
      <c r="SLM136" s="18"/>
      <c r="SLN136" s="17"/>
      <c r="SLO136" s="9"/>
      <c r="SLP136" s="9"/>
      <c r="SLQ136" s="18"/>
      <c r="SLR136" s="18"/>
      <c r="SLS136" s="18"/>
      <c r="SLT136" s="18"/>
      <c r="SLU136" s="18"/>
      <c r="SLV136" s="17"/>
      <c r="SLW136" s="9"/>
      <c r="SLX136" s="9"/>
      <c r="SLY136" s="18"/>
      <c r="SLZ136" s="18"/>
      <c r="SMA136" s="18"/>
      <c r="SMB136" s="18"/>
      <c r="SMC136" s="18"/>
      <c r="SMD136" s="17"/>
      <c r="SME136" s="9"/>
      <c r="SMF136" s="9"/>
      <c r="SMG136" s="18"/>
      <c r="SMH136" s="18"/>
      <c r="SMI136" s="18"/>
      <c r="SMJ136" s="18"/>
      <c r="SMK136" s="18"/>
      <c r="SML136" s="17"/>
      <c r="SMM136" s="9"/>
      <c r="SMN136" s="9"/>
      <c r="SMO136" s="18"/>
      <c r="SMP136" s="18"/>
      <c r="SMQ136" s="18"/>
      <c r="SMR136" s="18"/>
      <c r="SMS136" s="18"/>
      <c r="SMT136" s="17"/>
      <c r="SMU136" s="9"/>
      <c r="SMV136" s="9"/>
      <c r="SMW136" s="18"/>
      <c r="SMX136" s="18"/>
      <c r="SMY136" s="18"/>
      <c r="SMZ136" s="18"/>
      <c r="SNA136" s="18"/>
      <c r="SNB136" s="17"/>
      <c r="SNC136" s="9"/>
      <c r="SND136" s="9"/>
      <c r="SNE136" s="18"/>
      <c r="SNF136" s="18"/>
      <c r="SNG136" s="18"/>
      <c r="SNH136" s="18"/>
      <c r="SNI136" s="18"/>
      <c r="SNJ136" s="17"/>
      <c r="SNK136" s="9"/>
      <c r="SNL136" s="9"/>
      <c r="SNM136" s="18"/>
      <c r="SNN136" s="18"/>
      <c r="SNO136" s="18"/>
      <c r="SNP136" s="18"/>
      <c r="SNQ136" s="18"/>
      <c r="SNR136" s="17"/>
      <c r="SNS136" s="9"/>
      <c r="SNT136" s="9"/>
      <c r="SNU136" s="18"/>
      <c r="SNV136" s="18"/>
      <c r="SNW136" s="18"/>
      <c r="SNX136" s="18"/>
      <c r="SNY136" s="18"/>
      <c r="SNZ136" s="17"/>
      <c r="SOA136" s="9"/>
      <c r="SOB136" s="9"/>
      <c r="SOC136" s="18"/>
      <c r="SOD136" s="18"/>
      <c r="SOE136" s="18"/>
      <c r="SOF136" s="18"/>
      <c r="SOG136" s="18"/>
      <c r="SOH136" s="17"/>
      <c r="SOI136" s="9"/>
      <c r="SOJ136" s="9"/>
      <c r="SOK136" s="18"/>
      <c r="SOL136" s="18"/>
      <c r="SOM136" s="18"/>
      <c r="SON136" s="18"/>
      <c r="SOO136" s="18"/>
      <c r="SOP136" s="17"/>
      <c r="SOQ136" s="9"/>
      <c r="SOR136" s="9"/>
      <c r="SOS136" s="18"/>
      <c r="SOT136" s="18"/>
      <c r="SOU136" s="18"/>
      <c r="SOV136" s="18"/>
      <c r="SOW136" s="18"/>
      <c r="SOX136" s="17"/>
      <c r="SOY136" s="9"/>
      <c r="SOZ136" s="9"/>
      <c r="SPA136" s="18"/>
      <c r="SPB136" s="18"/>
      <c r="SPC136" s="18"/>
      <c r="SPD136" s="18"/>
      <c r="SPE136" s="18"/>
      <c r="SPF136" s="17"/>
      <c r="SPG136" s="9"/>
      <c r="SPH136" s="9"/>
      <c r="SPI136" s="18"/>
      <c r="SPJ136" s="18"/>
      <c r="SPK136" s="18"/>
      <c r="SPL136" s="18"/>
      <c r="SPM136" s="18"/>
      <c r="SPN136" s="17"/>
      <c r="SPO136" s="9"/>
      <c r="SPP136" s="9"/>
      <c r="SPQ136" s="18"/>
      <c r="SPR136" s="18"/>
      <c r="SPS136" s="18"/>
      <c r="SPT136" s="18"/>
      <c r="SPU136" s="18"/>
      <c r="SPV136" s="17"/>
      <c r="SPW136" s="9"/>
      <c r="SPX136" s="9"/>
      <c r="SPY136" s="18"/>
      <c r="SPZ136" s="18"/>
      <c r="SQA136" s="18"/>
      <c r="SQB136" s="18"/>
      <c r="SQC136" s="18"/>
      <c r="SQD136" s="17"/>
      <c r="SQE136" s="9"/>
      <c r="SQF136" s="9"/>
      <c r="SQG136" s="18"/>
      <c r="SQH136" s="18"/>
      <c r="SQI136" s="18"/>
      <c r="SQJ136" s="18"/>
      <c r="SQK136" s="18"/>
      <c r="SQL136" s="17"/>
      <c r="SQM136" s="9"/>
      <c r="SQN136" s="9"/>
      <c r="SQO136" s="18"/>
      <c r="SQP136" s="18"/>
      <c r="SQQ136" s="18"/>
      <c r="SQR136" s="18"/>
      <c r="SQS136" s="18"/>
      <c r="SQT136" s="17"/>
      <c r="SQU136" s="9"/>
      <c r="SQV136" s="9"/>
      <c r="SQW136" s="18"/>
      <c r="SQX136" s="18"/>
      <c r="SQY136" s="18"/>
      <c r="SQZ136" s="18"/>
      <c r="SRA136" s="18"/>
      <c r="SRB136" s="17"/>
      <c r="SRC136" s="9"/>
      <c r="SRD136" s="9"/>
      <c r="SRE136" s="18"/>
      <c r="SRF136" s="18"/>
      <c r="SRG136" s="18"/>
      <c r="SRH136" s="18"/>
      <c r="SRI136" s="18"/>
      <c r="SRJ136" s="17"/>
      <c r="SRK136" s="9"/>
      <c r="SRL136" s="9"/>
      <c r="SRM136" s="18"/>
      <c r="SRN136" s="18"/>
      <c r="SRO136" s="18"/>
      <c r="SRP136" s="18"/>
      <c r="SRQ136" s="18"/>
      <c r="SRR136" s="17"/>
      <c r="SRS136" s="9"/>
      <c r="SRT136" s="9"/>
      <c r="SRU136" s="18"/>
      <c r="SRV136" s="18"/>
      <c r="SRW136" s="18"/>
      <c r="SRX136" s="18"/>
      <c r="SRY136" s="18"/>
      <c r="SRZ136" s="17"/>
      <c r="SSA136" s="9"/>
      <c r="SSB136" s="9"/>
      <c r="SSC136" s="18"/>
      <c r="SSD136" s="18"/>
      <c r="SSE136" s="18"/>
      <c r="SSF136" s="18"/>
      <c r="SSG136" s="18"/>
      <c r="SSH136" s="17"/>
      <c r="SSI136" s="9"/>
      <c r="SSJ136" s="9"/>
      <c r="SSK136" s="18"/>
      <c r="SSL136" s="18"/>
      <c r="SSM136" s="18"/>
      <c r="SSN136" s="18"/>
      <c r="SSO136" s="18"/>
      <c r="SSP136" s="17"/>
      <c r="SSQ136" s="9"/>
      <c r="SSR136" s="9"/>
      <c r="SSS136" s="18"/>
      <c r="SST136" s="18"/>
      <c r="SSU136" s="18"/>
      <c r="SSV136" s="18"/>
      <c r="SSW136" s="18"/>
      <c r="SSX136" s="17"/>
      <c r="SSY136" s="9"/>
      <c r="SSZ136" s="9"/>
      <c r="STA136" s="18"/>
      <c r="STB136" s="18"/>
      <c r="STC136" s="18"/>
      <c r="STD136" s="18"/>
      <c r="STE136" s="18"/>
      <c r="STF136" s="17"/>
      <c r="STG136" s="9"/>
      <c r="STH136" s="9"/>
      <c r="STI136" s="18"/>
      <c r="STJ136" s="18"/>
      <c r="STK136" s="18"/>
      <c r="STL136" s="18"/>
      <c r="STM136" s="18"/>
      <c r="STN136" s="17"/>
      <c r="STO136" s="9"/>
      <c r="STP136" s="9"/>
      <c r="STQ136" s="18"/>
      <c r="STR136" s="18"/>
      <c r="STS136" s="18"/>
      <c r="STT136" s="18"/>
      <c r="STU136" s="18"/>
      <c r="STV136" s="17"/>
      <c r="STW136" s="9"/>
      <c r="STX136" s="9"/>
      <c r="STY136" s="18"/>
      <c r="STZ136" s="18"/>
      <c r="SUA136" s="18"/>
      <c r="SUB136" s="18"/>
      <c r="SUC136" s="18"/>
      <c r="SUD136" s="17"/>
      <c r="SUE136" s="9"/>
      <c r="SUF136" s="9"/>
      <c r="SUG136" s="18"/>
      <c r="SUH136" s="18"/>
      <c r="SUI136" s="18"/>
      <c r="SUJ136" s="18"/>
      <c r="SUK136" s="18"/>
      <c r="SUL136" s="17"/>
      <c r="SUM136" s="9"/>
      <c r="SUN136" s="9"/>
      <c r="SUO136" s="18"/>
      <c r="SUP136" s="18"/>
      <c r="SUQ136" s="18"/>
      <c r="SUR136" s="18"/>
      <c r="SUS136" s="18"/>
      <c r="SUT136" s="17"/>
      <c r="SUU136" s="9"/>
      <c r="SUV136" s="9"/>
      <c r="SUW136" s="18"/>
      <c r="SUX136" s="18"/>
      <c r="SUY136" s="18"/>
      <c r="SUZ136" s="18"/>
      <c r="SVA136" s="18"/>
      <c r="SVB136" s="17"/>
      <c r="SVC136" s="9"/>
      <c r="SVD136" s="9"/>
      <c r="SVE136" s="18"/>
      <c r="SVF136" s="18"/>
      <c r="SVG136" s="18"/>
      <c r="SVH136" s="18"/>
      <c r="SVI136" s="18"/>
      <c r="SVJ136" s="17"/>
      <c r="SVK136" s="9"/>
      <c r="SVL136" s="9"/>
      <c r="SVM136" s="18"/>
      <c r="SVN136" s="18"/>
      <c r="SVO136" s="18"/>
      <c r="SVP136" s="18"/>
      <c r="SVQ136" s="18"/>
      <c r="SVR136" s="17"/>
      <c r="SVS136" s="9"/>
      <c r="SVT136" s="9"/>
      <c r="SVU136" s="18"/>
      <c r="SVV136" s="18"/>
      <c r="SVW136" s="18"/>
      <c r="SVX136" s="18"/>
      <c r="SVY136" s="18"/>
      <c r="SVZ136" s="17"/>
      <c r="SWA136" s="9"/>
      <c r="SWB136" s="9"/>
      <c r="SWC136" s="18"/>
      <c r="SWD136" s="18"/>
      <c r="SWE136" s="18"/>
      <c r="SWF136" s="18"/>
      <c r="SWG136" s="18"/>
      <c r="SWH136" s="17"/>
      <c r="SWI136" s="9"/>
      <c r="SWJ136" s="9"/>
      <c r="SWK136" s="18"/>
      <c r="SWL136" s="18"/>
      <c r="SWM136" s="18"/>
      <c r="SWN136" s="18"/>
      <c r="SWO136" s="18"/>
      <c r="SWP136" s="17"/>
      <c r="SWQ136" s="9"/>
      <c r="SWR136" s="9"/>
      <c r="SWS136" s="18"/>
      <c r="SWT136" s="18"/>
      <c r="SWU136" s="18"/>
      <c r="SWV136" s="18"/>
      <c r="SWW136" s="18"/>
      <c r="SWX136" s="17"/>
      <c r="SWY136" s="9"/>
      <c r="SWZ136" s="9"/>
      <c r="SXA136" s="18"/>
      <c r="SXB136" s="18"/>
      <c r="SXC136" s="18"/>
      <c r="SXD136" s="18"/>
      <c r="SXE136" s="18"/>
      <c r="SXF136" s="17"/>
      <c r="SXG136" s="9"/>
      <c r="SXH136" s="9"/>
      <c r="SXI136" s="18"/>
      <c r="SXJ136" s="18"/>
      <c r="SXK136" s="18"/>
      <c r="SXL136" s="18"/>
      <c r="SXM136" s="18"/>
      <c r="SXN136" s="17"/>
      <c r="SXO136" s="9"/>
      <c r="SXP136" s="9"/>
      <c r="SXQ136" s="18"/>
      <c r="SXR136" s="18"/>
      <c r="SXS136" s="18"/>
      <c r="SXT136" s="18"/>
      <c r="SXU136" s="18"/>
      <c r="SXV136" s="17"/>
      <c r="SXW136" s="9"/>
      <c r="SXX136" s="9"/>
      <c r="SXY136" s="18"/>
      <c r="SXZ136" s="18"/>
      <c r="SYA136" s="18"/>
      <c r="SYB136" s="18"/>
      <c r="SYC136" s="18"/>
      <c r="SYD136" s="17"/>
      <c r="SYE136" s="9"/>
      <c r="SYF136" s="9"/>
      <c r="SYG136" s="18"/>
      <c r="SYH136" s="18"/>
      <c r="SYI136" s="18"/>
      <c r="SYJ136" s="18"/>
      <c r="SYK136" s="18"/>
      <c r="SYL136" s="17"/>
      <c r="SYM136" s="9"/>
      <c r="SYN136" s="9"/>
      <c r="SYO136" s="18"/>
      <c r="SYP136" s="18"/>
      <c r="SYQ136" s="18"/>
      <c r="SYR136" s="18"/>
      <c r="SYS136" s="18"/>
      <c r="SYT136" s="17"/>
      <c r="SYU136" s="9"/>
      <c r="SYV136" s="9"/>
      <c r="SYW136" s="18"/>
      <c r="SYX136" s="18"/>
      <c r="SYY136" s="18"/>
      <c r="SYZ136" s="18"/>
      <c r="SZA136" s="18"/>
      <c r="SZB136" s="17"/>
      <c r="SZC136" s="9"/>
      <c r="SZD136" s="9"/>
      <c r="SZE136" s="18"/>
      <c r="SZF136" s="18"/>
      <c r="SZG136" s="18"/>
      <c r="SZH136" s="18"/>
      <c r="SZI136" s="18"/>
      <c r="SZJ136" s="17"/>
      <c r="SZK136" s="9"/>
      <c r="SZL136" s="9"/>
      <c r="SZM136" s="18"/>
      <c r="SZN136" s="18"/>
      <c r="SZO136" s="18"/>
      <c r="SZP136" s="18"/>
      <c r="SZQ136" s="18"/>
      <c r="SZR136" s="17"/>
      <c r="SZS136" s="9"/>
      <c r="SZT136" s="9"/>
      <c r="SZU136" s="18"/>
      <c r="SZV136" s="18"/>
      <c r="SZW136" s="18"/>
      <c r="SZX136" s="18"/>
      <c r="SZY136" s="18"/>
      <c r="SZZ136" s="17"/>
      <c r="TAA136" s="9"/>
      <c r="TAB136" s="9"/>
      <c r="TAC136" s="18"/>
      <c r="TAD136" s="18"/>
      <c r="TAE136" s="18"/>
      <c r="TAF136" s="18"/>
      <c r="TAG136" s="18"/>
      <c r="TAH136" s="17"/>
      <c r="TAI136" s="9"/>
      <c r="TAJ136" s="9"/>
      <c r="TAK136" s="18"/>
      <c r="TAL136" s="18"/>
      <c r="TAM136" s="18"/>
      <c r="TAN136" s="18"/>
      <c r="TAO136" s="18"/>
      <c r="TAP136" s="17"/>
      <c r="TAQ136" s="9"/>
      <c r="TAR136" s="9"/>
      <c r="TAS136" s="18"/>
      <c r="TAT136" s="18"/>
      <c r="TAU136" s="18"/>
      <c r="TAV136" s="18"/>
      <c r="TAW136" s="18"/>
      <c r="TAX136" s="17"/>
      <c r="TAY136" s="9"/>
      <c r="TAZ136" s="9"/>
      <c r="TBA136" s="18"/>
      <c r="TBB136" s="18"/>
      <c r="TBC136" s="18"/>
      <c r="TBD136" s="18"/>
      <c r="TBE136" s="18"/>
      <c r="TBF136" s="17"/>
      <c r="TBG136" s="9"/>
      <c r="TBH136" s="9"/>
      <c r="TBI136" s="18"/>
      <c r="TBJ136" s="18"/>
      <c r="TBK136" s="18"/>
      <c r="TBL136" s="18"/>
      <c r="TBM136" s="18"/>
      <c r="TBN136" s="17"/>
      <c r="TBO136" s="9"/>
      <c r="TBP136" s="9"/>
      <c r="TBQ136" s="18"/>
      <c r="TBR136" s="18"/>
      <c r="TBS136" s="18"/>
      <c r="TBT136" s="18"/>
      <c r="TBU136" s="18"/>
      <c r="TBV136" s="17"/>
      <c r="TBW136" s="9"/>
      <c r="TBX136" s="9"/>
      <c r="TBY136" s="18"/>
      <c r="TBZ136" s="18"/>
      <c r="TCA136" s="18"/>
      <c r="TCB136" s="18"/>
      <c r="TCC136" s="18"/>
      <c r="TCD136" s="17"/>
      <c r="TCE136" s="9"/>
      <c r="TCF136" s="9"/>
      <c r="TCG136" s="18"/>
      <c r="TCH136" s="18"/>
      <c r="TCI136" s="18"/>
      <c r="TCJ136" s="18"/>
      <c r="TCK136" s="18"/>
      <c r="TCL136" s="17"/>
      <c r="TCM136" s="9"/>
      <c r="TCN136" s="9"/>
      <c r="TCO136" s="18"/>
      <c r="TCP136" s="18"/>
      <c r="TCQ136" s="18"/>
      <c r="TCR136" s="18"/>
      <c r="TCS136" s="18"/>
      <c r="TCT136" s="17"/>
      <c r="TCU136" s="9"/>
      <c r="TCV136" s="9"/>
      <c r="TCW136" s="18"/>
      <c r="TCX136" s="18"/>
      <c r="TCY136" s="18"/>
      <c r="TCZ136" s="18"/>
      <c r="TDA136" s="18"/>
      <c r="TDB136" s="17"/>
      <c r="TDC136" s="9"/>
      <c r="TDD136" s="9"/>
      <c r="TDE136" s="18"/>
      <c r="TDF136" s="18"/>
      <c r="TDG136" s="18"/>
      <c r="TDH136" s="18"/>
      <c r="TDI136" s="18"/>
      <c r="TDJ136" s="17"/>
      <c r="TDK136" s="9"/>
      <c r="TDL136" s="9"/>
      <c r="TDM136" s="18"/>
      <c r="TDN136" s="18"/>
      <c r="TDO136" s="18"/>
      <c r="TDP136" s="18"/>
      <c r="TDQ136" s="18"/>
      <c r="TDR136" s="17"/>
      <c r="TDS136" s="9"/>
      <c r="TDT136" s="9"/>
      <c r="TDU136" s="18"/>
      <c r="TDV136" s="18"/>
      <c r="TDW136" s="18"/>
      <c r="TDX136" s="18"/>
      <c r="TDY136" s="18"/>
      <c r="TDZ136" s="17"/>
      <c r="TEA136" s="9"/>
      <c r="TEB136" s="9"/>
      <c r="TEC136" s="18"/>
      <c r="TED136" s="18"/>
      <c r="TEE136" s="18"/>
      <c r="TEF136" s="18"/>
      <c r="TEG136" s="18"/>
      <c r="TEH136" s="17"/>
      <c r="TEI136" s="9"/>
      <c r="TEJ136" s="9"/>
      <c r="TEK136" s="18"/>
      <c r="TEL136" s="18"/>
      <c r="TEM136" s="18"/>
      <c r="TEN136" s="18"/>
      <c r="TEO136" s="18"/>
      <c r="TEP136" s="17"/>
      <c r="TEQ136" s="9"/>
      <c r="TER136" s="9"/>
      <c r="TES136" s="18"/>
      <c r="TET136" s="18"/>
      <c r="TEU136" s="18"/>
      <c r="TEV136" s="18"/>
      <c r="TEW136" s="18"/>
      <c r="TEX136" s="17"/>
      <c r="TEY136" s="9"/>
      <c r="TEZ136" s="9"/>
      <c r="TFA136" s="18"/>
      <c r="TFB136" s="18"/>
      <c r="TFC136" s="18"/>
      <c r="TFD136" s="18"/>
      <c r="TFE136" s="18"/>
      <c r="TFF136" s="17"/>
      <c r="TFG136" s="9"/>
      <c r="TFH136" s="9"/>
      <c r="TFI136" s="18"/>
      <c r="TFJ136" s="18"/>
      <c r="TFK136" s="18"/>
      <c r="TFL136" s="18"/>
      <c r="TFM136" s="18"/>
      <c r="TFN136" s="17"/>
      <c r="TFO136" s="9"/>
      <c r="TFP136" s="9"/>
      <c r="TFQ136" s="18"/>
      <c r="TFR136" s="18"/>
      <c r="TFS136" s="18"/>
      <c r="TFT136" s="18"/>
      <c r="TFU136" s="18"/>
      <c r="TFV136" s="17"/>
      <c r="TFW136" s="9"/>
      <c r="TFX136" s="9"/>
      <c r="TFY136" s="18"/>
      <c r="TFZ136" s="18"/>
      <c r="TGA136" s="18"/>
      <c r="TGB136" s="18"/>
      <c r="TGC136" s="18"/>
      <c r="TGD136" s="17"/>
      <c r="TGE136" s="9"/>
      <c r="TGF136" s="9"/>
      <c r="TGG136" s="18"/>
      <c r="TGH136" s="18"/>
      <c r="TGI136" s="18"/>
      <c r="TGJ136" s="18"/>
      <c r="TGK136" s="18"/>
      <c r="TGL136" s="17"/>
      <c r="TGM136" s="9"/>
      <c r="TGN136" s="9"/>
      <c r="TGO136" s="18"/>
      <c r="TGP136" s="18"/>
      <c r="TGQ136" s="18"/>
      <c r="TGR136" s="18"/>
      <c r="TGS136" s="18"/>
      <c r="TGT136" s="17"/>
      <c r="TGU136" s="9"/>
      <c r="TGV136" s="9"/>
      <c r="TGW136" s="18"/>
      <c r="TGX136" s="18"/>
      <c r="TGY136" s="18"/>
      <c r="TGZ136" s="18"/>
      <c r="THA136" s="18"/>
      <c r="THB136" s="17"/>
      <c r="THC136" s="9"/>
      <c r="THD136" s="9"/>
      <c r="THE136" s="18"/>
      <c r="THF136" s="18"/>
      <c r="THG136" s="18"/>
      <c r="THH136" s="18"/>
      <c r="THI136" s="18"/>
      <c r="THJ136" s="17"/>
      <c r="THK136" s="9"/>
      <c r="THL136" s="9"/>
      <c r="THM136" s="18"/>
      <c r="THN136" s="18"/>
      <c r="THO136" s="18"/>
      <c r="THP136" s="18"/>
      <c r="THQ136" s="18"/>
      <c r="THR136" s="17"/>
      <c r="THS136" s="9"/>
      <c r="THT136" s="9"/>
      <c r="THU136" s="18"/>
      <c r="THV136" s="18"/>
      <c r="THW136" s="18"/>
      <c r="THX136" s="18"/>
      <c r="THY136" s="18"/>
      <c r="THZ136" s="17"/>
      <c r="TIA136" s="9"/>
      <c r="TIB136" s="9"/>
      <c r="TIC136" s="18"/>
      <c r="TID136" s="18"/>
      <c r="TIE136" s="18"/>
      <c r="TIF136" s="18"/>
      <c r="TIG136" s="18"/>
      <c r="TIH136" s="17"/>
      <c r="TII136" s="9"/>
      <c r="TIJ136" s="9"/>
      <c r="TIK136" s="18"/>
      <c r="TIL136" s="18"/>
      <c r="TIM136" s="18"/>
      <c r="TIN136" s="18"/>
      <c r="TIO136" s="18"/>
      <c r="TIP136" s="17"/>
      <c r="TIQ136" s="9"/>
      <c r="TIR136" s="9"/>
      <c r="TIS136" s="18"/>
      <c r="TIT136" s="18"/>
      <c r="TIU136" s="18"/>
      <c r="TIV136" s="18"/>
      <c r="TIW136" s="18"/>
      <c r="TIX136" s="17"/>
      <c r="TIY136" s="9"/>
      <c r="TIZ136" s="9"/>
      <c r="TJA136" s="18"/>
      <c r="TJB136" s="18"/>
      <c r="TJC136" s="18"/>
      <c r="TJD136" s="18"/>
      <c r="TJE136" s="18"/>
      <c r="TJF136" s="17"/>
      <c r="TJG136" s="9"/>
      <c r="TJH136" s="9"/>
      <c r="TJI136" s="18"/>
      <c r="TJJ136" s="18"/>
      <c r="TJK136" s="18"/>
      <c r="TJL136" s="18"/>
      <c r="TJM136" s="18"/>
      <c r="TJN136" s="17"/>
      <c r="TJO136" s="9"/>
      <c r="TJP136" s="9"/>
      <c r="TJQ136" s="18"/>
      <c r="TJR136" s="18"/>
      <c r="TJS136" s="18"/>
      <c r="TJT136" s="18"/>
      <c r="TJU136" s="18"/>
      <c r="TJV136" s="17"/>
      <c r="TJW136" s="9"/>
      <c r="TJX136" s="9"/>
      <c r="TJY136" s="18"/>
      <c r="TJZ136" s="18"/>
      <c r="TKA136" s="18"/>
      <c r="TKB136" s="18"/>
      <c r="TKC136" s="18"/>
      <c r="TKD136" s="17"/>
      <c r="TKE136" s="9"/>
      <c r="TKF136" s="9"/>
      <c r="TKG136" s="18"/>
      <c r="TKH136" s="18"/>
      <c r="TKI136" s="18"/>
      <c r="TKJ136" s="18"/>
      <c r="TKK136" s="18"/>
      <c r="TKL136" s="17"/>
      <c r="TKM136" s="9"/>
      <c r="TKN136" s="9"/>
      <c r="TKO136" s="18"/>
      <c r="TKP136" s="18"/>
      <c r="TKQ136" s="18"/>
      <c r="TKR136" s="18"/>
      <c r="TKS136" s="18"/>
      <c r="TKT136" s="17"/>
      <c r="TKU136" s="9"/>
      <c r="TKV136" s="9"/>
      <c r="TKW136" s="18"/>
      <c r="TKX136" s="18"/>
      <c r="TKY136" s="18"/>
      <c r="TKZ136" s="18"/>
      <c r="TLA136" s="18"/>
      <c r="TLB136" s="17"/>
      <c r="TLC136" s="9"/>
      <c r="TLD136" s="9"/>
      <c r="TLE136" s="18"/>
      <c r="TLF136" s="18"/>
      <c r="TLG136" s="18"/>
      <c r="TLH136" s="18"/>
      <c r="TLI136" s="18"/>
      <c r="TLJ136" s="17"/>
      <c r="TLK136" s="9"/>
      <c r="TLL136" s="9"/>
      <c r="TLM136" s="18"/>
      <c r="TLN136" s="18"/>
      <c r="TLO136" s="18"/>
      <c r="TLP136" s="18"/>
      <c r="TLQ136" s="18"/>
      <c r="TLR136" s="17"/>
      <c r="TLS136" s="9"/>
      <c r="TLT136" s="9"/>
      <c r="TLU136" s="18"/>
      <c r="TLV136" s="18"/>
      <c r="TLW136" s="18"/>
      <c r="TLX136" s="18"/>
      <c r="TLY136" s="18"/>
      <c r="TLZ136" s="17"/>
      <c r="TMA136" s="9"/>
      <c r="TMB136" s="9"/>
      <c r="TMC136" s="18"/>
      <c r="TMD136" s="18"/>
      <c r="TME136" s="18"/>
      <c r="TMF136" s="18"/>
      <c r="TMG136" s="18"/>
      <c r="TMH136" s="17"/>
      <c r="TMI136" s="9"/>
      <c r="TMJ136" s="9"/>
      <c r="TMK136" s="18"/>
      <c r="TML136" s="18"/>
      <c r="TMM136" s="18"/>
      <c r="TMN136" s="18"/>
      <c r="TMO136" s="18"/>
      <c r="TMP136" s="17"/>
      <c r="TMQ136" s="9"/>
      <c r="TMR136" s="9"/>
      <c r="TMS136" s="18"/>
      <c r="TMT136" s="18"/>
      <c r="TMU136" s="18"/>
      <c r="TMV136" s="18"/>
      <c r="TMW136" s="18"/>
      <c r="TMX136" s="17"/>
      <c r="TMY136" s="9"/>
      <c r="TMZ136" s="9"/>
      <c r="TNA136" s="18"/>
      <c r="TNB136" s="18"/>
      <c r="TNC136" s="18"/>
      <c r="TND136" s="18"/>
      <c r="TNE136" s="18"/>
      <c r="TNF136" s="17"/>
      <c r="TNG136" s="9"/>
      <c r="TNH136" s="9"/>
      <c r="TNI136" s="18"/>
      <c r="TNJ136" s="18"/>
      <c r="TNK136" s="18"/>
      <c r="TNL136" s="18"/>
      <c r="TNM136" s="18"/>
      <c r="TNN136" s="17"/>
      <c r="TNO136" s="9"/>
      <c r="TNP136" s="9"/>
      <c r="TNQ136" s="18"/>
      <c r="TNR136" s="18"/>
      <c r="TNS136" s="18"/>
      <c r="TNT136" s="18"/>
      <c r="TNU136" s="18"/>
      <c r="TNV136" s="17"/>
      <c r="TNW136" s="9"/>
      <c r="TNX136" s="9"/>
      <c r="TNY136" s="18"/>
      <c r="TNZ136" s="18"/>
      <c r="TOA136" s="18"/>
      <c r="TOB136" s="18"/>
      <c r="TOC136" s="18"/>
      <c r="TOD136" s="17"/>
      <c r="TOE136" s="9"/>
      <c r="TOF136" s="9"/>
      <c r="TOG136" s="18"/>
      <c r="TOH136" s="18"/>
      <c r="TOI136" s="18"/>
      <c r="TOJ136" s="18"/>
      <c r="TOK136" s="18"/>
      <c r="TOL136" s="17"/>
      <c r="TOM136" s="9"/>
      <c r="TON136" s="9"/>
      <c r="TOO136" s="18"/>
      <c r="TOP136" s="18"/>
      <c r="TOQ136" s="18"/>
      <c r="TOR136" s="18"/>
      <c r="TOS136" s="18"/>
      <c r="TOT136" s="17"/>
      <c r="TOU136" s="9"/>
      <c r="TOV136" s="9"/>
      <c r="TOW136" s="18"/>
      <c r="TOX136" s="18"/>
      <c r="TOY136" s="18"/>
      <c r="TOZ136" s="18"/>
      <c r="TPA136" s="18"/>
      <c r="TPB136" s="17"/>
      <c r="TPC136" s="9"/>
      <c r="TPD136" s="9"/>
      <c r="TPE136" s="18"/>
      <c r="TPF136" s="18"/>
      <c r="TPG136" s="18"/>
      <c r="TPH136" s="18"/>
      <c r="TPI136" s="18"/>
      <c r="TPJ136" s="17"/>
      <c r="TPK136" s="9"/>
      <c r="TPL136" s="9"/>
      <c r="TPM136" s="18"/>
      <c r="TPN136" s="18"/>
      <c r="TPO136" s="18"/>
      <c r="TPP136" s="18"/>
      <c r="TPQ136" s="18"/>
      <c r="TPR136" s="17"/>
      <c r="TPS136" s="9"/>
      <c r="TPT136" s="9"/>
      <c r="TPU136" s="18"/>
      <c r="TPV136" s="18"/>
      <c r="TPW136" s="18"/>
      <c r="TPX136" s="18"/>
      <c r="TPY136" s="18"/>
      <c r="TPZ136" s="17"/>
      <c r="TQA136" s="9"/>
      <c r="TQB136" s="9"/>
      <c r="TQC136" s="18"/>
      <c r="TQD136" s="18"/>
      <c r="TQE136" s="18"/>
      <c r="TQF136" s="18"/>
      <c r="TQG136" s="18"/>
      <c r="TQH136" s="17"/>
      <c r="TQI136" s="9"/>
      <c r="TQJ136" s="9"/>
      <c r="TQK136" s="18"/>
      <c r="TQL136" s="18"/>
      <c r="TQM136" s="18"/>
      <c r="TQN136" s="18"/>
      <c r="TQO136" s="18"/>
      <c r="TQP136" s="17"/>
      <c r="TQQ136" s="9"/>
      <c r="TQR136" s="9"/>
      <c r="TQS136" s="18"/>
      <c r="TQT136" s="18"/>
      <c r="TQU136" s="18"/>
      <c r="TQV136" s="18"/>
      <c r="TQW136" s="18"/>
      <c r="TQX136" s="17"/>
      <c r="TQY136" s="9"/>
      <c r="TQZ136" s="9"/>
      <c r="TRA136" s="18"/>
      <c r="TRB136" s="18"/>
      <c r="TRC136" s="18"/>
      <c r="TRD136" s="18"/>
      <c r="TRE136" s="18"/>
      <c r="TRF136" s="17"/>
      <c r="TRG136" s="9"/>
      <c r="TRH136" s="9"/>
      <c r="TRI136" s="18"/>
      <c r="TRJ136" s="18"/>
      <c r="TRK136" s="18"/>
      <c r="TRL136" s="18"/>
      <c r="TRM136" s="18"/>
      <c r="TRN136" s="17"/>
      <c r="TRO136" s="9"/>
      <c r="TRP136" s="9"/>
      <c r="TRQ136" s="18"/>
      <c r="TRR136" s="18"/>
      <c r="TRS136" s="18"/>
      <c r="TRT136" s="18"/>
      <c r="TRU136" s="18"/>
      <c r="TRV136" s="17"/>
      <c r="TRW136" s="9"/>
      <c r="TRX136" s="9"/>
      <c r="TRY136" s="18"/>
      <c r="TRZ136" s="18"/>
      <c r="TSA136" s="18"/>
      <c r="TSB136" s="18"/>
      <c r="TSC136" s="18"/>
      <c r="TSD136" s="17"/>
      <c r="TSE136" s="9"/>
      <c r="TSF136" s="9"/>
      <c r="TSG136" s="18"/>
      <c r="TSH136" s="18"/>
      <c r="TSI136" s="18"/>
      <c r="TSJ136" s="18"/>
      <c r="TSK136" s="18"/>
      <c r="TSL136" s="17"/>
      <c r="TSM136" s="9"/>
      <c r="TSN136" s="9"/>
      <c r="TSO136" s="18"/>
      <c r="TSP136" s="18"/>
      <c r="TSQ136" s="18"/>
      <c r="TSR136" s="18"/>
      <c r="TSS136" s="18"/>
      <c r="TST136" s="17"/>
      <c r="TSU136" s="9"/>
      <c r="TSV136" s="9"/>
      <c r="TSW136" s="18"/>
      <c r="TSX136" s="18"/>
      <c r="TSY136" s="18"/>
      <c r="TSZ136" s="18"/>
      <c r="TTA136" s="18"/>
      <c r="TTB136" s="17"/>
      <c r="TTC136" s="9"/>
      <c r="TTD136" s="9"/>
      <c r="TTE136" s="18"/>
      <c r="TTF136" s="18"/>
      <c r="TTG136" s="18"/>
      <c r="TTH136" s="18"/>
      <c r="TTI136" s="18"/>
      <c r="TTJ136" s="17"/>
      <c r="TTK136" s="9"/>
      <c r="TTL136" s="9"/>
      <c r="TTM136" s="18"/>
      <c r="TTN136" s="18"/>
      <c r="TTO136" s="18"/>
      <c r="TTP136" s="18"/>
      <c r="TTQ136" s="18"/>
      <c r="TTR136" s="17"/>
      <c r="TTS136" s="9"/>
      <c r="TTT136" s="9"/>
      <c r="TTU136" s="18"/>
      <c r="TTV136" s="18"/>
      <c r="TTW136" s="18"/>
      <c r="TTX136" s="18"/>
      <c r="TTY136" s="18"/>
      <c r="TTZ136" s="17"/>
      <c r="TUA136" s="9"/>
      <c r="TUB136" s="9"/>
      <c r="TUC136" s="18"/>
      <c r="TUD136" s="18"/>
      <c r="TUE136" s="18"/>
      <c r="TUF136" s="18"/>
      <c r="TUG136" s="18"/>
      <c r="TUH136" s="17"/>
      <c r="TUI136" s="9"/>
      <c r="TUJ136" s="9"/>
      <c r="TUK136" s="18"/>
      <c r="TUL136" s="18"/>
      <c r="TUM136" s="18"/>
      <c r="TUN136" s="18"/>
      <c r="TUO136" s="18"/>
      <c r="TUP136" s="17"/>
      <c r="TUQ136" s="9"/>
      <c r="TUR136" s="9"/>
      <c r="TUS136" s="18"/>
      <c r="TUT136" s="18"/>
      <c r="TUU136" s="18"/>
      <c r="TUV136" s="18"/>
      <c r="TUW136" s="18"/>
      <c r="TUX136" s="17"/>
      <c r="TUY136" s="9"/>
      <c r="TUZ136" s="9"/>
      <c r="TVA136" s="18"/>
      <c r="TVB136" s="18"/>
      <c r="TVC136" s="18"/>
      <c r="TVD136" s="18"/>
      <c r="TVE136" s="18"/>
      <c r="TVF136" s="17"/>
      <c r="TVG136" s="9"/>
      <c r="TVH136" s="9"/>
      <c r="TVI136" s="18"/>
      <c r="TVJ136" s="18"/>
      <c r="TVK136" s="18"/>
      <c r="TVL136" s="18"/>
      <c r="TVM136" s="18"/>
      <c r="TVN136" s="17"/>
      <c r="TVO136" s="9"/>
      <c r="TVP136" s="9"/>
      <c r="TVQ136" s="18"/>
      <c r="TVR136" s="18"/>
      <c r="TVS136" s="18"/>
      <c r="TVT136" s="18"/>
      <c r="TVU136" s="18"/>
      <c r="TVV136" s="17"/>
      <c r="TVW136" s="9"/>
      <c r="TVX136" s="9"/>
      <c r="TVY136" s="18"/>
      <c r="TVZ136" s="18"/>
      <c r="TWA136" s="18"/>
      <c r="TWB136" s="18"/>
      <c r="TWC136" s="18"/>
      <c r="TWD136" s="17"/>
      <c r="TWE136" s="9"/>
      <c r="TWF136" s="9"/>
      <c r="TWG136" s="18"/>
      <c r="TWH136" s="18"/>
      <c r="TWI136" s="18"/>
      <c r="TWJ136" s="18"/>
      <c r="TWK136" s="18"/>
      <c r="TWL136" s="17"/>
      <c r="TWM136" s="9"/>
      <c r="TWN136" s="9"/>
      <c r="TWO136" s="18"/>
      <c r="TWP136" s="18"/>
      <c r="TWQ136" s="18"/>
      <c r="TWR136" s="18"/>
      <c r="TWS136" s="18"/>
      <c r="TWT136" s="17"/>
      <c r="TWU136" s="9"/>
      <c r="TWV136" s="9"/>
      <c r="TWW136" s="18"/>
      <c r="TWX136" s="18"/>
      <c r="TWY136" s="18"/>
      <c r="TWZ136" s="18"/>
      <c r="TXA136" s="18"/>
      <c r="TXB136" s="17"/>
      <c r="TXC136" s="9"/>
      <c r="TXD136" s="9"/>
      <c r="TXE136" s="18"/>
      <c r="TXF136" s="18"/>
      <c r="TXG136" s="18"/>
      <c r="TXH136" s="18"/>
      <c r="TXI136" s="18"/>
      <c r="TXJ136" s="17"/>
      <c r="TXK136" s="9"/>
      <c r="TXL136" s="9"/>
      <c r="TXM136" s="18"/>
      <c r="TXN136" s="18"/>
      <c r="TXO136" s="18"/>
      <c r="TXP136" s="18"/>
      <c r="TXQ136" s="18"/>
      <c r="TXR136" s="17"/>
      <c r="TXS136" s="9"/>
      <c r="TXT136" s="9"/>
      <c r="TXU136" s="18"/>
      <c r="TXV136" s="18"/>
      <c r="TXW136" s="18"/>
      <c r="TXX136" s="18"/>
      <c r="TXY136" s="18"/>
      <c r="TXZ136" s="17"/>
      <c r="TYA136" s="9"/>
      <c r="TYB136" s="9"/>
      <c r="TYC136" s="18"/>
      <c r="TYD136" s="18"/>
      <c r="TYE136" s="18"/>
      <c r="TYF136" s="18"/>
      <c r="TYG136" s="18"/>
      <c r="TYH136" s="17"/>
      <c r="TYI136" s="9"/>
      <c r="TYJ136" s="9"/>
      <c r="TYK136" s="18"/>
      <c r="TYL136" s="18"/>
      <c r="TYM136" s="18"/>
      <c r="TYN136" s="18"/>
      <c r="TYO136" s="18"/>
      <c r="TYP136" s="17"/>
      <c r="TYQ136" s="9"/>
      <c r="TYR136" s="9"/>
      <c r="TYS136" s="18"/>
      <c r="TYT136" s="18"/>
      <c r="TYU136" s="18"/>
      <c r="TYV136" s="18"/>
      <c r="TYW136" s="18"/>
      <c r="TYX136" s="17"/>
      <c r="TYY136" s="9"/>
      <c r="TYZ136" s="9"/>
      <c r="TZA136" s="18"/>
      <c r="TZB136" s="18"/>
      <c r="TZC136" s="18"/>
      <c r="TZD136" s="18"/>
      <c r="TZE136" s="18"/>
      <c r="TZF136" s="17"/>
      <c r="TZG136" s="9"/>
      <c r="TZH136" s="9"/>
      <c r="TZI136" s="18"/>
      <c r="TZJ136" s="18"/>
      <c r="TZK136" s="18"/>
      <c r="TZL136" s="18"/>
      <c r="TZM136" s="18"/>
      <c r="TZN136" s="17"/>
      <c r="TZO136" s="9"/>
      <c r="TZP136" s="9"/>
      <c r="TZQ136" s="18"/>
      <c r="TZR136" s="18"/>
      <c r="TZS136" s="18"/>
      <c r="TZT136" s="18"/>
      <c r="TZU136" s="18"/>
      <c r="TZV136" s="17"/>
      <c r="TZW136" s="9"/>
      <c r="TZX136" s="9"/>
      <c r="TZY136" s="18"/>
      <c r="TZZ136" s="18"/>
      <c r="UAA136" s="18"/>
      <c r="UAB136" s="18"/>
      <c r="UAC136" s="18"/>
      <c r="UAD136" s="17"/>
      <c r="UAE136" s="9"/>
      <c r="UAF136" s="9"/>
      <c r="UAG136" s="18"/>
      <c r="UAH136" s="18"/>
      <c r="UAI136" s="18"/>
      <c r="UAJ136" s="18"/>
      <c r="UAK136" s="18"/>
      <c r="UAL136" s="17"/>
      <c r="UAM136" s="9"/>
      <c r="UAN136" s="9"/>
      <c r="UAO136" s="18"/>
      <c r="UAP136" s="18"/>
      <c r="UAQ136" s="18"/>
      <c r="UAR136" s="18"/>
      <c r="UAS136" s="18"/>
      <c r="UAT136" s="17"/>
      <c r="UAU136" s="9"/>
      <c r="UAV136" s="9"/>
      <c r="UAW136" s="18"/>
      <c r="UAX136" s="18"/>
      <c r="UAY136" s="18"/>
      <c r="UAZ136" s="18"/>
      <c r="UBA136" s="18"/>
      <c r="UBB136" s="17"/>
      <c r="UBC136" s="9"/>
      <c r="UBD136" s="9"/>
      <c r="UBE136" s="18"/>
      <c r="UBF136" s="18"/>
      <c r="UBG136" s="18"/>
      <c r="UBH136" s="18"/>
      <c r="UBI136" s="18"/>
      <c r="UBJ136" s="17"/>
      <c r="UBK136" s="9"/>
      <c r="UBL136" s="9"/>
      <c r="UBM136" s="18"/>
      <c r="UBN136" s="18"/>
      <c r="UBO136" s="18"/>
      <c r="UBP136" s="18"/>
      <c r="UBQ136" s="18"/>
      <c r="UBR136" s="17"/>
      <c r="UBS136" s="9"/>
      <c r="UBT136" s="9"/>
      <c r="UBU136" s="18"/>
      <c r="UBV136" s="18"/>
      <c r="UBW136" s="18"/>
      <c r="UBX136" s="18"/>
      <c r="UBY136" s="18"/>
      <c r="UBZ136" s="17"/>
      <c r="UCA136" s="9"/>
      <c r="UCB136" s="9"/>
      <c r="UCC136" s="18"/>
      <c r="UCD136" s="18"/>
      <c r="UCE136" s="18"/>
      <c r="UCF136" s="18"/>
      <c r="UCG136" s="18"/>
      <c r="UCH136" s="17"/>
      <c r="UCI136" s="9"/>
      <c r="UCJ136" s="9"/>
      <c r="UCK136" s="18"/>
      <c r="UCL136" s="18"/>
      <c r="UCM136" s="18"/>
      <c r="UCN136" s="18"/>
      <c r="UCO136" s="18"/>
      <c r="UCP136" s="17"/>
      <c r="UCQ136" s="9"/>
      <c r="UCR136" s="9"/>
      <c r="UCS136" s="18"/>
      <c r="UCT136" s="18"/>
      <c r="UCU136" s="18"/>
      <c r="UCV136" s="18"/>
      <c r="UCW136" s="18"/>
      <c r="UCX136" s="17"/>
      <c r="UCY136" s="9"/>
      <c r="UCZ136" s="9"/>
      <c r="UDA136" s="18"/>
      <c r="UDB136" s="18"/>
      <c r="UDC136" s="18"/>
      <c r="UDD136" s="18"/>
      <c r="UDE136" s="18"/>
      <c r="UDF136" s="17"/>
      <c r="UDG136" s="9"/>
      <c r="UDH136" s="9"/>
      <c r="UDI136" s="18"/>
      <c r="UDJ136" s="18"/>
      <c r="UDK136" s="18"/>
      <c r="UDL136" s="18"/>
      <c r="UDM136" s="18"/>
      <c r="UDN136" s="17"/>
      <c r="UDO136" s="9"/>
      <c r="UDP136" s="9"/>
      <c r="UDQ136" s="18"/>
      <c r="UDR136" s="18"/>
      <c r="UDS136" s="18"/>
      <c r="UDT136" s="18"/>
      <c r="UDU136" s="18"/>
      <c r="UDV136" s="17"/>
      <c r="UDW136" s="9"/>
      <c r="UDX136" s="9"/>
      <c r="UDY136" s="18"/>
      <c r="UDZ136" s="18"/>
      <c r="UEA136" s="18"/>
      <c r="UEB136" s="18"/>
      <c r="UEC136" s="18"/>
      <c r="UED136" s="17"/>
      <c r="UEE136" s="9"/>
      <c r="UEF136" s="9"/>
      <c r="UEG136" s="18"/>
      <c r="UEH136" s="18"/>
      <c r="UEI136" s="18"/>
      <c r="UEJ136" s="18"/>
      <c r="UEK136" s="18"/>
      <c r="UEL136" s="17"/>
      <c r="UEM136" s="9"/>
      <c r="UEN136" s="9"/>
      <c r="UEO136" s="18"/>
      <c r="UEP136" s="18"/>
      <c r="UEQ136" s="18"/>
      <c r="UER136" s="18"/>
      <c r="UES136" s="18"/>
      <c r="UET136" s="17"/>
      <c r="UEU136" s="9"/>
      <c r="UEV136" s="9"/>
      <c r="UEW136" s="18"/>
      <c r="UEX136" s="18"/>
      <c r="UEY136" s="18"/>
      <c r="UEZ136" s="18"/>
      <c r="UFA136" s="18"/>
      <c r="UFB136" s="17"/>
      <c r="UFC136" s="9"/>
      <c r="UFD136" s="9"/>
      <c r="UFE136" s="18"/>
      <c r="UFF136" s="18"/>
      <c r="UFG136" s="18"/>
      <c r="UFH136" s="18"/>
      <c r="UFI136" s="18"/>
      <c r="UFJ136" s="17"/>
      <c r="UFK136" s="9"/>
      <c r="UFL136" s="9"/>
      <c r="UFM136" s="18"/>
      <c r="UFN136" s="18"/>
      <c r="UFO136" s="18"/>
      <c r="UFP136" s="18"/>
      <c r="UFQ136" s="18"/>
      <c r="UFR136" s="17"/>
      <c r="UFS136" s="9"/>
      <c r="UFT136" s="9"/>
      <c r="UFU136" s="18"/>
      <c r="UFV136" s="18"/>
      <c r="UFW136" s="18"/>
      <c r="UFX136" s="18"/>
      <c r="UFY136" s="18"/>
      <c r="UFZ136" s="17"/>
      <c r="UGA136" s="9"/>
      <c r="UGB136" s="9"/>
      <c r="UGC136" s="18"/>
      <c r="UGD136" s="18"/>
      <c r="UGE136" s="18"/>
      <c r="UGF136" s="18"/>
      <c r="UGG136" s="18"/>
      <c r="UGH136" s="17"/>
      <c r="UGI136" s="9"/>
      <c r="UGJ136" s="9"/>
      <c r="UGK136" s="18"/>
      <c r="UGL136" s="18"/>
      <c r="UGM136" s="18"/>
      <c r="UGN136" s="18"/>
      <c r="UGO136" s="18"/>
      <c r="UGP136" s="17"/>
      <c r="UGQ136" s="9"/>
      <c r="UGR136" s="9"/>
      <c r="UGS136" s="18"/>
      <c r="UGT136" s="18"/>
      <c r="UGU136" s="18"/>
      <c r="UGV136" s="18"/>
      <c r="UGW136" s="18"/>
      <c r="UGX136" s="17"/>
      <c r="UGY136" s="9"/>
      <c r="UGZ136" s="9"/>
      <c r="UHA136" s="18"/>
      <c r="UHB136" s="18"/>
      <c r="UHC136" s="18"/>
      <c r="UHD136" s="18"/>
      <c r="UHE136" s="18"/>
      <c r="UHF136" s="17"/>
      <c r="UHG136" s="9"/>
      <c r="UHH136" s="9"/>
      <c r="UHI136" s="18"/>
      <c r="UHJ136" s="18"/>
      <c r="UHK136" s="18"/>
      <c r="UHL136" s="18"/>
      <c r="UHM136" s="18"/>
      <c r="UHN136" s="17"/>
      <c r="UHO136" s="9"/>
      <c r="UHP136" s="9"/>
      <c r="UHQ136" s="18"/>
      <c r="UHR136" s="18"/>
      <c r="UHS136" s="18"/>
      <c r="UHT136" s="18"/>
      <c r="UHU136" s="18"/>
      <c r="UHV136" s="17"/>
      <c r="UHW136" s="9"/>
      <c r="UHX136" s="9"/>
      <c r="UHY136" s="18"/>
      <c r="UHZ136" s="18"/>
      <c r="UIA136" s="18"/>
      <c r="UIB136" s="18"/>
      <c r="UIC136" s="18"/>
      <c r="UID136" s="17"/>
      <c r="UIE136" s="9"/>
      <c r="UIF136" s="9"/>
      <c r="UIG136" s="18"/>
      <c r="UIH136" s="18"/>
      <c r="UII136" s="18"/>
      <c r="UIJ136" s="18"/>
      <c r="UIK136" s="18"/>
      <c r="UIL136" s="17"/>
      <c r="UIM136" s="9"/>
      <c r="UIN136" s="9"/>
      <c r="UIO136" s="18"/>
      <c r="UIP136" s="18"/>
      <c r="UIQ136" s="18"/>
      <c r="UIR136" s="18"/>
      <c r="UIS136" s="18"/>
      <c r="UIT136" s="17"/>
      <c r="UIU136" s="9"/>
      <c r="UIV136" s="9"/>
      <c r="UIW136" s="18"/>
      <c r="UIX136" s="18"/>
      <c r="UIY136" s="18"/>
      <c r="UIZ136" s="18"/>
      <c r="UJA136" s="18"/>
      <c r="UJB136" s="17"/>
      <c r="UJC136" s="9"/>
      <c r="UJD136" s="9"/>
      <c r="UJE136" s="18"/>
      <c r="UJF136" s="18"/>
      <c r="UJG136" s="18"/>
      <c r="UJH136" s="18"/>
      <c r="UJI136" s="18"/>
      <c r="UJJ136" s="17"/>
      <c r="UJK136" s="9"/>
      <c r="UJL136" s="9"/>
      <c r="UJM136" s="18"/>
      <c r="UJN136" s="18"/>
      <c r="UJO136" s="18"/>
      <c r="UJP136" s="18"/>
      <c r="UJQ136" s="18"/>
      <c r="UJR136" s="17"/>
      <c r="UJS136" s="9"/>
      <c r="UJT136" s="9"/>
      <c r="UJU136" s="18"/>
      <c r="UJV136" s="18"/>
      <c r="UJW136" s="18"/>
      <c r="UJX136" s="18"/>
      <c r="UJY136" s="18"/>
      <c r="UJZ136" s="17"/>
      <c r="UKA136" s="9"/>
      <c r="UKB136" s="9"/>
      <c r="UKC136" s="18"/>
      <c r="UKD136" s="18"/>
      <c r="UKE136" s="18"/>
      <c r="UKF136" s="18"/>
      <c r="UKG136" s="18"/>
      <c r="UKH136" s="17"/>
      <c r="UKI136" s="9"/>
      <c r="UKJ136" s="9"/>
      <c r="UKK136" s="18"/>
      <c r="UKL136" s="18"/>
      <c r="UKM136" s="18"/>
      <c r="UKN136" s="18"/>
      <c r="UKO136" s="18"/>
      <c r="UKP136" s="17"/>
      <c r="UKQ136" s="9"/>
      <c r="UKR136" s="9"/>
      <c r="UKS136" s="18"/>
      <c r="UKT136" s="18"/>
      <c r="UKU136" s="18"/>
      <c r="UKV136" s="18"/>
      <c r="UKW136" s="18"/>
      <c r="UKX136" s="17"/>
      <c r="UKY136" s="9"/>
      <c r="UKZ136" s="9"/>
      <c r="ULA136" s="18"/>
      <c r="ULB136" s="18"/>
      <c r="ULC136" s="18"/>
      <c r="ULD136" s="18"/>
      <c r="ULE136" s="18"/>
      <c r="ULF136" s="17"/>
      <c r="ULG136" s="9"/>
      <c r="ULH136" s="9"/>
      <c r="ULI136" s="18"/>
      <c r="ULJ136" s="18"/>
      <c r="ULK136" s="18"/>
      <c r="ULL136" s="18"/>
      <c r="ULM136" s="18"/>
      <c r="ULN136" s="17"/>
      <c r="ULO136" s="9"/>
      <c r="ULP136" s="9"/>
      <c r="ULQ136" s="18"/>
      <c r="ULR136" s="18"/>
      <c r="ULS136" s="18"/>
      <c r="ULT136" s="18"/>
      <c r="ULU136" s="18"/>
      <c r="ULV136" s="17"/>
      <c r="ULW136" s="9"/>
      <c r="ULX136" s="9"/>
      <c r="ULY136" s="18"/>
      <c r="ULZ136" s="18"/>
      <c r="UMA136" s="18"/>
      <c r="UMB136" s="18"/>
      <c r="UMC136" s="18"/>
      <c r="UMD136" s="17"/>
      <c r="UME136" s="9"/>
      <c r="UMF136" s="9"/>
      <c r="UMG136" s="18"/>
      <c r="UMH136" s="18"/>
      <c r="UMI136" s="18"/>
      <c r="UMJ136" s="18"/>
      <c r="UMK136" s="18"/>
      <c r="UML136" s="17"/>
      <c r="UMM136" s="9"/>
      <c r="UMN136" s="9"/>
      <c r="UMO136" s="18"/>
      <c r="UMP136" s="18"/>
      <c r="UMQ136" s="18"/>
      <c r="UMR136" s="18"/>
      <c r="UMS136" s="18"/>
      <c r="UMT136" s="17"/>
      <c r="UMU136" s="9"/>
      <c r="UMV136" s="9"/>
      <c r="UMW136" s="18"/>
      <c r="UMX136" s="18"/>
      <c r="UMY136" s="18"/>
      <c r="UMZ136" s="18"/>
      <c r="UNA136" s="18"/>
      <c r="UNB136" s="17"/>
      <c r="UNC136" s="9"/>
      <c r="UND136" s="9"/>
      <c r="UNE136" s="18"/>
      <c r="UNF136" s="18"/>
      <c r="UNG136" s="18"/>
      <c r="UNH136" s="18"/>
      <c r="UNI136" s="18"/>
      <c r="UNJ136" s="17"/>
      <c r="UNK136" s="9"/>
      <c r="UNL136" s="9"/>
      <c r="UNM136" s="18"/>
      <c r="UNN136" s="18"/>
      <c r="UNO136" s="18"/>
      <c r="UNP136" s="18"/>
      <c r="UNQ136" s="18"/>
      <c r="UNR136" s="17"/>
      <c r="UNS136" s="9"/>
      <c r="UNT136" s="9"/>
      <c r="UNU136" s="18"/>
      <c r="UNV136" s="18"/>
      <c r="UNW136" s="18"/>
      <c r="UNX136" s="18"/>
      <c r="UNY136" s="18"/>
      <c r="UNZ136" s="17"/>
      <c r="UOA136" s="9"/>
      <c r="UOB136" s="9"/>
      <c r="UOC136" s="18"/>
      <c r="UOD136" s="18"/>
      <c r="UOE136" s="18"/>
      <c r="UOF136" s="18"/>
      <c r="UOG136" s="18"/>
      <c r="UOH136" s="17"/>
      <c r="UOI136" s="9"/>
      <c r="UOJ136" s="9"/>
      <c r="UOK136" s="18"/>
      <c r="UOL136" s="18"/>
      <c r="UOM136" s="18"/>
      <c r="UON136" s="18"/>
      <c r="UOO136" s="18"/>
      <c r="UOP136" s="17"/>
      <c r="UOQ136" s="9"/>
      <c r="UOR136" s="9"/>
      <c r="UOS136" s="18"/>
      <c r="UOT136" s="18"/>
      <c r="UOU136" s="18"/>
      <c r="UOV136" s="18"/>
      <c r="UOW136" s="18"/>
      <c r="UOX136" s="17"/>
      <c r="UOY136" s="9"/>
      <c r="UOZ136" s="9"/>
      <c r="UPA136" s="18"/>
      <c r="UPB136" s="18"/>
      <c r="UPC136" s="18"/>
      <c r="UPD136" s="18"/>
      <c r="UPE136" s="18"/>
      <c r="UPF136" s="17"/>
      <c r="UPG136" s="9"/>
      <c r="UPH136" s="9"/>
      <c r="UPI136" s="18"/>
      <c r="UPJ136" s="18"/>
      <c r="UPK136" s="18"/>
      <c r="UPL136" s="18"/>
      <c r="UPM136" s="18"/>
      <c r="UPN136" s="17"/>
      <c r="UPO136" s="9"/>
      <c r="UPP136" s="9"/>
      <c r="UPQ136" s="18"/>
      <c r="UPR136" s="18"/>
      <c r="UPS136" s="18"/>
      <c r="UPT136" s="18"/>
      <c r="UPU136" s="18"/>
      <c r="UPV136" s="17"/>
      <c r="UPW136" s="9"/>
      <c r="UPX136" s="9"/>
      <c r="UPY136" s="18"/>
      <c r="UPZ136" s="18"/>
      <c r="UQA136" s="18"/>
      <c r="UQB136" s="18"/>
      <c r="UQC136" s="18"/>
      <c r="UQD136" s="17"/>
      <c r="UQE136" s="9"/>
      <c r="UQF136" s="9"/>
      <c r="UQG136" s="18"/>
      <c r="UQH136" s="18"/>
      <c r="UQI136" s="18"/>
      <c r="UQJ136" s="18"/>
      <c r="UQK136" s="18"/>
      <c r="UQL136" s="17"/>
      <c r="UQM136" s="9"/>
      <c r="UQN136" s="9"/>
      <c r="UQO136" s="18"/>
      <c r="UQP136" s="18"/>
      <c r="UQQ136" s="18"/>
      <c r="UQR136" s="18"/>
      <c r="UQS136" s="18"/>
      <c r="UQT136" s="17"/>
      <c r="UQU136" s="9"/>
      <c r="UQV136" s="9"/>
      <c r="UQW136" s="18"/>
      <c r="UQX136" s="18"/>
      <c r="UQY136" s="18"/>
      <c r="UQZ136" s="18"/>
      <c r="URA136" s="18"/>
      <c r="URB136" s="17"/>
      <c r="URC136" s="9"/>
      <c r="URD136" s="9"/>
      <c r="URE136" s="18"/>
      <c r="URF136" s="18"/>
      <c r="URG136" s="18"/>
      <c r="URH136" s="18"/>
      <c r="URI136" s="18"/>
      <c r="URJ136" s="17"/>
      <c r="URK136" s="9"/>
      <c r="URL136" s="9"/>
      <c r="URM136" s="18"/>
      <c r="URN136" s="18"/>
      <c r="URO136" s="18"/>
      <c r="URP136" s="18"/>
      <c r="URQ136" s="18"/>
      <c r="URR136" s="17"/>
      <c r="URS136" s="9"/>
      <c r="URT136" s="9"/>
      <c r="URU136" s="18"/>
      <c r="URV136" s="18"/>
      <c r="URW136" s="18"/>
      <c r="URX136" s="18"/>
      <c r="URY136" s="18"/>
      <c r="URZ136" s="17"/>
      <c r="USA136" s="9"/>
      <c r="USB136" s="9"/>
      <c r="USC136" s="18"/>
      <c r="USD136" s="18"/>
      <c r="USE136" s="18"/>
      <c r="USF136" s="18"/>
      <c r="USG136" s="18"/>
      <c r="USH136" s="17"/>
      <c r="USI136" s="9"/>
      <c r="USJ136" s="9"/>
      <c r="USK136" s="18"/>
      <c r="USL136" s="18"/>
      <c r="USM136" s="18"/>
      <c r="USN136" s="18"/>
      <c r="USO136" s="18"/>
      <c r="USP136" s="17"/>
      <c r="USQ136" s="9"/>
      <c r="USR136" s="9"/>
      <c r="USS136" s="18"/>
      <c r="UST136" s="18"/>
      <c r="USU136" s="18"/>
      <c r="USV136" s="18"/>
      <c r="USW136" s="18"/>
      <c r="USX136" s="17"/>
      <c r="USY136" s="9"/>
      <c r="USZ136" s="9"/>
      <c r="UTA136" s="18"/>
      <c r="UTB136" s="18"/>
      <c r="UTC136" s="18"/>
      <c r="UTD136" s="18"/>
      <c r="UTE136" s="18"/>
      <c r="UTF136" s="17"/>
      <c r="UTG136" s="9"/>
      <c r="UTH136" s="9"/>
      <c r="UTI136" s="18"/>
      <c r="UTJ136" s="18"/>
      <c r="UTK136" s="18"/>
      <c r="UTL136" s="18"/>
      <c r="UTM136" s="18"/>
      <c r="UTN136" s="17"/>
      <c r="UTO136" s="9"/>
      <c r="UTP136" s="9"/>
      <c r="UTQ136" s="18"/>
      <c r="UTR136" s="18"/>
      <c r="UTS136" s="18"/>
      <c r="UTT136" s="18"/>
      <c r="UTU136" s="18"/>
      <c r="UTV136" s="17"/>
      <c r="UTW136" s="9"/>
      <c r="UTX136" s="9"/>
      <c r="UTY136" s="18"/>
      <c r="UTZ136" s="18"/>
      <c r="UUA136" s="18"/>
      <c r="UUB136" s="18"/>
      <c r="UUC136" s="18"/>
      <c r="UUD136" s="17"/>
      <c r="UUE136" s="9"/>
      <c r="UUF136" s="9"/>
      <c r="UUG136" s="18"/>
      <c r="UUH136" s="18"/>
      <c r="UUI136" s="18"/>
      <c r="UUJ136" s="18"/>
      <c r="UUK136" s="18"/>
      <c r="UUL136" s="17"/>
      <c r="UUM136" s="9"/>
      <c r="UUN136" s="9"/>
      <c r="UUO136" s="18"/>
      <c r="UUP136" s="18"/>
      <c r="UUQ136" s="18"/>
      <c r="UUR136" s="18"/>
      <c r="UUS136" s="18"/>
      <c r="UUT136" s="17"/>
      <c r="UUU136" s="9"/>
      <c r="UUV136" s="9"/>
      <c r="UUW136" s="18"/>
      <c r="UUX136" s="18"/>
      <c r="UUY136" s="18"/>
      <c r="UUZ136" s="18"/>
      <c r="UVA136" s="18"/>
      <c r="UVB136" s="17"/>
      <c r="UVC136" s="9"/>
      <c r="UVD136" s="9"/>
      <c r="UVE136" s="18"/>
      <c r="UVF136" s="18"/>
      <c r="UVG136" s="18"/>
      <c r="UVH136" s="18"/>
      <c r="UVI136" s="18"/>
      <c r="UVJ136" s="17"/>
      <c r="UVK136" s="9"/>
      <c r="UVL136" s="9"/>
      <c r="UVM136" s="18"/>
      <c r="UVN136" s="18"/>
      <c r="UVO136" s="18"/>
      <c r="UVP136" s="18"/>
      <c r="UVQ136" s="18"/>
      <c r="UVR136" s="17"/>
      <c r="UVS136" s="9"/>
      <c r="UVT136" s="9"/>
      <c r="UVU136" s="18"/>
      <c r="UVV136" s="18"/>
      <c r="UVW136" s="18"/>
      <c r="UVX136" s="18"/>
      <c r="UVY136" s="18"/>
      <c r="UVZ136" s="17"/>
      <c r="UWA136" s="9"/>
      <c r="UWB136" s="9"/>
      <c r="UWC136" s="18"/>
      <c r="UWD136" s="18"/>
      <c r="UWE136" s="18"/>
      <c r="UWF136" s="18"/>
      <c r="UWG136" s="18"/>
      <c r="UWH136" s="17"/>
      <c r="UWI136" s="9"/>
      <c r="UWJ136" s="9"/>
      <c r="UWK136" s="18"/>
      <c r="UWL136" s="18"/>
      <c r="UWM136" s="18"/>
      <c r="UWN136" s="18"/>
      <c r="UWO136" s="18"/>
      <c r="UWP136" s="17"/>
      <c r="UWQ136" s="9"/>
      <c r="UWR136" s="9"/>
      <c r="UWS136" s="18"/>
      <c r="UWT136" s="18"/>
      <c r="UWU136" s="18"/>
      <c r="UWV136" s="18"/>
      <c r="UWW136" s="18"/>
      <c r="UWX136" s="17"/>
      <c r="UWY136" s="9"/>
      <c r="UWZ136" s="9"/>
      <c r="UXA136" s="18"/>
      <c r="UXB136" s="18"/>
      <c r="UXC136" s="18"/>
      <c r="UXD136" s="18"/>
      <c r="UXE136" s="18"/>
      <c r="UXF136" s="17"/>
      <c r="UXG136" s="9"/>
      <c r="UXH136" s="9"/>
      <c r="UXI136" s="18"/>
      <c r="UXJ136" s="18"/>
      <c r="UXK136" s="18"/>
      <c r="UXL136" s="18"/>
      <c r="UXM136" s="18"/>
      <c r="UXN136" s="17"/>
      <c r="UXO136" s="9"/>
      <c r="UXP136" s="9"/>
      <c r="UXQ136" s="18"/>
      <c r="UXR136" s="18"/>
      <c r="UXS136" s="18"/>
      <c r="UXT136" s="18"/>
      <c r="UXU136" s="18"/>
      <c r="UXV136" s="17"/>
      <c r="UXW136" s="9"/>
      <c r="UXX136" s="9"/>
      <c r="UXY136" s="18"/>
      <c r="UXZ136" s="18"/>
      <c r="UYA136" s="18"/>
      <c r="UYB136" s="18"/>
      <c r="UYC136" s="18"/>
      <c r="UYD136" s="17"/>
      <c r="UYE136" s="9"/>
      <c r="UYF136" s="9"/>
      <c r="UYG136" s="18"/>
      <c r="UYH136" s="18"/>
      <c r="UYI136" s="18"/>
      <c r="UYJ136" s="18"/>
      <c r="UYK136" s="18"/>
      <c r="UYL136" s="17"/>
      <c r="UYM136" s="9"/>
      <c r="UYN136" s="9"/>
      <c r="UYO136" s="18"/>
      <c r="UYP136" s="18"/>
      <c r="UYQ136" s="18"/>
      <c r="UYR136" s="18"/>
      <c r="UYS136" s="18"/>
      <c r="UYT136" s="17"/>
      <c r="UYU136" s="9"/>
      <c r="UYV136" s="9"/>
      <c r="UYW136" s="18"/>
      <c r="UYX136" s="18"/>
      <c r="UYY136" s="18"/>
      <c r="UYZ136" s="18"/>
      <c r="UZA136" s="18"/>
      <c r="UZB136" s="17"/>
      <c r="UZC136" s="9"/>
      <c r="UZD136" s="9"/>
      <c r="UZE136" s="18"/>
      <c r="UZF136" s="18"/>
      <c r="UZG136" s="18"/>
      <c r="UZH136" s="18"/>
      <c r="UZI136" s="18"/>
      <c r="UZJ136" s="17"/>
      <c r="UZK136" s="9"/>
      <c r="UZL136" s="9"/>
      <c r="UZM136" s="18"/>
      <c r="UZN136" s="18"/>
      <c r="UZO136" s="18"/>
      <c r="UZP136" s="18"/>
      <c r="UZQ136" s="18"/>
      <c r="UZR136" s="17"/>
      <c r="UZS136" s="9"/>
      <c r="UZT136" s="9"/>
      <c r="UZU136" s="18"/>
      <c r="UZV136" s="18"/>
      <c r="UZW136" s="18"/>
      <c r="UZX136" s="18"/>
      <c r="UZY136" s="18"/>
      <c r="UZZ136" s="17"/>
      <c r="VAA136" s="9"/>
      <c r="VAB136" s="9"/>
      <c r="VAC136" s="18"/>
      <c r="VAD136" s="18"/>
      <c r="VAE136" s="18"/>
      <c r="VAF136" s="18"/>
      <c r="VAG136" s="18"/>
      <c r="VAH136" s="17"/>
      <c r="VAI136" s="9"/>
      <c r="VAJ136" s="9"/>
      <c r="VAK136" s="18"/>
      <c r="VAL136" s="18"/>
      <c r="VAM136" s="18"/>
      <c r="VAN136" s="18"/>
      <c r="VAO136" s="18"/>
      <c r="VAP136" s="17"/>
      <c r="VAQ136" s="9"/>
      <c r="VAR136" s="9"/>
      <c r="VAS136" s="18"/>
      <c r="VAT136" s="18"/>
      <c r="VAU136" s="18"/>
      <c r="VAV136" s="18"/>
      <c r="VAW136" s="18"/>
      <c r="VAX136" s="17"/>
      <c r="VAY136" s="9"/>
      <c r="VAZ136" s="9"/>
      <c r="VBA136" s="18"/>
      <c r="VBB136" s="18"/>
      <c r="VBC136" s="18"/>
      <c r="VBD136" s="18"/>
      <c r="VBE136" s="18"/>
      <c r="VBF136" s="17"/>
      <c r="VBG136" s="9"/>
      <c r="VBH136" s="9"/>
      <c r="VBI136" s="18"/>
      <c r="VBJ136" s="18"/>
      <c r="VBK136" s="18"/>
      <c r="VBL136" s="18"/>
      <c r="VBM136" s="18"/>
      <c r="VBN136" s="17"/>
      <c r="VBO136" s="9"/>
      <c r="VBP136" s="9"/>
      <c r="VBQ136" s="18"/>
      <c r="VBR136" s="18"/>
      <c r="VBS136" s="18"/>
      <c r="VBT136" s="18"/>
      <c r="VBU136" s="18"/>
      <c r="VBV136" s="17"/>
      <c r="VBW136" s="9"/>
      <c r="VBX136" s="9"/>
      <c r="VBY136" s="18"/>
      <c r="VBZ136" s="18"/>
      <c r="VCA136" s="18"/>
      <c r="VCB136" s="18"/>
      <c r="VCC136" s="18"/>
      <c r="VCD136" s="17"/>
      <c r="VCE136" s="9"/>
      <c r="VCF136" s="9"/>
      <c r="VCG136" s="18"/>
      <c r="VCH136" s="18"/>
      <c r="VCI136" s="18"/>
      <c r="VCJ136" s="18"/>
      <c r="VCK136" s="18"/>
      <c r="VCL136" s="17"/>
      <c r="VCM136" s="9"/>
      <c r="VCN136" s="9"/>
      <c r="VCO136" s="18"/>
      <c r="VCP136" s="18"/>
      <c r="VCQ136" s="18"/>
      <c r="VCR136" s="18"/>
      <c r="VCS136" s="18"/>
      <c r="VCT136" s="17"/>
      <c r="VCU136" s="9"/>
      <c r="VCV136" s="9"/>
      <c r="VCW136" s="18"/>
      <c r="VCX136" s="18"/>
      <c r="VCY136" s="18"/>
      <c r="VCZ136" s="18"/>
      <c r="VDA136" s="18"/>
      <c r="VDB136" s="17"/>
      <c r="VDC136" s="9"/>
      <c r="VDD136" s="9"/>
      <c r="VDE136" s="18"/>
      <c r="VDF136" s="18"/>
      <c r="VDG136" s="18"/>
      <c r="VDH136" s="18"/>
      <c r="VDI136" s="18"/>
      <c r="VDJ136" s="17"/>
      <c r="VDK136" s="9"/>
      <c r="VDL136" s="9"/>
      <c r="VDM136" s="18"/>
      <c r="VDN136" s="18"/>
      <c r="VDO136" s="18"/>
      <c r="VDP136" s="18"/>
      <c r="VDQ136" s="18"/>
      <c r="VDR136" s="17"/>
      <c r="VDS136" s="9"/>
      <c r="VDT136" s="9"/>
      <c r="VDU136" s="18"/>
      <c r="VDV136" s="18"/>
      <c r="VDW136" s="18"/>
      <c r="VDX136" s="18"/>
      <c r="VDY136" s="18"/>
      <c r="VDZ136" s="17"/>
      <c r="VEA136" s="9"/>
      <c r="VEB136" s="9"/>
      <c r="VEC136" s="18"/>
      <c r="VED136" s="18"/>
      <c r="VEE136" s="18"/>
      <c r="VEF136" s="18"/>
      <c r="VEG136" s="18"/>
      <c r="VEH136" s="17"/>
      <c r="VEI136" s="9"/>
      <c r="VEJ136" s="9"/>
      <c r="VEK136" s="18"/>
      <c r="VEL136" s="18"/>
      <c r="VEM136" s="18"/>
      <c r="VEN136" s="18"/>
      <c r="VEO136" s="18"/>
      <c r="VEP136" s="17"/>
      <c r="VEQ136" s="9"/>
      <c r="VER136" s="9"/>
      <c r="VES136" s="18"/>
      <c r="VET136" s="18"/>
      <c r="VEU136" s="18"/>
      <c r="VEV136" s="18"/>
      <c r="VEW136" s="18"/>
      <c r="VEX136" s="17"/>
      <c r="VEY136" s="9"/>
      <c r="VEZ136" s="9"/>
      <c r="VFA136" s="18"/>
      <c r="VFB136" s="18"/>
      <c r="VFC136" s="18"/>
      <c r="VFD136" s="18"/>
      <c r="VFE136" s="18"/>
      <c r="VFF136" s="17"/>
      <c r="VFG136" s="9"/>
      <c r="VFH136" s="9"/>
      <c r="VFI136" s="18"/>
      <c r="VFJ136" s="18"/>
      <c r="VFK136" s="18"/>
      <c r="VFL136" s="18"/>
      <c r="VFM136" s="18"/>
      <c r="VFN136" s="17"/>
      <c r="VFO136" s="9"/>
      <c r="VFP136" s="9"/>
      <c r="VFQ136" s="18"/>
      <c r="VFR136" s="18"/>
      <c r="VFS136" s="18"/>
      <c r="VFT136" s="18"/>
      <c r="VFU136" s="18"/>
      <c r="VFV136" s="17"/>
      <c r="VFW136" s="9"/>
      <c r="VFX136" s="9"/>
      <c r="VFY136" s="18"/>
      <c r="VFZ136" s="18"/>
      <c r="VGA136" s="18"/>
      <c r="VGB136" s="18"/>
      <c r="VGC136" s="18"/>
      <c r="VGD136" s="17"/>
      <c r="VGE136" s="9"/>
      <c r="VGF136" s="9"/>
      <c r="VGG136" s="18"/>
      <c r="VGH136" s="18"/>
      <c r="VGI136" s="18"/>
      <c r="VGJ136" s="18"/>
      <c r="VGK136" s="18"/>
      <c r="VGL136" s="17"/>
      <c r="VGM136" s="9"/>
      <c r="VGN136" s="9"/>
      <c r="VGO136" s="18"/>
      <c r="VGP136" s="18"/>
      <c r="VGQ136" s="18"/>
      <c r="VGR136" s="18"/>
      <c r="VGS136" s="18"/>
      <c r="VGT136" s="17"/>
      <c r="VGU136" s="9"/>
      <c r="VGV136" s="9"/>
      <c r="VGW136" s="18"/>
      <c r="VGX136" s="18"/>
      <c r="VGY136" s="18"/>
      <c r="VGZ136" s="18"/>
      <c r="VHA136" s="18"/>
      <c r="VHB136" s="17"/>
      <c r="VHC136" s="9"/>
      <c r="VHD136" s="9"/>
      <c r="VHE136" s="18"/>
      <c r="VHF136" s="18"/>
      <c r="VHG136" s="18"/>
      <c r="VHH136" s="18"/>
      <c r="VHI136" s="18"/>
      <c r="VHJ136" s="17"/>
      <c r="VHK136" s="9"/>
      <c r="VHL136" s="9"/>
      <c r="VHM136" s="18"/>
      <c r="VHN136" s="18"/>
      <c r="VHO136" s="18"/>
      <c r="VHP136" s="18"/>
      <c r="VHQ136" s="18"/>
      <c r="VHR136" s="17"/>
      <c r="VHS136" s="9"/>
      <c r="VHT136" s="9"/>
      <c r="VHU136" s="18"/>
      <c r="VHV136" s="18"/>
      <c r="VHW136" s="18"/>
      <c r="VHX136" s="18"/>
      <c r="VHY136" s="18"/>
      <c r="VHZ136" s="17"/>
      <c r="VIA136" s="9"/>
      <c r="VIB136" s="9"/>
      <c r="VIC136" s="18"/>
      <c r="VID136" s="18"/>
      <c r="VIE136" s="18"/>
      <c r="VIF136" s="18"/>
      <c r="VIG136" s="18"/>
      <c r="VIH136" s="17"/>
      <c r="VII136" s="9"/>
      <c r="VIJ136" s="9"/>
      <c r="VIK136" s="18"/>
      <c r="VIL136" s="18"/>
      <c r="VIM136" s="18"/>
      <c r="VIN136" s="18"/>
      <c r="VIO136" s="18"/>
      <c r="VIP136" s="17"/>
      <c r="VIQ136" s="9"/>
      <c r="VIR136" s="9"/>
      <c r="VIS136" s="18"/>
      <c r="VIT136" s="18"/>
      <c r="VIU136" s="18"/>
      <c r="VIV136" s="18"/>
      <c r="VIW136" s="18"/>
      <c r="VIX136" s="17"/>
      <c r="VIY136" s="9"/>
      <c r="VIZ136" s="9"/>
      <c r="VJA136" s="18"/>
      <c r="VJB136" s="18"/>
      <c r="VJC136" s="18"/>
      <c r="VJD136" s="18"/>
      <c r="VJE136" s="18"/>
      <c r="VJF136" s="17"/>
      <c r="VJG136" s="9"/>
      <c r="VJH136" s="9"/>
      <c r="VJI136" s="18"/>
      <c r="VJJ136" s="18"/>
      <c r="VJK136" s="18"/>
      <c r="VJL136" s="18"/>
      <c r="VJM136" s="18"/>
      <c r="VJN136" s="17"/>
      <c r="VJO136" s="9"/>
      <c r="VJP136" s="9"/>
      <c r="VJQ136" s="18"/>
      <c r="VJR136" s="18"/>
      <c r="VJS136" s="18"/>
      <c r="VJT136" s="18"/>
      <c r="VJU136" s="18"/>
      <c r="VJV136" s="17"/>
      <c r="VJW136" s="9"/>
      <c r="VJX136" s="9"/>
      <c r="VJY136" s="18"/>
      <c r="VJZ136" s="18"/>
      <c r="VKA136" s="18"/>
      <c r="VKB136" s="18"/>
      <c r="VKC136" s="18"/>
      <c r="VKD136" s="17"/>
      <c r="VKE136" s="9"/>
      <c r="VKF136" s="9"/>
      <c r="VKG136" s="18"/>
      <c r="VKH136" s="18"/>
      <c r="VKI136" s="18"/>
      <c r="VKJ136" s="18"/>
      <c r="VKK136" s="18"/>
      <c r="VKL136" s="17"/>
      <c r="VKM136" s="9"/>
      <c r="VKN136" s="9"/>
      <c r="VKO136" s="18"/>
      <c r="VKP136" s="18"/>
      <c r="VKQ136" s="18"/>
      <c r="VKR136" s="18"/>
      <c r="VKS136" s="18"/>
      <c r="VKT136" s="17"/>
      <c r="VKU136" s="9"/>
      <c r="VKV136" s="9"/>
      <c r="VKW136" s="18"/>
      <c r="VKX136" s="18"/>
      <c r="VKY136" s="18"/>
      <c r="VKZ136" s="18"/>
      <c r="VLA136" s="18"/>
      <c r="VLB136" s="17"/>
      <c r="VLC136" s="9"/>
      <c r="VLD136" s="9"/>
      <c r="VLE136" s="18"/>
      <c r="VLF136" s="18"/>
      <c r="VLG136" s="18"/>
      <c r="VLH136" s="18"/>
      <c r="VLI136" s="18"/>
      <c r="VLJ136" s="17"/>
      <c r="VLK136" s="9"/>
      <c r="VLL136" s="9"/>
      <c r="VLM136" s="18"/>
      <c r="VLN136" s="18"/>
      <c r="VLO136" s="18"/>
      <c r="VLP136" s="18"/>
      <c r="VLQ136" s="18"/>
      <c r="VLR136" s="17"/>
      <c r="VLS136" s="9"/>
      <c r="VLT136" s="9"/>
      <c r="VLU136" s="18"/>
      <c r="VLV136" s="18"/>
      <c r="VLW136" s="18"/>
      <c r="VLX136" s="18"/>
      <c r="VLY136" s="18"/>
      <c r="VLZ136" s="17"/>
      <c r="VMA136" s="9"/>
      <c r="VMB136" s="9"/>
      <c r="VMC136" s="18"/>
      <c r="VMD136" s="18"/>
      <c r="VME136" s="18"/>
      <c r="VMF136" s="18"/>
      <c r="VMG136" s="18"/>
      <c r="VMH136" s="17"/>
      <c r="VMI136" s="9"/>
      <c r="VMJ136" s="9"/>
      <c r="VMK136" s="18"/>
      <c r="VML136" s="18"/>
      <c r="VMM136" s="18"/>
      <c r="VMN136" s="18"/>
      <c r="VMO136" s="18"/>
      <c r="VMP136" s="17"/>
      <c r="VMQ136" s="9"/>
      <c r="VMR136" s="9"/>
      <c r="VMS136" s="18"/>
      <c r="VMT136" s="18"/>
      <c r="VMU136" s="18"/>
      <c r="VMV136" s="18"/>
      <c r="VMW136" s="18"/>
      <c r="VMX136" s="17"/>
      <c r="VMY136" s="9"/>
      <c r="VMZ136" s="9"/>
      <c r="VNA136" s="18"/>
      <c r="VNB136" s="18"/>
      <c r="VNC136" s="18"/>
      <c r="VND136" s="18"/>
      <c r="VNE136" s="18"/>
      <c r="VNF136" s="17"/>
      <c r="VNG136" s="9"/>
      <c r="VNH136" s="9"/>
      <c r="VNI136" s="18"/>
      <c r="VNJ136" s="18"/>
      <c r="VNK136" s="18"/>
      <c r="VNL136" s="18"/>
      <c r="VNM136" s="18"/>
      <c r="VNN136" s="17"/>
      <c r="VNO136" s="9"/>
      <c r="VNP136" s="9"/>
      <c r="VNQ136" s="18"/>
      <c r="VNR136" s="18"/>
      <c r="VNS136" s="18"/>
      <c r="VNT136" s="18"/>
      <c r="VNU136" s="18"/>
      <c r="VNV136" s="17"/>
      <c r="VNW136" s="9"/>
      <c r="VNX136" s="9"/>
      <c r="VNY136" s="18"/>
      <c r="VNZ136" s="18"/>
      <c r="VOA136" s="18"/>
      <c r="VOB136" s="18"/>
      <c r="VOC136" s="18"/>
      <c r="VOD136" s="17"/>
      <c r="VOE136" s="9"/>
      <c r="VOF136" s="9"/>
      <c r="VOG136" s="18"/>
      <c r="VOH136" s="18"/>
      <c r="VOI136" s="18"/>
      <c r="VOJ136" s="18"/>
      <c r="VOK136" s="18"/>
      <c r="VOL136" s="17"/>
      <c r="VOM136" s="9"/>
      <c r="VON136" s="9"/>
      <c r="VOO136" s="18"/>
      <c r="VOP136" s="18"/>
      <c r="VOQ136" s="18"/>
      <c r="VOR136" s="18"/>
      <c r="VOS136" s="18"/>
      <c r="VOT136" s="17"/>
      <c r="VOU136" s="9"/>
      <c r="VOV136" s="9"/>
      <c r="VOW136" s="18"/>
      <c r="VOX136" s="18"/>
      <c r="VOY136" s="18"/>
      <c r="VOZ136" s="18"/>
      <c r="VPA136" s="18"/>
      <c r="VPB136" s="17"/>
      <c r="VPC136" s="9"/>
      <c r="VPD136" s="9"/>
      <c r="VPE136" s="18"/>
      <c r="VPF136" s="18"/>
      <c r="VPG136" s="18"/>
      <c r="VPH136" s="18"/>
      <c r="VPI136" s="18"/>
      <c r="VPJ136" s="17"/>
      <c r="VPK136" s="9"/>
      <c r="VPL136" s="9"/>
      <c r="VPM136" s="18"/>
      <c r="VPN136" s="18"/>
      <c r="VPO136" s="18"/>
      <c r="VPP136" s="18"/>
      <c r="VPQ136" s="18"/>
      <c r="VPR136" s="17"/>
      <c r="VPS136" s="9"/>
      <c r="VPT136" s="9"/>
      <c r="VPU136" s="18"/>
      <c r="VPV136" s="18"/>
      <c r="VPW136" s="18"/>
      <c r="VPX136" s="18"/>
      <c r="VPY136" s="18"/>
      <c r="VPZ136" s="17"/>
      <c r="VQA136" s="9"/>
      <c r="VQB136" s="9"/>
      <c r="VQC136" s="18"/>
      <c r="VQD136" s="18"/>
      <c r="VQE136" s="18"/>
      <c r="VQF136" s="18"/>
      <c r="VQG136" s="18"/>
      <c r="VQH136" s="17"/>
      <c r="VQI136" s="9"/>
      <c r="VQJ136" s="9"/>
      <c r="VQK136" s="18"/>
      <c r="VQL136" s="18"/>
      <c r="VQM136" s="18"/>
      <c r="VQN136" s="18"/>
      <c r="VQO136" s="18"/>
      <c r="VQP136" s="17"/>
      <c r="VQQ136" s="9"/>
      <c r="VQR136" s="9"/>
      <c r="VQS136" s="18"/>
      <c r="VQT136" s="18"/>
      <c r="VQU136" s="18"/>
      <c r="VQV136" s="18"/>
      <c r="VQW136" s="18"/>
      <c r="VQX136" s="17"/>
      <c r="VQY136" s="9"/>
      <c r="VQZ136" s="9"/>
      <c r="VRA136" s="18"/>
      <c r="VRB136" s="18"/>
      <c r="VRC136" s="18"/>
      <c r="VRD136" s="18"/>
      <c r="VRE136" s="18"/>
      <c r="VRF136" s="17"/>
      <c r="VRG136" s="9"/>
      <c r="VRH136" s="9"/>
      <c r="VRI136" s="18"/>
      <c r="VRJ136" s="18"/>
      <c r="VRK136" s="18"/>
      <c r="VRL136" s="18"/>
      <c r="VRM136" s="18"/>
      <c r="VRN136" s="17"/>
      <c r="VRO136" s="9"/>
      <c r="VRP136" s="9"/>
      <c r="VRQ136" s="18"/>
      <c r="VRR136" s="18"/>
      <c r="VRS136" s="18"/>
      <c r="VRT136" s="18"/>
      <c r="VRU136" s="18"/>
      <c r="VRV136" s="17"/>
      <c r="VRW136" s="9"/>
      <c r="VRX136" s="9"/>
      <c r="VRY136" s="18"/>
      <c r="VRZ136" s="18"/>
      <c r="VSA136" s="18"/>
      <c r="VSB136" s="18"/>
      <c r="VSC136" s="18"/>
      <c r="VSD136" s="17"/>
      <c r="VSE136" s="9"/>
      <c r="VSF136" s="9"/>
      <c r="VSG136" s="18"/>
      <c r="VSH136" s="18"/>
      <c r="VSI136" s="18"/>
      <c r="VSJ136" s="18"/>
      <c r="VSK136" s="18"/>
      <c r="VSL136" s="17"/>
      <c r="VSM136" s="9"/>
      <c r="VSN136" s="9"/>
      <c r="VSO136" s="18"/>
      <c r="VSP136" s="18"/>
      <c r="VSQ136" s="18"/>
      <c r="VSR136" s="18"/>
      <c r="VSS136" s="18"/>
      <c r="VST136" s="17"/>
      <c r="VSU136" s="9"/>
      <c r="VSV136" s="9"/>
      <c r="VSW136" s="18"/>
      <c r="VSX136" s="18"/>
      <c r="VSY136" s="18"/>
      <c r="VSZ136" s="18"/>
      <c r="VTA136" s="18"/>
      <c r="VTB136" s="17"/>
      <c r="VTC136" s="9"/>
      <c r="VTD136" s="9"/>
      <c r="VTE136" s="18"/>
      <c r="VTF136" s="18"/>
      <c r="VTG136" s="18"/>
      <c r="VTH136" s="18"/>
      <c r="VTI136" s="18"/>
      <c r="VTJ136" s="17"/>
      <c r="VTK136" s="9"/>
      <c r="VTL136" s="9"/>
      <c r="VTM136" s="18"/>
      <c r="VTN136" s="18"/>
      <c r="VTO136" s="18"/>
      <c r="VTP136" s="18"/>
      <c r="VTQ136" s="18"/>
      <c r="VTR136" s="17"/>
      <c r="VTS136" s="9"/>
      <c r="VTT136" s="9"/>
      <c r="VTU136" s="18"/>
      <c r="VTV136" s="18"/>
      <c r="VTW136" s="18"/>
      <c r="VTX136" s="18"/>
      <c r="VTY136" s="18"/>
      <c r="VTZ136" s="17"/>
      <c r="VUA136" s="9"/>
      <c r="VUB136" s="9"/>
      <c r="VUC136" s="18"/>
      <c r="VUD136" s="18"/>
      <c r="VUE136" s="18"/>
      <c r="VUF136" s="18"/>
      <c r="VUG136" s="18"/>
      <c r="VUH136" s="17"/>
      <c r="VUI136" s="9"/>
      <c r="VUJ136" s="9"/>
      <c r="VUK136" s="18"/>
      <c r="VUL136" s="18"/>
      <c r="VUM136" s="18"/>
      <c r="VUN136" s="18"/>
      <c r="VUO136" s="18"/>
      <c r="VUP136" s="17"/>
      <c r="VUQ136" s="9"/>
      <c r="VUR136" s="9"/>
      <c r="VUS136" s="18"/>
      <c r="VUT136" s="18"/>
      <c r="VUU136" s="18"/>
      <c r="VUV136" s="18"/>
      <c r="VUW136" s="18"/>
      <c r="VUX136" s="17"/>
      <c r="VUY136" s="9"/>
      <c r="VUZ136" s="9"/>
      <c r="VVA136" s="18"/>
      <c r="VVB136" s="18"/>
      <c r="VVC136" s="18"/>
      <c r="VVD136" s="18"/>
      <c r="VVE136" s="18"/>
      <c r="VVF136" s="17"/>
      <c r="VVG136" s="9"/>
      <c r="VVH136" s="9"/>
      <c r="VVI136" s="18"/>
      <c r="VVJ136" s="18"/>
      <c r="VVK136" s="18"/>
      <c r="VVL136" s="18"/>
      <c r="VVM136" s="18"/>
      <c r="VVN136" s="17"/>
      <c r="VVO136" s="9"/>
      <c r="VVP136" s="9"/>
      <c r="VVQ136" s="18"/>
      <c r="VVR136" s="18"/>
      <c r="VVS136" s="18"/>
      <c r="VVT136" s="18"/>
      <c r="VVU136" s="18"/>
      <c r="VVV136" s="17"/>
      <c r="VVW136" s="9"/>
      <c r="VVX136" s="9"/>
      <c r="VVY136" s="18"/>
      <c r="VVZ136" s="18"/>
      <c r="VWA136" s="18"/>
      <c r="VWB136" s="18"/>
      <c r="VWC136" s="18"/>
      <c r="VWD136" s="17"/>
      <c r="VWE136" s="9"/>
      <c r="VWF136" s="9"/>
      <c r="VWG136" s="18"/>
      <c r="VWH136" s="18"/>
      <c r="VWI136" s="18"/>
      <c r="VWJ136" s="18"/>
      <c r="VWK136" s="18"/>
      <c r="VWL136" s="17"/>
      <c r="VWM136" s="9"/>
      <c r="VWN136" s="9"/>
      <c r="VWO136" s="18"/>
      <c r="VWP136" s="18"/>
      <c r="VWQ136" s="18"/>
      <c r="VWR136" s="18"/>
      <c r="VWS136" s="18"/>
      <c r="VWT136" s="17"/>
      <c r="VWU136" s="9"/>
      <c r="VWV136" s="9"/>
      <c r="VWW136" s="18"/>
      <c r="VWX136" s="18"/>
      <c r="VWY136" s="18"/>
      <c r="VWZ136" s="18"/>
      <c r="VXA136" s="18"/>
      <c r="VXB136" s="17"/>
      <c r="VXC136" s="9"/>
      <c r="VXD136" s="9"/>
      <c r="VXE136" s="18"/>
      <c r="VXF136" s="18"/>
      <c r="VXG136" s="18"/>
      <c r="VXH136" s="18"/>
      <c r="VXI136" s="18"/>
      <c r="VXJ136" s="17"/>
      <c r="VXK136" s="9"/>
      <c r="VXL136" s="9"/>
      <c r="VXM136" s="18"/>
      <c r="VXN136" s="18"/>
      <c r="VXO136" s="18"/>
      <c r="VXP136" s="18"/>
      <c r="VXQ136" s="18"/>
      <c r="VXR136" s="17"/>
      <c r="VXS136" s="9"/>
      <c r="VXT136" s="9"/>
      <c r="VXU136" s="18"/>
      <c r="VXV136" s="18"/>
      <c r="VXW136" s="18"/>
      <c r="VXX136" s="18"/>
      <c r="VXY136" s="18"/>
      <c r="VXZ136" s="17"/>
      <c r="VYA136" s="9"/>
      <c r="VYB136" s="9"/>
      <c r="VYC136" s="18"/>
      <c r="VYD136" s="18"/>
      <c r="VYE136" s="18"/>
      <c r="VYF136" s="18"/>
      <c r="VYG136" s="18"/>
      <c r="VYH136" s="17"/>
      <c r="VYI136" s="9"/>
      <c r="VYJ136" s="9"/>
      <c r="VYK136" s="18"/>
      <c r="VYL136" s="18"/>
      <c r="VYM136" s="18"/>
      <c r="VYN136" s="18"/>
      <c r="VYO136" s="18"/>
      <c r="VYP136" s="17"/>
      <c r="VYQ136" s="9"/>
      <c r="VYR136" s="9"/>
      <c r="VYS136" s="18"/>
      <c r="VYT136" s="18"/>
      <c r="VYU136" s="18"/>
      <c r="VYV136" s="18"/>
      <c r="VYW136" s="18"/>
      <c r="VYX136" s="17"/>
      <c r="VYY136" s="9"/>
      <c r="VYZ136" s="9"/>
      <c r="VZA136" s="18"/>
      <c r="VZB136" s="18"/>
      <c r="VZC136" s="18"/>
      <c r="VZD136" s="18"/>
      <c r="VZE136" s="18"/>
      <c r="VZF136" s="17"/>
      <c r="VZG136" s="9"/>
      <c r="VZH136" s="9"/>
      <c r="VZI136" s="18"/>
      <c r="VZJ136" s="18"/>
      <c r="VZK136" s="18"/>
      <c r="VZL136" s="18"/>
      <c r="VZM136" s="18"/>
      <c r="VZN136" s="17"/>
      <c r="VZO136" s="9"/>
      <c r="VZP136" s="9"/>
      <c r="VZQ136" s="18"/>
      <c r="VZR136" s="18"/>
      <c r="VZS136" s="18"/>
      <c r="VZT136" s="18"/>
      <c r="VZU136" s="18"/>
      <c r="VZV136" s="17"/>
      <c r="VZW136" s="9"/>
      <c r="VZX136" s="9"/>
      <c r="VZY136" s="18"/>
      <c r="VZZ136" s="18"/>
      <c r="WAA136" s="18"/>
      <c r="WAB136" s="18"/>
      <c r="WAC136" s="18"/>
      <c r="WAD136" s="17"/>
      <c r="WAE136" s="9"/>
      <c r="WAF136" s="9"/>
      <c r="WAG136" s="18"/>
      <c r="WAH136" s="18"/>
      <c r="WAI136" s="18"/>
      <c r="WAJ136" s="18"/>
      <c r="WAK136" s="18"/>
      <c r="WAL136" s="17"/>
      <c r="WAM136" s="9"/>
      <c r="WAN136" s="9"/>
      <c r="WAO136" s="18"/>
      <c r="WAP136" s="18"/>
      <c r="WAQ136" s="18"/>
      <c r="WAR136" s="18"/>
      <c r="WAS136" s="18"/>
      <c r="WAT136" s="17"/>
      <c r="WAU136" s="9"/>
      <c r="WAV136" s="9"/>
      <c r="WAW136" s="18"/>
      <c r="WAX136" s="18"/>
      <c r="WAY136" s="18"/>
      <c r="WAZ136" s="18"/>
      <c r="WBA136" s="18"/>
      <c r="WBB136" s="17"/>
      <c r="WBC136" s="9"/>
      <c r="WBD136" s="9"/>
      <c r="WBE136" s="18"/>
      <c r="WBF136" s="18"/>
      <c r="WBG136" s="18"/>
      <c r="WBH136" s="18"/>
      <c r="WBI136" s="18"/>
      <c r="WBJ136" s="17"/>
      <c r="WBK136" s="9"/>
      <c r="WBL136" s="9"/>
      <c r="WBM136" s="18"/>
      <c r="WBN136" s="18"/>
      <c r="WBO136" s="18"/>
      <c r="WBP136" s="18"/>
      <c r="WBQ136" s="18"/>
      <c r="WBR136" s="17"/>
      <c r="WBS136" s="9"/>
      <c r="WBT136" s="9"/>
      <c r="WBU136" s="18"/>
      <c r="WBV136" s="18"/>
      <c r="WBW136" s="18"/>
      <c r="WBX136" s="18"/>
      <c r="WBY136" s="18"/>
      <c r="WBZ136" s="17"/>
      <c r="WCA136" s="9"/>
      <c r="WCB136" s="9"/>
      <c r="WCC136" s="18"/>
      <c r="WCD136" s="18"/>
      <c r="WCE136" s="18"/>
      <c r="WCF136" s="18"/>
      <c r="WCG136" s="18"/>
      <c r="WCH136" s="17"/>
      <c r="WCI136" s="9"/>
      <c r="WCJ136" s="9"/>
      <c r="WCK136" s="18"/>
      <c r="WCL136" s="18"/>
      <c r="WCM136" s="18"/>
      <c r="WCN136" s="18"/>
      <c r="WCO136" s="18"/>
      <c r="WCP136" s="17"/>
      <c r="WCQ136" s="9"/>
      <c r="WCR136" s="9"/>
      <c r="WCS136" s="18"/>
      <c r="WCT136" s="18"/>
      <c r="WCU136" s="18"/>
      <c r="WCV136" s="18"/>
      <c r="WCW136" s="18"/>
      <c r="WCX136" s="17"/>
      <c r="WCY136" s="9"/>
      <c r="WCZ136" s="9"/>
      <c r="WDA136" s="18"/>
      <c r="WDB136" s="18"/>
      <c r="WDC136" s="18"/>
      <c r="WDD136" s="18"/>
      <c r="WDE136" s="18"/>
      <c r="WDF136" s="17"/>
      <c r="WDG136" s="9"/>
      <c r="WDH136" s="9"/>
      <c r="WDI136" s="18"/>
      <c r="WDJ136" s="18"/>
      <c r="WDK136" s="18"/>
      <c r="WDL136" s="18"/>
      <c r="WDM136" s="18"/>
      <c r="WDN136" s="17"/>
      <c r="WDO136" s="9"/>
      <c r="WDP136" s="9"/>
      <c r="WDQ136" s="18"/>
      <c r="WDR136" s="18"/>
      <c r="WDS136" s="18"/>
      <c r="WDT136" s="18"/>
      <c r="WDU136" s="18"/>
      <c r="WDV136" s="17"/>
      <c r="WDW136" s="9"/>
      <c r="WDX136" s="9"/>
      <c r="WDY136" s="18"/>
      <c r="WDZ136" s="18"/>
      <c r="WEA136" s="18"/>
      <c r="WEB136" s="18"/>
      <c r="WEC136" s="18"/>
      <c r="WED136" s="17"/>
      <c r="WEE136" s="9"/>
      <c r="WEF136" s="9"/>
      <c r="WEG136" s="18"/>
      <c r="WEH136" s="18"/>
      <c r="WEI136" s="18"/>
      <c r="WEJ136" s="18"/>
      <c r="WEK136" s="18"/>
      <c r="WEL136" s="17"/>
      <c r="WEM136" s="9"/>
      <c r="WEN136" s="9"/>
      <c r="WEO136" s="18"/>
      <c r="WEP136" s="18"/>
      <c r="WEQ136" s="18"/>
      <c r="WER136" s="18"/>
      <c r="WES136" s="18"/>
      <c r="WET136" s="17"/>
      <c r="WEU136" s="9"/>
      <c r="WEV136" s="9"/>
      <c r="WEW136" s="18"/>
      <c r="WEX136" s="18"/>
      <c r="WEY136" s="18"/>
      <c r="WEZ136" s="18"/>
      <c r="WFA136" s="18"/>
      <c r="WFB136" s="17"/>
      <c r="WFC136" s="9"/>
      <c r="WFD136" s="9"/>
      <c r="WFE136" s="18"/>
      <c r="WFF136" s="18"/>
      <c r="WFG136" s="18"/>
      <c r="WFH136" s="18"/>
      <c r="WFI136" s="18"/>
      <c r="WFJ136" s="17"/>
      <c r="WFK136" s="9"/>
      <c r="WFL136" s="9"/>
      <c r="WFM136" s="18"/>
      <c r="WFN136" s="18"/>
      <c r="WFO136" s="18"/>
      <c r="WFP136" s="18"/>
      <c r="WFQ136" s="18"/>
      <c r="WFR136" s="17"/>
      <c r="WFS136" s="9"/>
      <c r="WFT136" s="9"/>
      <c r="WFU136" s="18"/>
      <c r="WFV136" s="18"/>
      <c r="WFW136" s="18"/>
      <c r="WFX136" s="18"/>
      <c r="WFY136" s="18"/>
      <c r="WFZ136" s="17"/>
      <c r="WGA136" s="9"/>
      <c r="WGB136" s="9"/>
      <c r="WGC136" s="18"/>
      <c r="WGD136" s="18"/>
      <c r="WGE136" s="18"/>
      <c r="WGF136" s="18"/>
      <c r="WGG136" s="18"/>
      <c r="WGH136" s="17"/>
      <c r="WGI136" s="9"/>
      <c r="WGJ136" s="9"/>
      <c r="WGK136" s="18"/>
      <c r="WGL136" s="18"/>
      <c r="WGM136" s="18"/>
      <c r="WGN136" s="18"/>
      <c r="WGO136" s="18"/>
      <c r="WGP136" s="17"/>
      <c r="WGQ136" s="9"/>
      <c r="WGR136" s="9"/>
      <c r="WGS136" s="18"/>
      <c r="WGT136" s="18"/>
      <c r="WGU136" s="18"/>
      <c r="WGV136" s="18"/>
      <c r="WGW136" s="18"/>
      <c r="WGX136" s="17"/>
      <c r="WGY136" s="9"/>
      <c r="WGZ136" s="9"/>
      <c r="WHA136" s="18"/>
      <c r="WHB136" s="18"/>
      <c r="WHC136" s="18"/>
      <c r="WHD136" s="18"/>
      <c r="WHE136" s="18"/>
      <c r="WHF136" s="17"/>
      <c r="WHG136" s="9"/>
      <c r="WHH136" s="9"/>
      <c r="WHI136" s="18"/>
      <c r="WHJ136" s="18"/>
      <c r="WHK136" s="18"/>
      <c r="WHL136" s="18"/>
      <c r="WHM136" s="18"/>
      <c r="WHN136" s="17"/>
      <c r="WHO136" s="9"/>
      <c r="WHP136" s="9"/>
      <c r="WHQ136" s="18"/>
      <c r="WHR136" s="18"/>
      <c r="WHS136" s="18"/>
      <c r="WHT136" s="18"/>
      <c r="WHU136" s="18"/>
      <c r="WHV136" s="17"/>
      <c r="WHW136" s="9"/>
      <c r="WHX136" s="9"/>
      <c r="WHY136" s="18"/>
      <c r="WHZ136" s="18"/>
      <c r="WIA136" s="18"/>
      <c r="WIB136" s="18"/>
      <c r="WIC136" s="18"/>
      <c r="WID136" s="17"/>
      <c r="WIE136" s="9"/>
      <c r="WIF136" s="9"/>
      <c r="WIG136" s="18"/>
      <c r="WIH136" s="18"/>
      <c r="WII136" s="18"/>
      <c r="WIJ136" s="18"/>
      <c r="WIK136" s="18"/>
      <c r="WIL136" s="17"/>
      <c r="WIM136" s="9"/>
      <c r="WIN136" s="9"/>
      <c r="WIO136" s="18"/>
      <c r="WIP136" s="18"/>
      <c r="WIQ136" s="18"/>
      <c r="WIR136" s="18"/>
      <c r="WIS136" s="18"/>
      <c r="WIT136" s="17"/>
      <c r="WIU136" s="9"/>
      <c r="WIV136" s="9"/>
      <c r="WIW136" s="18"/>
      <c r="WIX136" s="18"/>
      <c r="WIY136" s="18"/>
      <c r="WIZ136" s="18"/>
      <c r="WJA136" s="18"/>
      <c r="WJB136" s="17"/>
      <c r="WJC136" s="9"/>
      <c r="WJD136" s="9"/>
      <c r="WJE136" s="18"/>
      <c r="WJF136" s="18"/>
      <c r="WJG136" s="18"/>
      <c r="WJH136" s="18"/>
      <c r="WJI136" s="18"/>
      <c r="WJJ136" s="17"/>
      <c r="WJK136" s="9"/>
      <c r="WJL136" s="9"/>
      <c r="WJM136" s="18"/>
      <c r="WJN136" s="18"/>
      <c r="WJO136" s="18"/>
      <c r="WJP136" s="18"/>
      <c r="WJQ136" s="18"/>
      <c r="WJR136" s="17"/>
      <c r="WJS136" s="9"/>
      <c r="WJT136" s="9"/>
      <c r="WJU136" s="18"/>
      <c r="WJV136" s="18"/>
      <c r="WJW136" s="18"/>
      <c r="WJX136" s="18"/>
      <c r="WJY136" s="18"/>
      <c r="WJZ136" s="17"/>
      <c r="WKA136" s="9"/>
      <c r="WKB136" s="9"/>
      <c r="WKC136" s="18"/>
      <c r="WKD136" s="18"/>
      <c r="WKE136" s="18"/>
      <c r="WKF136" s="18"/>
      <c r="WKG136" s="18"/>
      <c r="WKH136" s="17"/>
      <c r="WKI136" s="9"/>
      <c r="WKJ136" s="9"/>
      <c r="WKK136" s="18"/>
      <c r="WKL136" s="18"/>
      <c r="WKM136" s="18"/>
      <c r="WKN136" s="18"/>
      <c r="WKO136" s="18"/>
      <c r="WKP136" s="17"/>
      <c r="WKQ136" s="9"/>
      <c r="WKR136" s="9"/>
      <c r="WKS136" s="18"/>
      <c r="WKT136" s="18"/>
      <c r="WKU136" s="18"/>
      <c r="WKV136" s="18"/>
      <c r="WKW136" s="18"/>
      <c r="WKX136" s="17"/>
      <c r="WKY136" s="9"/>
      <c r="WKZ136" s="9"/>
      <c r="WLA136" s="18"/>
      <c r="WLB136" s="18"/>
      <c r="WLC136" s="18"/>
      <c r="WLD136" s="18"/>
      <c r="WLE136" s="18"/>
      <c r="WLF136" s="17"/>
      <c r="WLG136" s="9"/>
      <c r="WLH136" s="9"/>
      <c r="WLI136" s="18"/>
      <c r="WLJ136" s="18"/>
      <c r="WLK136" s="18"/>
      <c r="WLL136" s="18"/>
      <c r="WLM136" s="18"/>
      <c r="WLN136" s="17"/>
      <c r="WLO136" s="9"/>
      <c r="WLP136" s="9"/>
      <c r="WLQ136" s="18"/>
      <c r="WLR136" s="18"/>
      <c r="WLS136" s="18"/>
      <c r="WLT136" s="18"/>
      <c r="WLU136" s="18"/>
      <c r="WLV136" s="17"/>
      <c r="WLW136" s="9"/>
      <c r="WLX136" s="9"/>
      <c r="WLY136" s="18"/>
      <c r="WLZ136" s="18"/>
      <c r="WMA136" s="18"/>
      <c r="WMB136" s="18"/>
      <c r="WMC136" s="18"/>
      <c r="WMD136" s="17"/>
      <c r="WME136" s="9"/>
      <c r="WMF136" s="9"/>
      <c r="WMG136" s="18"/>
      <c r="WMH136" s="18"/>
      <c r="WMI136" s="18"/>
      <c r="WMJ136" s="18"/>
      <c r="WMK136" s="18"/>
      <c r="WML136" s="17"/>
      <c r="WMM136" s="9"/>
      <c r="WMN136" s="9"/>
      <c r="WMO136" s="18"/>
      <c r="WMP136" s="18"/>
      <c r="WMQ136" s="18"/>
      <c r="WMR136" s="18"/>
      <c r="WMS136" s="18"/>
      <c r="WMT136" s="17"/>
      <c r="WMU136" s="9"/>
      <c r="WMV136" s="9"/>
      <c r="WMW136" s="18"/>
      <c r="WMX136" s="18"/>
      <c r="WMY136" s="18"/>
      <c r="WMZ136" s="18"/>
      <c r="WNA136" s="18"/>
      <c r="WNB136" s="17"/>
      <c r="WNC136" s="9"/>
      <c r="WND136" s="9"/>
      <c r="WNE136" s="18"/>
      <c r="WNF136" s="18"/>
      <c r="WNG136" s="18"/>
      <c r="WNH136" s="18"/>
      <c r="WNI136" s="18"/>
      <c r="WNJ136" s="17"/>
      <c r="WNK136" s="9"/>
      <c r="WNL136" s="9"/>
      <c r="WNM136" s="18"/>
      <c r="WNN136" s="18"/>
      <c r="WNO136" s="18"/>
      <c r="WNP136" s="18"/>
      <c r="WNQ136" s="18"/>
      <c r="WNR136" s="17"/>
      <c r="WNS136" s="9"/>
      <c r="WNT136" s="9"/>
      <c r="WNU136" s="18"/>
      <c r="WNV136" s="18"/>
      <c r="WNW136" s="18"/>
      <c r="WNX136" s="18"/>
      <c r="WNY136" s="18"/>
      <c r="WNZ136" s="17"/>
      <c r="WOA136" s="9"/>
      <c r="WOB136" s="9"/>
      <c r="WOC136" s="18"/>
      <c r="WOD136" s="18"/>
      <c r="WOE136" s="18"/>
      <c r="WOF136" s="18"/>
      <c r="WOG136" s="18"/>
      <c r="WOH136" s="17"/>
      <c r="WOI136" s="9"/>
      <c r="WOJ136" s="9"/>
      <c r="WOK136" s="18"/>
      <c r="WOL136" s="18"/>
      <c r="WOM136" s="18"/>
      <c r="WON136" s="18"/>
      <c r="WOO136" s="18"/>
      <c r="WOP136" s="17"/>
      <c r="WOQ136" s="9"/>
      <c r="WOR136" s="9"/>
      <c r="WOS136" s="18"/>
      <c r="WOT136" s="18"/>
      <c r="WOU136" s="18"/>
      <c r="WOV136" s="18"/>
      <c r="WOW136" s="18"/>
      <c r="WOX136" s="17"/>
      <c r="WOY136" s="9"/>
      <c r="WOZ136" s="9"/>
      <c r="WPA136" s="18"/>
      <c r="WPB136" s="18"/>
      <c r="WPC136" s="18"/>
      <c r="WPD136" s="18"/>
      <c r="WPE136" s="18"/>
      <c r="WPF136" s="17"/>
      <c r="WPG136" s="9"/>
      <c r="WPH136" s="9"/>
      <c r="WPI136" s="18"/>
      <c r="WPJ136" s="18"/>
      <c r="WPK136" s="18"/>
      <c r="WPL136" s="18"/>
      <c r="WPM136" s="18"/>
      <c r="WPN136" s="17"/>
      <c r="WPO136" s="9"/>
      <c r="WPP136" s="9"/>
      <c r="WPQ136" s="18"/>
      <c r="WPR136" s="18"/>
      <c r="WPS136" s="18"/>
      <c r="WPT136" s="18"/>
      <c r="WPU136" s="18"/>
      <c r="WPV136" s="17"/>
      <c r="WPW136" s="9"/>
      <c r="WPX136" s="9"/>
      <c r="WPY136" s="18"/>
      <c r="WPZ136" s="18"/>
      <c r="WQA136" s="18"/>
      <c r="WQB136" s="18"/>
      <c r="WQC136" s="18"/>
      <c r="WQD136" s="17"/>
      <c r="WQE136" s="9"/>
      <c r="WQF136" s="9"/>
      <c r="WQG136" s="18"/>
      <c r="WQH136" s="18"/>
      <c r="WQI136" s="18"/>
      <c r="WQJ136" s="18"/>
      <c r="WQK136" s="18"/>
      <c r="WQL136" s="17"/>
      <c r="WQM136" s="9"/>
      <c r="WQN136" s="9"/>
      <c r="WQO136" s="18"/>
      <c r="WQP136" s="18"/>
      <c r="WQQ136" s="18"/>
      <c r="WQR136" s="18"/>
      <c r="WQS136" s="18"/>
      <c r="WQT136" s="17"/>
      <c r="WQU136" s="9"/>
      <c r="WQV136" s="9"/>
      <c r="WQW136" s="18"/>
      <c r="WQX136" s="18"/>
      <c r="WQY136" s="18"/>
      <c r="WQZ136" s="18"/>
      <c r="WRA136" s="18"/>
      <c r="WRB136" s="17"/>
      <c r="WRC136" s="9"/>
      <c r="WRD136" s="9"/>
      <c r="WRE136" s="18"/>
      <c r="WRF136" s="18"/>
      <c r="WRG136" s="18"/>
      <c r="WRH136" s="18"/>
      <c r="WRI136" s="18"/>
      <c r="WRJ136" s="17"/>
      <c r="WRK136" s="9"/>
      <c r="WRL136" s="9"/>
      <c r="WRM136" s="18"/>
      <c r="WRN136" s="18"/>
      <c r="WRO136" s="18"/>
      <c r="WRP136" s="18"/>
      <c r="WRQ136" s="18"/>
      <c r="WRR136" s="17"/>
      <c r="WRS136" s="9"/>
      <c r="WRT136" s="9"/>
      <c r="WRU136" s="18"/>
      <c r="WRV136" s="18"/>
      <c r="WRW136" s="18"/>
      <c r="WRX136" s="18"/>
      <c r="WRY136" s="18"/>
      <c r="WRZ136" s="17"/>
      <c r="WSA136" s="9"/>
      <c r="WSB136" s="9"/>
      <c r="WSC136" s="18"/>
      <c r="WSD136" s="18"/>
      <c r="WSE136" s="18"/>
      <c r="WSF136" s="18"/>
      <c r="WSG136" s="18"/>
      <c r="WSH136" s="17"/>
      <c r="WSI136" s="9"/>
      <c r="WSJ136" s="9"/>
      <c r="WSK136" s="18"/>
      <c r="WSL136" s="18"/>
      <c r="WSM136" s="18"/>
      <c r="WSN136" s="18"/>
      <c r="WSO136" s="18"/>
      <c r="WSP136" s="17"/>
      <c r="WSQ136" s="9"/>
      <c r="WSR136" s="9"/>
      <c r="WSS136" s="18"/>
      <c r="WST136" s="18"/>
      <c r="WSU136" s="18"/>
      <c r="WSV136" s="18"/>
      <c r="WSW136" s="18"/>
      <c r="WSX136" s="17"/>
      <c r="WSY136" s="9"/>
      <c r="WSZ136" s="9"/>
      <c r="WTA136" s="18"/>
      <c r="WTB136" s="18"/>
      <c r="WTC136" s="18"/>
      <c r="WTD136" s="18"/>
      <c r="WTE136" s="18"/>
      <c r="WTF136" s="17"/>
      <c r="WTG136" s="9"/>
      <c r="WTH136" s="9"/>
      <c r="WTI136" s="18"/>
      <c r="WTJ136" s="18"/>
      <c r="WTK136" s="18"/>
      <c r="WTL136" s="18"/>
      <c r="WTM136" s="18"/>
      <c r="WTN136" s="17"/>
      <c r="WTO136" s="9"/>
      <c r="WTP136" s="9"/>
      <c r="WTQ136" s="18"/>
      <c r="WTR136" s="18"/>
      <c r="WTS136" s="18"/>
      <c r="WTT136" s="18"/>
      <c r="WTU136" s="18"/>
      <c r="WTV136" s="17"/>
      <c r="WTW136" s="9"/>
      <c r="WTX136" s="9"/>
      <c r="WTY136" s="18"/>
      <c r="WTZ136" s="18"/>
      <c r="WUA136" s="18"/>
      <c r="WUB136" s="18"/>
      <c r="WUC136" s="18"/>
      <c r="WUD136" s="17"/>
      <c r="WUE136" s="9"/>
      <c r="WUF136" s="9"/>
      <c r="WUG136" s="18"/>
      <c r="WUH136" s="18"/>
      <c r="WUI136" s="18"/>
      <c r="WUJ136" s="18"/>
      <c r="WUK136" s="18"/>
      <c r="WUL136" s="17"/>
      <c r="WUM136" s="9"/>
      <c r="WUN136" s="9"/>
      <c r="WUO136" s="18"/>
      <c r="WUP136" s="18"/>
      <c r="WUQ136" s="18"/>
      <c r="WUR136" s="18"/>
      <c r="WUS136" s="18"/>
      <c r="WUT136" s="17"/>
      <c r="WUU136" s="9"/>
      <c r="WUV136" s="9"/>
      <c r="WUW136" s="18"/>
      <c r="WUX136" s="18"/>
      <c r="WUY136" s="18"/>
      <c r="WUZ136" s="18"/>
      <c r="WVA136" s="18"/>
      <c r="WVB136" s="17"/>
      <c r="WVC136" s="9"/>
      <c r="WVD136" s="9"/>
      <c r="WVE136" s="18"/>
      <c r="WVF136" s="18"/>
      <c r="WVG136" s="18"/>
      <c r="WVH136" s="18"/>
      <c r="WVI136" s="18"/>
      <c r="WVJ136" s="17"/>
      <c r="WVK136" s="9"/>
      <c r="WVL136" s="9"/>
      <c r="WVM136" s="18"/>
      <c r="WVN136" s="18"/>
      <c r="WVO136" s="18"/>
      <c r="WVP136" s="18"/>
      <c r="WVQ136" s="18"/>
      <c r="WVR136" s="17"/>
      <c r="WVS136" s="9"/>
      <c r="WVT136" s="9"/>
      <c r="WVU136" s="18"/>
      <c r="WVV136" s="18"/>
      <c r="WVW136" s="18"/>
      <c r="WVX136" s="18"/>
      <c r="WVY136" s="18"/>
      <c r="WVZ136" s="17"/>
      <c r="WWA136" s="9"/>
      <c r="WWB136" s="9"/>
      <c r="WWC136" s="18"/>
      <c r="WWD136" s="18"/>
      <c r="WWE136" s="18"/>
      <c r="WWF136" s="18"/>
      <c r="WWG136" s="18"/>
      <c r="WWH136" s="17"/>
      <c r="WWI136" s="9"/>
      <c r="WWJ136" s="9"/>
      <c r="WWK136" s="18"/>
      <c r="WWL136" s="18"/>
      <c r="WWM136" s="18"/>
      <c r="WWN136" s="18"/>
      <c r="WWO136" s="18"/>
      <c r="WWP136" s="17"/>
      <c r="WWQ136" s="9"/>
      <c r="WWR136" s="9"/>
      <c r="WWS136" s="18"/>
      <c r="WWT136" s="18"/>
      <c r="WWU136" s="18"/>
      <c r="WWV136" s="18"/>
      <c r="WWW136" s="18"/>
      <c r="WWX136" s="17"/>
      <c r="WWY136" s="9"/>
      <c r="WWZ136" s="9"/>
      <c r="WXA136" s="18"/>
      <c r="WXB136" s="18"/>
      <c r="WXC136" s="18"/>
      <c r="WXD136" s="18"/>
      <c r="WXE136" s="18"/>
      <c r="WXF136" s="17"/>
      <c r="WXG136" s="9"/>
      <c r="WXH136" s="9"/>
      <c r="WXI136" s="18"/>
      <c r="WXJ136" s="18"/>
      <c r="WXK136" s="18"/>
      <c r="WXL136" s="18"/>
      <c r="WXM136" s="18"/>
      <c r="WXN136" s="17"/>
      <c r="WXO136" s="9"/>
      <c r="WXP136" s="9"/>
      <c r="WXQ136" s="18"/>
      <c r="WXR136" s="18"/>
      <c r="WXS136" s="18"/>
      <c r="WXT136" s="18"/>
      <c r="WXU136" s="18"/>
      <c r="WXV136" s="17"/>
      <c r="WXW136" s="9"/>
      <c r="WXX136" s="9"/>
      <c r="WXY136" s="18"/>
      <c r="WXZ136" s="18"/>
      <c r="WYA136" s="18"/>
      <c r="WYB136" s="18"/>
      <c r="WYC136" s="18"/>
      <c r="WYD136" s="17"/>
      <c r="WYE136" s="9"/>
      <c r="WYF136" s="9"/>
      <c r="WYG136" s="18"/>
      <c r="WYH136" s="18"/>
      <c r="WYI136" s="18"/>
      <c r="WYJ136" s="18"/>
      <c r="WYK136" s="18"/>
      <c r="WYL136" s="17"/>
      <c r="WYM136" s="9"/>
      <c r="WYN136" s="9"/>
      <c r="WYO136" s="18"/>
      <c r="WYP136" s="18"/>
      <c r="WYQ136" s="18"/>
      <c r="WYR136" s="18"/>
      <c r="WYS136" s="18"/>
      <c r="WYT136" s="17"/>
      <c r="WYU136" s="9"/>
      <c r="WYV136" s="9"/>
      <c r="WYW136" s="18"/>
      <c r="WYX136" s="18"/>
      <c r="WYY136" s="18"/>
      <c r="WYZ136" s="18"/>
      <c r="WZA136" s="18"/>
      <c r="WZB136" s="17"/>
      <c r="WZC136" s="9"/>
      <c r="WZD136" s="9"/>
      <c r="WZE136" s="18"/>
      <c r="WZF136" s="18"/>
      <c r="WZG136" s="18"/>
      <c r="WZH136" s="18"/>
      <c r="WZI136" s="18"/>
      <c r="WZJ136" s="17"/>
      <c r="WZK136" s="9"/>
      <c r="WZL136" s="9"/>
      <c r="WZM136" s="18"/>
      <c r="WZN136" s="18"/>
      <c r="WZO136" s="18"/>
      <c r="WZP136" s="18"/>
      <c r="WZQ136" s="18"/>
      <c r="WZR136" s="17"/>
      <c r="WZS136" s="9"/>
      <c r="WZT136" s="9"/>
      <c r="WZU136" s="18"/>
      <c r="WZV136" s="18"/>
      <c r="WZW136" s="18"/>
      <c r="WZX136" s="18"/>
      <c r="WZY136" s="18"/>
      <c r="WZZ136" s="17"/>
      <c r="XAA136" s="9"/>
      <c r="XAB136" s="9"/>
      <c r="XAC136" s="18"/>
      <c r="XAD136" s="18"/>
      <c r="XAE136" s="18"/>
      <c r="XAF136" s="18"/>
      <c r="XAG136" s="18"/>
      <c r="XAH136" s="17"/>
      <c r="XAI136" s="9"/>
      <c r="XAJ136" s="9"/>
      <c r="XAK136" s="18"/>
      <c r="XAL136" s="18"/>
      <c r="XAM136" s="18"/>
      <c r="XAN136" s="18"/>
      <c r="XAO136" s="18"/>
      <c r="XAP136" s="17"/>
      <c r="XAQ136" s="9"/>
      <c r="XAR136" s="9"/>
      <c r="XAS136" s="18"/>
      <c r="XAT136" s="18"/>
      <c r="XAU136" s="18"/>
      <c r="XAV136" s="18"/>
      <c r="XAW136" s="18"/>
      <c r="XAX136" s="17"/>
      <c r="XAY136" s="9"/>
      <c r="XAZ136" s="9"/>
      <c r="XBA136" s="18"/>
      <c r="XBB136" s="18"/>
      <c r="XBC136" s="18"/>
      <c r="XBD136" s="18"/>
      <c r="XBE136" s="18"/>
      <c r="XBF136" s="17"/>
      <c r="XBG136" s="9"/>
      <c r="XBH136" s="9"/>
      <c r="XBI136" s="18"/>
      <c r="XBJ136" s="18"/>
      <c r="XBK136" s="18"/>
      <c r="XBL136" s="18"/>
      <c r="XBM136" s="18"/>
      <c r="XBN136" s="17"/>
      <c r="XBO136" s="9"/>
      <c r="XBP136" s="9"/>
      <c r="XBQ136" s="18"/>
      <c r="XBR136" s="18"/>
      <c r="XBS136" s="18"/>
      <c r="XBT136" s="18"/>
      <c r="XBU136" s="18"/>
      <c r="XBV136" s="17"/>
      <c r="XBW136" s="9"/>
      <c r="XBX136" s="9"/>
      <c r="XBY136" s="18"/>
      <c r="XBZ136" s="18"/>
      <c r="XCA136" s="18"/>
      <c r="XCB136" s="18"/>
      <c r="XCC136" s="18"/>
      <c r="XCD136" s="17"/>
      <c r="XCE136" s="9"/>
      <c r="XCF136" s="9"/>
      <c r="XCG136" s="18"/>
      <c r="XCH136" s="18"/>
      <c r="XCI136" s="18"/>
      <c r="XCJ136" s="18"/>
      <c r="XCK136" s="18"/>
      <c r="XCL136" s="17"/>
      <c r="XCM136" s="9"/>
      <c r="XCN136" s="9"/>
      <c r="XCO136" s="18"/>
      <c r="XCP136" s="18"/>
      <c r="XCQ136" s="18"/>
      <c r="XCR136" s="18"/>
      <c r="XCS136" s="18"/>
      <c r="XCT136" s="17"/>
      <c r="XCU136" s="9"/>
      <c r="XCV136" s="9"/>
      <c r="XCW136" s="18"/>
      <c r="XCX136" s="18"/>
      <c r="XCY136" s="18"/>
      <c r="XCZ136" s="18"/>
      <c r="XDA136" s="18"/>
      <c r="XDB136" s="17"/>
      <c r="XDC136" s="9"/>
      <c r="XDD136" s="9"/>
      <c r="XDE136" s="18"/>
      <c r="XDF136" s="18"/>
      <c r="XDG136" s="18"/>
      <c r="XDH136" s="18"/>
      <c r="XDI136" s="18"/>
      <c r="XDJ136" s="17"/>
      <c r="XDK136" s="9"/>
      <c r="XDL136" s="9"/>
      <c r="XDM136" s="18"/>
      <c r="XDN136" s="18"/>
      <c r="XDO136" s="18"/>
      <c r="XDP136" s="18"/>
      <c r="XDQ136" s="18"/>
      <c r="XDR136" s="17"/>
      <c r="XDS136" s="9"/>
      <c r="XDT136" s="9"/>
      <c r="XDU136" s="18"/>
      <c r="XDV136" s="18"/>
      <c r="XDW136" s="18"/>
      <c r="XDX136" s="18"/>
      <c r="XDY136" s="18"/>
      <c r="XDZ136" s="17"/>
      <c r="XEA136" s="9"/>
      <c r="XEB136" s="9"/>
      <c r="XEC136" s="18"/>
      <c r="XED136" s="18"/>
      <c r="XEE136" s="18"/>
      <c r="XEF136" s="18"/>
      <c r="XEG136" s="18"/>
      <c r="XEH136" s="17"/>
      <c r="XEI136" s="9"/>
      <c r="XEJ136" s="9"/>
      <c r="XEK136" s="18"/>
      <c r="XEL136" s="18"/>
      <c r="XEM136" s="18"/>
      <c r="XEN136" s="18"/>
      <c r="XEO136" s="18"/>
      <c r="XEP136" s="17"/>
      <c r="XEQ136" s="9"/>
      <c r="XER136" s="9"/>
      <c r="XES136" s="18"/>
      <c r="XET136" s="18"/>
      <c r="XEU136" s="18"/>
      <c r="XEV136" s="18"/>
      <c r="XEW136" s="18"/>
      <c r="XEX136" s="17"/>
    </row>
    <row r="137" spans="1:16378" x14ac:dyDescent="0.3">
      <c r="B137" s="9" t="s">
        <v>141</v>
      </c>
      <c r="C137" s="16">
        <f t="shared" ref="C137:H137" si="54">-C154</f>
        <v>-1638.2039999999943</v>
      </c>
      <c r="D137" s="16">
        <f t="shared" si="54"/>
        <v>14362.417600000002</v>
      </c>
      <c r="E137" s="16">
        <f t="shared" si="54"/>
        <v>10993.832799999991</v>
      </c>
      <c r="F137" s="16">
        <f t="shared" si="54"/>
        <v>5642.9579999999987</v>
      </c>
      <c r="G137" s="16">
        <f t="shared" si="54"/>
        <v>12206.374800000001</v>
      </c>
      <c r="H137" s="16">
        <f t="shared" si="54"/>
        <v>64234.717880000033</v>
      </c>
      <c r="I137" s="17">
        <f>SUM(C137:H137)</f>
        <v>105802.09708000004</v>
      </c>
      <c r="J137" s="16">
        <f>-J166</f>
        <v>0</v>
      </c>
      <c r="K137" s="17">
        <f>SUM(C137:H137)</f>
        <v>105802.09708000004</v>
      </c>
      <c r="L137" s="83"/>
      <c r="M137" s="18"/>
      <c r="N137" s="18"/>
      <c r="R137" s="18"/>
      <c r="S137" s="18"/>
      <c r="T137" s="9"/>
      <c r="U137" s="18"/>
      <c r="V137" s="18"/>
      <c r="W137" s="18"/>
      <c r="X137" s="18"/>
      <c r="Y137" s="18"/>
      <c r="Z137" s="17"/>
      <c r="AA137" s="9"/>
      <c r="AB137" s="9"/>
      <c r="AC137" s="18"/>
      <c r="AD137" s="18"/>
      <c r="AE137" s="18"/>
      <c r="AF137" s="18"/>
      <c r="AG137" s="18"/>
      <c r="AH137" s="17"/>
      <c r="AI137" s="9"/>
      <c r="AJ137" s="9"/>
      <c r="AK137" s="18"/>
      <c r="AL137" s="18"/>
      <c r="AM137" s="18"/>
      <c r="AN137" s="18"/>
      <c r="AO137" s="18"/>
      <c r="AP137" s="17"/>
      <c r="AQ137" s="9"/>
      <c r="AR137" s="9"/>
      <c r="AS137" s="18"/>
      <c r="AT137" s="18"/>
      <c r="AU137" s="18"/>
      <c r="AV137" s="18"/>
      <c r="AW137" s="18"/>
      <c r="AX137" s="17"/>
      <c r="AY137" s="9"/>
      <c r="AZ137" s="9"/>
      <c r="BA137" s="18"/>
      <c r="BB137" s="18"/>
      <c r="BC137" s="18"/>
      <c r="BD137" s="18"/>
      <c r="BE137" s="18"/>
      <c r="BF137" s="17"/>
      <c r="BG137" s="9"/>
      <c r="BH137" s="9"/>
      <c r="BI137" s="18"/>
      <c r="BJ137" s="18"/>
      <c r="BK137" s="18"/>
      <c r="BL137" s="18"/>
      <c r="BM137" s="18"/>
      <c r="BN137" s="17"/>
      <c r="BO137" s="9"/>
      <c r="BP137" s="9"/>
      <c r="BQ137" s="18"/>
      <c r="BR137" s="18"/>
      <c r="BS137" s="18"/>
      <c r="BT137" s="18"/>
      <c r="BU137" s="18"/>
      <c r="BV137" s="17"/>
      <c r="BW137" s="9"/>
      <c r="BX137" s="9"/>
      <c r="BY137" s="18"/>
      <c r="BZ137" s="18"/>
      <c r="CA137" s="18"/>
      <c r="CB137" s="18"/>
      <c r="CC137" s="18"/>
      <c r="CD137" s="17"/>
      <c r="CE137" s="9"/>
      <c r="CF137" s="9"/>
      <c r="CG137" s="18"/>
      <c r="CH137" s="18"/>
      <c r="CI137" s="18"/>
      <c r="CJ137" s="18"/>
      <c r="CK137" s="18"/>
      <c r="CL137" s="17"/>
      <c r="CM137" s="9"/>
      <c r="CN137" s="9"/>
      <c r="CO137" s="18"/>
      <c r="CP137" s="18"/>
      <c r="CQ137" s="18"/>
      <c r="CR137" s="18"/>
      <c r="CS137" s="18"/>
      <c r="CT137" s="17"/>
      <c r="CU137" s="9"/>
      <c r="CV137" s="9"/>
      <c r="CW137" s="18"/>
      <c r="CX137" s="18"/>
      <c r="CY137" s="18"/>
      <c r="CZ137" s="18"/>
      <c r="DA137" s="18"/>
      <c r="DB137" s="17"/>
      <c r="DC137" s="9"/>
      <c r="DD137" s="9"/>
      <c r="DE137" s="18"/>
      <c r="DF137" s="18"/>
      <c r="DG137" s="18"/>
      <c r="DH137" s="18"/>
      <c r="DI137" s="18"/>
      <c r="DJ137" s="17"/>
      <c r="DK137" s="9"/>
      <c r="DL137" s="9"/>
      <c r="DM137" s="18"/>
      <c r="DN137" s="18"/>
      <c r="DO137" s="18"/>
      <c r="DP137" s="18"/>
      <c r="DQ137" s="18"/>
      <c r="DR137" s="17"/>
      <c r="DS137" s="9"/>
      <c r="DT137" s="9"/>
      <c r="DU137" s="18"/>
      <c r="DV137" s="18"/>
      <c r="DW137" s="18"/>
      <c r="DX137" s="18"/>
      <c r="DY137" s="18"/>
      <c r="DZ137" s="17"/>
      <c r="EA137" s="9"/>
      <c r="EB137" s="9"/>
      <c r="EC137" s="18"/>
      <c r="ED137" s="18"/>
      <c r="EE137" s="18"/>
      <c r="EF137" s="18"/>
      <c r="EG137" s="18"/>
      <c r="EH137" s="17"/>
      <c r="EI137" s="9"/>
      <c r="EJ137" s="9"/>
      <c r="EK137" s="18"/>
      <c r="EL137" s="18"/>
      <c r="EM137" s="18"/>
      <c r="EN137" s="18"/>
      <c r="EO137" s="18"/>
      <c r="EP137" s="17"/>
      <c r="EQ137" s="9"/>
      <c r="ER137" s="9"/>
      <c r="ES137" s="18"/>
      <c r="ET137" s="18"/>
      <c r="EU137" s="18"/>
      <c r="EV137" s="18"/>
      <c r="EW137" s="18"/>
      <c r="EX137" s="17"/>
      <c r="EY137" s="9"/>
      <c r="EZ137" s="9"/>
      <c r="FA137" s="18"/>
      <c r="FB137" s="18"/>
      <c r="FC137" s="18"/>
      <c r="FD137" s="18"/>
      <c r="FE137" s="18"/>
      <c r="FF137" s="17"/>
      <c r="FG137" s="9"/>
      <c r="FH137" s="9"/>
      <c r="FI137" s="18"/>
      <c r="FJ137" s="18"/>
      <c r="FK137" s="18"/>
      <c r="FL137" s="18"/>
      <c r="FM137" s="18"/>
      <c r="FN137" s="17"/>
      <c r="FO137" s="9"/>
      <c r="FP137" s="9"/>
      <c r="FQ137" s="18"/>
      <c r="FR137" s="18"/>
      <c r="FS137" s="18"/>
      <c r="FT137" s="18"/>
      <c r="FU137" s="18"/>
      <c r="FV137" s="17"/>
      <c r="FW137" s="9"/>
      <c r="FX137" s="9"/>
      <c r="FY137" s="18"/>
      <c r="FZ137" s="18"/>
      <c r="GA137" s="18"/>
      <c r="GB137" s="18"/>
      <c r="GC137" s="18"/>
      <c r="GD137" s="17"/>
      <c r="GE137" s="9"/>
      <c r="GF137" s="9"/>
      <c r="GG137" s="18"/>
      <c r="GH137" s="18"/>
      <c r="GI137" s="18"/>
      <c r="GJ137" s="18"/>
      <c r="GK137" s="18"/>
      <c r="GL137" s="17"/>
      <c r="GM137" s="9"/>
      <c r="GN137" s="9"/>
      <c r="GO137" s="18"/>
      <c r="GP137" s="18"/>
      <c r="GQ137" s="18"/>
      <c r="GR137" s="18"/>
      <c r="GS137" s="18"/>
      <c r="GT137" s="17"/>
      <c r="GU137" s="9"/>
      <c r="GV137" s="9"/>
      <c r="GW137" s="18"/>
      <c r="GX137" s="18"/>
      <c r="GY137" s="18"/>
      <c r="GZ137" s="18"/>
      <c r="HA137" s="18"/>
      <c r="HB137" s="17"/>
      <c r="HC137" s="9"/>
      <c r="HD137" s="9"/>
      <c r="HE137" s="18"/>
      <c r="HF137" s="18"/>
      <c r="HG137" s="18"/>
      <c r="HH137" s="18"/>
      <c r="HI137" s="18"/>
      <c r="HJ137" s="17"/>
      <c r="HK137" s="9"/>
      <c r="HL137" s="9"/>
      <c r="HM137" s="18"/>
      <c r="HN137" s="18"/>
      <c r="HO137" s="18"/>
      <c r="HP137" s="18"/>
      <c r="HQ137" s="18"/>
      <c r="HR137" s="17"/>
      <c r="HS137" s="9"/>
      <c r="HT137" s="9"/>
      <c r="HU137" s="18"/>
      <c r="HV137" s="18"/>
      <c r="HW137" s="18"/>
      <c r="HX137" s="18"/>
      <c r="HY137" s="18"/>
      <c r="HZ137" s="17"/>
      <c r="IA137" s="9"/>
      <c r="IB137" s="9"/>
      <c r="IC137" s="18"/>
      <c r="ID137" s="18"/>
      <c r="IE137" s="18"/>
      <c r="IF137" s="18"/>
      <c r="IG137" s="18"/>
      <c r="IH137" s="17"/>
      <c r="II137" s="9"/>
      <c r="IJ137" s="9"/>
      <c r="IK137" s="18"/>
      <c r="IL137" s="18"/>
      <c r="IM137" s="18"/>
      <c r="IN137" s="18"/>
      <c r="IO137" s="18"/>
      <c r="IP137" s="17"/>
      <c r="IQ137" s="9"/>
      <c r="IR137" s="9"/>
      <c r="IS137" s="18"/>
      <c r="IT137" s="18"/>
      <c r="IU137" s="18"/>
      <c r="IV137" s="18"/>
      <c r="IW137" s="18"/>
      <c r="IX137" s="17"/>
      <c r="IY137" s="9"/>
      <c r="IZ137" s="9"/>
      <c r="JA137" s="18"/>
      <c r="JB137" s="18"/>
      <c r="JC137" s="18"/>
      <c r="JD137" s="18"/>
      <c r="JE137" s="18"/>
      <c r="JF137" s="17"/>
      <c r="JG137" s="9"/>
      <c r="JH137" s="9"/>
      <c r="JI137" s="18"/>
      <c r="JJ137" s="18"/>
      <c r="JK137" s="18"/>
      <c r="JL137" s="18"/>
      <c r="JM137" s="18"/>
      <c r="JN137" s="17"/>
      <c r="JO137" s="9"/>
      <c r="JP137" s="9"/>
      <c r="JQ137" s="18"/>
      <c r="JR137" s="18"/>
      <c r="JS137" s="18"/>
      <c r="JT137" s="18"/>
      <c r="JU137" s="18"/>
      <c r="JV137" s="17"/>
      <c r="JW137" s="9"/>
      <c r="JX137" s="9"/>
      <c r="JY137" s="18"/>
      <c r="JZ137" s="18"/>
      <c r="KA137" s="18"/>
      <c r="KB137" s="18"/>
      <c r="KC137" s="18"/>
      <c r="KD137" s="17"/>
      <c r="KE137" s="9"/>
      <c r="KF137" s="9"/>
      <c r="KG137" s="18"/>
      <c r="KH137" s="18"/>
      <c r="KI137" s="18"/>
      <c r="KJ137" s="18"/>
      <c r="KK137" s="18"/>
      <c r="KL137" s="17"/>
      <c r="KM137" s="9"/>
      <c r="KN137" s="9"/>
      <c r="KO137" s="18"/>
      <c r="KP137" s="18"/>
      <c r="KQ137" s="18"/>
      <c r="KR137" s="18"/>
      <c r="KS137" s="18"/>
      <c r="KT137" s="17"/>
      <c r="KU137" s="9"/>
      <c r="KV137" s="9"/>
      <c r="KW137" s="18"/>
      <c r="KX137" s="18"/>
      <c r="KY137" s="18"/>
      <c r="KZ137" s="18"/>
      <c r="LA137" s="18"/>
      <c r="LB137" s="17"/>
      <c r="LC137" s="9"/>
      <c r="LD137" s="9"/>
      <c r="LE137" s="18"/>
      <c r="LF137" s="18"/>
      <c r="LG137" s="18"/>
      <c r="LH137" s="18"/>
      <c r="LI137" s="18"/>
      <c r="LJ137" s="17"/>
      <c r="LK137" s="9"/>
      <c r="LL137" s="9"/>
      <c r="LM137" s="18"/>
      <c r="LN137" s="18"/>
      <c r="LO137" s="18"/>
      <c r="LP137" s="18"/>
      <c r="LQ137" s="18"/>
      <c r="LR137" s="17"/>
      <c r="LS137" s="9"/>
      <c r="LT137" s="9"/>
      <c r="LU137" s="18"/>
      <c r="LV137" s="18"/>
      <c r="LW137" s="18"/>
      <c r="LX137" s="18"/>
      <c r="LY137" s="18"/>
      <c r="LZ137" s="17"/>
      <c r="MA137" s="9"/>
      <c r="MB137" s="9"/>
      <c r="MC137" s="18"/>
      <c r="MD137" s="18"/>
      <c r="ME137" s="18"/>
      <c r="MF137" s="18"/>
      <c r="MG137" s="18"/>
      <c r="MH137" s="17"/>
      <c r="MI137" s="9"/>
      <c r="MJ137" s="9"/>
      <c r="MK137" s="18"/>
      <c r="ML137" s="18"/>
      <c r="MM137" s="18"/>
      <c r="MN137" s="18"/>
      <c r="MO137" s="18"/>
      <c r="MP137" s="17"/>
      <c r="MQ137" s="9"/>
      <c r="MR137" s="9"/>
      <c r="MS137" s="18"/>
      <c r="MT137" s="18"/>
      <c r="MU137" s="18"/>
      <c r="MV137" s="18"/>
      <c r="MW137" s="18"/>
      <c r="MX137" s="17"/>
      <c r="MY137" s="9"/>
      <c r="MZ137" s="9"/>
      <c r="NA137" s="18"/>
      <c r="NB137" s="18"/>
      <c r="NC137" s="18"/>
      <c r="ND137" s="18"/>
      <c r="NE137" s="18"/>
      <c r="NF137" s="17"/>
      <c r="NG137" s="9"/>
      <c r="NH137" s="9"/>
      <c r="NI137" s="18"/>
      <c r="NJ137" s="18"/>
      <c r="NK137" s="18"/>
      <c r="NL137" s="18"/>
      <c r="NM137" s="18"/>
      <c r="NN137" s="17"/>
      <c r="NO137" s="9"/>
      <c r="NP137" s="9"/>
      <c r="NQ137" s="18"/>
      <c r="NR137" s="18"/>
      <c r="NS137" s="18"/>
      <c r="NT137" s="18"/>
      <c r="NU137" s="18"/>
      <c r="NV137" s="17"/>
      <c r="NW137" s="9"/>
      <c r="NX137" s="9"/>
      <c r="NY137" s="18"/>
      <c r="NZ137" s="18"/>
      <c r="OA137" s="18"/>
      <c r="OB137" s="18"/>
      <c r="OC137" s="18"/>
      <c r="OD137" s="17"/>
      <c r="OE137" s="9"/>
      <c r="OF137" s="9"/>
      <c r="OG137" s="18"/>
      <c r="OH137" s="18"/>
      <c r="OI137" s="18"/>
      <c r="OJ137" s="18"/>
      <c r="OK137" s="18"/>
      <c r="OL137" s="17"/>
      <c r="OM137" s="9"/>
      <c r="ON137" s="9"/>
      <c r="OO137" s="18"/>
      <c r="OP137" s="18"/>
      <c r="OQ137" s="18"/>
      <c r="OR137" s="18"/>
      <c r="OS137" s="18"/>
      <c r="OT137" s="17"/>
      <c r="OU137" s="9"/>
      <c r="OV137" s="9"/>
      <c r="OW137" s="18"/>
      <c r="OX137" s="18"/>
      <c r="OY137" s="18"/>
      <c r="OZ137" s="18"/>
      <c r="PA137" s="18"/>
      <c r="PB137" s="17"/>
      <c r="PC137" s="9"/>
      <c r="PD137" s="9"/>
      <c r="PE137" s="18"/>
      <c r="PF137" s="18"/>
      <c r="PG137" s="18"/>
      <c r="PH137" s="18"/>
      <c r="PI137" s="18"/>
      <c r="PJ137" s="17"/>
      <c r="PK137" s="9"/>
      <c r="PL137" s="9"/>
      <c r="PM137" s="18"/>
      <c r="PN137" s="18"/>
      <c r="PO137" s="18"/>
      <c r="PP137" s="18"/>
      <c r="PQ137" s="18"/>
      <c r="PR137" s="17"/>
      <c r="PS137" s="9"/>
      <c r="PT137" s="9"/>
      <c r="PU137" s="18"/>
      <c r="PV137" s="18"/>
      <c r="PW137" s="18"/>
      <c r="PX137" s="18"/>
      <c r="PY137" s="18"/>
      <c r="PZ137" s="17"/>
      <c r="QA137" s="9"/>
      <c r="QB137" s="9"/>
      <c r="QC137" s="18"/>
      <c r="QD137" s="18"/>
      <c r="QE137" s="18"/>
      <c r="QF137" s="18"/>
      <c r="QG137" s="18"/>
      <c r="QH137" s="17"/>
      <c r="QI137" s="9"/>
      <c r="QJ137" s="9"/>
      <c r="QK137" s="18"/>
      <c r="QL137" s="18"/>
      <c r="QM137" s="18"/>
      <c r="QN137" s="18"/>
      <c r="QO137" s="18"/>
      <c r="QP137" s="17"/>
      <c r="QQ137" s="9"/>
      <c r="QR137" s="9"/>
      <c r="QS137" s="18"/>
      <c r="QT137" s="18"/>
      <c r="QU137" s="18"/>
      <c r="QV137" s="18"/>
      <c r="QW137" s="18"/>
      <c r="QX137" s="17"/>
      <c r="QY137" s="9"/>
      <c r="QZ137" s="9"/>
      <c r="RA137" s="18"/>
      <c r="RB137" s="18"/>
      <c r="RC137" s="18"/>
      <c r="RD137" s="18"/>
      <c r="RE137" s="18"/>
      <c r="RF137" s="17"/>
      <c r="RG137" s="9"/>
      <c r="RH137" s="9"/>
      <c r="RI137" s="18"/>
      <c r="RJ137" s="18"/>
      <c r="RK137" s="18"/>
      <c r="RL137" s="18"/>
      <c r="RM137" s="18"/>
      <c r="RN137" s="17"/>
      <c r="RO137" s="9"/>
      <c r="RP137" s="9"/>
      <c r="RQ137" s="18"/>
      <c r="RR137" s="18"/>
      <c r="RS137" s="18"/>
      <c r="RT137" s="18"/>
      <c r="RU137" s="18"/>
      <c r="RV137" s="17"/>
      <c r="RW137" s="9"/>
      <c r="RX137" s="9"/>
      <c r="RY137" s="18"/>
      <c r="RZ137" s="18"/>
      <c r="SA137" s="18"/>
      <c r="SB137" s="18"/>
      <c r="SC137" s="18"/>
      <c r="SD137" s="17"/>
      <c r="SE137" s="9"/>
      <c r="SF137" s="9"/>
      <c r="SG137" s="18"/>
      <c r="SH137" s="18"/>
      <c r="SI137" s="18"/>
      <c r="SJ137" s="18"/>
      <c r="SK137" s="18"/>
      <c r="SL137" s="17"/>
      <c r="SM137" s="9"/>
      <c r="SN137" s="9"/>
      <c r="SO137" s="18"/>
      <c r="SP137" s="18"/>
      <c r="SQ137" s="18"/>
      <c r="SR137" s="18"/>
      <c r="SS137" s="18"/>
      <c r="ST137" s="17"/>
      <c r="SU137" s="9"/>
      <c r="SV137" s="9"/>
      <c r="SW137" s="18"/>
      <c r="SX137" s="18"/>
      <c r="SY137" s="18"/>
      <c r="SZ137" s="18"/>
      <c r="TA137" s="18"/>
      <c r="TB137" s="17"/>
      <c r="TC137" s="9"/>
      <c r="TD137" s="9"/>
      <c r="TE137" s="18"/>
      <c r="TF137" s="18"/>
      <c r="TG137" s="18"/>
      <c r="TH137" s="18"/>
      <c r="TI137" s="18"/>
      <c r="TJ137" s="17"/>
      <c r="TK137" s="9"/>
      <c r="TL137" s="9"/>
      <c r="TM137" s="18"/>
      <c r="TN137" s="18"/>
      <c r="TO137" s="18"/>
      <c r="TP137" s="18"/>
      <c r="TQ137" s="18"/>
      <c r="TR137" s="17"/>
      <c r="TS137" s="9"/>
      <c r="TT137" s="9"/>
      <c r="TU137" s="18"/>
      <c r="TV137" s="18"/>
      <c r="TW137" s="18"/>
      <c r="TX137" s="18"/>
      <c r="TY137" s="18"/>
      <c r="TZ137" s="17"/>
      <c r="UA137" s="9"/>
      <c r="UB137" s="9"/>
      <c r="UC137" s="18"/>
      <c r="UD137" s="18"/>
      <c r="UE137" s="18"/>
      <c r="UF137" s="18"/>
      <c r="UG137" s="18"/>
      <c r="UH137" s="17"/>
      <c r="UI137" s="9"/>
      <c r="UJ137" s="9"/>
      <c r="UK137" s="18"/>
      <c r="UL137" s="18"/>
      <c r="UM137" s="18"/>
      <c r="UN137" s="18"/>
      <c r="UO137" s="18"/>
      <c r="UP137" s="17"/>
      <c r="UQ137" s="9"/>
      <c r="UR137" s="9"/>
      <c r="US137" s="18"/>
      <c r="UT137" s="18"/>
      <c r="UU137" s="18"/>
      <c r="UV137" s="18"/>
      <c r="UW137" s="18"/>
      <c r="UX137" s="17"/>
      <c r="UY137" s="9"/>
      <c r="UZ137" s="9"/>
      <c r="VA137" s="18"/>
      <c r="VB137" s="18"/>
      <c r="VC137" s="18"/>
      <c r="VD137" s="18"/>
      <c r="VE137" s="18"/>
      <c r="VF137" s="17"/>
      <c r="VG137" s="9"/>
      <c r="VH137" s="9"/>
      <c r="VI137" s="18"/>
      <c r="VJ137" s="18"/>
      <c r="VK137" s="18"/>
      <c r="VL137" s="18"/>
      <c r="VM137" s="18"/>
      <c r="VN137" s="17"/>
      <c r="VO137" s="9"/>
      <c r="VP137" s="9"/>
      <c r="VQ137" s="18"/>
      <c r="VR137" s="18"/>
      <c r="VS137" s="18"/>
      <c r="VT137" s="18"/>
      <c r="VU137" s="18"/>
      <c r="VV137" s="17"/>
      <c r="VW137" s="9"/>
      <c r="VX137" s="9"/>
      <c r="VY137" s="18"/>
      <c r="VZ137" s="18"/>
      <c r="WA137" s="18"/>
      <c r="WB137" s="18"/>
      <c r="WC137" s="18"/>
      <c r="WD137" s="17"/>
      <c r="WE137" s="9"/>
      <c r="WF137" s="9"/>
      <c r="WG137" s="18"/>
      <c r="WH137" s="18"/>
      <c r="WI137" s="18"/>
      <c r="WJ137" s="18"/>
      <c r="WK137" s="18"/>
      <c r="WL137" s="17"/>
      <c r="WM137" s="9"/>
      <c r="WN137" s="9"/>
      <c r="WO137" s="18"/>
      <c r="WP137" s="18"/>
      <c r="WQ137" s="18"/>
      <c r="WR137" s="18"/>
      <c r="WS137" s="18"/>
      <c r="WT137" s="17"/>
      <c r="WU137" s="9"/>
      <c r="WV137" s="9"/>
      <c r="WW137" s="18"/>
      <c r="WX137" s="18"/>
      <c r="WY137" s="18"/>
      <c r="WZ137" s="18"/>
      <c r="XA137" s="18"/>
      <c r="XB137" s="17"/>
      <c r="XC137" s="9"/>
      <c r="XD137" s="9"/>
      <c r="XE137" s="18"/>
      <c r="XF137" s="18"/>
      <c r="XG137" s="18"/>
      <c r="XH137" s="18"/>
      <c r="XI137" s="18"/>
      <c r="XJ137" s="17"/>
      <c r="XK137" s="9"/>
      <c r="XL137" s="9"/>
      <c r="XM137" s="18"/>
      <c r="XN137" s="18"/>
      <c r="XO137" s="18"/>
      <c r="XP137" s="18"/>
      <c r="XQ137" s="18"/>
      <c r="XR137" s="17"/>
      <c r="XS137" s="9"/>
      <c r="XT137" s="9"/>
      <c r="XU137" s="18"/>
      <c r="XV137" s="18"/>
      <c r="XW137" s="18"/>
      <c r="XX137" s="18"/>
      <c r="XY137" s="18"/>
      <c r="XZ137" s="17"/>
      <c r="YA137" s="9"/>
      <c r="YB137" s="9"/>
      <c r="YC137" s="18"/>
      <c r="YD137" s="18"/>
      <c r="YE137" s="18"/>
      <c r="YF137" s="18"/>
      <c r="YG137" s="18"/>
      <c r="YH137" s="17"/>
      <c r="YI137" s="9"/>
      <c r="YJ137" s="9"/>
      <c r="YK137" s="18"/>
      <c r="YL137" s="18"/>
      <c r="YM137" s="18"/>
      <c r="YN137" s="18"/>
      <c r="YO137" s="18"/>
      <c r="YP137" s="17"/>
      <c r="YQ137" s="9"/>
      <c r="YR137" s="9"/>
      <c r="YS137" s="18"/>
      <c r="YT137" s="18"/>
      <c r="YU137" s="18"/>
      <c r="YV137" s="18"/>
      <c r="YW137" s="18"/>
      <c r="YX137" s="17"/>
      <c r="YY137" s="9"/>
      <c r="YZ137" s="9"/>
      <c r="ZA137" s="18"/>
      <c r="ZB137" s="18"/>
      <c r="ZC137" s="18"/>
      <c r="ZD137" s="18"/>
      <c r="ZE137" s="18"/>
      <c r="ZF137" s="17"/>
      <c r="ZG137" s="9"/>
      <c r="ZH137" s="9"/>
      <c r="ZI137" s="18"/>
      <c r="ZJ137" s="18"/>
      <c r="ZK137" s="18"/>
      <c r="ZL137" s="18"/>
      <c r="ZM137" s="18"/>
      <c r="ZN137" s="17"/>
      <c r="ZO137" s="9"/>
      <c r="ZP137" s="9"/>
      <c r="ZQ137" s="18"/>
      <c r="ZR137" s="18"/>
      <c r="ZS137" s="18"/>
      <c r="ZT137" s="18"/>
      <c r="ZU137" s="18"/>
      <c r="ZV137" s="17"/>
      <c r="ZW137" s="9"/>
      <c r="ZX137" s="9"/>
      <c r="ZY137" s="18"/>
      <c r="ZZ137" s="18"/>
      <c r="AAA137" s="18"/>
      <c r="AAB137" s="18"/>
      <c r="AAC137" s="18"/>
      <c r="AAD137" s="17"/>
      <c r="AAE137" s="9"/>
      <c r="AAF137" s="9"/>
      <c r="AAG137" s="18"/>
      <c r="AAH137" s="18"/>
      <c r="AAI137" s="18"/>
      <c r="AAJ137" s="18"/>
      <c r="AAK137" s="18"/>
      <c r="AAL137" s="17"/>
      <c r="AAM137" s="9"/>
      <c r="AAN137" s="9"/>
      <c r="AAO137" s="18"/>
      <c r="AAP137" s="18"/>
      <c r="AAQ137" s="18"/>
      <c r="AAR137" s="18"/>
      <c r="AAS137" s="18"/>
      <c r="AAT137" s="17"/>
      <c r="AAU137" s="9"/>
      <c r="AAV137" s="9"/>
      <c r="AAW137" s="18"/>
      <c r="AAX137" s="18"/>
      <c r="AAY137" s="18"/>
      <c r="AAZ137" s="18"/>
      <c r="ABA137" s="18"/>
      <c r="ABB137" s="17"/>
      <c r="ABC137" s="9"/>
      <c r="ABD137" s="9"/>
      <c r="ABE137" s="18"/>
      <c r="ABF137" s="18"/>
      <c r="ABG137" s="18"/>
      <c r="ABH137" s="18"/>
      <c r="ABI137" s="18"/>
      <c r="ABJ137" s="17"/>
      <c r="ABK137" s="9"/>
      <c r="ABL137" s="9"/>
      <c r="ABM137" s="18"/>
      <c r="ABN137" s="18"/>
      <c r="ABO137" s="18"/>
      <c r="ABP137" s="18"/>
      <c r="ABQ137" s="18"/>
      <c r="ABR137" s="17"/>
      <c r="ABS137" s="9"/>
      <c r="ABT137" s="9"/>
      <c r="ABU137" s="18"/>
      <c r="ABV137" s="18"/>
      <c r="ABW137" s="18"/>
      <c r="ABX137" s="18"/>
      <c r="ABY137" s="18"/>
      <c r="ABZ137" s="17"/>
      <c r="ACA137" s="9"/>
      <c r="ACB137" s="9"/>
      <c r="ACC137" s="18"/>
      <c r="ACD137" s="18"/>
      <c r="ACE137" s="18"/>
      <c r="ACF137" s="18"/>
      <c r="ACG137" s="18"/>
      <c r="ACH137" s="17"/>
      <c r="ACI137" s="9"/>
      <c r="ACJ137" s="9"/>
      <c r="ACK137" s="18"/>
      <c r="ACL137" s="18"/>
      <c r="ACM137" s="18"/>
      <c r="ACN137" s="18"/>
      <c r="ACO137" s="18"/>
      <c r="ACP137" s="17"/>
      <c r="ACQ137" s="9"/>
      <c r="ACR137" s="9"/>
      <c r="ACS137" s="18"/>
      <c r="ACT137" s="18"/>
      <c r="ACU137" s="18"/>
      <c r="ACV137" s="18"/>
      <c r="ACW137" s="18"/>
      <c r="ACX137" s="17"/>
      <c r="ACY137" s="9"/>
      <c r="ACZ137" s="9"/>
      <c r="ADA137" s="18"/>
      <c r="ADB137" s="18"/>
      <c r="ADC137" s="18"/>
      <c r="ADD137" s="18"/>
      <c r="ADE137" s="18"/>
      <c r="ADF137" s="17"/>
      <c r="ADG137" s="9"/>
      <c r="ADH137" s="9"/>
      <c r="ADI137" s="18"/>
      <c r="ADJ137" s="18"/>
      <c r="ADK137" s="18"/>
      <c r="ADL137" s="18"/>
      <c r="ADM137" s="18"/>
      <c r="ADN137" s="17"/>
      <c r="ADO137" s="9"/>
      <c r="ADP137" s="9"/>
      <c r="ADQ137" s="18"/>
      <c r="ADR137" s="18"/>
      <c r="ADS137" s="18"/>
      <c r="ADT137" s="18"/>
      <c r="ADU137" s="18"/>
      <c r="ADV137" s="17"/>
      <c r="ADW137" s="9"/>
      <c r="ADX137" s="9"/>
      <c r="ADY137" s="18"/>
      <c r="ADZ137" s="18"/>
      <c r="AEA137" s="18"/>
      <c r="AEB137" s="18"/>
      <c r="AEC137" s="18"/>
      <c r="AED137" s="17"/>
      <c r="AEE137" s="9"/>
      <c r="AEF137" s="9"/>
      <c r="AEG137" s="18"/>
      <c r="AEH137" s="18"/>
      <c r="AEI137" s="18"/>
      <c r="AEJ137" s="18"/>
      <c r="AEK137" s="18"/>
      <c r="AEL137" s="17"/>
      <c r="AEM137" s="9"/>
      <c r="AEN137" s="9"/>
      <c r="AEO137" s="18"/>
      <c r="AEP137" s="18"/>
      <c r="AEQ137" s="18"/>
      <c r="AER137" s="18"/>
      <c r="AES137" s="18"/>
      <c r="AET137" s="17"/>
      <c r="AEU137" s="9"/>
      <c r="AEV137" s="9"/>
      <c r="AEW137" s="18"/>
      <c r="AEX137" s="18"/>
      <c r="AEY137" s="18"/>
      <c r="AEZ137" s="18"/>
      <c r="AFA137" s="18"/>
      <c r="AFB137" s="17"/>
      <c r="AFC137" s="9"/>
      <c r="AFD137" s="9"/>
      <c r="AFE137" s="18"/>
      <c r="AFF137" s="18"/>
      <c r="AFG137" s="18"/>
      <c r="AFH137" s="18"/>
      <c r="AFI137" s="18"/>
      <c r="AFJ137" s="17"/>
      <c r="AFK137" s="9"/>
      <c r="AFL137" s="9"/>
      <c r="AFM137" s="18"/>
      <c r="AFN137" s="18"/>
      <c r="AFO137" s="18"/>
      <c r="AFP137" s="18"/>
      <c r="AFQ137" s="18"/>
      <c r="AFR137" s="17"/>
      <c r="AFS137" s="9"/>
      <c r="AFT137" s="9"/>
      <c r="AFU137" s="18"/>
      <c r="AFV137" s="18"/>
      <c r="AFW137" s="18"/>
      <c r="AFX137" s="18"/>
      <c r="AFY137" s="18"/>
      <c r="AFZ137" s="17"/>
      <c r="AGA137" s="9"/>
      <c r="AGB137" s="9"/>
      <c r="AGC137" s="18"/>
      <c r="AGD137" s="18"/>
      <c r="AGE137" s="18"/>
      <c r="AGF137" s="18"/>
      <c r="AGG137" s="18"/>
      <c r="AGH137" s="17"/>
      <c r="AGI137" s="9"/>
      <c r="AGJ137" s="9"/>
      <c r="AGK137" s="18"/>
      <c r="AGL137" s="18"/>
      <c r="AGM137" s="18"/>
      <c r="AGN137" s="18"/>
      <c r="AGO137" s="18"/>
      <c r="AGP137" s="17"/>
      <c r="AGQ137" s="9"/>
      <c r="AGR137" s="9"/>
      <c r="AGS137" s="18"/>
      <c r="AGT137" s="18"/>
      <c r="AGU137" s="18"/>
      <c r="AGV137" s="18"/>
      <c r="AGW137" s="18"/>
      <c r="AGX137" s="17"/>
      <c r="AGY137" s="9"/>
      <c r="AGZ137" s="9"/>
      <c r="AHA137" s="18"/>
      <c r="AHB137" s="18"/>
      <c r="AHC137" s="18"/>
      <c r="AHD137" s="18"/>
      <c r="AHE137" s="18"/>
      <c r="AHF137" s="17"/>
      <c r="AHG137" s="9"/>
      <c r="AHH137" s="9"/>
      <c r="AHI137" s="18"/>
      <c r="AHJ137" s="18"/>
      <c r="AHK137" s="18"/>
      <c r="AHL137" s="18"/>
      <c r="AHM137" s="18"/>
      <c r="AHN137" s="17"/>
      <c r="AHO137" s="9"/>
      <c r="AHP137" s="9"/>
      <c r="AHQ137" s="18"/>
      <c r="AHR137" s="18"/>
      <c r="AHS137" s="18"/>
      <c r="AHT137" s="18"/>
      <c r="AHU137" s="18"/>
      <c r="AHV137" s="17"/>
      <c r="AHW137" s="9"/>
      <c r="AHX137" s="9"/>
      <c r="AHY137" s="18"/>
      <c r="AHZ137" s="18"/>
      <c r="AIA137" s="18"/>
      <c r="AIB137" s="18"/>
      <c r="AIC137" s="18"/>
      <c r="AID137" s="17"/>
      <c r="AIE137" s="9"/>
      <c r="AIF137" s="9"/>
      <c r="AIG137" s="18"/>
      <c r="AIH137" s="18"/>
      <c r="AII137" s="18"/>
      <c r="AIJ137" s="18"/>
      <c r="AIK137" s="18"/>
      <c r="AIL137" s="17"/>
      <c r="AIM137" s="9"/>
      <c r="AIN137" s="9"/>
      <c r="AIO137" s="18"/>
      <c r="AIP137" s="18"/>
      <c r="AIQ137" s="18"/>
      <c r="AIR137" s="18"/>
      <c r="AIS137" s="18"/>
      <c r="AIT137" s="17"/>
      <c r="AIU137" s="9"/>
      <c r="AIV137" s="9"/>
      <c r="AIW137" s="18"/>
      <c r="AIX137" s="18"/>
      <c r="AIY137" s="18"/>
      <c r="AIZ137" s="18"/>
      <c r="AJA137" s="18"/>
      <c r="AJB137" s="17"/>
      <c r="AJC137" s="9"/>
      <c r="AJD137" s="9"/>
      <c r="AJE137" s="18"/>
      <c r="AJF137" s="18"/>
      <c r="AJG137" s="18"/>
      <c r="AJH137" s="18"/>
      <c r="AJI137" s="18"/>
      <c r="AJJ137" s="17"/>
      <c r="AJK137" s="9"/>
      <c r="AJL137" s="9"/>
      <c r="AJM137" s="18"/>
      <c r="AJN137" s="18"/>
      <c r="AJO137" s="18"/>
      <c r="AJP137" s="18"/>
      <c r="AJQ137" s="18"/>
      <c r="AJR137" s="17"/>
      <c r="AJS137" s="9"/>
      <c r="AJT137" s="9"/>
      <c r="AJU137" s="18"/>
      <c r="AJV137" s="18"/>
      <c r="AJW137" s="18"/>
      <c r="AJX137" s="18"/>
      <c r="AJY137" s="18"/>
      <c r="AJZ137" s="17"/>
      <c r="AKA137" s="9"/>
      <c r="AKB137" s="9"/>
      <c r="AKC137" s="18"/>
      <c r="AKD137" s="18"/>
      <c r="AKE137" s="18"/>
      <c r="AKF137" s="18"/>
      <c r="AKG137" s="18"/>
      <c r="AKH137" s="17"/>
      <c r="AKI137" s="9"/>
      <c r="AKJ137" s="9"/>
      <c r="AKK137" s="18"/>
      <c r="AKL137" s="18"/>
      <c r="AKM137" s="18"/>
      <c r="AKN137" s="18"/>
      <c r="AKO137" s="18"/>
      <c r="AKP137" s="17"/>
      <c r="AKQ137" s="9"/>
      <c r="AKR137" s="9"/>
      <c r="AKS137" s="18"/>
      <c r="AKT137" s="18"/>
      <c r="AKU137" s="18"/>
      <c r="AKV137" s="18"/>
      <c r="AKW137" s="18"/>
      <c r="AKX137" s="17"/>
      <c r="AKY137" s="9"/>
      <c r="AKZ137" s="9"/>
      <c r="ALA137" s="18"/>
      <c r="ALB137" s="18"/>
      <c r="ALC137" s="18"/>
      <c r="ALD137" s="18"/>
      <c r="ALE137" s="18"/>
      <c r="ALF137" s="17"/>
      <c r="ALG137" s="9"/>
      <c r="ALH137" s="9"/>
      <c r="ALI137" s="18"/>
      <c r="ALJ137" s="18"/>
      <c r="ALK137" s="18"/>
      <c r="ALL137" s="18"/>
      <c r="ALM137" s="18"/>
      <c r="ALN137" s="17"/>
      <c r="ALO137" s="9"/>
      <c r="ALP137" s="9"/>
      <c r="ALQ137" s="18"/>
      <c r="ALR137" s="18"/>
      <c r="ALS137" s="18"/>
      <c r="ALT137" s="18"/>
      <c r="ALU137" s="18"/>
      <c r="ALV137" s="17"/>
      <c r="ALW137" s="9"/>
      <c r="ALX137" s="9"/>
      <c r="ALY137" s="18"/>
      <c r="ALZ137" s="18"/>
      <c r="AMA137" s="18"/>
      <c r="AMB137" s="18"/>
      <c r="AMC137" s="18"/>
      <c r="AMD137" s="17"/>
      <c r="AME137" s="9"/>
      <c r="AMF137" s="9"/>
      <c r="AMG137" s="18"/>
      <c r="AMH137" s="18"/>
      <c r="AMI137" s="18"/>
      <c r="AMJ137" s="18"/>
      <c r="AMK137" s="18"/>
      <c r="AML137" s="17"/>
      <c r="AMM137" s="9"/>
      <c r="AMN137" s="9"/>
      <c r="AMO137" s="18"/>
      <c r="AMP137" s="18"/>
      <c r="AMQ137" s="18"/>
      <c r="AMR137" s="18"/>
      <c r="AMS137" s="18"/>
      <c r="AMT137" s="17"/>
      <c r="AMU137" s="9"/>
      <c r="AMV137" s="9"/>
      <c r="AMW137" s="18"/>
      <c r="AMX137" s="18"/>
      <c r="AMY137" s="18"/>
      <c r="AMZ137" s="18"/>
      <c r="ANA137" s="18"/>
      <c r="ANB137" s="17"/>
      <c r="ANC137" s="9"/>
      <c r="AND137" s="9"/>
      <c r="ANE137" s="18"/>
      <c r="ANF137" s="18"/>
      <c r="ANG137" s="18"/>
      <c r="ANH137" s="18"/>
      <c r="ANI137" s="18"/>
      <c r="ANJ137" s="17"/>
      <c r="ANK137" s="9"/>
      <c r="ANL137" s="9"/>
      <c r="ANM137" s="18"/>
      <c r="ANN137" s="18"/>
      <c r="ANO137" s="18"/>
      <c r="ANP137" s="18"/>
      <c r="ANQ137" s="18"/>
      <c r="ANR137" s="17"/>
      <c r="ANS137" s="9"/>
      <c r="ANT137" s="9"/>
      <c r="ANU137" s="18"/>
      <c r="ANV137" s="18"/>
      <c r="ANW137" s="18"/>
      <c r="ANX137" s="18"/>
      <c r="ANY137" s="18"/>
      <c r="ANZ137" s="17"/>
      <c r="AOA137" s="9"/>
      <c r="AOB137" s="9"/>
      <c r="AOC137" s="18"/>
      <c r="AOD137" s="18"/>
      <c r="AOE137" s="18"/>
      <c r="AOF137" s="18"/>
      <c r="AOG137" s="18"/>
      <c r="AOH137" s="17"/>
      <c r="AOI137" s="9"/>
      <c r="AOJ137" s="9"/>
      <c r="AOK137" s="18"/>
      <c r="AOL137" s="18"/>
      <c r="AOM137" s="18"/>
      <c r="AON137" s="18"/>
      <c r="AOO137" s="18"/>
      <c r="AOP137" s="17"/>
      <c r="AOQ137" s="9"/>
      <c r="AOR137" s="9"/>
      <c r="AOS137" s="18"/>
      <c r="AOT137" s="18"/>
      <c r="AOU137" s="18"/>
      <c r="AOV137" s="18"/>
      <c r="AOW137" s="18"/>
      <c r="AOX137" s="17"/>
      <c r="AOY137" s="9"/>
      <c r="AOZ137" s="9"/>
      <c r="APA137" s="18"/>
      <c r="APB137" s="18"/>
      <c r="APC137" s="18"/>
      <c r="APD137" s="18"/>
      <c r="APE137" s="18"/>
      <c r="APF137" s="17"/>
      <c r="APG137" s="9"/>
      <c r="APH137" s="9"/>
      <c r="API137" s="18"/>
      <c r="APJ137" s="18"/>
      <c r="APK137" s="18"/>
      <c r="APL137" s="18"/>
      <c r="APM137" s="18"/>
      <c r="APN137" s="17"/>
      <c r="APO137" s="9"/>
      <c r="APP137" s="9"/>
      <c r="APQ137" s="18"/>
      <c r="APR137" s="18"/>
      <c r="APS137" s="18"/>
      <c r="APT137" s="18"/>
      <c r="APU137" s="18"/>
      <c r="APV137" s="17"/>
      <c r="APW137" s="9"/>
      <c r="APX137" s="9"/>
      <c r="APY137" s="18"/>
      <c r="APZ137" s="18"/>
      <c r="AQA137" s="18"/>
      <c r="AQB137" s="18"/>
      <c r="AQC137" s="18"/>
      <c r="AQD137" s="17"/>
      <c r="AQE137" s="9"/>
      <c r="AQF137" s="9"/>
      <c r="AQG137" s="18"/>
      <c r="AQH137" s="18"/>
      <c r="AQI137" s="18"/>
      <c r="AQJ137" s="18"/>
      <c r="AQK137" s="18"/>
      <c r="AQL137" s="17"/>
      <c r="AQM137" s="9"/>
      <c r="AQN137" s="9"/>
      <c r="AQO137" s="18"/>
      <c r="AQP137" s="18"/>
      <c r="AQQ137" s="18"/>
      <c r="AQR137" s="18"/>
      <c r="AQS137" s="18"/>
      <c r="AQT137" s="17"/>
      <c r="AQU137" s="9"/>
      <c r="AQV137" s="9"/>
      <c r="AQW137" s="18"/>
      <c r="AQX137" s="18"/>
      <c r="AQY137" s="18"/>
      <c r="AQZ137" s="18"/>
      <c r="ARA137" s="18"/>
      <c r="ARB137" s="17"/>
      <c r="ARC137" s="9"/>
      <c r="ARD137" s="9"/>
      <c r="ARE137" s="18"/>
      <c r="ARF137" s="18"/>
      <c r="ARG137" s="18"/>
      <c r="ARH137" s="18"/>
      <c r="ARI137" s="18"/>
      <c r="ARJ137" s="17"/>
      <c r="ARK137" s="9"/>
      <c r="ARL137" s="9"/>
      <c r="ARM137" s="18"/>
      <c r="ARN137" s="18"/>
      <c r="ARO137" s="18"/>
      <c r="ARP137" s="18"/>
      <c r="ARQ137" s="18"/>
      <c r="ARR137" s="17"/>
      <c r="ARS137" s="9"/>
      <c r="ART137" s="9"/>
      <c r="ARU137" s="18"/>
      <c r="ARV137" s="18"/>
      <c r="ARW137" s="18"/>
      <c r="ARX137" s="18"/>
      <c r="ARY137" s="18"/>
      <c r="ARZ137" s="17"/>
      <c r="ASA137" s="9"/>
      <c r="ASB137" s="9"/>
      <c r="ASC137" s="18"/>
      <c r="ASD137" s="18"/>
      <c r="ASE137" s="18"/>
      <c r="ASF137" s="18"/>
      <c r="ASG137" s="18"/>
      <c r="ASH137" s="17"/>
      <c r="ASI137" s="9"/>
      <c r="ASJ137" s="9"/>
      <c r="ASK137" s="18"/>
      <c r="ASL137" s="18"/>
      <c r="ASM137" s="18"/>
      <c r="ASN137" s="18"/>
      <c r="ASO137" s="18"/>
      <c r="ASP137" s="17"/>
      <c r="ASQ137" s="9"/>
      <c r="ASR137" s="9"/>
      <c r="ASS137" s="18"/>
      <c r="AST137" s="18"/>
      <c r="ASU137" s="18"/>
      <c r="ASV137" s="18"/>
      <c r="ASW137" s="18"/>
      <c r="ASX137" s="17"/>
      <c r="ASY137" s="9"/>
      <c r="ASZ137" s="9"/>
      <c r="ATA137" s="18"/>
      <c r="ATB137" s="18"/>
      <c r="ATC137" s="18"/>
      <c r="ATD137" s="18"/>
      <c r="ATE137" s="18"/>
      <c r="ATF137" s="17"/>
      <c r="ATG137" s="9"/>
      <c r="ATH137" s="9"/>
      <c r="ATI137" s="18"/>
      <c r="ATJ137" s="18"/>
      <c r="ATK137" s="18"/>
      <c r="ATL137" s="18"/>
      <c r="ATM137" s="18"/>
      <c r="ATN137" s="17"/>
      <c r="ATO137" s="9"/>
      <c r="ATP137" s="9"/>
      <c r="ATQ137" s="18"/>
      <c r="ATR137" s="18"/>
      <c r="ATS137" s="18"/>
      <c r="ATT137" s="18"/>
      <c r="ATU137" s="18"/>
      <c r="ATV137" s="17"/>
      <c r="ATW137" s="9"/>
      <c r="ATX137" s="9"/>
      <c r="ATY137" s="18"/>
      <c r="ATZ137" s="18"/>
      <c r="AUA137" s="18"/>
      <c r="AUB137" s="18"/>
      <c r="AUC137" s="18"/>
      <c r="AUD137" s="17"/>
      <c r="AUE137" s="9"/>
      <c r="AUF137" s="9"/>
      <c r="AUG137" s="18"/>
      <c r="AUH137" s="18"/>
      <c r="AUI137" s="18"/>
      <c r="AUJ137" s="18"/>
      <c r="AUK137" s="18"/>
      <c r="AUL137" s="17"/>
      <c r="AUM137" s="9"/>
      <c r="AUN137" s="9"/>
      <c r="AUO137" s="18"/>
      <c r="AUP137" s="18"/>
      <c r="AUQ137" s="18"/>
      <c r="AUR137" s="18"/>
      <c r="AUS137" s="18"/>
      <c r="AUT137" s="17"/>
      <c r="AUU137" s="9"/>
      <c r="AUV137" s="9"/>
      <c r="AUW137" s="18"/>
      <c r="AUX137" s="18"/>
      <c r="AUY137" s="18"/>
      <c r="AUZ137" s="18"/>
      <c r="AVA137" s="18"/>
      <c r="AVB137" s="17"/>
      <c r="AVC137" s="9"/>
      <c r="AVD137" s="9"/>
      <c r="AVE137" s="18"/>
      <c r="AVF137" s="18"/>
      <c r="AVG137" s="18"/>
      <c r="AVH137" s="18"/>
      <c r="AVI137" s="18"/>
      <c r="AVJ137" s="17"/>
      <c r="AVK137" s="9"/>
      <c r="AVL137" s="9"/>
      <c r="AVM137" s="18"/>
      <c r="AVN137" s="18"/>
      <c r="AVO137" s="18"/>
      <c r="AVP137" s="18"/>
      <c r="AVQ137" s="18"/>
      <c r="AVR137" s="17"/>
      <c r="AVS137" s="9"/>
      <c r="AVT137" s="9"/>
      <c r="AVU137" s="18"/>
      <c r="AVV137" s="18"/>
      <c r="AVW137" s="18"/>
      <c r="AVX137" s="18"/>
      <c r="AVY137" s="18"/>
      <c r="AVZ137" s="17"/>
      <c r="AWA137" s="9"/>
      <c r="AWB137" s="9"/>
      <c r="AWC137" s="18"/>
      <c r="AWD137" s="18"/>
      <c r="AWE137" s="18"/>
      <c r="AWF137" s="18"/>
      <c r="AWG137" s="18"/>
      <c r="AWH137" s="17"/>
      <c r="AWI137" s="9"/>
      <c r="AWJ137" s="9"/>
      <c r="AWK137" s="18"/>
      <c r="AWL137" s="18"/>
      <c r="AWM137" s="18"/>
      <c r="AWN137" s="18"/>
      <c r="AWO137" s="18"/>
      <c r="AWP137" s="17"/>
      <c r="AWQ137" s="9"/>
      <c r="AWR137" s="9"/>
      <c r="AWS137" s="18"/>
      <c r="AWT137" s="18"/>
      <c r="AWU137" s="18"/>
      <c r="AWV137" s="18"/>
      <c r="AWW137" s="18"/>
      <c r="AWX137" s="17"/>
      <c r="AWY137" s="9"/>
      <c r="AWZ137" s="9"/>
      <c r="AXA137" s="18"/>
      <c r="AXB137" s="18"/>
      <c r="AXC137" s="18"/>
      <c r="AXD137" s="18"/>
      <c r="AXE137" s="18"/>
      <c r="AXF137" s="17"/>
      <c r="AXG137" s="9"/>
      <c r="AXH137" s="9"/>
      <c r="AXI137" s="18"/>
      <c r="AXJ137" s="18"/>
      <c r="AXK137" s="18"/>
      <c r="AXL137" s="18"/>
      <c r="AXM137" s="18"/>
      <c r="AXN137" s="17"/>
      <c r="AXO137" s="9"/>
      <c r="AXP137" s="9"/>
      <c r="AXQ137" s="18"/>
      <c r="AXR137" s="18"/>
      <c r="AXS137" s="18"/>
      <c r="AXT137" s="18"/>
      <c r="AXU137" s="18"/>
      <c r="AXV137" s="17"/>
      <c r="AXW137" s="9"/>
      <c r="AXX137" s="9"/>
      <c r="AXY137" s="18"/>
      <c r="AXZ137" s="18"/>
      <c r="AYA137" s="18"/>
      <c r="AYB137" s="18"/>
      <c r="AYC137" s="18"/>
      <c r="AYD137" s="17"/>
      <c r="AYE137" s="9"/>
      <c r="AYF137" s="9"/>
      <c r="AYG137" s="18"/>
      <c r="AYH137" s="18"/>
      <c r="AYI137" s="18"/>
      <c r="AYJ137" s="18"/>
      <c r="AYK137" s="18"/>
      <c r="AYL137" s="17"/>
      <c r="AYM137" s="9"/>
      <c r="AYN137" s="9"/>
      <c r="AYO137" s="18"/>
      <c r="AYP137" s="18"/>
      <c r="AYQ137" s="18"/>
      <c r="AYR137" s="18"/>
      <c r="AYS137" s="18"/>
      <c r="AYT137" s="17"/>
      <c r="AYU137" s="9"/>
      <c r="AYV137" s="9"/>
      <c r="AYW137" s="18"/>
      <c r="AYX137" s="18"/>
      <c r="AYY137" s="18"/>
      <c r="AYZ137" s="18"/>
      <c r="AZA137" s="18"/>
      <c r="AZB137" s="17"/>
      <c r="AZC137" s="9"/>
      <c r="AZD137" s="9"/>
      <c r="AZE137" s="18"/>
      <c r="AZF137" s="18"/>
      <c r="AZG137" s="18"/>
      <c r="AZH137" s="18"/>
      <c r="AZI137" s="18"/>
      <c r="AZJ137" s="17"/>
      <c r="AZK137" s="9"/>
      <c r="AZL137" s="9"/>
      <c r="AZM137" s="18"/>
      <c r="AZN137" s="18"/>
      <c r="AZO137" s="18"/>
      <c r="AZP137" s="18"/>
      <c r="AZQ137" s="18"/>
      <c r="AZR137" s="17"/>
      <c r="AZS137" s="9"/>
      <c r="AZT137" s="9"/>
      <c r="AZU137" s="18"/>
      <c r="AZV137" s="18"/>
      <c r="AZW137" s="18"/>
      <c r="AZX137" s="18"/>
      <c r="AZY137" s="18"/>
      <c r="AZZ137" s="17"/>
      <c r="BAA137" s="9"/>
      <c r="BAB137" s="9"/>
      <c r="BAC137" s="18"/>
      <c r="BAD137" s="18"/>
      <c r="BAE137" s="18"/>
      <c r="BAF137" s="18"/>
      <c r="BAG137" s="18"/>
      <c r="BAH137" s="17"/>
      <c r="BAI137" s="9"/>
      <c r="BAJ137" s="9"/>
      <c r="BAK137" s="18"/>
      <c r="BAL137" s="18"/>
      <c r="BAM137" s="18"/>
      <c r="BAN137" s="18"/>
      <c r="BAO137" s="18"/>
      <c r="BAP137" s="17"/>
      <c r="BAQ137" s="9"/>
      <c r="BAR137" s="9"/>
      <c r="BAS137" s="18"/>
      <c r="BAT137" s="18"/>
      <c r="BAU137" s="18"/>
      <c r="BAV137" s="18"/>
      <c r="BAW137" s="18"/>
      <c r="BAX137" s="17"/>
      <c r="BAY137" s="9"/>
      <c r="BAZ137" s="9"/>
      <c r="BBA137" s="18"/>
      <c r="BBB137" s="18"/>
      <c r="BBC137" s="18"/>
      <c r="BBD137" s="18"/>
      <c r="BBE137" s="18"/>
      <c r="BBF137" s="17"/>
      <c r="BBG137" s="9"/>
      <c r="BBH137" s="9"/>
      <c r="BBI137" s="18"/>
      <c r="BBJ137" s="18"/>
      <c r="BBK137" s="18"/>
      <c r="BBL137" s="18"/>
      <c r="BBM137" s="18"/>
      <c r="BBN137" s="17"/>
      <c r="BBO137" s="9"/>
      <c r="BBP137" s="9"/>
      <c r="BBQ137" s="18"/>
      <c r="BBR137" s="18"/>
      <c r="BBS137" s="18"/>
      <c r="BBT137" s="18"/>
      <c r="BBU137" s="18"/>
      <c r="BBV137" s="17"/>
      <c r="BBW137" s="9"/>
      <c r="BBX137" s="9"/>
      <c r="BBY137" s="18"/>
      <c r="BBZ137" s="18"/>
      <c r="BCA137" s="18"/>
      <c r="BCB137" s="18"/>
      <c r="BCC137" s="18"/>
      <c r="BCD137" s="17"/>
      <c r="BCE137" s="9"/>
      <c r="BCF137" s="9"/>
      <c r="BCG137" s="18"/>
      <c r="BCH137" s="18"/>
      <c r="BCI137" s="18"/>
      <c r="BCJ137" s="18"/>
      <c r="BCK137" s="18"/>
      <c r="BCL137" s="17"/>
      <c r="BCM137" s="9"/>
      <c r="BCN137" s="9"/>
      <c r="BCO137" s="18"/>
      <c r="BCP137" s="18"/>
      <c r="BCQ137" s="18"/>
      <c r="BCR137" s="18"/>
      <c r="BCS137" s="18"/>
      <c r="BCT137" s="17"/>
      <c r="BCU137" s="9"/>
      <c r="BCV137" s="9"/>
      <c r="BCW137" s="18"/>
      <c r="BCX137" s="18"/>
      <c r="BCY137" s="18"/>
      <c r="BCZ137" s="18"/>
      <c r="BDA137" s="18"/>
      <c r="BDB137" s="17"/>
      <c r="BDC137" s="9"/>
      <c r="BDD137" s="9"/>
      <c r="BDE137" s="18"/>
      <c r="BDF137" s="18"/>
      <c r="BDG137" s="18"/>
      <c r="BDH137" s="18"/>
      <c r="BDI137" s="18"/>
      <c r="BDJ137" s="17"/>
      <c r="BDK137" s="9"/>
      <c r="BDL137" s="9"/>
      <c r="BDM137" s="18"/>
      <c r="BDN137" s="18"/>
      <c r="BDO137" s="18"/>
      <c r="BDP137" s="18"/>
      <c r="BDQ137" s="18"/>
      <c r="BDR137" s="17"/>
      <c r="BDS137" s="9"/>
      <c r="BDT137" s="9"/>
      <c r="BDU137" s="18"/>
      <c r="BDV137" s="18"/>
      <c r="BDW137" s="18"/>
      <c r="BDX137" s="18"/>
      <c r="BDY137" s="18"/>
      <c r="BDZ137" s="17"/>
      <c r="BEA137" s="9"/>
      <c r="BEB137" s="9"/>
      <c r="BEC137" s="18"/>
      <c r="BED137" s="18"/>
      <c r="BEE137" s="18"/>
      <c r="BEF137" s="18"/>
      <c r="BEG137" s="18"/>
      <c r="BEH137" s="17"/>
      <c r="BEI137" s="9"/>
      <c r="BEJ137" s="9"/>
      <c r="BEK137" s="18"/>
      <c r="BEL137" s="18"/>
      <c r="BEM137" s="18"/>
      <c r="BEN137" s="18"/>
      <c r="BEO137" s="18"/>
      <c r="BEP137" s="17"/>
      <c r="BEQ137" s="9"/>
      <c r="BER137" s="9"/>
      <c r="BES137" s="18"/>
      <c r="BET137" s="18"/>
      <c r="BEU137" s="18"/>
      <c r="BEV137" s="18"/>
      <c r="BEW137" s="18"/>
      <c r="BEX137" s="17"/>
      <c r="BEY137" s="9"/>
      <c r="BEZ137" s="9"/>
      <c r="BFA137" s="18"/>
      <c r="BFB137" s="18"/>
      <c r="BFC137" s="18"/>
      <c r="BFD137" s="18"/>
      <c r="BFE137" s="18"/>
      <c r="BFF137" s="17"/>
      <c r="BFG137" s="9"/>
      <c r="BFH137" s="9"/>
      <c r="BFI137" s="18"/>
      <c r="BFJ137" s="18"/>
      <c r="BFK137" s="18"/>
      <c r="BFL137" s="18"/>
      <c r="BFM137" s="18"/>
      <c r="BFN137" s="17"/>
      <c r="BFO137" s="9"/>
      <c r="BFP137" s="9"/>
      <c r="BFQ137" s="18"/>
      <c r="BFR137" s="18"/>
      <c r="BFS137" s="18"/>
      <c r="BFT137" s="18"/>
      <c r="BFU137" s="18"/>
      <c r="BFV137" s="17"/>
      <c r="BFW137" s="9"/>
      <c r="BFX137" s="9"/>
      <c r="BFY137" s="18"/>
      <c r="BFZ137" s="18"/>
      <c r="BGA137" s="18"/>
      <c r="BGB137" s="18"/>
      <c r="BGC137" s="18"/>
      <c r="BGD137" s="17"/>
      <c r="BGE137" s="9"/>
      <c r="BGF137" s="9"/>
      <c r="BGG137" s="18"/>
      <c r="BGH137" s="18"/>
      <c r="BGI137" s="18"/>
      <c r="BGJ137" s="18"/>
      <c r="BGK137" s="18"/>
      <c r="BGL137" s="17"/>
      <c r="BGM137" s="9"/>
      <c r="BGN137" s="9"/>
      <c r="BGO137" s="18"/>
      <c r="BGP137" s="18"/>
      <c r="BGQ137" s="18"/>
      <c r="BGR137" s="18"/>
      <c r="BGS137" s="18"/>
      <c r="BGT137" s="17"/>
      <c r="BGU137" s="9"/>
      <c r="BGV137" s="9"/>
      <c r="BGW137" s="18"/>
      <c r="BGX137" s="18"/>
      <c r="BGY137" s="18"/>
      <c r="BGZ137" s="18"/>
      <c r="BHA137" s="18"/>
      <c r="BHB137" s="17"/>
      <c r="BHC137" s="9"/>
      <c r="BHD137" s="9"/>
      <c r="BHE137" s="18"/>
      <c r="BHF137" s="18"/>
      <c r="BHG137" s="18"/>
      <c r="BHH137" s="18"/>
      <c r="BHI137" s="18"/>
      <c r="BHJ137" s="17"/>
      <c r="BHK137" s="9"/>
      <c r="BHL137" s="9"/>
      <c r="BHM137" s="18"/>
      <c r="BHN137" s="18"/>
      <c r="BHO137" s="18"/>
      <c r="BHP137" s="18"/>
      <c r="BHQ137" s="18"/>
      <c r="BHR137" s="17"/>
      <c r="BHS137" s="9"/>
      <c r="BHT137" s="9"/>
      <c r="BHU137" s="18"/>
      <c r="BHV137" s="18"/>
      <c r="BHW137" s="18"/>
      <c r="BHX137" s="18"/>
      <c r="BHY137" s="18"/>
      <c r="BHZ137" s="17"/>
      <c r="BIA137" s="9"/>
      <c r="BIB137" s="9"/>
      <c r="BIC137" s="18"/>
      <c r="BID137" s="18"/>
      <c r="BIE137" s="18"/>
      <c r="BIF137" s="18"/>
      <c r="BIG137" s="18"/>
      <c r="BIH137" s="17"/>
      <c r="BII137" s="9"/>
      <c r="BIJ137" s="9"/>
      <c r="BIK137" s="18"/>
      <c r="BIL137" s="18"/>
      <c r="BIM137" s="18"/>
      <c r="BIN137" s="18"/>
      <c r="BIO137" s="18"/>
      <c r="BIP137" s="17"/>
      <c r="BIQ137" s="9"/>
      <c r="BIR137" s="9"/>
      <c r="BIS137" s="18"/>
      <c r="BIT137" s="18"/>
      <c r="BIU137" s="18"/>
      <c r="BIV137" s="18"/>
      <c r="BIW137" s="18"/>
      <c r="BIX137" s="17"/>
      <c r="BIY137" s="9"/>
      <c r="BIZ137" s="9"/>
      <c r="BJA137" s="18"/>
      <c r="BJB137" s="18"/>
      <c r="BJC137" s="18"/>
      <c r="BJD137" s="18"/>
      <c r="BJE137" s="18"/>
      <c r="BJF137" s="17"/>
      <c r="BJG137" s="9"/>
      <c r="BJH137" s="9"/>
      <c r="BJI137" s="18"/>
      <c r="BJJ137" s="18"/>
      <c r="BJK137" s="18"/>
      <c r="BJL137" s="18"/>
      <c r="BJM137" s="18"/>
      <c r="BJN137" s="17"/>
      <c r="BJO137" s="9"/>
      <c r="BJP137" s="9"/>
      <c r="BJQ137" s="18"/>
      <c r="BJR137" s="18"/>
      <c r="BJS137" s="18"/>
      <c r="BJT137" s="18"/>
      <c r="BJU137" s="18"/>
      <c r="BJV137" s="17"/>
      <c r="BJW137" s="9"/>
      <c r="BJX137" s="9"/>
      <c r="BJY137" s="18"/>
      <c r="BJZ137" s="18"/>
      <c r="BKA137" s="18"/>
      <c r="BKB137" s="18"/>
      <c r="BKC137" s="18"/>
      <c r="BKD137" s="17"/>
      <c r="BKE137" s="9"/>
      <c r="BKF137" s="9"/>
      <c r="BKG137" s="18"/>
      <c r="BKH137" s="18"/>
      <c r="BKI137" s="18"/>
      <c r="BKJ137" s="18"/>
      <c r="BKK137" s="18"/>
      <c r="BKL137" s="17"/>
      <c r="BKM137" s="9"/>
      <c r="BKN137" s="9"/>
      <c r="BKO137" s="18"/>
      <c r="BKP137" s="18"/>
      <c r="BKQ137" s="18"/>
      <c r="BKR137" s="18"/>
      <c r="BKS137" s="18"/>
      <c r="BKT137" s="17"/>
      <c r="BKU137" s="9"/>
      <c r="BKV137" s="9"/>
      <c r="BKW137" s="18"/>
      <c r="BKX137" s="18"/>
      <c r="BKY137" s="18"/>
      <c r="BKZ137" s="18"/>
      <c r="BLA137" s="18"/>
      <c r="BLB137" s="17"/>
      <c r="BLC137" s="9"/>
      <c r="BLD137" s="9"/>
      <c r="BLE137" s="18"/>
      <c r="BLF137" s="18"/>
      <c r="BLG137" s="18"/>
      <c r="BLH137" s="18"/>
      <c r="BLI137" s="18"/>
      <c r="BLJ137" s="17"/>
      <c r="BLK137" s="9"/>
      <c r="BLL137" s="9"/>
      <c r="BLM137" s="18"/>
      <c r="BLN137" s="18"/>
      <c r="BLO137" s="18"/>
      <c r="BLP137" s="18"/>
      <c r="BLQ137" s="18"/>
      <c r="BLR137" s="17"/>
      <c r="BLS137" s="9"/>
      <c r="BLT137" s="9"/>
      <c r="BLU137" s="18"/>
      <c r="BLV137" s="18"/>
      <c r="BLW137" s="18"/>
      <c r="BLX137" s="18"/>
      <c r="BLY137" s="18"/>
      <c r="BLZ137" s="17"/>
      <c r="BMA137" s="9"/>
      <c r="BMB137" s="9"/>
      <c r="BMC137" s="18"/>
      <c r="BMD137" s="18"/>
      <c r="BME137" s="18"/>
      <c r="BMF137" s="18"/>
      <c r="BMG137" s="18"/>
      <c r="BMH137" s="17"/>
      <c r="BMI137" s="9"/>
      <c r="BMJ137" s="9"/>
      <c r="BMK137" s="18"/>
      <c r="BML137" s="18"/>
      <c r="BMM137" s="18"/>
      <c r="BMN137" s="18"/>
      <c r="BMO137" s="18"/>
      <c r="BMP137" s="17"/>
      <c r="BMQ137" s="9"/>
      <c r="BMR137" s="9"/>
      <c r="BMS137" s="18"/>
      <c r="BMT137" s="18"/>
      <c r="BMU137" s="18"/>
      <c r="BMV137" s="18"/>
      <c r="BMW137" s="18"/>
      <c r="BMX137" s="17"/>
      <c r="BMY137" s="9"/>
      <c r="BMZ137" s="9"/>
      <c r="BNA137" s="18"/>
      <c r="BNB137" s="18"/>
      <c r="BNC137" s="18"/>
      <c r="BND137" s="18"/>
      <c r="BNE137" s="18"/>
      <c r="BNF137" s="17"/>
      <c r="BNG137" s="9"/>
      <c r="BNH137" s="9"/>
      <c r="BNI137" s="18"/>
      <c r="BNJ137" s="18"/>
      <c r="BNK137" s="18"/>
      <c r="BNL137" s="18"/>
      <c r="BNM137" s="18"/>
      <c r="BNN137" s="17"/>
      <c r="BNO137" s="9"/>
      <c r="BNP137" s="9"/>
      <c r="BNQ137" s="18"/>
      <c r="BNR137" s="18"/>
      <c r="BNS137" s="18"/>
      <c r="BNT137" s="18"/>
      <c r="BNU137" s="18"/>
      <c r="BNV137" s="17"/>
      <c r="BNW137" s="9"/>
      <c r="BNX137" s="9"/>
      <c r="BNY137" s="18"/>
      <c r="BNZ137" s="18"/>
      <c r="BOA137" s="18"/>
      <c r="BOB137" s="18"/>
      <c r="BOC137" s="18"/>
      <c r="BOD137" s="17"/>
      <c r="BOE137" s="9"/>
      <c r="BOF137" s="9"/>
      <c r="BOG137" s="18"/>
      <c r="BOH137" s="18"/>
      <c r="BOI137" s="18"/>
      <c r="BOJ137" s="18"/>
      <c r="BOK137" s="18"/>
      <c r="BOL137" s="17"/>
      <c r="BOM137" s="9"/>
      <c r="BON137" s="9"/>
      <c r="BOO137" s="18"/>
      <c r="BOP137" s="18"/>
      <c r="BOQ137" s="18"/>
      <c r="BOR137" s="18"/>
      <c r="BOS137" s="18"/>
      <c r="BOT137" s="17"/>
      <c r="BOU137" s="9"/>
      <c r="BOV137" s="9"/>
      <c r="BOW137" s="18"/>
      <c r="BOX137" s="18"/>
      <c r="BOY137" s="18"/>
      <c r="BOZ137" s="18"/>
      <c r="BPA137" s="18"/>
      <c r="BPB137" s="17"/>
      <c r="BPC137" s="9"/>
      <c r="BPD137" s="9"/>
      <c r="BPE137" s="18"/>
      <c r="BPF137" s="18"/>
      <c r="BPG137" s="18"/>
      <c r="BPH137" s="18"/>
      <c r="BPI137" s="18"/>
      <c r="BPJ137" s="17"/>
      <c r="BPK137" s="9"/>
      <c r="BPL137" s="9"/>
      <c r="BPM137" s="18"/>
      <c r="BPN137" s="18"/>
      <c r="BPO137" s="18"/>
      <c r="BPP137" s="18"/>
      <c r="BPQ137" s="18"/>
      <c r="BPR137" s="17"/>
      <c r="BPS137" s="9"/>
      <c r="BPT137" s="9"/>
      <c r="BPU137" s="18"/>
      <c r="BPV137" s="18"/>
      <c r="BPW137" s="18"/>
      <c r="BPX137" s="18"/>
      <c r="BPY137" s="18"/>
      <c r="BPZ137" s="17"/>
      <c r="BQA137" s="9"/>
      <c r="BQB137" s="9"/>
      <c r="BQC137" s="18"/>
      <c r="BQD137" s="18"/>
      <c r="BQE137" s="18"/>
      <c r="BQF137" s="18"/>
      <c r="BQG137" s="18"/>
      <c r="BQH137" s="17"/>
      <c r="BQI137" s="9"/>
      <c r="BQJ137" s="9"/>
      <c r="BQK137" s="18"/>
      <c r="BQL137" s="18"/>
      <c r="BQM137" s="18"/>
      <c r="BQN137" s="18"/>
      <c r="BQO137" s="18"/>
      <c r="BQP137" s="17"/>
      <c r="BQQ137" s="9"/>
      <c r="BQR137" s="9"/>
      <c r="BQS137" s="18"/>
      <c r="BQT137" s="18"/>
      <c r="BQU137" s="18"/>
      <c r="BQV137" s="18"/>
      <c r="BQW137" s="18"/>
      <c r="BQX137" s="17"/>
      <c r="BQY137" s="9"/>
      <c r="BQZ137" s="9"/>
      <c r="BRA137" s="18"/>
      <c r="BRB137" s="18"/>
      <c r="BRC137" s="18"/>
      <c r="BRD137" s="18"/>
      <c r="BRE137" s="18"/>
      <c r="BRF137" s="17"/>
      <c r="BRG137" s="9"/>
      <c r="BRH137" s="9"/>
      <c r="BRI137" s="18"/>
      <c r="BRJ137" s="18"/>
      <c r="BRK137" s="18"/>
      <c r="BRL137" s="18"/>
      <c r="BRM137" s="18"/>
      <c r="BRN137" s="17"/>
      <c r="BRO137" s="9"/>
      <c r="BRP137" s="9"/>
      <c r="BRQ137" s="18"/>
      <c r="BRR137" s="18"/>
      <c r="BRS137" s="18"/>
      <c r="BRT137" s="18"/>
      <c r="BRU137" s="18"/>
      <c r="BRV137" s="17"/>
      <c r="BRW137" s="9"/>
      <c r="BRX137" s="9"/>
      <c r="BRY137" s="18"/>
      <c r="BRZ137" s="18"/>
      <c r="BSA137" s="18"/>
      <c r="BSB137" s="18"/>
      <c r="BSC137" s="18"/>
      <c r="BSD137" s="17"/>
      <c r="BSE137" s="9"/>
      <c r="BSF137" s="9"/>
      <c r="BSG137" s="18"/>
      <c r="BSH137" s="18"/>
      <c r="BSI137" s="18"/>
      <c r="BSJ137" s="18"/>
      <c r="BSK137" s="18"/>
      <c r="BSL137" s="17"/>
      <c r="BSM137" s="9"/>
      <c r="BSN137" s="9"/>
      <c r="BSO137" s="18"/>
      <c r="BSP137" s="18"/>
      <c r="BSQ137" s="18"/>
      <c r="BSR137" s="18"/>
      <c r="BSS137" s="18"/>
      <c r="BST137" s="17"/>
      <c r="BSU137" s="9"/>
      <c r="BSV137" s="9"/>
      <c r="BSW137" s="18"/>
      <c r="BSX137" s="18"/>
      <c r="BSY137" s="18"/>
      <c r="BSZ137" s="18"/>
      <c r="BTA137" s="18"/>
      <c r="BTB137" s="17"/>
      <c r="BTC137" s="9"/>
      <c r="BTD137" s="9"/>
      <c r="BTE137" s="18"/>
      <c r="BTF137" s="18"/>
      <c r="BTG137" s="18"/>
      <c r="BTH137" s="18"/>
      <c r="BTI137" s="18"/>
      <c r="BTJ137" s="17"/>
      <c r="BTK137" s="9"/>
      <c r="BTL137" s="9"/>
      <c r="BTM137" s="18"/>
      <c r="BTN137" s="18"/>
      <c r="BTO137" s="18"/>
      <c r="BTP137" s="18"/>
      <c r="BTQ137" s="18"/>
      <c r="BTR137" s="17"/>
      <c r="BTS137" s="9"/>
      <c r="BTT137" s="9"/>
      <c r="BTU137" s="18"/>
      <c r="BTV137" s="18"/>
      <c r="BTW137" s="18"/>
      <c r="BTX137" s="18"/>
      <c r="BTY137" s="18"/>
      <c r="BTZ137" s="17"/>
      <c r="BUA137" s="9"/>
      <c r="BUB137" s="9"/>
      <c r="BUC137" s="18"/>
      <c r="BUD137" s="18"/>
      <c r="BUE137" s="18"/>
      <c r="BUF137" s="18"/>
      <c r="BUG137" s="18"/>
      <c r="BUH137" s="17"/>
      <c r="BUI137" s="9"/>
      <c r="BUJ137" s="9"/>
      <c r="BUK137" s="18"/>
      <c r="BUL137" s="18"/>
      <c r="BUM137" s="18"/>
      <c r="BUN137" s="18"/>
      <c r="BUO137" s="18"/>
      <c r="BUP137" s="17"/>
      <c r="BUQ137" s="9"/>
      <c r="BUR137" s="9"/>
      <c r="BUS137" s="18"/>
      <c r="BUT137" s="18"/>
      <c r="BUU137" s="18"/>
      <c r="BUV137" s="18"/>
      <c r="BUW137" s="18"/>
      <c r="BUX137" s="17"/>
      <c r="BUY137" s="9"/>
      <c r="BUZ137" s="9"/>
      <c r="BVA137" s="18"/>
      <c r="BVB137" s="18"/>
      <c r="BVC137" s="18"/>
      <c r="BVD137" s="18"/>
      <c r="BVE137" s="18"/>
      <c r="BVF137" s="17"/>
      <c r="BVG137" s="9"/>
      <c r="BVH137" s="9"/>
      <c r="BVI137" s="18"/>
      <c r="BVJ137" s="18"/>
      <c r="BVK137" s="18"/>
      <c r="BVL137" s="18"/>
      <c r="BVM137" s="18"/>
      <c r="BVN137" s="17"/>
      <c r="BVO137" s="9"/>
      <c r="BVP137" s="9"/>
      <c r="BVQ137" s="18"/>
      <c r="BVR137" s="18"/>
      <c r="BVS137" s="18"/>
      <c r="BVT137" s="18"/>
      <c r="BVU137" s="18"/>
      <c r="BVV137" s="17"/>
      <c r="BVW137" s="9"/>
      <c r="BVX137" s="9"/>
      <c r="BVY137" s="18"/>
      <c r="BVZ137" s="18"/>
      <c r="BWA137" s="18"/>
      <c r="BWB137" s="18"/>
      <c r="BWC137" s="18"/>
      <c r="BWD137" s="17"/>
      <c r="BWE137" s="9"/>
      <c r="BWF137" s="9"/>
      <c r="BWG137" s="18"/>
      <c r="BWH137" s="18"/>
      <c r="BWI137" s="18"/>
      <c r="BWJ137" s="18"/>
      <c r="BWK137" s="18"/>
      <c r="BWL137" s="17"/>
      <c r="BWM137" s="9"/>
      <c r="BWN137" s="9"/>
      <c r="BWO137" s="18"/>
      <c r="BWP137" s="18"/>
      <c r="BWQ137" s="18"/>
      <c r="BWR137" s="18"/>
      <c r="BWS137" s="18"/>
      <c r="BWT137" s="17"/>
      <c r="BWU137" s="9"/>
      <c r="BWV137" s="9"/>
      <c r="BWW137" s="18"/>
      <c r="BWX137" s="18"/>
      <c r="BWY137" s="18"/>
      <c r="BWZ137" s="18"/>
      <c r="BXA137" s="18"/>
      <c r="BXB137" s="17"/>
      <c r="BXC137" s="9"/>
      <c r="BXD137" s="9"/>
      <c r="BXE137" s="18"/>
      <c r="BXF137" s="18"/>
      <c r="BXG137" s="18"/>
      <c r="BXH137" s="18"/>
      <c r="BXI137" s="18"/>
      <c r="BXJ137" s="17"/>
      <c r="BXK137" s="9"/>
      <c r="BXL137" s="9"/>
      <c r="BXM137" s="18"/>
      <c r="BXN137" s="18"/>
      <c r="BXO137" s="18"/>
      <c r="BXP137" s="18"/>
      <c r="BXQ137" s="18"/>
      <c r="BXR137" s="17"/>
      <c r="BXS137" s="9"/>
      <c r="BXT137" s="9"/>
      <c r="BXU137" s="18"/>
      <c r="BXV137" s="18"/>
      <c r="BXW137" s="18"/>
      <c r="BXX137" s="18"/>
      <c r="BXY137" s="18"/>
      <c r="BXZ137" s="17"/>
      <c r="BYA137" s="9"/>
      <c r="BYB137" s="9"/>
      <c r="BYC137" s="18"/>
      <c r="BYD137" s="18"/>
      <c r="BYE137" s="18"/>
      <c r="BYF137" s="18"/>
      <c r="BYG137" s="18"/>
      <c r="BYH137" s="17"/>
      <c r="BYI137" s="9"/>
      <c r="BYJ137" s="9"/>
      <c r="BYK137" s="18"/>
      <c r="BYL137" s="18"/>
      <c r="BYM137" s="18"/>
      <c r="BYN137" s="18"/>
      <c r="BYO137" s="18"/>
      <c r="BYP137" s="17"/>
      <c r="BYQ137" s="9"/>
      <c r="BYR137" s="9"/>
      <c r="BYS137" s="18"/>
      <c r="BYT137" s="18"/>
      <c r="BYU137" s="18"/>
      <c r="BYV137" s="18"/>
      <c r="BYW137" s="18"/>
      <c r="BYX137" s="17"/>
      <c r="BYY137" s="9"/>
      <c r="BYZ137" s="9"/>
      <c r="BZA137" s="18"/>
      <c r="BZB137" s="18"/>
      <c r="BZC137" s="18"/>
      <c r="BZD137" s="18"/>
      <c r="BZE137" s="18"/>
      <c r="BZF137" s="17"/>
      <c r="BZG137" s="9"/>
      <c r="BZH137" s="9"/>
      <c r="BZI137" s="18"/>
      <c r="BZJ137" s="18"/>
      <c r="BZK137" s="18"/>
      <c r="BZL137" s="18"/>
      <c r="BZM137" s="18"/>
      <c r="BZN137" s="17"/>
      <c r="BZO137" s="9"/>
      <c r="BZP137" s="9"/>
      <c r="BZQ137" s="18"/>
      <c r="BZR137" s="18"/>
      <c r="BZS137" s="18"/>
      <c r="BZT137" s="18"/>
      <c r="BZU137" s="18"/>
      <c r="BZV137" s="17"/>
      <c r="BZW137" s="9"/>
      <c r="BZX137" s="9"/>
      <c r="BZY137" s="18"/>
      <c r="BZZ137" s="18"/>
      <c r="CAA137" s="18"/>
      <c r="CAB137" s="18"/>
      <c r="CAC137" s="18"/>
      <c r="CAD137" s="17"/>
      <c r="CAE137" s="9"/>
      <c r="CAF137" s="9"/>
      <c r="CAG137" s="18"/>
      <c r="CAH137" s="18"/>
      <c r="CAI137" s="18"/>
      <c r="CAJ137" s="18"/>
      <c r="CAK137" s="18"/>
      <c r="CAL137" s="17"/>
      <c r="CAM137" s="9"/>
      <c r="CAN137" s="9"/>
      <c r="CAO137" s="18"/>
      <c r="CAP137" s="18"/>
      <c r="CAQ137" s="18"/>
      <c r="CAR137" s="18"/>
      <c r="CAS137" s="18"/>
      <c r="CAT137" s="17"/>
      <c r="CAU137" s="9"/>
      <c r="CAV137" s="9"/>
      <c r="CAW137" s="18"/>
      <c r="CAX137" s="18"/>
      <c r="CAY137" s="18"/>
      <c r="CAZ137" s="18"/>
      <c r="CBA137" s="18"/>
      <c r="CBB137" s="17"/>
      <c r="CBC137" s="9"/>
      <c r="CBD137" s="9"/>
      <c r="CBE137" s="18"/>
      <c r="CBF137" s="18"/>
      <c r="CBG137" s="18"/>
      <c r="CBH137" s="18"/>
      <c r="CBI137" s="18"/>
      <c r="CBJ137" s="17"/>
      <c r="CBK137" s="9"/>
      <c r="CBL137" s="9"/>
      <c r="CBM137" s="18"/>
      <c r="CBN137" s="18"/>
      <c r="CBO137" s="18"/>
      <c r="CBP137" s="18"/>
      <c r="CBQ137" s="18"/>
      <c r="CBR137" s="17"/>
      <c r="CBS137" s="9"/>
      <c r="CBT137" s="9"/>
      <c r="CBU137" s="18"/>
      <c r="CBV137" s="18"/>
      <c r="CBW137" s="18"/>
      <c r="CBX137" s="18"/>
      <c r="CBY137" s="18"/>
      <c r="CBZ137" s="17"/>
      <c r="CCA137" s="9"/>
      <c r="CCB137" s="9"/>
      <c r="CCC137" s="18"/>
      <c r="CCD137" s="18"/>
      <c r="CCE137" s="18"/>
      <c r="CCF137" s="18"/>
      <c r="CCG137" s="18"/>
      <c r="CCH137" s="17"/>
      <c r="CCI137" s="9"/>
      <c r="CCJ137" s="9"/>
      <c r="CCK137" s="18"/>
      <c r="CCL137" s="18"/>
      <c r="CCM137" s="18"/>
      <c r="CCN137" s="18"/>
      <c r="CCO137" s="18"/>
      <c r="CCP137" s="17"/>
      <c r="CCQ137" s="9"/>
      <c r="CCR137" s="9"/>
      <c r="CCS137" s="18"/>
      <c r="CCT137" s="18"/>
      <c r="CCU137" s="18"/>
      <c r="CCV137" s="18"/>
      <c r="CCW137" s="18"/>
      <c r="CCX137" s="17"/>
      <c r="CCY137" s="9"/>
      <c r="CCZ137" s="9"/>
      <c r="CDA137" s="18"/>
      <c r="CDB137" s="18"/>
      <c r="CDC137" s="18"/>
      <c r="CDD137" s="18"/>
      <c r="CDE137" s="18"/>
      <c r="CDF137" s="17"/>
      <c r="CDG137" s="9"/>
      <c r="CDH137" s="9"/>
      <c r="CDI137" s="18"/>
      <c r="CDJ137" s="18"/>
      <c r="CDK137" s="18"/>
      <c r="CDL137" s="18"/>
      <c r="CDM137" s="18"/>
      <c r="CDN137" s="17"/>
      <c r="CDO137" s="9"/>
      <c r="CDP137" s="9"/>
      <c r="CDQ137" s="18"/>
      <c r="CDR137" s="18"/>
      <c r="CDS137" s="18"/>
      <c r="CDT137" s="18"/>
      <c r="CDU137" s="18"/>
      <c r="CDV137" s="17"/>
      <c r="CDW137" s="9"/>
      <c r="CDX137" s="9"/>
      <c r="CDY137" s="18"/>
      <c r="CDZ137" s="18"/>
      <c r="CEA137" s="18"/>
      <c r="CEB137" s="18"/>
      <c r="CEC137" s="18"/>
      <c r="CED137" s="17"/>
      <c r="CEE137" s="9"/>
      <c r="CEF137" s="9"/>
      <c r="CEG137" s="18"/>
      <c r="CEH137" s="18"/>
      <c r="CEI137" s="18"/>
      <c r="CEJ137" s="18"/>
      <c r="CEK137" s="18"/>
      <c r="CEL137" s="17"/>
      <c r="CEM137" s="9"/>
      <c r="CEN137" s="9"/>
      <c r="CEO137" s="18"/>
      <c r="CEP137" s="18"/>
      <c r="CEQ137" s="18"/>
      <c r="CER137" s="18"/>
      <c r="CES137" s="18"/>
      <c r="CET137" s="17"/>
      <c r="CEU137" s="9"/>
      <c r="CEV137" s="9"/>
      <c r="CEW137" s="18"/>
      <c r="CEX137" s="18"/>
      <c r="CEY137" s="18"/>
      <c r="CEZ137" s="18"/>
      <c r="CFA137" s="18"/>
      <c r="CFB137" s="17"/>
      <c r="CFC137" s="9"/>
      <c r="CFD137" s="9"/>
      <c r="CFE137" s="18"/>
      <c r="CFF137" s="18"/>
      <c r="CFG137" s="18"/>
      <c r="CFH137" s="18"/>
      <c r="CFI137" s="18"/>
      <c r="CFJ137" s="17"/>
      <c r="CFK137" s="9"/>
      <c r="CFL137" s="9"/>
      <c r="CFM137" s="18"/>
      <c r="CFN137" s="18"/>
      <c r="CFO137" s="18"/>
      <c r="CFP137" s="18"/>
      <c r="CFQ137" s="18"/>
      <c r="CFR137" s="17"/>
      <c r="CFS137" s="9"/>
      <c r="CFT137" s="9"/>
      <c r="CFU137" s="18"/>
      <c r="CFV137" s="18"/>
      <c r="CFW137" s="18"/>
      <c r="CFX137" s="18"/>
      <c r="CFY137" s="18"/>
      <c r="CFZ137" s="17"/>
      <c r="CGA137" s="9"/>
      <c r="CGB137" s="9"/>
      <c r="CGC137" s="18"/>
      <c r="CGD137" s="18"/>
      <c r="CGE137" s="18"/>
      <c r="CGF137" s="18"/>
      <c r="CGG137" s="18"/>
      <c r="CGH137" s="17"/>
      <c r="CGI137" s="9"/>
      <c r="CGJ137" s="9"/>
      <c r="CGK137" s="18"/>
      <c r="CGL137" s="18"/>
      <c r="CGM137" s="18"/>
      <c r="CGN137" s="18"/>
      <c r="CGO137" s="18"/>
      <c r="CGP137" s="17"/>
      <c r="CGQ137" s="9"/>
      <c r="CGR137" s="9"/>
      <c r="CGS137" s="18"/>
      <c r="CGT137" s="18"/>
      <c r="CGU137" s="18"/>
      <c r="CGV137" s="18"/>
      <c r="CGW137" s="18"/>
      <c r="CGX137" s="17"/>
      <c r="CGY137" s="9"/>
      <c r="CGZ137" s="9"/>
      <c r="CHA137" s="18"/>
      <c r="CHB137" s="18"/>
      <c r="CHC137" s="18"/>
      <c r="CHD137" s="18"/>
      <c r="CHE137" s="18"/>
      <c r="CHF137" s="17"/>
      <c r="CHG137" s="9"/>
      <c r="CHH137" s="9"/>
      <c r="CHI137" s="18"/>
      <c r="CHJ137" s="18"/>
      <c r="CHK137" s="18"/>
      <c r="CHL137" s="18"/>
      <c r="CHM137" s="18"/>
      <c r="CHN137" s="17"/>
      <c r="CHO137" s="9"/>
      <c r="CHP137" s="9"/>
      <c r="CHQ137" s="18"/>
      <c r="CHR137" s="18"/>
      <c r="CHS137" s="18"/>
      <c r="CHT137" s="18"/>
      <c r="CHU137" s="18"/>
      <c r="CHV137" s="17"/>
      <c r="CHW137" s="9"/>
      <c r="CHX137" s="9"/>
      <c r="CHY137" s="18"/>
      <c r="CHZ137" s="18"/>
      <c r="CIA137" s="18"/>
      <c r="CIB137" s="18"/>
      <c r="CIC137" s="18"/>
      <c r="CID137" s="17"/>
      <c r="CIE137" s="9"/>
      <c r="CIF137" s="9"/>
      <c r="CIG137" s="18"/>
      <c r="CIH137" s="18"/>
      <c r="CII137" s="18"/>
      <c r="CIJ137" s="18"/>
      <c r="CIK137" s="18"/>
      <c r="CIL137" s="17"/>
      <c r="CIM137" s="9"/>
      <c r="CIN137" s="9"/>
      <c r="CIO137" s="18"/>
      <c r="CIP137" s="18"/>
      <c r="CIQ137" s="18"/>
      <c r="CIR137" s="18"/>
      <c r="CIS137" s="18"/>
      <c r="CIT137" s="17"/>
      <c r="CIU137" s="9"/>
      <c r="CIV137" s="9"/>
      <c r="CIW137" s="18"/>
      <c r="CIX137" s="18"/>
      <c r="CIY137" s="18"/>
      <c r="CIZ137" s="18"/>
      <c r="CJA137" s="18"/>
      <c r="CJB137" s="17"/>
      <c r="CJC137" s="9"/>
      <c r="CJD137" s="9"/>
      <c r="CJE137" s="18"/>
      <c r="CJF137" s="18"/>
      <c r="CJG137" s="18"/>
      <c r="CJH137" s="18"/>
      <c r="CJI137" s="18"/>
      <c r="CJJ137" s="17"/>
      <c r="CJK137" s="9"/>
      <c r="CJL137" s="9"/>
      <c r="CJM137" s="18"/>
      <c r="CJN137" s="18"/>
      <c r="CJO137" s="18"/>
      <c r="CJP137" s="18"/>
      <c r="CJQ137" s="18"/>
      <c r="CJR137" s="17"/>
      <c r="CJS137" s="9"/>
      <c r="CJT137" s="9"/>
      <c r="CJU137" s="18"/>
      <c r="CJV137" s="18"/>
      <c r="CJW137" s="18"/>
      <c r="CJX137" s="18"/>
      <c r="CJY137" s="18"/>
      <c r="CJZ137" s="17"/>
      <c r="CKA137" s="9"/>
      <c r="CKB137" s="9"/>
      <c r="CKC137" s="18"/>
      <c r="CKD137" s="18"/>
      <c r="CKE137" s="18"/>
      <c r="CKF137" s="18"/>
      <c r="CKG137" s="18"/>
      <c r="CKH137" s="17"/>
      <c r="CKI137" s="9"/>
      <c r="CKJ137" s="9"/>
      <c r="CKK137" s="18"/>
      <c r="CKL137" s="18"/>
      <c r="CKM137" s="18"/>
      <c r="CKN137" s="18"/>
      <c r="CKO137" s="18"/>
      <c r="CKP137" s="17"/>
      <c r="CKQ137" s="9"/>
      <c r="CKR137" s="9"/>
      <c r="CKS137" s="18"/>
      <c r="CKT137" s="18"/>
      <c r="CKU137" s="18"/>
      <c r="CKV137" s="18"/>
      <c r="CKW137" s="18"/>
      <c r="CKX137" s="17"/>
      <c r="CKY137" s="9"/>
      <c r="CKZ137" s="9"/>
      <c r="CLA137" s="18"/>
      <c r="CLB137" s="18"/>
      <c r="CLC137" s="18"/>
      <c r="CLD137" s="18"/>
      <c r="CLE137" s="18"/>
      <c r="CLF137" s="17"/>
      <c r="CLG137" s="9"/>
      <c r="CLH137" s="9"/>
      <c r="CLI137" s="18"/>
      <c r="CLJ137" s="18"/>
      <c r="CLK137" s="18"/>
      <c r="CLL137" s="18"/>
      <c r="CLM137" s="18"/>
      <c r="CLN137" s="17"/>
      <c r="CLO137" s="9"/>
      <c r="CLP137" s="9"/>
      <c r="CLQ137" s="18"/>
      <c r="CLR137" s="18"/>
      <c r="CLS137" s="18"/>
      <c r="CLT137" s="18"/>
      <c r="CLU137" s="18"/>
      <c r="CLV137" s="17"/>
      <c r="CLW137" s="9"/>
      <c r="CLX137" s="9"/>
      <c r="CLY137" s="18"/>
      <c r="CLZ137" s="18"/>
      <c r="CMA137" s="18"/>
      <c r="CMB137" s="18"/>
      <c r="CMC137" s="18"/>
      <c r="CMD137" s="17"/>
      <c r="CME137" s="9"/>
      <c r="CMF137" s="9"/>
      <c r="CMG137" s="18"/>
      <c r="CMH137" s="18"/>
      <c r="CMI137" s="18"/>
      <c r="CMJ137" s="18"/>
      <c r="CMK137" s="18"/>
      <c r="CML137" s="17"/>
      <c r="CMM137" s="9"/>
      <c r="CMN137" s="9"/>
      <c r="CMO137" s="18"/>
      <c r="CMP137" s="18"/>
      <c r="CMQ137" s="18"/>
      <c r="CMR137" s="18"/>
      <c r="CMS137" s="18"/>
      <c r="CMT137" s="17"/>
      <c r="CMU137" s="9"/>
      <c r="CMV137" s="9"/>
      <c r="CMW137" s="18"/>
      <c r="CMX137" s="18"/>
      <c r="CMY137" s="18"/>
      <c r="CMZ137" s="18"/>
      <c r="CNA137" s="18"/>
      <c r="CNB137" s="17"/>
      <c r="CNC137" s="9"/>
      <c r="CND137" s="9"/>
      <c r="CNE137" s="18"/>
      <c r="CNF137" s="18"/>
      <c r="CNG137" s="18"/>
      <c r="CNH137" s="18"/>
      <c r="CNI137" s="18"/>
      <c r="CNJ137" s="17"/>
      <c r="CNK137" s="9"/>
      <c r="CNL137" s="9"/>
      <c r="CNM137" s="18"/>
      <c r="CNN137" s="18"/>
      <c r="CNO137" s="18"/>
      <c r="CNP137" s="18"/>
      <c r="CNQ137" s="18"/>
      <c r="CNR137" s="17"/>
      <c r="CNS137" s="9"/>
      <c r="CNT137" s="9"/>
      <c r="CNU137" s="18"/>
      <c r="CNV137" s="18"/>
      <c r="CNW137" s="18"/>
      <c r="CNX137" s="18"/>
      <c r="CNY137" s="18"/>
      <c r="CNZ137" s="17"/>
      <c r="COA137" s="9"/>
      <c r="COB137" s="9"/>
      <c r="COC137" s="18"/>
      <c r="COD137" s="18"/>
      <c r="COE137" s="18"/>
      <c r="COF137" s="18"/>
      <c r="COG137" s="18"/>
      <c r="COH137" s="17"/>
      <c r="COI137" s="9"/>
      <c r="COJ137" s="9"/>
      <c r="COK137" s="18"/>
      <c r="COL137" s="18"/>
      <c r="COM137" s="18"/>
      <c r="CON137" s="18"/>
      <c r="COO137" s="18"/>
      <c r="COP137" s="17"/>
      <c r="COQ137" s="9"/>
      <c r="COR137" s="9"/>
      <c r="COS137" s="18"/>
      <c r="COT137" s="18"/>
      <c r="COU137" s="18"/>
      <c r="COV137" s="18"/>
      <c r="COW137" s="18"/>
      <c r="COX137" s="17"/>
      <c r="COY137" s="9"/>
      <c r="COZ137" s="9"/>
      <c r="CPA137" s="18"/>
      <c r="CPB137" s="18"/>
      <c r="CPC137" s="18"/>
      <c r="CPD137" s="18"/>
      <c r="CPE137" s="18"/>
      <c r="CPF137" s="17"/>
      <c r="CPG137" s="9"/>
      <c r="CPH137" s="9"/>
      <c r="CPI137" s="18"/>
      <c r="CPJ137" s="18"/>
      <c r="CPK137" s="18"/>
      <c r="CPL137" s="18"/>
      <c r="CPM137" s="18"/>
      <c r="CPN137" s="17"/>
      <c r="CPO137" s="9"/>
      <c r="CPP137" s="9"/>
      <c r="CPQ137" s="18"/>
      <c r="CPR137" s="18"/>
      <c r="CPS137" s="18"/>
      <c r="CPT137" s="18"/>
      <c r="CPU137" s="18"/>
      <c r="CPV137" s="17"/>
      <c r="CPW137" s="9"/>
      <c r="CPX137" s="9"/>
      <c r="CPY137" s="18"/>
      <c r="CPZ137" s="18"/>
      <c r="CQA137" s="18"/>
      <c r="CQB137" s="18"/>
      <c r="CQC137" s="18"/>
      <c r="CQD137" s="17"/>
      <c r="CQE137" s="9"/>
      <c r="CQF137" s="9"/>
      <c r="CQG137" s="18"/>
      <c r="CQH137" s="18"/>
      <c r="CQI137" s="18"/>
      <c r="CQJ137" s="18"/>
      <c r="CQK137" s="18"/>
      <c r="CQL137" s="17"/>
      <c r="CQM137" s="9"/>
      <c r="CQN137" s="9"/>
      <c r="CQO137" s="18"/>
      <c r="CQP137" s="18"/>
      <c r="CQQ137" s="18"/>
      <c r="CQR137" s="18"/>
      <c r="CQS137" s="18"/>
      <c r="CQT137" s="17"/>
      <c r="CQU137" s="9"/>
      <c r="CQV137" s="9"/>
      <c r="CQW137" s="18"/>
      <c r="CQX137" s="18"/>
      <c r="CQY137" s="18"/>
      <c r="CQZ137" s="18"/>
      <c r="CRA137" s="18"/>
      <c r="CRB137" s="17"/>
      <c r="CRC137" s="9"/>
      <c r="CRD137" s="9"/>
      <c r="CRE137" s="18"/>
      <c r="CRF137" s="18"/>
      <c r="CRG137" s="18"/>
      <c r="CRH137" s="18"/>
      <c r="CRI137" s="18"/>
      <c r="CRJ137" s="17"/>
      <c r="CRK137" s="9"/>
      <c r="CRL137" s="9"/>
      <c r="CRM137" s="18"/>
      <c r="CRN137" s="18"/>
      <c r="CRO137" s="18"/>
      <c r="CRP137" s="18"/>
      <c r="CRQ137" s="18"/>
      <c r="CRR137" s="17"/>
      <c r="CRS137" s="9"/>
      <c r="CRT137" s="9"/>
      <c r="CRU137" s="18"/>
      <c r="CRV137" s="18"/>
      <c r="CRW137" s="18"/>
      <c r="CRX137" s="18"/>
      <c r="CRY137" s="18"/>
      <c r="CRZ137" s="17"/>
      <c r="CSA137" s="9"/>
      <c r="CSB137" s="9"/>
      <c r="CSC137" s="18"/>
      <c r="CSD137" s="18"/>
      <c r="CSE137" s="18"/>
      <c r="CSF137" s="18"/>
      <c r="CSG137" s="18"/>
      <c r="CSH137" s="17"/>
      <c r="CSI137" s="9"/>
      <c r="CSJ137" s="9"/>
      <c r="CSK137" s="18"/>
      <c r="CSL137" s="18"/>
      <c r="CSM137" s="18"/>
      <c r="CSN137" s="18"/>
      <c r="CSO137" s="18"/>
      <c r="CSP137" s="17"/>
      <c r="CSQ137" s="9"/>
      <c r="CSR137" s="9"/>
      <c r="CSS137" s="18"/>
      <c r="CST137" s="18"/>
      <c r="CSU137" s="18"/>
      <c r="CSV137" s="18"/>
      <c r="CSW137" s="18"/>
      <c r="CSX137" s="17"/>
      <c r="CSY137" s="9"/>
      <c r="CSZ137" s="9"/>
      <c r="CTA137" s="18"/>
      <c r="CTB137" s="18"/>
      <c r="CTC137" s="18"/>
      <c r="CTD137" s="18"/>
      <c r="CTE137" s="18"/>
      <c r="CTF137" s="17"/>
      <c r="CTG137" s="9"/>
      <c r="CTH137" s="9"/>
      <c r="CTI137" s="18"/>
      <c r="CTJ137" s="18"/>
      <c r="CTK137" s="18"/>
      <c r="CTL137" s="18"/>
      <c r="CTM137" s="18"/>
      <c r="CTN137" s="17"/>
      <c r="CTO137" s="9"/>
      <c r="CTP137" s="9"/>
      <c r="CTQ137" s="18"/>
      <c r="CTR137" s="18"/>
      <c r="CTS137" s="18"/>
      <c r="CTT137" s="18"/>
      <c r="CTU137" s="18"/>
      <c r="CTV137" s="17"/>
      <c r="CTW137" s="9"/>
      <c r="CTX137" s="9"/>
      <c r="CTY137" s="18"/>
      <c r="CTZ137" s="18"/>
      <c r="CUA137" s="18"/>
      <c r="CUB137" s="18"/>
      <c r="CUC137" s="18"/>
      <c r="CUD137" s="17"/>
      <c r="CUE137" s="9"/>
      <c r="CUF137" s="9"/>
      <c r="CUG137" s="18"/>
      <c r="CUH137" s="18"/>
      <c r="CUI137" s="18"/>
      <c r="CUJ137" s="18"/>
      <c r="CUK137" s="18"/>
      <c r="CUL137" s="17"/>
      <c r="CUM137" s="9"/>
      <c r="CUN137" s="9"/>
      <c r="CUO137" s="18"/>
      <c r="CUP137" s="18"/>
      <c r="CUQ137" s="18"/>
      <c r="CUR137" s="18"/>
      <c r="CUS137" s="18"/>
      <c r="CUT137" s="17"/>
      <c r="CUU137" s="9"/>
      <c r="CUV137" s="9"/>
      <c r="CUW137" s="18"/>
      <c r="CUX137" s="18"/>
      <c r="CUY137" s="18"/>
      <c r="CUZ137" s="18"/>
      <c r="CVA137" s="18"/>
      <c r="CVB137" s="17"/>
      <c r="CVC137" s="9"/>
      <c r="CVD137" s="9"/>
      <c r="CVE137" s="18"/>
      <c r="CVF137" s="18"/>
      <c r="CVG137" s="18"/>
      <c r="CVH137" s="18"/>
      <c r="CVI137" s="18"/>
      <c r="CVJ137" s="17"/>
      <c r="CVK137" s="9"/>
      <c r="CVL137" s="9"/>
      <c r="CVM137" s="18"/>
      <c r="CVN137" s="18"/>
      <c r="CVO137" s="18"/>
      <c r="CVP137" s="18"/>
      <c r="CVQ137" s="18"/>
      <c r="CVR137" s="17"/>
      <c r="CVS137" s="9"/>
      <c r="CVT137" s="9"/>
      <c r="CVU137" s="18"/>
      <c r="CVV137" s="18"/>
      <c r="CVW137" s="18"/>
      <c r="CVX137" s="18"/>
      <c r="CVY137" s="18"/>
      <c r="CVZ137" s="17"/>
      <c r="CWA137" s="9"/>
      <c r="CWB137" s="9"/>
      <c r="CWC137" s="18"/>
      <c r="CWD137" s="18"/>
      <c r="CWE137" s="18"/>
      <c r="CWF137" s="18"/>
      <c r="CWG137" s="18"/>
      <c r="CWH137" s="17"/>
      <c r="CWI137" s="9"/>
      <c r="CWJ137" s="9"/>
      <c r="CWK137" s="18"/>
      <c r="CWL137" s="18"/>
      <c r="CWM137" s="18"/>
      <c r="CWN137" s="18"/>
      <c r="CWO137" s="18"/>
      <c r="CWP137" s="17"/>
      <c r="CWQ137" s="9"/>
      <c r="CWR137" s="9"/>
      <c r="CWS137" s="18"/>
      <c r="CWT137" s="18"/>
      <c r="CWU137" s="18"/>
      <c r="CWV137" s="18"/>
      <c r="CWW137" s="18"/>
      <c r="CWX137" s="17"/>
      <c r="CWY137" s="9"/>
      <c r="CWZ137" s="9"/>
      <c r="CXA137" s="18"/>
      <c r="CXB137" s="18"/>
      <c r="CXC137" s="18"/>
      <c r="CXD137" s="18"/>
      <c r="CXE137" s="18"/>
      <c r="CXF137" s="17"/>
      <c r="CXG137" s="9"/>
      <c r="CXH137" s="9"/>
      <c r="CXI137" s="18"/>
      <c r="CXJ137" s="18"/>
      <c r="CXK137" s="18"/>
      <c r="CXL137" s="18"/>
      <c r="CXM137" s="18"/>
      <c r="CXN137" s="17"/>
      <c r="CXO137" s="9"/>
      <c r="CXP137" s="9"/>
      <c r="CXQ137" s="18"/>
      <c r="CXR137" s="18"/>
      <c r="CXS137" s="18"/>
      <c r="CXT137" s="18"/>
      <c r="CXU137" s="18"/>
      <c r="CXV137" s="17"/>
      <c r="CXW137" s="9"/>
      <c r="CXX137" s="9"/>
      <c r="CXY137" s="18"/>
      <c r="CXZ137" s="18"/>
      <c r="CYA137" s="18"/>
      <c r="CYB137" s="18"/>
      <c r="CYC137" s="18"/>
      <c r="CYD137" s="17"/>
      <c r="CYE137" s="9"/>
      <c r="CYF137" s="9"/>
      <c r="CYG137" s="18"/>
      <c r="CYH137" s="18"/>
      <c r="CYI137" s="18"/>
      <c r="CYJ137" s="18"/>
      <c r="CYK137" s="18"/>
      <c r="CYL137" s="17"/>
      <c r="CYM137" s="9"/>
      <c r="CYN137" s="9"/>
      <c r="CYO137" s="18"/>
      <c r="CYP137" s="18"/>
      <c r="CYQ137" s="18"/>
      <c r="CYR137" s="18"/>
      <c r="CYS137" s="18"/>
      <c r="CYT137" s="17"/>
      <c r="CYU137" s="9"/>
      <c r="CYV137" s="9"/>
      <c r="CYW137" s="18"/>
      <c r="CYX137" s="18"/>
      <c r="CYY137" s="18"/>
      <c r="CYZ137" s="18"/>
      <c r="CZA137" s="18"/>
      <c r="CZB137" s="17"/>
      <c r="CZC137" s="9"/>
      <c r="CZD137" s="9"/>
      <c r="CZE137" s="18"/>
      <c r="CZF137" s="18"/>
      <c r="CZG137" s="18"/>
      <c r="CZH137" s="18"/>
      <c r="CZI137" s="18"/>
      <c r="CZJ137" s="17"/>
      <c r="CZK137" s="9"/>
      <c r="CZL137" s="9"/>
      <c r="CZM137" s="18"/>
      <c r="CZN137" s="18"/>
      <c r="CZO137" s="18"/>
      <c r="CZP137" s="18"/>
      <c r="CZQ137" s="18"/>
      <c r="CZR137" s="17"/>
      <c r="CZS137" s="9"/>
      <c r="CZT137" s="9"/>
      <c r="CZU137" s="18"/>
      <c r="CZV137" s="18"/>
      <c r="CZW137" s="18"/>
      <c r="CZX137" s="18"/>
      <c r="CZY137" s="18"/>
      <c r="CZZ137" s="17"/>
      <c r="DAA137" s="9"/>
      <c r="DAB137" s="9"/>
      <c r="DAC137" s="18"/>
      <c r="DAD137" s="18"/>
      <c r="DAE137" s="18"/>
      <c r="DAF137" s="18"/>
      <c r="DAG137" s="18"/>
      <c r="DAH137" s="17"/>
      <c r="DAI137" s="9"/>
      <c r="DAJ137" s="9"/>
      <c r="DAK137" s="18"/>
      <c r="DAL137" s="18"/>
      <c r="DAM137" s="18"/>
      <c r="DAN137" s="18"/>
      <c r="DAO137" s="18"/>
      <c r="DAP137" s="17"/>
      <c r="DAQ137" s="9"/>
      <c r="DAR137" s="9"/>
      <c r="DAS137" s="18"/>
      <c r="DAT137" s="18"/>
      <c r="DAU137" s="18"/>
      <c r="DAV137" s="18"/>
      <c r="DAW137" s="18"/>
      <c r="DAX137" s="17"/>
      <c r="DAY137" s="9"/>
      <c r="DAZ137" s="9"/>
      <c r="DBA137" s="18"/>
      <c r="DBB137" s="18"/>
      <c r="DBC137" s="18"/>
      <c r="DBD137" s="18"/>
      <c r="DBE137" s="18"/>
      <c r="DBF137" s="17"/>
      <c r="DBG137" s="9"/>
      <c r="DBH137" s="9"/>
      <c r="DBI137" s="18"/>
      <c r="DBJ137" s="18"/>
      <c r="DBK137" s="18"/>
      <c r="DBL137" s="18"/>
      <c r="DBM137" s="18"/>
      <c r="DBN137" s="17"/>
      <c r="DBO137" s="9"/>
      <c r="DBP137" s="9"/>
      <c r="DBQ137" s="18"/>
      <c r="DBR137" s="18"/>
      <c r="DBS137" s="18"/>
      <c r="DBT137" s="18"/>
      <c r="DBU137" s="18"/>
      <c r="DBV137" s="17"/>
      <c r="DBW137" s="9"/>
      <c r="DBX137" s="9"/>
      <c r="DBY137" s="18"/>
      <c r="DBZ137" s="18"/>
      <c r="DCA137" s="18"/>
      <c r="DCB137" s="18"/>
      <c r="DCC137" s="18"/>
      <c r="DCD137" s="17"/>
      <c r="DCE137" s="9"/>
      <c r="DCF137" s="9"/>
      <c r="DCG137" s="18"/>
      <c r="DCH137" s="18"/>
      <c r="DCI137" s="18"/>
      <c r="DCJ137" s="18"/>
      <c r="DCK137" s="18"/>
      <c r="DCL137" s="17"/>
      <c r="DCM137" s="9"/>
      <c r="DCN137" s="9"/>
      <c r="DCO137" s="18"/>
      <c r="DCP137" s="18"/>
      <c r="DCQ137" s="18"/>
      <c r="DCR137" s="18"/>
      <c r="DCS137" s="18"/>
      <c r="DCT137" s="17"/>
      <c r="DCU137" s="9"/>
      <c r="DCV137" s="9"/>
      <c r="DCW137" s="18"/>
      <c r="DCX137" s="18"/>
      <c r="DCY137" s="18"/>
      <c r="DCZ137" s="18"/>
      <c r="DDA137" s="18"/>
      <c r="DDB137" s="17"/>
      <c r="DDC137" s="9"/>
      <c r="DDD137" s="9"/>
      <c r="DDE137" s="18"/>
      <c r="DDF137" s="18"/>
      <c r="DDG137" s="18"/>
      <c r="DDH137" s="18"/>
      <c r="DDI137" s="18"/>
      <c r="DDJ137" s="17"/>
      <c r="DDK137" s="9"/>
      <c r="DDL137" s="9"/>
      <c r="DDM137" s="18"/>
      <c r="DDN137" s="18"/>
      <c r="DDO137" s="18"/>
      <c r="DDP137" s="18"/>
      <c r="DDQ137" s="18"/>
      <c r="DDR137" s="17"/>
      <c r="DDS137" s="9"/>
      <c r="DDT137" s="9"/>
      <c r="DDU137" s="18"/>
      <c r="DDV137" s="18"/>
      <c r="DDW137" s="18"/>
      <c r="DDX137" s="18"/>
      <c r="DDY137" s="18"/>
      <c r="DDZ137" s="17"/>
      <c r="DEA137" s="9"/>
      <c r="DEB137" s="9"/>
      <c r="DEC137" s="18"/>
      <c r="DED137" s="18"/>
      <c r="DEE137" s="18"/>
      <c r="DEF137" s="18"/>
      <c r="DEG137" s="18"/>
      <c r="DEH137" s="17"/>
      <c r="DEI137" s="9"/>
      <c r="DEJ137" s="9"/>
      <c r="DEK137" s="18"/>
      <c r="DEL137" s="18"/>
      <c r="DEM137" s="18"/>
      <c r="DEN137" s="18"/>
      <c r="DEO137" s="18"/>
      <c r="DEP137" s="17"/>
      <c r="DEQ137" s="9"/>
      <c r="DER137" s="9"/>
      <c r="DES137" s="18"/>
      <c r="DET137" s="18"/>
      <c r="DEU137" s="18"/>
      <c r="DEV137" s="18"/>
      <c r="DEW137" s="18"/>
      <c r="DEX137" s="17"/>
      <c r="DEY137" s="9"/>
      <c r="DEZ137" s="9"/>
      <c r="DFA137" s="18"/>
      <c r="DFB137" s="18"/>
      <c r="DFC137" s="18"/>
      <c r="DFD137" s="18"/>
      <c r="DFE137" s="18"/>
      <c r="DFF137" s="17"/>
      <c r="DFG137" s="9"/>
      <c r="DFH137" s="9"/>
      <c r="DFI137" s="18"/>
      <c r="DFJ137" s="18"/>
      <c r="DFK137" s="18"/>
      <c r="DFL137" s="18"/>
      <c r="DFM137" s="18"/>
      <c r="DFN137" s="17"/>
      <c r="DFO137" s="9"/>
      <c r="DFP137" s="9"/>
      <c r="DFQ137" s="18"/>
      <c r="DFR137" s="18"/>
      <c r="DFS137" s="18"/>
      <c r="DFT137" s="18"/>
      <c r="DFU137" s="18"/>
      <c r="DFV137" s="17"/>
      <c r="DFW137" s="9"/>
      <c r="DFX137" s="9"/>
      <c r="DFY137" s="18"/>
      <c r="DFZ137" s="18"/>
      <c r="DGA137" s="18"/>
      <c r="DGB137" s="18"/>
      <c r="DGC137" s="18"/>
      <c r="DGD137" s="17"/>
      <c r="DGE137" s="9"/>
      <c r="DGF137" s="9"/>
      <c r="DGG137" s="18"/>
      <c r="DGH137" s="18"/>
      <c r="DGI137" s="18"/>
      <c r="DGJ137" s="18"/>
      <c r="DGK137" s="18"/>
      <c r="DGL137" s="17"/>
      <c r="DGM137" s="9"/>
      <c r="DGN137" s="9"/>
      <c r="DGO137" s="18"/>
      <c r="DGP137" s="18"/>
      <c r="DGQ137" s="18"/>
      <c r="DGR137" s="18"/>
      <c r="DGS137" s="18"/>
      <c r="DGT137" s="17"/>
      <c r="DGU137" s="9"/>
      <c r="DGV137" s="9"/>
      <c r="DGW137" s="18"/>
      <c r="DGX137" s="18"/>
      <c r="DGY137" s="18"/>
      <c r="DGZ137" s="18"/>
      <c r="DHA137" s="18"/>
      <c r="DHB137" s="17"/>
      <c r="DHC137" s="9"/>
      <c r="DHD137" s="9"/>
      <c r="DHE137" s="18"/>
      <c r="DHF137" s="18"/>
      <c r="DHG137" s="18"/>
      <c r="DHH137" s="18"/>
      <c r="DHI137" s="18"/>
      <c r="DHJ137" s="17"/>
      <c r="DHK137" s="9"/>
      <c r="DHL137" s="9"/>
      <c r="DHM137" s="18"/>
      <c r="DHN137" s="18"/>
      <c r="DHO137" s="18"/>
      <c r="DHP137" s="18"/>
      <c r="DHQ137" s="18"/>
      <c r="DHR137" s="17"/>
      <c r="DHS137" s="9"/>
      <c r="DHT137" s="9"/>
      <c r="DHU137" s="18"/>
      <c r="DHV137" s="18"/>
      <c r="DHW137" s="18"/>
      <c r="DHX137" s="18"/>
      <c r="DHY137" s="18"/>
      <c r="DHZ137" s="17"/>
      <c r="DIA137" s="9"/>
      <c r="DIB137" s="9"/>
      <c r="DIC137" s="18"/>
      <c r="DID137" s="18"/>
      <c r="DIE137" s="18"/>
      <c r="DIF137" s="18"/>
      <c r="DIG137" s="18"/>
      <c r="DIH137" s="17"/>
      <c r="DII137" s="9"/>
      <c r="DIJ137" s="9"/>
      <c r="DIK137" s="18"/>
      <c r="DIL137" s="18"/>
      <c r="DIM137" s="18"/>
      <c r="DIN137" s="18"/>
      <c r="DIO137" s="18"/>
      <c r="DIP137" s="17"/>
      <c r="DIQ137" s="9"/>
      <c r="DIR137" s="9"/>
      <c r="DIS137" s="18"/>
      <c r="DIT137" s="18"/>
      <c r="DIU137" s="18"/>
      <c r="DIV137" s="18"/>
      <c r="DIW137" s="18"/>
      <c r="DIX137" s="17"/>
      <c r="DIY137" s="9"/>
      <c r="DIZ137" s="9"/>
      <c r="DJA137" s="18"/>
      <c r="DJB137" s="18"/>
      <c r="DJC137" s="18"/>
      <c r="DJD137" s="18"/>
      <c r="DJE137" s="18"/>
      <c r="DJF137" s="17"/>
      <c r="DJG137" s="9"/>
      <c r="DJH137" s="9"/>
      <c r="DJI137" s="18"/>
      <c r="DJJ137" s="18"/>
      <c r="DJK137" s="18"/>
      <c r="DJL137" s="18"/>
      <c r="DJM137" s="18"/>
      <c r="DJN137" s="17"/>
      <c r="DJO137" s="9"/>
      <c r="DJP137" s="9"/>
      <c r="DJQ137" s="18"/>
      <c r="DJR137" s="18"/>
      <c r="DJS137" s="18"/>
      <c r="DJT137" s="18"/>
      <c r="DJU137" s="18"/>
      <c r="DJV137" s="17"/>
      <c r="DJW137" s="9"/>
      <c r="DJX137" s="9"/>
      <c r="DJY137" s="18"/>
      <c r="DJZ137" s="18"/>
      <c r="DKA137" s="18"/>
      <c r="DKB137" s="18"/>
      <c r="DKC137" s="18"/>
      <c r="DKD137" s="17"/>
      <c r="DKE137" s="9"/>
      <c r="DKF137" s="9"/>
      <c r="DKG137" s="18"/>
      <c r="DKH137" s="18"/>
      <c r="DKI137" s="18"/>
      <c r="DKJ137" s="18"/>
      <c r="DKK137" s="18"/>
      <c r="DKL137" s="17"/>
      <c r="DKM137" s="9"/>
      <c r="DKN137" s="9"/>
      <c r="DKO137" s="18"/>
      <c r="DKP137" s="18"/>
      <c r="DKQ137" s="18"/>
      <c r="DKR137" s="18"/>
      <c r="DKS137" s="18"/>
      <c r="DKT137" s="17"/>
      <c r="DKU137" s="9"/>
      <c r="DKV137" s="9"/>
      <c r="DKW137" s="18"/>
      <c r="DKX137" s="18"/>
      <c r="DKY137" s="18"/>
      <c r="DKZ137" s="18"/>
      <c r="DLA137" s="18"/>
      <c r="DLB137" s="17"/>
      <c r="DLC137" s="9"/>
      <c r="DLD137" s="9"/>
      <c r="DLE137" s="18"/>
      <c r="DLF137" s="18"/>
      <c r="DLG137" s="18"/>
      <c r="DLH137" s="18"/>
      <c r="DLI137" s="18"/>
      <c r="DLJ137" s="17"/>
      <c r="DLK137" s="9"/>
      <c r="DLL137" s="9"/>
      <c r="DLM137" s="18"/>
      <c r="DLN137" s="18"/>
      <c r="DLO137" s="18"/>
      <c r="DLP137" s="18"/>
      <c r="DLQ137" s="18"/>
      <c r="DLR137" s="17"/>
      <c r="DLS137" s="9"/>
      <c r="DLT137" s="9"/>
      <c r="DLU137" s="18"/>
      <c r="DLV137" s="18"/>
      <c r="DLW137" s="18"/>
      <c r="DLX137" s="18"/>
      <c r="DLY137" s="18"/>
      <c r="DLZ137" s="17"/>
      <c r="DMA137" s="9"/>
      <c r="DMB137" s="9"/>
      <c r="DMC137" s="18"/>
      <c r="DMD137" s="18"/>
      <c r="DME137" s="18"/>
      <c r="DMF137" s="18"/>
      <c r="DMG137" s="18"/>
      <c r="DMH137" s="17"/>
      <c r="DMI137" s="9"/>
      <c r="DMJ137" s="9"/>
      <c r="DMK137" s="18"/>
      <c r="DML137" s="18"/>
      <c r="DMM137" s="18"/>
      <c r="DMN137" s="18"/>
      <c r="DMO137" s="18"/>
      <c r="DMP137" s="17"/>
      <c r="DMQ137" s="9"/>
      <c r="DMR137" s="9"/>
      <c r="DMS137" s="18"/>
      <c r="DMT137" s="18"/>
      <c r="DMU137" s="18"/>
      <c r="DMV137" s="18"/>
      <c r="DMW137" s="18"/>
      <c r="DMX137" s="17"/>
      <c r="DMY137" s="9"/>
      <c r="DMZ137" s="9"/>
      <c r="DNA137" s="18"/>
      <c r="DNB137" s="18"/>
      <c r="DNC137" s="18"/>
      <c r="DND137" s="18"/>
      <c r="DNE137" s="18"/>
      <c r="DNF137" s="17"/>
      <c r="DNG137" s="9"/>
      <c r="DNH137" s="9"/>
      <c r="DNI137" s="18"/>
      <c r="DNJ137" s="18"/>
      <c r="DNK137" s="18"/>
      <c r="DNL137" s="18"/>
      <c r="DNM137" s="18"/>
      <c r="DNN137" s="17"/>
      <c r="DNO137" s="9"/>
      <c r="DNP137" s="9"/>
      <c r="DNQ137" s="18"/>
      <c r="DNR137" s="18"/>
      <c r="DNS137" s="18"/>
      <c r="DNT137" s="18"/>
      <c r="DNU137" s="18"/>
      <c r="DNV137" s="17"/>
      <c r="DNW137" s="9"/>
      <c r="DNX137" s="9"/>
      <c r="DNY137" s="18"/>
      <c r="DNZ137" s="18"/>
      <c r="DOA137" s="18"/>
      <c r="DOB137" s="18"/>
      <c r="DOC137" s="18"/>
      <c r="DOD137" s="17"/>
      <c r="DOE137" s="9"/>
      <c r="DOF137" s="9"/>
      <c r="DOG137" s="18"/>
      <c r="DOH137" s="18"/>
      <c r="DOI137" s="18"/>
      <c r="DOJ137" s="18"/>
      <c r="DOK137" s="18"/>
      <c r="DOL137" s="17"/>
      <c r="DOM137" s="9"/>
      <c r="DON137" s="9"/>
      <c r="DOO137" s="18"/>
      <c r="DOP137" s="18"/>
      <c r="DOQ137" s="18"/>
      <c r="DOR137" s="18"/>
      <c r="DOS137" s="18"/>
      <c r="DOT137" s="17"/>
      <c r="DOU137" s="9"/>
      <c r="DOV137" s="9"/>
      <c r="DOW137" s="18"/>
      <c r="DOX137" s="18"/>
      <c r="DOY137" s="18"/>
      <c r="DOZ137" s="18"/>
      <c r="DPA137" s="18"/>
      <c r="DPB137" s="17"/>
      <c r="DPC137" s="9"/>
      <c r="DPD137" s="9"/>
      <c r="DPE137" s="18"/>
      <c r="DPF137" s="18"/>
      <c r="DPG137" s="18"/>
      <c r="DPH137" s="18"/>
      <c r="DPI137" s="18"/>
      <c r="DPJ137" s="17"/>
      <c r="DPK137" s="9"/>
      <c r="DPL137" s="9"/>
      <c r="DPM137" s="18"/>
      <c r="DPN137" s="18"/>
      <c r="DPO137" s="18"/>
      <c r="DPP137" s="18"/>
      <c r="DPQ137" s="18"/>
      <c r="DPR137" s="17"/>
      <c r="DPS137" s="9"/>
      <c r="DPT137" s="9"/>
      <c r="DPU137" s="18"/>
      <c r="DPV137" s="18"/>
      <c r="DPW137" s="18"/>
      <c r="DPX137" s="18"/>
      <c r="DPY137" s="18"/>
      <c r="DPZ137" s="17"/>
      <c r="DQA137" s="9"/>
      <c r="DQB137" s="9"/>
      <c r="DQC137" s="18"/>
      <c r="DQD137" s="18"/>
      <c r="DQE137" s="18"/>
      <c r="DQF137" s="18"/>
      <c r="DQG137" s="18"/>
      <c r="DQH137" s="17"/>
      <c r="DQI137" s="9"/>
      <c r="DQJ137" s="9"/>
      <c r="DQK137" s="18"/>
      <c r="DQL137" s="18"/>
      <c r="DQM137" s="18"/>
      <c r="DQN137" s="18"/>
      <c r="DQO137" s="18"/>
      <c r="DQP137" s="17"/>
      <c r="DQQ137" s="9"/>
      <c r="DQR137" s="9"/>
      <c r="DQS137" s="18"/>
      <c r="DQT137" s="18"/>
      <c r="DQU137" s="18"/>
      <c r="DQV137" s="18"/>
      <c r="DQW137" s="18"/>
      <c r="DQX137" s="17"/>
      <c r="DQY137" s="9"/>
      <c r="DQZ137" s="9"/>
      <c r="DRA137" s="18"/>
      <c r="DRB137" s="18"/>
      <c r="DRC137" s="18"/>
      <c r="DRD137" s="18"/>
      <c r="DRE137" s="18"/>
      <c r="DRF137" s="17"/>
      <c r="DRG137" s="9"/>
      <c r="DRH137" s="9"/>
      <c r="DRI137" s="18"/>
      <c r="DRJ137" s="18"/>
      <c r="DRK137" s="18"/>
      <c r="DRL137" s="18"/>
      <c r="DRM137" s="18"/>
      <c r="DRN137" s="17"/>
      <c r="DRO137" s="9"/>
      <c r="DRP137" s="9"/>
      <c r="DRQ137" s="18"/>
      <c r="DRR137" s="18"/>
      <c r="DRS137" s="18"/>
      <c r="DRT137" s="18"/>
      <c r="DRU137" s="18"/>
      <c r="DRV137" s="17"/>
      <c r="DRW137" s="9"/>
      <c r="DRX137" s="9"/>
      <c r="DRY137" s="18"/>
      <c r="DRZ137" s="18"/>
      <c r="DSA137" s="18"/>
      <c r="DSB137" s="18"/>
      <c r="DSC137" s="18"/>
      <c r="DSD137" s="17"/>
      <c r="DSE137" s="9"/>
      <c r="DSF137" s="9"/>
      <c r="DSG137" s="18"/>
      <c r="DSH137" s="18"/>
      <c r="DSI137" s="18"/>
      <c r="DSJ137" s="18"/>
      <c r="DSK137" s="18"/>
      <c r="DSL137" s="17"/>
      <c r="DSM137" s="9"/>
      <c r="DSN137" s="9"/>
      <c r="DSO137" s="18"/>
      <c r="DSP137" s="18"/>
      <c r="DSQ137" s="18"/>
      <c r="DSR137" s="18"/>
      <c r="DSS137" s="18"/>
      <c r="DST137" s="17"/>
      <c r="DSU137" s="9"/>
      <c r="DSV137" s="9"/>
      <c r="DSW137" s="18"/>
      <c r="DSX137" s="18"/>
      <c r="DSY137" s="18"/>
      <c r="DSZ137" s="18"/>
      <c r="DTA137" s="18"/>
      <c r="DTB137" s="17"/>
      <c r="DTC137" s="9"/>
      <c r="DTD137" s="9"/>
      <c r="DTE137" s="18"/>
      <c r="DTF137" s="18"/>
      <c r="DTG137" s="18"/>
      <c r="DTH137" s="18"/>
      <c r="DTI137" s="18"/>
      <c r="DTJ137" s="17"/>
      <c r="DTK137" s="9"/>
      <c r="DTL137" s="9"/>
      <c r="DTM137" s="18"/>
      <c r="DTN137" s="18"/>
      <c r="DTO137" s="18"/>
      <c r="DTP137" s="18"/>
      <c r="DTQ137" s="18"/>
      <c r="DTR137" s="17"/>
      <c r="DTS137" s="9"/>
      <c r="DTT137" s="9"/>
      <c r="DTU137" s="18"/>
      <c r="DTV137" s="18"/>
      <c r="DTW137" s="18"/>
      <c r="DTX137" s="18"/>
      <c r="DTY137" s="18"/>
      <c r="DTZ137" s="17"/>
      <c r="DUA137" s="9"/>
      <c r="DUB137" s="9"/>
      <c r="DUC137" s="18"/>
      <c r="DUD137" s="18"/>
      <c r="DUE137" s="18"/>
      <c r="DUF137" s="18"/>
      <c r="DUG137" s="18"/>
      <c r="DUH137" s="17"/>
      <c r="DUI137" s="9"/>
      <c r="DUJ137" s="9"/>
      <c r="DUK137" s="18"/>
      <c r="DUL137" s="18"/>
      <c r="DUM137" s="18"/>
      <c r="DUN137" s="18"/>
      <c r="DUO137" s="18"/>
      <c r="DUP137" s="17"/>
      <c r="DUQ137" s="9"/>
      <c r="DUR137" s="9"/>
      <c r="DUS137" s="18"/>
      <c r="DUT137" s="18"/>
      <c r="DUU137" s="18"/>
      <c r="DUV137" s="18"/>
      <c r="DUW137" s="18"/>
      <c r="DUX137" s="17"/>
      <c r="DUY137" s="9"/>
      <c r="DUZ137" s="9"/>
      <c r="DVA137" s="18"/>
      <c r="DVB137" s="18"/>
      <c r="DVC137" s="18"/>
      <c r="DVD137" s="18"/>
      <c r="DVE137" s="18"/>
      <c r="DVF137" s="17"/>
      <c r="DVG137" s="9"/>
      <c r="DVH137" s="9"/>
      <c r="DVI137" s="18"/>
      <c r="DVJ137" s="18"/>
      <c r="DVK137" s="18"/>
      <c r="DVL137" s="18"/>
      <c r="DVM137" s="18"/>
      <c r="DVN137" s="17"/>
      <c r="DVO137" s="9"/>
      <c r="DVP137" s="9"/>
      <c r="DVQ137" s="18"/>
      <c r="DVR137" s="18"/>
      <c r="DVS137" s="18"/>
      <c r="DVT137" s="18"/>
      <c r="DVU137" s="18"/>
      <c r="DVV137" s="17"/>
      <c r="DVW137" s="9"/>
      <c r="DVX137" s="9"/>
      <c r="DVY137" s="18"/>
      <c r="DVZ137" s="18"/>
      <c r="DWA137" s="18"/>
      <c r="DWB137" s="18"/>
      <c r="DWC137" s="18"/>
      <c r="DWD137" s="17"/>
      <c r="DWE137" s="9"/>
      <c r="DWF137" s="9"/>
      <c r="DWG137" s="18"/>
      <c r="DWH137" s="18"/>
      <c r="DWI137" s="18"/>
      <c r="DWJ137" s="18"/>
      <c r="DWK137" s="18"/>
      <c r="DWL137" s="17"/>
      <c r="DWM137" s="9"/>
      <c r="DWN137" s="9"/>
      <c r="DWO137" s="18"/>
      <c r="DWP137" s="18"/>
      <c r="DWQ137" s="18"/>
      <c r="DWR137" s="18"/>
      <c r="DWS137" s="18"/>
      <c r="DWT137" s="17"/>
      <c r="DWU137" s="9"/>
      <c r="DWV137" s="9"/>
      <c r="DWW137" s="18"/>
      <c r="DWX137" s="18"/>
      <c r="DWY137" s="18"/>
      <c r="DWZ137" s="18"/>
      <c r="DXA137" s="18"/>
      <c r="DXB137" s="17"/>
      <c r="DXC137" s="9"/>
      <c r="DXD137" s="9"/>
      <c r="DXE137" s="18"/>
      <c r="DXF137" s="18"/>
      <c r="DXG137" s="18"/>
      <c r="DXH137" s="18"/>
      <c r="DXI137" s="18"/>
      <c r="DXJ137" s="17"/>
      <c r="DXK137" s="9"/>
      <c r="DXL137" s="9"/>
      <c r="DXM137" s="18"/>
      <c r="DXN137" s="18"/>
      <c r="DXO137" s="18"/>
      <c r="DXP137" s="18"/>
      <c r="DXQ137" s="18"/>
      <c r="DXR137" s="17"/>
      <c r="DXS137" s="9"/>
      <c r="DXT137" s="9"/>
      <c r="DXU137" s="18"/>
      <c r="DXV137" s="18"/>
      <c r="DXW137" s="18"/>
      <c r="DXX137" s="18"/>
      <c r="DXY137" s="18"/>
      <c r="DXZ137" s="17"/>
      <c r="DYA137" s="9"/>
      <c r="DYB137" s="9"/>
      <c r="DYC137" s="18"/>
      <c r="DYD137" s="18"/>
      <c r="DYE137" s="18"/>
      <c r="DYF137" s="18"/>
      <c r="DYG137" s="18"/>
      <c r="DYH137" s="17"/>
      <c r="DYI137" s="9"/>
      <c r="DYJ137" s="9"/>
      <c r="DYK137" s="18"/>
      <c r="DYL137" s="18"/>
      <c r="DYM137" s="18"/>
      <c r="DYN137" s="18"/>
      <c r="DYO137" s="18"/>
      <c r="DYP137" s="17"/>
      <c r="DYQ137" s="9"/>
      <c r="DYR137" s="9"/>
      <c r="DYS137" s="18"/>
      <c r="DYT137" s="18"/>
      <c r="DYU137" s="18"/>
      <c r="DYV137" s="18"/>
      <c r="DYW137" s="18"/>
      <c r="DYX137" s="17"/>
      <c r="DYY137" s="9"/>
      <c r="DYZ137" s="9"/>
      <c r="DZA137" s="18"/>
      <c r="DZB137" s="18"/>
      <c r="DZC137" s="18"/>
      <c r="DZD137" s="18"/>
      <c r="DZE137" s="18"/>
      <c r="DZF137" s="17"/>
      <c r="DZG137" s="9"/>
      <c r="DZH137" s="9"/>
      <c r="DZI137" s="18"/>
      <c r="DZJ137" s="18"/>
      <c r="DZK137" s="18"/>
      <c r="DZL137" s="18"/>
      <c r="DZM137" s="18"/>
      <c r="DZN137" s="17"/>
      <c r="DZO137" s="9"/>
      <c r="DZP137" s="9"/>
      <c r="DZQ137" s="18"/>
      <c r="DZR137" s="18"/>
      <c r="DZS137" s="18"/>
      <c r="DZT137" s="18"/>
      <c r="DZU137" s="18"/>
      <c r="DZV137" s="17"/>
      <c r="DZW137" s="9"/>
      <c r="DZX137" s="9"/>
      <c r="DZY137" s="18"/>
      <c r="DZZ137" s="18"/>
      <c r="EAA137" s="18"/>
      <c r="EAB137" s="18"/>
      <c r="EAC137" s="18"/>
      <c r="EAD137" s="17"/>
      <c r="EAE137" s="9"/>
      <c r="EAF137" s="9"/>
      <c r="EAG137" s="18"/>
      <c r="EAH137" s="18"/>
      <c r="EAI137" s="18"/>
      <c r="EAJ137" s="18"/>
      <c r="EAK137" s="18"/>
      <c r="EAL137" s="17"/>
      <c r="EAM137" s="9"/>
      <c r="EAN137" s="9"/>
      <c r="EAO137" s="18"/>
      <c r="EAP137" s="18"/>
      <c r="EAQ137" s="18"/>
      <c r="EAR137" s="18"/>
      <c r="EAS137" s="18"/>
      <c r="EAT137" s="17"/>
      <c r="EAU137" s="9"/>
      <c r="EAV137" s="9"/>
      <c r="EAW137" s="18"/>
      <c r="EAX137" s="18"/>
      <c r="EAY137" s="18"/>
      <c r="EAZ137" s="18"/>
      <c r="EBA137" s="18"/>
      <c r="EBB137" s="17"/>
      <c r="EBC137" s="9"/>
      <c r="EBD137" s="9"/>
      <c r="EBE137" s="18"/>
      <c r="EBF137" s="18"/>
      <c r="EBG137" s="18"/>
      <c r="EBH137" s="18"/>
      <c r="EBI137" s="18"/>
      <c r="EBJ137" s="17"/>
      <c r="EBK137" s="9"/>
      <c r="EBL137" s="9"/>
      <c r="EBM137" s="18"/>
      <c r="EBN137" s="18"/>
      <c r="EBO137" s="18"/>
      <c r="EBP137" s="18"/>
      <c r="EBQ137" s="18"/>
      <c r="EBR137" s="17"/>
      <c r="EBS137" s="9"/>
      <c r="EBT137" s="9"/>
      <c r="EBU137" s="18"/>
      <c r="EBV137" s="18"/>
      <c r="EBW137" s="18"/>
      <c r="EBX137" s="18"/>
      <c r="EBY137" s="18"/>
      <c r="EBZ137" s="17"/>
      <c r="ECA137" s="9"/>
      <c r="ECB137" s="9"/>
      <c r="ECC137" s="18"/>
      <c r="ECD137" s="18"/>
      <c r="ECE137" s="18"/>
      <c r="ECF137" s="18"/>
      <c r="ECG137" s="18"/>
      <c r="ECH137" s="17"/>
      <c r="ECI137" s="9"/>
      <c r="ECJ137" s="9"/>
      <c r="ECK137" s="18"/>
      <c r="ECL137" s="18"/>
      <c r="ECM137" s="18"/>
      <c r="ECN137" s="18"/>
      <c r="ECO137" s="18"/>
      <c r="ECP137" s="17"/>
      <c r="ECQ137" s="9"/>
      <c r="ECR137" s="9"/>
      <c r="ECS137" s="18"/>
      <c r="ECT137" s="18"/>
      <c r="ECU137" s="18"/>
      <c r="ECV137" s="18"/>
      <c r="ECW137" s="18"/>
      <c r="ECX137" s="17"/>
      <c r="ECY137" s="9"/>
      <c r="ECZ137" s="9"/>
      <c r="EDA137" s="18"/>
      <c r="EDB137" s="18"/>
      <c r="EDC137" s="18"/>
      <c r="EDD137" s="18"/>
      <c r="EDE137" s="18"/>
      <c r="EDF137" s="17"/>
      <c r="EDG137" s="9"/>
      <c r="EDH137" s="9"/>
      <c r="EDI137" s="18"/>
      <c r="EDJ137" s="18"/>
      <c r="EDK137" s="18"/>
      <c r="EDL137" s="18"/>
      <c r="EDM137" s="18"/>
      <c r="EDN137" s="17"/>
      <c r="EDO137" s="9"/>
      <c r="EDP137" s="9"/>
      <c r="EDQ137" s="18"/>
      <c r="EDR137" s="18"/>
      <c r="EDS137" s="18"/>
      <c r="EDT137" s="18"/>
      <c r="EDU137" s="18"/>
      <c r="EDV137" s="17"/>
      <c r="EDW137" s="9"/>
      <c r="EDX137" s="9"/>
      <c r="EDY137" s="18"/>
      <c r="EDZ137" s="18"/>
      <c r="EEA137" s="18"/>
      <c r="EEB137" s="18"/>
      <c r="EEC137" s="18"/>
      <c r="EED137" s="17"/>
      <c r="EEE137" s="9"/>
      <c r="EEF137" s="9"/>
      <c r="EEG137" s="18"/>
      <c r="EEH137" s="18"/>
      <c r="EEI137" s="18"/>
      <c r="EEJ137" s="18"/>
      <c r="EEK137" s="18"/>
      <c r="EEL137" s="17"/>
      <c r="EEM137" s="9"/>
      <c r="EEN137" s="9"/>
      <c r="EEO137" s="18"/>
      <c r="EEP137" s="18"/>
      <c r="EEQ137" s="18"/>
      <c r="EER137" s="18"/>
      <c r="EES137" s="18"/>
      <c r="EET137" s="17"/>
      <c r="EEU137" s="9"/>
      <c r="EEV137" s="9"/>
      <c r="EEW137" s="18"/>
      <c r="EEX137" s="18"/>
      <c r="EEY137" s="18"/>
      <c r="EEZ137" s="18"/>
      <c r="EFA137" s="18"/>
      <c r="EFB137" s="17"/>
      <c r="EFC137" s="9"/>
      <c r="EFD137" s="9"/>
      <c r="EFE137" s="18"/>
      <c r="EFF137" s="18"/>
      <c r="EFG137" s="18"/>
      <c r="EFH137" s="18"/>
      <c r="EFI137" s="18"/>
      <c r="EFJ137" s="17"/>
      <c r="EFK137" s="9"/>
      <c r="EFL137" s="9"/>
      <c r="EFM137" s="18"/>
      <c r="EFN137" s="18"/>
      <c r="EFO137" s="18"/>
      <c r="EFP137" s="18"/>
      <c r="EFQ137" s="18"/>
      <c r="EFR137" s="17"/>
      <c r="EFS137" s="9"/>
      <c r="EFT137" s="9"/>
      <c r="EFU137" s="18"/>
      <c r="EFV137" s="18"/>
      <c r="EFW137" s="18"/>
      <c r="EFX137" s="18"/>
      <c r="EFY137" s="18"/>
      <c r="EFZ137" s="17"/>
      <c r="EGA137" s="9"/>
      <c r="EGB137" s="9"/>
      <c r="EGC137" s="18"/>
      <c r="EGD137" s="18"/>
      <c r="EGE137" s="18"/>
      <c r="EGF137" s="18"/>
      <c r="EGG137" s="18"/>
      <c r="EGH137" s="17"/>
      <c r="EGI137" s="9"/>
      <c r="EGJ137" s="9"/>
      <c r="EGK137" s="18"/>
      <c r="EGL137" s="18"/>
      <c r="EGM137" s="18"/>
      <c r="EGN137" s="18"/>
      <c r="EGO137" s="18"/>
      <c r="EGP137" s="17"/>
      <c r="EGQ137" s="9"/>
      <c r="EGR137" s="9"/>
      <c r="EGS137" s="18"/>
      <c r="EGT137" s="18"/>
      <c r="EGU137" s="18"/>
      <c r="EGV137" s="18"/>
      <c r="EGW137" s="18"/>
      <c r="EGX137" s="17"/>
      <c r="EGY137" s="9"/>
      <c r="EGZ137" s="9"/>
      <c r="EHA137" s="18"/>
      <c r="EHB137" s="18"/>
      <c r="EHC137" s="18"/>
      <c r="EHD137" s="18"/>
      <c r="EHE137" s="18"/>
      <c r="EHF137" s="17"/>
      <c r="EHG137" s="9"/>
      <c r="EHH137" s="9"/>
      <c r="EHI137" s="18"/>
      <c r="EHJ137" s="18"/>
      <c r="EHK137" s="18"/>
      <c r="EHL137" s="18"/>
      <c r="EHM137" s="18"/>
      <c r="EHN137" s="17"/>
      <c r="EHO137" s="9"/>
      <c r="EHP137" s="9"/>
      <c r="EHQ137" s="18"/>
      <c r="EHR137" s="18"/>
      <c r="EHS137" s="18"/>
      <c r="EHT137" s="18"/>
      <c r="EHU137" s="18"/>
      <c r="EHV137" s="17"/>
      <c r="EHW137" s="9"/>
      <c r="EHX137" s="9"/>
      <c r="EHY137" s="18"/>
      <c r="EHZ137" s="18"/>
      <c r="EIA137" s="18"/>
      <c r="EIB137" s="18"/>
      <c r="EIC137" s="18"/>
      <c r="EID137" s="17"/>
      <c r="EIE137" s="9"/>
      <c r="EIF137" s="9"/>
      <c r="EIG137" s="18"/>
      <c r="EIH137" s="18"/>
      <c r="EII137" s="18"/>
      <c r="EIJ137" s="18"/>
      <c r="EIK137" s="18"/>
      <c r="EIL137" s="17"/>
      <c r="EIM137" s="9"/>
      <c r="EIN137" s="9"/>
      <c r="EIO137" s="18"/>
      <c r="EIP137" s="18"/>
      <c r="EIQ137" s="18"/>
      <c r="EIR137" s="18"/>
      <c r="EIS137" s="18"/>
      <c r="EIT137" s="17"/>
      <c r="EIU137" s="9"/>
      <c r="EIV137" s="9"/>
      <c r="EIW137" s="18"/>
      <c r="EIX137" s="18"/>
      <c r="EIY137" s="18"/>
      <c r="EIZ137" s="18"/>
      <c r="EJA137" s="18"/>
      <c r="EJB137" s="17"/>
      <c r="EJC137" s="9"/>
      <c r="EJD137" s="9"/>
      <c r="EJE137" s="18"/>
      <c r="EJF137" s="18"/>
      <c r="EJG137" s="18"/>
      <c r="EJH137" s="18"/>
      <c r="EJI137" s="18"/>
      <c r="EJJ137" s="17"/>
      <c r="EJK137" s="9"/>
      <c r="EJL137" s="9"/>
      <c r="EJM137" s="18"/>
      <c r="EJN137" s="18"/>
      <c r="EJO137" s="18"/>
      <c r="EJP137" s="18"/>
      <c r="EJQ137" s="18"/>
      <c r="EJR137" s="17"/>
      <c r="EJS137" s="9"/>
      <c r="EJT137" s="9"/>
      <c r="EJU137" s="18"/>
      <c r="EJV137" s="18"/>
      <c r="EJW137" s="18"/>
      <c r="EJX137" s="18"/>
      <c r="EJY137" s="18"/>
      <c r="EJZ137" s="17"/>
      <c r="EKA137" s="9"/>
      <c r="EKB137" s="9"/>
      <c r="EKC137" s="18"/>
      <c r="EKD137" s="18"/>
      <c r="EKE137" s="18"/>
      <c r="EKF137" s="18"/>
      <c r="EKG137" s="18"/>
      <c r="EKH137" s="17"/>
      <c r="EKI137" s="9"/>
      <c r="EKJ137" s="9"/>
      <c r="EKK137" s="18"/>
      <c r="EKL137" s="18"/>
      <c r="EKM137" s="18"/>
      <c r="EKN137" s="18"/>
      <c r="EKO137" s="18"/>
      <c r="EKP137" s="17"/>
      <c r="EKQ137" s="9"/>
      <c r="EKR137" s="9"/>
      <c r="EKS137" s="18"/>
      <c r="EKT137" s="18"/>
      <c r="EKU137" s="18"/>
      <c r="EKV137" s="18"/>
      <c r="EKW137" s="18"/>
      <c r="EKX137" s="17"/>
      <c r="EKY137" s="9"/>
      <c r="EKZ137" s="9"/>
      <c r="ELA137" s="18"/>
      <c r="ELB137" s="18"/>
      <c r="ELC137" s="18"/>
      <c r="ELD137" s="18"/>
      <c r="ELE137" s="18"/>
      <c r="ELF137" s="17"/>
      <c r="ELG137" s="9"/>
      <c r="ELH137" s="9"/>
      <c r="ELI137" s="18"/>
      <c r="ELJ137" s="18"/>
      <c r="ELK137" s="18"/>
      <c r="ELL137" s="18"/>
      <c r="ELM137" s="18"/>
      <c r="ELN137" s="17"/>
      <c r="ELO137" s="9"/>
      <c r="ELP137" s="9"/>
      <c r="ELQ137" s="18"/>
      <c r="ELR137" s="18"/>
      <c r="ELS137" s="18"/>
      <c r="ELT137" s="18"/>
      <c r="ELU137" s="18"/>
      <c r="ELV137" s="17"/>
      <c r="ELW137" s="9"/>
      <c r="ELX137" s="9"/>
      <c r="ELY137" s="18"/>
      <c r="ELZ137" s="18"/>
      <c r="EMA137" s="18"/>
      <c r="EMB137" s="18"/>
      <c r="EMC137" s="18"/>
      <c r="EMD137" s="17"/>
      <c r="EME137" s="9"/>
      <c r="EMF137" s="9"/>
      <c r="EMG137" s="18"/>
      <c r="EMH137" s="18"/>
      <c r="EMI137" s="18"/>
      <c r="EMJ137" s="18"/>
      <c r="EMK137" s="18"/>
      <c r="EML137" s="17"/>
      <c r="EMM137" s="9"/>
      <c r="EMN137" s="9"/>
      <c r="EMO137" s="18"/>
      <c r="EMP137" s="18"/>
      <c r="EMQ137" s="18"/>
      <c r="EMR137" s="18"/>
      <c r="EMS137" s="18"/>
      <c r="EMT137" s="17"/>
      <c r="EMU137" s="9"/>
      <c r="EMV137" s="9"/>
      <c r="EMW137" s="18"/>
      <c r="EMX137" s="18"/>
      <c r="EMY137" s="18"/>
      <c r="EMZ137" s="18"/>
      <c r="ENA137" s="18"/>
      <c r="ENB137" s="17"/>
      <c r="ENC137" s="9"/>
      <c r="END137" s="9"/>
      <c r="ENE137" s="18"/>
      <c r="ENF137" s="18"/>
      <c r="ENG137" s="18"/>
      <c r="ENH137" s="18"/>
      <c r="ENI137" s="18"/>
      <c r="ENJ137" s="17"/>
      <c r="ENK137" s="9"/>
      <c r="ENL137" s="9"/>
      <c r="ENM137" s="18"/>
      <c r="ENN137" s="18"/>
      <c r="ENO137" s="18"/>
      <c r="ENP137" s="18"/>
      <c r="ENQ137" s="18"/>
      <c r="ENR137" s="17"/>
      <c r="ENS137" s="9"/>
      <c r="ENT137" s="9"/>
      <c r="ENU137" s="18"/>
      <c r="ENV137" s="18"/>
      <c r="ENW137" s="18"/>
      <c r="ENX137" s="18"/>
      <c r="ENY137" s="18"/>
      <c r="ENZ137" s="17"/>
      <c r="EOA137" s="9"/>
      <c r="EOB137" s="9"/>
      <c r="EOC137" s="18"/>
      <c r="EOD137" s="18"/>
      <c r="EOE137" s="18"/>
      <c r="EOF137" s="18"/>
      <c r="EOG137" s="18"/>
      <c r="EOH137" s="17"/>
      <c r="EOI137" s="9"/>
      <c r="EOJ137" s="9"/>
      <c r="EOK137" s="18"/>
      <c r="EOL137" s="18"/>
      <c r="EOM137" s="18"/>
      <c r="EON137" s="18"/>
      <c r="EOO137" s="18"/>
      <c r="EOP137" s="17"/>
      <c r="EOQ137" s="9"/>
      <c r="EOR137" s="9"/>
      <c r="EOS137" s="18"/>
      <c r="EOT137" s="18"/>
      <c r="EOU137" s="18"/>
      <c r="EOV137" s="18"/>
      <c r="EOW137" s="18"/>
      <c r="EOX137" s="17"/>
      <c r="EOY137" s="9"/>
      <c r="EOZ137" s="9"/>
      <c r="EPA137" s="18"/>
      <c r="EPB137" s="18"/>
      <c r="EPC137" s="18"/>
      <c r="EPD137" s="18"/>
      <c r="EPE137" s="18"/>
      <c r="EPF137" s="17"/>
      <c r="EPG137" s="9"/>
      <c r="EPH137" s="9"/>
      <c r="EPI137" s="18"/>
      <c r="EPJ137" s="18"/>
      <c r="EPK137" s="18"/>
      <c r="EPL137" s="18"/>
      <c r="EPM137" s="18"/>
      <c r="EPN137" s="17"/>
      <c r="EPO137" s="9"/>
      <c r="EPP137" s="9"/>
      <c r="EPQ137" s="18"/>
      <c r="EPR137" s="18"/>
      <c r="EPS137" s="18"/>
      <c r="EPT137" s="18"/>
      <c r="EPU137" s="18"/>
      <c r="EPV137" s="17"/>
      <c r="EPW137" s="9"/>
      <c r="EPX137" s="9"/>
      <c r="EPY137" s="18"/>
      <c r="EPZ137" s="18"/>
      <c r="EQA137" s="18"/>
      <c r="EQB137" s="18"/>
      <c r="EQC137" s="18"/>
      <c r="EQD137" s="17"/>
      <c r="EQE137" s="9"/>
      <c r="EQF137" s="9"/>
      <c r="EQG137" s="18"/>
      <c r="EQH137" s="18"/>
      <c r="EQI137" s="18"/>
      <c r="EQJ137" s="18"/>
      <c r="EQK137" s="18"/>
      <c r="EQL137" s="17"/>
      <c r="EQM137" s="9"/>
      <c r="EQN137" s="9"/>
      <c r="EQO137" s="18"/>
      <c r="EQP137" s="18"/>
      <c r="EQQ137" s="18"/>
      <c r="EQR137" s="18"/>
      <c r="EQS137" s="18"/>
      <c r="EQT137" s="17"/>
      <c r="EQU137" s="9"/>
      <c r="EQV137" s="9"/>
      <c r="EQW137" s="18"/>
      <c r="EQX137" s="18"/>
      <c r="EQY137" s="18"/>
      <c r="EQZ137" s="18"/>
      <c r="ERA137" s="18"/>
      <c r="ERB137" s="17"/>
      <c r="ERC137" s="9"/>
      <c r="ERD137" s="9"/>
      <c r="ERE137" s="18"/>
      <c r="ERF137" s="18"/>
      <c r="ERG137" s="18"/>
      <c r="ERH137" s="18"/>
      <c r="ERI137" s="18"/>
      <c r="ERJ137" s="17"/>
      <c r="ERK137" s="9"/>
      <c r="ERL137" s="9"/>
      <c r="ERM137" s="18"/>
      <c r="ERN137" s="18"/>
      <c r="ERO137" s="18"/>
      <c r="ERP137" s="18"/>
      <c r="ERQ137" s="18"/>
      <c r="ERR137" s="17"/>
      <c r="ERS137" s="9"/>
      <c r="ERT137" s="9"/>
      <c r="ERU137" s="18"/>
      <c r="ERV137" s="18"/>
      <c r="ERW137" s="18"/>
      <c r="ERX137" s="18"/>
      <c r="ERY137" s="18"/>
      <c r="ERZ137" s="17"/>
      <c r="ESA137" s="9"/>
      <c r="ESB137" s="9"/>
      <c r="ESC137" s="18"/>
      <c r="ESD137" s="18"/>
      <c r="ESE137" s="18"/>
      <c r="ESF137" s="18"/>
      <c r="ESG137" s="18"/>
      <c r="ESH137" s="17"/>
      <c r="ESI137" s="9"/>
      <c r="ESJ137" s="9"/>
      <c r="ESK137" s="18"/>
      <c r="ESL137" s="18"/>
      <c r="ESM137" s="18"/>
      <c r="ESN137" s="18"/>
      <c r="ESO137" s="18"/>
      <c r="ESP137" s="17"/>
      <c r="ESQ137" s="9"/>
      <c r="ESR137" s="9"/>
      <c r="ESS137" s="18"/>
      <c r="EST137" s="18"/>
      <c r="ESU137" s="18"/>
      <c r="ESV137" s="18"/>
      <c r="ESW137" s="18"/>
      <c r="ESX137" s="17"/>
      <c r="ESY137" s="9"/>
      <c r="ESZ137" s="9"/>
      <c r="ETA137" s="18"/>
      <c r="ETB137" s="18"/>
      <c r="ETC137" s="18"/>
      <c r="ETD137" s="18"/>
      <c r="ETE137" s="18"/>
      <c r="ETF137" s="17"/>
      <c r="ETG137" s="9"/>
      <c r="ETH137" s="9"/>
      <c r="ETI137" s="18"/>
      <c r="ETJ137" s="18"/>
      <c r="ETK137" s="18"/>
      <c r="ETL137" s="18"/>
      <c r="ETM137" s="18"/>
      <c r="ETN137" s="17"/>
      <c r="ETO137" s="9"/>
      <c r="ETP137" s="9"/>
      <c r="ETQ137" s="18"/>
      <c r="ETR137" s="18"/>
      <c r="ETS137" s="18"/>
      <c r="ETT137" s="18"/>
      <c r="ETU137" s="18"/>
      <c r="ETV137" s="17"/>
      <c r="ETW137" s="9"/>
      <c r="ETX137" s="9"/>
      <c r="ETY137" s="18"/>
      <c r="ETZ137" s="18"/>
      <c r="EUA137" s="18"/>
      <c r="EUB137" s="18"/>
      <c r="EUC137" s="18"/>
      <c r="EUD137" s="17"/>
      <c r="EUE137" s="9"/>
      <c r="EUF137" s="9"/>
      <c r="EUG137" s="18"/>
      <c r="EUH137" s="18"/>
      <c r="EUI137" s="18"/>
      <c r="EUJ137" s="18"/>
      <c r="EUK137" s="18"/>
      <c r="EUL137" s="17"/>
      <c r="EUM137" s="9"/>
      <c r="EUN137" s="9"/>
      <c r="EUO137" s="18"/>
      <c r="EUP137" s="18"/>
      <c r="EUQ137" s="18"/>
      <c r="EUR137" s="18"/>
      <c r="EUS137" s="18"/>
      <c r="EUT137" s="17"/>
      <c r="EUU137" s="9"/>
      <c r="EUV137" s="9"/>
      <c r="EUW137" s="18"/>
      <c r="EUX137" s="18"/>
      <c r="EUY137" s="18"/>
      <c r="EUZ137" s="18"/>
      <c r="EVA137" s="18"/>
      <c r="EVB137" s="17"/>
      <c r="EVC137" s="9"/>
      <c r="EVD137" s="9"/>
      <c r="EVE137" s="18"/>
      <c r="EVF137" s="18"/>
      <c r="EVG137" s="18"/>
      <c r="EVH137" s="18"/>
      <c r="EVI137" s="18"/>
      <c r="EVJ137" s="17"/>
      <c r="EVK137" s="9"/>
      <c r="EVL137" s="9"/>
      <c r="EVM137" s="18"/>
      <c r="EVN137" s="18"/>
      <c r="EVO137" s="18"/>
      <c r="EVP137" s="18"/>
      <c r="EVQ137" s="18"/>
      <c r="EVR137" s="17"/>
      <c r="EVS137" s="9"/>
      <c r="EVT137" s="9"/>
      <c r="EVU137" s="18"/>
      <c r="EVV137" s="18"/>
      <c r="EVW137" s="18"/>
      <c r="EVX137" s="18"/>
      <c r="EVY137" s="18"/>
      <c r="EVZ137" s="17"/>
      <c r="EWA137" s="9"/>
      <c r="EWB137" s="9"/>
      <c r="EWC137" s="18"/>
      <c r="EWD137" s="18"/>
      <c r="EWE137" s="18"/>
      <c r="EWF137" s="18"/>
      <c r="EWG137" s="18"/>
      <c r="EWH137" s="17"/>
      <c r="EWI137" s="9"/>
      <c r="EWJ137" s="9"/>
      <c r="EWK137" s="18"/>
      <c r="EWL137" s="18"/>
      <c r="EWM137" s="18"/>
      <c r="EWN137" s="18"/>
      <c r="EWO137" s="18"/>
      <c r="EWP137" s="17"/>
      <c r="EWQ137" s="9"/>
      <c r="EWR137" s="9"/>
      <c r="EWS137" s="18"/>
      <c r="EWT137" s="18"/>
      <c r="EWU137" s="18"/>
      <c r="EWV137" s="18"/>
      <c r="EWW137" s="18"/>
      <c r="EWX137" s="17"/>
      <c r="EWY137" s="9"/>
      <c r="EWZ137" s="9"/>
      <c r="EXA137" s="18"/>
      <c r="EXB137" s="18"/>
      <c r="EXC137" s="18"/>
      <c r="EXD137" s="18"/>
      <c r="EXE137" s="18"/>
      <c r="EXF137" s="17"/>
      <c r="EXG137" s="9"/>
      <c r="EXH137" s="9"/>
      <c r="EXI137" s="18"/>
      <c r="EXJ137" s="18"/>
      <c r="EXK137" s="18"/>
      <c r="EXL137" s="18"/>
      <c r="EXM137" s="18"/>
      <c r="EXN137" s="17"/>
      <c r="EXO137" s="9"/>
      <c r="EXP137" s="9"/>
      <c r="EXQ137" s="18"/>
      <c r="EXR137" s="18"/>
      <c r="EXS137" s="18"/>
      <c r="EXT137" s="18"/>
      <c r="EXU137" s="18"/>
      <c r="EXV137" s="17"/>
      <c r="EXW137" s="9"/>
      <c r="EXX137" s="9"/>
      <c r="EXY137" s="18"/>
      <c r="EXZ137" s="18"/>
      <c r="EYA137" s="18"/>
      <c r="EYB137" s="18"/>
      <c r="EYC137" s="18"/>
      <c r="EYD137" s="17"/>
      <c r="EYE137" s="9"/>
      <c r="EYF137" s="9"/>
      <c r="EYG137" s="18"/>
      <c r="EYH137" s="18"/>
      <c r="EYI137" s="18"/>
      <c r="EYJ137" s="18"/>
      <c r="EYK137" s="18"/>
      <c r="EYL137" s="17"/>
      <c r="EYM137" s="9"/>
      <c r="EYN137" s="9"/>
      <c r="EYO137" s="18"/>
      <c r="EYP137" s="18"/>
      <c r="EYQ137" s="18"/>
      <c r="EYR137" s="18"/>
      <c r="EYS137" s="18"/>
      <c r="EYT137" s="17"/>
      <c r="EYU137" s="9"/>
      <c r="EYV137" s="9"/>
      <c r="EYW137" s="18"/>
      <c r="EYX137" s="18"/>
      <c r="EYY137" s="18"/>
      <c r="EYZ137" s="18"/>
      <c r="EZA137" s="18"/>
      <c r="EZB137" s="17"/>
      <c r="EZC137" s="9"/>
      <c r="EZD137" s="9"/>
      <c r="EZE137" s="18"/>
      <c r="EZF137" s="18"/>
      <c r="EZG137" s="18"/>
      <c r="EZH137" s="18"/>
      <c r="EZI137" s="18"/>
      <c r="EZJ137" s="17"/>
      <c r="EZK137" s="9"/>
      <c r="EZL137" s="9"/>
      <c r="EZM137" s="18"/>
      <c r="EZN137" s="18"/>
      <c r="EZO137" s="18"/>
      <c r="EZP137" s="18"/>
      <c r="EZQ137" s="18"/>
      <c r="EZR137" s="17"/>
      <c r="EZS137" s="9"/>
      <c r="EZT137" s="9"/>
      <c r="EZU137" s="18"/>
      <c r="EZV137" s="18"/>
      <c r="EZW137" s="18"/>
      <c r="EZX137" s="18"/>
      <c r="EZY137" s="18"/>
      <c r="EZZ137" s="17"/>
      <c r="FAA137" s="9"/>
      <c r="FAB137" s="9"/>
      <c r="FAC137" s="18"/>
      <c r="FAD137" s="18"/>
      <c r="FAE137" s="18"/>
      <c r="FAF137" s="18"/>
      <c r="FAG137" s="18"/>
      <c r="FAH137" s="17"/>
      <c r="FAI137" s="9"/>
      <c r="FAJ137" s="9"/>
      <c r="FAK137" s="18"/>
      <c r="FAL137" s="18"/>
      <c r="FAM137" s="18"/>
      <c r="FAN137" s="18"/>
      <c r="FAO137" s="18"/>
      <c r="FAP137" s="17"/>
      <c r="FAQ137" s="9"/>
      <c r="FAR137" s="9"/>
      <c r="FAS137" s="18"/>
      <c r="FAT137" s="18"/>
      <c r="FAU137" s="18"/>
      <c r="FAV137" s="18"/>
      <c r="FAW137" s="18"/>
      <c r="FAX137" s="17"/>
      <c r="FAY137" s="9"/>
      <c r="FAZ137" s="9"/>
      <c r="FBA137" s="18"/>
      <c r="FBB137" s="18"/>
      <c r="FBC137" s="18"/>
      <c r="FBD137" s="18"/>
      <c r="FBE137" s="18"/>
      <c r="FBF137" s="17"/>
      <c r="FBG137" s="9"/>
      <c r="FBH137" s="9"/>
      <c r="FBI137" s="18"/>
      <c r="FBJ137" s="18"/>
      <c r="FBK137" s="18"/>
      <c r="FBL137" s="18"/>
      <c r="FBM137" s="18"/>
      <c r="FBN137" s="17"/>
      <c r="FBO137" s="9"/>
      <c r="FBP137" s="9"/>
      <c r="FBQ137" s="18"/>
      <c r="FBR137" s="18"/>
      <c r="FBS137" s="18"/>
      <c r="FBT137" s="18"/>
      <c r="FBU137" s="18"/>
      <c r="FBV137" s="17"/>
      <c r="FBW137" s="9"/>
      <c r="FBX137" s="9"/>
      <c r="FBY137" s="18"/>
      <c r="FBZ137" s="18"/>
      <c r="FCA137" s="18"/>
      <c r="FCB137" s="18"/>
      <c r="FCC137" s="18"/>
      <c r="FCD137" s="17"/>
      <c r="FCE137" s="9"/>
      <c r="FCF137" s="9"/>
      <c r="FCG137" s="18"/>
      <c r="FCH137" s="18"/>
      <c r="FCI137" s="18"/>
      <c r="FCJ137" s="18"/>
      <c r="FCK137" s="18"/>
      <c r="FCL137" s="17"/>
      <c r="FCM137" s="9"/>
      <c r="FCN137" s="9"/>
      <c r="FCO137" s="18"/>
      <c r="FCP137" s="18"/>
      <c r="FCQ137" s="18"/>
      <c r="FCR137" s="18"/>
      <c r="FCS137" s="18"/>
      <c r="FCT137" s="17"/>
      <c r="FCU137" s="9"/>
      <c r="FCV137" s="9"/>
      <c r="FCW137" s="18"/>
      <c r="FCX137" s="18"/>
      <c r="FCY137" s="18"/>
      <c r="FCZ137" s="18"/>
      <c r="FDA137" s="18"/>
      <c r="FDB137" s="17"/>
      <c r="FDC137" s="9"/>
      <c r="FDD137" s="9"/>
      <c r="FDE137" s="18"/>
      <c r="FDF137" s="18"/>
      <c r="FDG137" s="18"/>
      <c r="FDH137" s="18"/>
      <c r="FDI137" s="18"/>
      <c r="FDJ137" s="17"/>
      <c r="FDK137" s="9"/>
      <c r="FDL137" s="9"/>
      <c r="FDM137" s="18"/>
      <c r="FDN137" s="18"/>
      <c r="FDO137" s="18"/>
      <c r="FDP137" s="18"/>
      <c r="FDQ137" s="18"/>
      <c r="FDR137" s="17"/>
      <c r="FDS137" s="9"/>
      <c r="FDT137" s="9"/>
      <c r="FDU137" s="18"/>
      <c r="FDV137" s="18"/>
      <c r="FDW137" s="18"/>
      <c r="FDX137" s="18"/>
      <c r="FDY137" s="18"/>
      <c r="FDZ137" s="17"/>
      <c r="FEA137" s="9"/>
      <c r="FEB137" s="9"/>
      <c r="FEC137" s="18"/>
      <c r="FED137" s="18"/>
      <c r="FEE137" s="18"/>
      <c r="FEF137" s="18"/>
      <c r="FEG137" s="18"/>
      <c r="FEH137" s="17"/>
      <c r="FEI137" s="9"/>
      <c r="FEJ137" s="9"/>
      <c r="FEK137" s="18"/>
      <c r="FEL137" s="18"/>
      <c r="FEM137" s="18"/>
      <c r="FEN137" s="18"/>
      <c r="FEO137" s="18"/>
      <c r="FEP137" s="17"/>
      <c r="FEQ137" s="9"/>
      <c r="FER137" s="9"/>
      <c r="FES137" s="18"/>
      <c r="FET137" s="18"/>
      <c r="FEU137" s="18"/>
      <c r="FEV137" s="18"/>
      <c r="FEW137" s="18"/>
      <c r="FEX137" s="17"/>
      <c r="FEY137" s="9"/>
      <c r="FEZ137" s="9"/>
      <c r="FFA137" s="18"/>
      <c r="FFB137" s="18"/>
      <c r="FFC137" s="18"/>
      <c r="FFD137" s="18"/>
      <c r="FFE137" s="18"/>
      <c r="FFF137" s="17"/>
      <c r="FFG137" s="9"/>
      <c r="FFH137" s="9"/>
      <c r="FFI137" s="18"/>
      <c r="FFJ137" s="18"/>
      <c r="FFK137" s="18"/>
      <c r="FFL137" s="18"/>
      <c r="FFM137" s="18"/>
      <c r="FFN137" s="17"/>
      <c r="FFO137" s="9"/>
      <c r="FFP137" s="9"/>
      <c r="FFQ137" s="18"/>
      <c r="FFR137" s="18"/>
      <c r="FFS137" s="18"/>
      <c r="FFT137" s="18"/>
      <c r="FFU137" s="18"/>
      <c r="FFV137" s="17"/>
      <c r="FFW137" s="9"/>
      <c r="FFX137" s="9"/>
      <c r="FFY137" s="18"/>
      <c r="FFZ137" s="18"/>
      <c r="FGA137" s="18"/>
      <c r="FGB137" s="18"/>
      <c r="FGC137" s="18"/>
      <c r="FGD137" s="17"/>
      <c r="FGE137" s="9"/>
      <c r="FGF137" s="9"/>
      <c r="FGG137" s="18"/>
      <c r="FGH137" s="18"/>
      <c r="FGI137" s="18"/>
      <c r="FGJ137" s="18"/>
      <c r="FGK137" s="18"/>
      <c r="FGL137" s="17"/>
      <c r="FGM137" s="9"/>
      <c r="FGN137" s="9"/>
      <c r="FGO137" s="18"/>
      <c r="FGP137" s="18"/>
      <c r="FGQ137" s="18"/>
      <c r="FGR137" s="18"/>
      <c r="FGS137" s="18"/>
      <c r="FGT137" s="17"/>
      <c r="FGU137" s="9"/>
      <c r="FGV137" s="9"/>
      <c r="FGW137" s="18"/>
      <c r="FGX137" s="18"/>
      <c r="FGY137" s="18"/>
      <c r="FGZ137" s="18"/>
      <c r="FHA137" s="18"/>
      <c r="FHB137" s="17"/>
      <c r="FHC137" s="9"/>
      <c r="FHD137" s="9"/>
      <c r="FHE137" s="18"/>
      <c r="FHF137" s="18"/>
      <c r="FHG137" s="18"/>
      <c r="FHH137" s="18"/>
      <c r="FHI137" s="18"/>
      <c r="FHJ137" s="17"/>
      <c r="FHK137" s="9"/>
      <c r="FHL137" s="9"/>
      <c r="FHM137" s="18"/>
      <c r="FHN137" s="18"/>
      <c r="FHO137" s="18"/>
      <c r="FHP137" s="18"/>
      <c r="FHQ137" s="18"/>
      <c r="FHR137" s="17"/>
      <c r="FHS137" s="9"/>
      <c r="FHT137" s="9"/>
      <c r="FHU137" s="18"/>
      <c r="FHV137" s="18"/>
      <c r="FHW137" s="18"/>
      <c r="FHX137" s="18"/>
      <c r="FHY137" s="18"/>
      <c r="FHZ137" s="17"/>
      <c r="FIA137" s="9"/>
      <c r="FIB137" s="9"/>
      <c r="FIC137" s="18"/>
      <c r="FID137" s="18"/>
      <c r="FIE137" s="18"/>
      <c r="FIF137" s="18"/>
      <c r="FIG137" s="18"/>
      <c r="FIH137" s="17"/>
      <c r="FII137" s="9"/>
      <c r="FIJ137" s="9"/>
      <c r="FIK137" s="18"/>
      <c r="FIL137" s="18"/>
      <c r="FIM137" s="18"/>
      <c r="FIN137" s="18"/>
      <c r="FIO137" s="18"/>
      <c r="FIP137" s="17"/>
      <c r="FIQ137" s="9"/>
      <c r="FIR137" s="9"/>
      <c r="FIS137" s="18"/>
      <c r="FIT137" s="18"/>
      <c r="FIU137" s="18"/>
      <c r="FIV137" s="18"/>
      <c r="FIW137" s="18"/>
      <c r="FIX137" s="17"/>
      <c r="FIY137" s="9"/>
      <c r="FIZ137" s="9"/>
      <c r="FJA137" s="18"/>
      <c r="FJB137" s="18"/>
      <c r="FJC137" s="18"/>
      <c r="FJD137" s="18"/>
      <c r="FJE137" s="18"/>
      <c r="FJF137" s="17"/>
      <c r="FJG137" s="9"/>
      <c r="FJH137" s="9"/>
      <c r="FJI137" s="18"/>
      <c r="FJJ137" s="18"/>
      <c r="FJK137" s="18"/>
      <c r="FJL137" s="18"/>
      <c r="FJM137" s="18"/>
      <c r="FJN137" s="17"/>
      <c r="FJO137" s="9"/>
      <c r="FJP137" s="9"/>
      <c r="FJQ137" s="18"/>
      <c r="FJR137" s="18"/>
      <c r="FJS137" s="18"/>
      <c r="FJT137" s="18"/>
      <c r="FJU137" s="18"/>
      <c r="FJV137" s="17"/>
      <c r="FJW137" s="9"/>
      <c r="FJX137" s="9"/>
      <c r="FJY137" s="18"/>
      <c r="FJZ137" s="18"/>
      <c r="FKA137" s="18"/>
      <c r="FKB137" s="18"/>
      <c r="FKC137" s="18"/>
      <c r="FKD137" s="17"/>
      <c r="FKE137" s="9"/>
      <c r="FKF137" s="9"/>
      <c r="FKG137" s="18"/>
      <c r="FKH137" s="18"/>
      <c r="FKI137" s="18"/>
      <c r="FKJ137" s="18"/>
      <c r="FKK137" s="18"/>
      <c r="FKL137" s="17"/>
      <c r="FKM137" s="9"/>
      <c r="FKN137" s="9"/>
      <c r="FKO137" s="18"/>
      <c r="FKP137" s="18"/>
      <c r="FKQ137" s="18"/>
      <c r="FKR137" s="18"/>
      <c r="FKS137" s="18"/>
      <c r="FKT137" s="17"/>
      <c r="FKU137" s="9"/>
      <c r="FKV137" s="9"/>
      <c r="FKW137" s="18"/>
      <c r="FKX137" s="18"/>
      <c r="FKY137" s="18"/>
      <c r="FKZ137" s="18"/>
      <c r="FLA137" s="18"/>
      <c r="FLB137" s="17"/>
      <c r="FLC137" s="9"/>
      <c r="FLD137" s="9"/>
      <c r="FLE137" s="18"/>
      <c r="FLF137" s="18"/>
      <c r="FLG137" s="18"/>
      <c r="FLH137" s="18"/>
      <c r="FLI137" s="18"/>
      <c r="FLJ137" s="17"/>
      <c r="FLK137" s="9"/>
      <c r="FLL137" s="9"/>
      <c r="FLM137" s="18"/>
      <c r="FLN137" s="18"/>
      <c r="FLO137" s="18"/>
      <c r="FLP137" s="18"/>
      <c r="FLQ137" s="18"/>
      <c r="FLR137" s="17"/>
      <c r="FLS137" s="9"/>
      <c r="FLT137" s="9"/>
      <c r="FLU137" s="18"/>
      <c r="FLV137" s="18"/>
      <c r="FLW137" s="18"/>
      <c r="FLX137" s="18"/>
      <c r="FLY137" s="18"/>
      <c r="FLZ137" s="17"/>
      <c r="FMA137" s="9"/>
      <c r="FMB137" s="9"/>
      <c r="FMC137" s="18"/>
      <c r="FMD137" s="18"/>
      <c r="FME137" s="18"/>
      <c r="FMF137" s="18"/>
      <c r="FMG137" s="18"/>
      <c r="FMH137" s="17"/>
      <c r="FMI137" s="9"/>
      <c r="FMJ137" s="9"/>
      <c r="FMK137" s="18"/>
      <c r="FML137" s="18"/>
      <c r="FMM137" s="18"/>
      <c r="FMN137" s="18"/>
      <c r="FMO137" s="18"/>
      <c r="FMP137" s="17"/>
      <c r="FMQ137" s="9"/>
      <c r="FMR137" s="9"/>
      <c r="FMS137" s="18"/>
      <c r="FMT137" s="18"/>
      <c r="FMU137" s="18"/>
      <c r="FMV137" s="18"/>
      <c r="FMW137" s="18"/>
      <c r="FMX137" s="17"/>
      <c r="FMY137" s="9"/>
      <c r="FMZ137" s="9"/>
      <c r="FNA137" s="18"/>
      <c r="FNB137" s="18"/>
      <c r="FNC137" s="18"/>
      <c r="FND137" s="18"/>
      <c r="FNE137" s="18"/>
      <c r="FNF137" s="17"/>
      <c r="FNG137" s="9"/>
      <c r="FNH137" s="9"/>
      <c r="FNI137" s="18"/>
      <c r="FNJ137" s="18"/>
      <c r="FNK137" s="18"/>
      <c r="FNL137" s="18"/>
      <c r="FNM137" s="18"/>
      <c r="FNN137" s="17"/>
      <c r="FNO137" s="9"/>
      <c r="FNP137" s="9"/>
      <c r="FNQ137" s="18"/>
      <c r="FNR137" s="18"/>
      <c r="FNS137" s="18"/>
      <c r="FNT137" s="18"/>
      <c r="FNU137" s="18"/>
      <c r="FNV137" s="17"/>
      <c r="FNW137" s="9"/>
      <c r="FNX137" s="9"/>
      <c r="FNY137" s="18"/>
      <c r="FNZ137" s="18"/>
      <c r="FOA137" s="18"/>
      <c r="FOB137" s="18"/>
      <c r="FOC137" s="18"/>
      <c r="FOD137" s="17"/>
      <c r="FOE137" s="9"/>
      <c r="FOF137" s="9"/>
      <c r="FOG137" s="18"/>
      <c r="FOH137" s="18"/>
      <c r="FOI137" s="18"/>
      <c r="FOJ137" s="18"/>
      <c r="FOK137" s="18"/>
      <c r="FOL137" s="17"/>
      <c r="FOM137" s="9"/>
      <c r="FON137" s="9"/>
      <c r="FOO137" s="18"/>
      <c r="FOP137" s="18"/>
      <c r="FOQ137" s="18"/>
      <c r="FOR137" s="18"/>
      <c r="FOS137" s="18"/>
      <c r="FOT137" s="17"/>
      <c r="FOU137" s="9"/>
      <c r="FOV137" s="9"/>
      <c r="FOW137" s="18"/>
      <c r="FOX137" s="18"/>
      <c r="FOY137" s="18"/>
      <c r="FOZ137" s="18"/>
      <c r="FPA137" s="18"/>
      <c r="FPB137" s="17"/>
      <c r="FPC137" s="9"/>
      <c r="FPD137" s="9"/>
      <c r="FPE137" s="18"/>
      <c r="FPF137" s="18"/>
      <c r="FPG137" s="18"/>
      <c r="FPH137" s="18"/>
      <c r="FPI137" s="18"/>
      <c r="FPJ137" s="17"/>
      <c r="FPK137" s="9"/>
      <c r="FPL137" s="9"/>
      <c r="FPM137" s="18"/>
      <c r="FPN137" s="18"/>
      <c r="FPO137" s="18"/>
      <c r="FPP137" s="18"/>
      <c r="FPQ137" s="18"/>
      <c r="FPR137" s="17"/>
      <c r="FPS137" s="9"/>
      <c r="FPT137" s="9"/>
      <c r="FPU137" s="18"/>
      <c r="FPV137" s="18"/>
      <c r="FPW137" s="18"/>
      <c r="FPX137" s="18"/>
      <c r="FPY137" s="18"/>
      <c r="FPZ137" s="17"/>
      <c r="FQA137" s="9"/>
      <c r="FQB137" s="9"/>
      <c r="FQC137" s="18"/>
      <c r="FQD137" s="18"/>
      <c r="FQE137" s="18"/>
      <c r="FQF137" s="18"/>
      <c r="FQG137" s="18"/>
      <c r="FQH137" s="17"/>
      <c r="FQI137" s="9"/>
      <c r="FQJ137" s="9"/>
      <c r="FQK137" s="18"/>
      <c r="FQL137" s="18"/>
      <c r="FQM137" s="18"/>
      <c r="FQN137" s="18"/>
      <c r="FQO137" s="18"/>
      <c r="FQP137" s="17"/>
      <c r="FQQ137" s="9"/>
      <c r="FQR137" s="9"/>
      <c r="FQS137" s="18"/>
      <c r="FQT137" s="18"/>
      <c r="FQU137" s="18"/>
      <c r="FQV137" s="18"/>
      <c r="FQW137" s="18"/>
      <c r="FQX137" s="17"/>
      <c r="FQY137" s="9"/>
      <c r="FQZ137" s="9"/>
      <c r="FRA137" s="18"/>
      <c r="FRB137" s="18"/>
      <c r="FRC137" s="18"/>
      <c r="FRD137" s="18"/>
      <c r="FRE137" s="18"/>
      <c r="FRF137" s="17"/>
      <c r="FRG137" s="9"/>
      <c r="FRH137" s="9"/>
      <c r="FRI137" s="18"/>
      <c r="FRJ137" s="18"/>
      <c r="FRK137" s="18"/>
      <c r="FRL137" s="18"/>
      <c r="FRM137" s="18"/>
      <c r="FRN137" s="17"/>
      <c r="FRO137" s="9"/>
      <c r="FRP137" s="9"/>
      <c r="FRQ137" s="18"/>
      <c r="FRR137" s="18"/>
      <c r="FRS137" s="18"/>
      <c r="FRT137" s="18"/>
      <c r="FRU137" s="18"/>
      <c r="FRV137" s="17"/>
      <c r="FRW137" s="9"/>
      <c r="FRX137" s="9"/>
      <c r="FRY137" s="18"/>
      <c r="FRZ137" s="18"/>
      <c r="FSA137" s="18"/>
      <c r="FSB137" s="18"/>
      <c r="FSC137" s="18"/>
      <c r="FSD137" s="17"/>
      <c r="FSE137" s="9"/>
      <c r="FSF137" s="9"/>
      <c r="FSG137" s="18"/>
      <c r="FSH137" s="18"/>
      <c r="FSI137" s="18"/>
      <c r="FSJ137" s="18"/>
      <c r="FSK137" s="18"/>
      <c r="FSL137" s="17"/>
      <c r="FSM137" s="9"/>
      <c r="FSN137" s="9"/>
      <c r="FSO137" s="18"/>
      <c r="FSP137" s="18"/>
      <c r="FSQ137" s="18"/>
      <c r="FSR137" s="18"/>
      <c r="FSS137" s="18"/>
      <c r="FST137" s="17"/>
      <c r="FSU137" s="9"/>
      <c r="FSV137" s="9"/>
      <c r="FSW137" s="18"/>
      <c r="FSX137" s="18"/>
      <c r="FSY137" s="18"/>
      <c r="FSZ137" s="18"/>
      <c r="FTA137" s="18"/>
      <c r="FTB137" s="17"/>
      <c r="FTC137" s="9"/>
      <c r="FTD137" s="9"/>
      <c r="FTE137" s="18"/>
      <c r="FTF137" s="18"/>
      <c r="FTG137" s="18"/>
      <c r="FTH137" s="18"/>
      <c r="FTI137" s="18"/>
      <c r="FTJ137" s="17"/>
      <c r="FTK137" s="9"/>
      <c r="FTL137" s="9"/>
      <c r="FTM137" s="18"/>
      <c r="FTN137" s="18"/>
      <c r="FTO137" s="18"/>
      <c r="FTP137" s="18"/>
      <c r="FTQ137" s="18"/>
      <c r="FTR137" s="17"/>
      <c r="FTS137" s="9"/>
      <c r="FTT137" s="9"/>
      <c r="FTU137" s="18"/>
      <c r="FTV137" s="18"/>
      <c r="FTW137" s="18"/>
      <c r="FTX137" s="18"/>
      <c r="FTY137" s="18"/>
      <c r="FTZ137" s="17"/>
      <c r="FUA137" s="9"/>
      <c r="FUB137" s="9"/>
      <c r="FUC137" s="18"/>
      <c r="FUD137" s="18"/>
      <c r="FUE137" s="18"/>
      <c r="FUF137" s="18"/>
      <c r="FUG137" s="18"/>
      <c r="FUH137" s="17"/>
      <c r="FUI137" s="9"/>
      <c r="FUJ137" s="9"/>
      <c r="FUK137" s="18"/>
      <c r="FUL137" s="18"/>
      <c r="FUM137" s="18"/>
      <c r="FUN137" s="18"/>
      <c r="FUO137" s="18"/>
      <c r="FUP137" s="17"/>
      <c r="FUQ137" s="9"/>
      <c r="FUR137" s="9"/>
      <c r="FUS137" s="18"/>
      <c r="FUT137" s="18"/>
      <c r="FUU137" s="18"/>
      <c r="FUV137" s="18"/>
      <c r="FUW137" s="18"/>
      <c r="FUX137" s="17"/>
      <c r="FUY137" s="9"/>
      <c r="FUZ137" s="9"/>
      <c r="FVA137" s="18"/>
      <c r="FVB137" s="18"/>
      <c r="FVC137" s="18"/>
      <c r="FVD137" s="18"/>
      <c r="FVE137" s="18"/>
      <c r="FVF137" s="17"/>
      <c r="FVG137" s="9"/>
      <c r="FVH137" s="9"/>
      <c r="FVI137" s="18"/>
      <c r="FVJ137" s="18"/>
      <c r="FVK137" s="18"/>
      <c r="FVL137" s="18"/>
      <c r="FVM137" s="18"/>
      <c r="FVN137" s="17"/>
      <c r="FVO137" s="9"/>
      <c r="FVP137" s="9"/>
      <c r="FVQ137" s="18"/>
      <c r="FVR137" s="18"/>
      <c r="FVS137" s="18"/>
      <c r="FVT137" s="18"/>
      <c r="FVU137" s="18"/>
      <c r="FVV137" s="17"/>
      <c r="FVW137" s="9"/>
      <c r="FVX137" s="9"/>
      <c r="FVY137" s="18"/>
      <c r="FVZ137" s="18"/>
      <c r="FWA137" s="18"/>
      <c r="FWB137" s="18"/>
      <c r="FWC137" s="18"/>
      <c r="FWD137" s="17"/>
      <c r="FWE137" s="9"/>
      <c r="FWF137" s="9"/>
      <c r="FWG137" s="18"/>
      <c r="FWH137" s="18"/>
      <c r="FWI137" s="18"/>
      <c r="FWJ137" s="18"/>
      <c r="FWK137" s="18"/>
      <c r="FWL137" s="17"/>
      <c r="FWM137" s="9"/>
      <c r="FWN137" s="9"/>
      <c r="FWO137" s="18"/>
      <c r="FWP137" s="18"/>
      <c r="FWQ137" s="18"/>
      <c r="FWR137" s="18"/>
      <c r="FWS137" s="18"/>
      <c r="FWT137" s="17"/>
      <c r="FWU137" s="9"/>
      <c r="FWV137" s="9"/>
      <c r="FWW137" s="18"/>
      <c r="FWX137" s="18"/>
      <c r="FWY137" s="18"/>
      <c r="FWZ137" s="18"/>
      <c r="FXA137" s="18"/>
      <c r="FXB137" s="17"/>
      <c r="FXC137" s="9"/>
      <c r="FXD137" s="9"/>
      <c r="FXE137" s="18"/>
      <c r="FXF137" s="18"/>
      <c r="FXG137" s="18"/>
      <c r="FXH137" s="18"/>
      <c r="FXI137" s="18"/>
      <c r="FXJ137" s="17"/>
      <c r="FXK137" s="9"/>
      <c r="FXL137" s="9"/>
      <c r="FXM137" s="18"/>
      <c r="FXN137" s="18"/>
      <c r="FXO137" s="18"/>
      <c r="FXP137" s="18"/>
      <c r="FXQ137" s="18"/>
      <c r="FXR137" s="17"/>
      <c r="FXS137" s="9"/>
      <c r="FXT137" s="9"/>
      <c r="FXU137" s="18"/>
      <c r="FXV137" s="18"/>
      <c r="FXW137" s="18"/>
      <c r="FXX137" s="18"/>
      <c r="FXY137" s="18"/>
      <c r="FXZ137" s="17"/>
      <c r="FYA137" s="9"/>
      <c r="FYB137" s="9"/>
      <c r="FYC137" s="18"/>
      <c r="FYD137" s="18"/>
      <c r="FYE137" s="18"/>
      <c r="FYF137" s="18"/>
      <c r="FYG137" s="18"/>
      <c r="FYH137" s="17"/>
      <c r="FYI137" s="9"/>
      <c r="FYJ137" s="9"/>
      <c r="FYK137" s="18"/>
      <c r="FYL137" s="18"/>
      <c r="FYM137" s="18"/>
      <c r="FYN137" s="18"/>
      <c r="FYO137" s="18"/>
      <c r="FYP137" s="17"/>
      <c r="FYQ137" s="9"/>
      <c r="FYR137" s="9"/>
      <c r="FYS137" s="18"/>
      <c r="FYT137" s="18"/>
      <c r="FYU137" s="18"/>
      <c r="FYV137" s="18"/>
      <c r="FYW137" s="18"/>
      <c r="FYX137" s="17"/>
      <c r="FYY137" s="9"/>
      <c r="FYZ137" s="9"/>
      <c r="FZA137" s="18"/>
      <c r="FZB137" s="18"/>
      <c r="FZC137" s="18"/>
      <c r="FZD137" s="18"/>
      <c r="FZE137" s="18"/>
      <c r="FZF137" s="17"/>
      <c r="FZG137" s="9"/>
      <c r="FZH137" s="9"/>
      <c r="FZI137" s="18"/>
      <c r="FZJ137" s="18"/>
      <c r="FZK137" s="18"/>
      <c r="FZL137" s="18"/>
      <c r="FZM137" s="18"/>
      <c r="FZN137" s="17"/>
      <c r="FZO137" s="9"/>
      <c r="FZP137" s="9"/>
      <c r="FZQ137" s="18"/>
      <c r="FZR137" s="18"/>
      <c r="FZS137" s="18"/>
      <c r="FZT137" s="18"/>
      <c r="FZU137" s="18"/>
      <c r="FZV137" s="17"/>
      <c r="FZW137" s="9"/>
      <c r="FZX137" s="9"/>
      <c r="FZY137" s="18"/>
      <c r="FZZ137" s="18"/>
      <c r="GAA137" s="18"/>
      <c r="GAB137" s="18"/>
      <c r="GAC137" s="18"/>
      <c r="GAD137" s="17"/>
      <c r="GAE137" s="9"/>
      <c r="GAF137" s="9"/>
      <c r="GAG137" s="18"/>
      <c r="GAH137" s="18"/>
      <c r="GAI137" s="18"/>
      <c r="GAJ137" s="18"/>
      <c r="GAK137" s="18"/>
      <c r="GAL137" s="17"/>
      <c r="GAM137" s="9"/>
      <c r="GAN137" s="9"/>
      <c r="GAO137" s="18"/>
      <c r="GAP137" s="18"/>
      <c r="GAQ137" s="18"/>
      <c r="GAR137" s="18"/>
      <c r="GAS137" s="18"/>
      <c r="GAT137" s="17"/>
      <c r="GAU137" s="9"/>
      <c r="GAV137" s="9"/>
      <c r="GAW137" s="18"/>
      <c r="GAX137" s="18"/>
      <c r="GAY137" s="18"/>
      <c r="GAZ137" s="18"/>
      <c r="GBA137" s="18"/>
      <c r="GBB137" s="17"/>
      <c r="GBC137" s="9"/>
      <c r="GBD137" s="9"/>
      <c r="GBE137" s="18"/>
      <c r="GBF137" s="18"/>
      <c r="GBG137" s="18"/>
      <c r="GBH137" s="18"/>
      <c r="GBI137" s="18"/>
      <c r="GBJ137" s="17"/>
      <c r="GBK137" s="9"/>
      <c r="GBL137" s="9"/>
      <c r="GBM137" s="18"/>
      <c r="GBN137" s="18"/>
      <c r="GBO137" s="18"/>
      <c r="GBP137" s="18"/>
      <c r="GBQ137" s="18"/>
      <c r="GBR137" s="17"/>
      <c r="GBS137" s="9"/>
      <c r="GBT137" s="9"/>
      <c r="GBU137" s="18"/>
      <c r="GBV137" s="18"/>
      <c r="GBW137" s="18"/>
      <c r="GBX137" s="18"/>
      <c r="GBY137" s="18"/>
      <c r="GBZ137" s="17"/>
      <c r="GCA137" s="9"/>
      <c r="GCB137" s="9"/>
      <c r="GCC137" s="18"/>
      <c r="GCD137" s="18"/>
      <c r="GCE137" s="18"/>
      <c r="GCF137" s="18"/>
      <c r="GCG137" s="18"/>
      <c r="GCH137" s="17"/>
      <c r="GCI137" s="9"/>
      <c r="GCJ137" s="9"/>
      <c r="GCK137" s="18"/>
      <c r="GCL137" s="18"/>
      <c r="GCM137" s="18"/>
      <c r="GCN137" s="18"/>
      <c r="GCO137" s="18"/>
      <c r="GCP137" s="17"/>
      <c r="GCQ137" s="9"/>
      <c r="GCR137" s="9"/>
      <c r="GCS137" s="18"/>
      <c r="GCT137" s="18"/>
      <c r="GCU137" s="18"/>
      <c r="GCV137" s="18"/>
      <c r="GCW137" s="18"/>
      <c r="GCX137" s="17"/>
      <c r="GCY137" s="9"/>
      <c r="GCZ137" s="9"/>
      <c r="GDA137" s="18"/>
      <c r="GDB137" s="18"/>
      <c r="GDC137" s="18"/>
      <c r="GDD137" s="18"/>
      <c r="GDE137" s="18"/>
      <c r="GDF137" s="17"/>
      <c r="GDG137" s="9"/>
      <c r="GDH137" s="9"/>
      <c r="GDI137" s="18"/>
      <c r="GDJ137" s="18"/>
      <c r="GDK137" s="18"/>
      <c r="GDL137" s="18"/>
      <c r="GDM137" s="18"/>
      <c r="GDN137" s="17"/>
      <c r="GDO137" s="9"/>
      <c r="GDP137" s="9"/>
      <c r="GDQ137" s="18"/>
      <c r="GDR137" s="18"/>
      <c r="GDS137" s="18"/>
      <c r="GDT137" s="18"/>
      <c r="GDU137" s="18"/>
      <c r="GDV137" s="17"/>
      <c r="GDW137" s="9"/>
      <c r="GDX137" s="9"/>
      <c r="GDY137" s="18"/>
      <c r="GDZ137" s="18"/>
      <c r="GEA137" s="18"/>
      <c r="GEB137" s="18"/>
      <c r="GEC137" s="18"/>
      <c r="GED137" s="17"/>
      <c r="GEE137" s="9"/>
      <c r="GEF137" s="9"/>
      <c r="GEG137" s="18"/>
      <c r="GEH137" s="18"/>
      <c r="GEI137" s="18"/>
      <c r="GEJ137" s="18"/>
      <c r="GEK137" s="18"/>
      <c r="GEL137" s="17"/>
      <c r="GEM137" s="9"/>
      <c r="GEN137" s="9"/>
      <c r="GEO137" s="18"/>
      <c r="GEP137" s="18"/>
      <c r="GEQ137" s="18"/>
      <c r="GER137" s="18"/>
      <c r="GES137" s="18"/>
      <c r="GET137" s="17"/>
      <c r="GEU137" s="9"/>
      <c r="GEV137" s="9"/>
      <c r="GEW137" s="18"/>
      <c r="GEX137" s="18"/>
      <c r="GEY137" s="18"/>
      <c r="GEZ137" s="18"/>
      <c r="GFA137" s="18"/>
      <c r="GFB137" s="17"/>
      <c r="GFC137" s="9"/>
      <c r="GFD137" s="9"/>
      <c r="GFE137" s="18"/>
      <c r="GFF137" s="18"/>
      <c r="GFG137" s="18"/>
      <c r="GFH137" s="18"/>
      <c r="GFI137" s="18"/>
      <c r="GFJ137" s="17"/>
      <c r="GFK137" s="9"/>
      <c r="GFL137" s="9"/>
      <c r="GFM137" s="18"/>
      <c r="GFN137" s="18"/>
      <c r="GFO137" s="18"/>
      <c r="GFP137" s="18"/>
      <c r="GFQ137" s="18"/>
      <c r="GFR137" s="17"/>
      <c r="GFS137" s="9"/>
      <c r="GFT137" s="9"/>
      <c r="GFU137" s="18"/>
      <c r="GFV137" s="18"/>
      <c r="GFW137" s="18"/>
      <c r="GFX137" s="18"/>
      <c r="GFY137" s="18"/>
      <c r="GFZ137" s="17"/>
      <c r="GGA137" s="9"/>
      <c r="GGB137" s="9"/>
      <c r="GGC137" s="18"/>
      <c r="GGD137" s="18"/>
      <c r="GGE137" s="18"/>
      <c r="GGF137" s="18"/>
      <c r="GGG137" s="18"/>
      <c r="GGH137" s="17"/>
      <c r="GGI137" s="9"/>
      <c r="GGJ137" s="9"/>
      <c r="GGK137" s="18"/>
      <c r="GGL137" s="18"/>
      <c r="GGM137" s="18"/>
      <c r="GGN137" s="18"/>
      <c r="GGO137" s="18"/>
      <c r="GGP137" s="17"/>
      <c r="GGQ137" s="9"/>
      <c r="GGR137" s="9"/>
      <c r="GGS137" s="18"/>
      <c r="GGT137" s="18"/>
      <c r="GGU137" s="18"/>
      <c r="GGV137" s="18"/>
      <c r="GGW137" s="18"/>
      <c r="GGX137" s="17"/>
      <c r="GGY137" s="9"/>
      <c r="GGZ137" s="9"/>
      <c r="GHA137" s="18"/>
      <c r="GHB137" s="18"/>
      <c r="GHC137" s="18"/>
      <c r="GHD137" s="18"/>
      <c r="GHE137" s="18"/>
      <c r="GHF137" s="17"/>
      <c r="GHG137" s="9"/>
      <c r="GHH137" s="9"/>
      <c r="GHI137" s="18"/>
      <c r="GHJ137" s="18"/>
      <c r="GHK137" s="18"/>
      <c r="GHL137" s="18"/>
      <c r="GHM137" s="18"/>
      <c r="GHN137" s="17"/>
      <c r="GHO137" s="9"/>
      <c r="GHP137" s="9"/>
      <c r="GHQ137" s="18"/>
      <c r="GHR137" s="18"/>
      <c r="GHS137" s="18"/>
      <c r="GHT137" s="18"/>
      <c r="GHU137" s="18"/>
      <c r="GHV137" s="17"/>
      <c r="GHW137" s="9"/>
      <c r="GHX137" s="9"/>
      <c r="GHY137" s="18"/>
      <c r="GHZ137" s="18"/>
      <c r="GIA137" s="18"/>
      <c r="GIB137" s="18"/>
      <c r="GIC137" s="18"/>
      <c r="GID137" s="17"/>
      <c r="GIE137" s="9"/>
      <c r="GIF137" s="9"/>
      <c r="GIG137" s="18"/>
      <c r="GIH137" s="18"/>
      <c r="GII137" s="18"/>
      <c r="GIJ137" s="18"/>
      <c r="GIK137" s="18"/>
      <c r="GIL137" s="17"/>
      <c r="GIM137" s="9"/>
      <c r="GIN137" s="9"/>
      <c r="GIO137" s="18"/>
      <c r="GIP137" s="18"/>
      <c r="GIQ137" s="18"/>
      <c r="GIR137" s="18"/>
      <c r="GIS137" s="18"/>
      <c r="GIT137" s="17"/>
      <c r="GIU137" s="9"/>
      <c r="GIV137" s="9"/>
      <c r="GIW137" s="18"/>
      <c r="GIX137" s="18"/>
      <c r="GIY137" s="18"/>
      <c r="GIZ137" s="18"/>
      <c r="GJA137" s="18"/>
      <c r="GJB137" s="17"/>
      <c r="GJC137" s="9"/>
      <c r="GJD137" s="9"/>
      <c r="GJE137" s="18"/>
      <c r="GJF137" s="18"/>
      <c r="GJG137" s="18"/>
      <c r="GJH137" s="18"/>
      <c r="GJI137" s="18"/>
      <c r="GJJ137" s="17"/>
      <c r="GJK137" s="9"/>
      <c r="GJL137" s="9"/>
      <c r="GJM137" s="18"/>
      <c r="GJN137" s="18"/>
      <c r="GJO137" s="18"/>
      <c r="GJP137" s="18"/>
      <c r="GJQ137" s="18"/>
      <c r="GJR137" s="17"/>
      <c r="GJS137" s="9"/>
      <c r="GJT137" s="9"/>
      <c r="GJU137" s="18"/>
      <c r="GJV137" s="18"/>
      <c r="GJW137" s="18"/>
      <c r="GJX137" s="18"/>
      <c r="GJY137" s="18"/>
      <c r="GJZ137" s="17"/>
      <c r="GKA137" s="9"/>
      <c r="GKB137" s="9"/>
      <c r="GKC137" s="18"/>
      <c r="GKD137" s="18"/>
      <c r="GKE137" s="18"/>
      <c r="GKF137" s="18"/>
      <c r="GKG137" s="18"/>
      <c r="GKH137" s="17"/>
      <c r="GKI137" s="9"/>
      <c r="GKJ137" s="9"/>
      <c r="GKK137" s="18"/>
      <c r="GKL137" s="18"/>
      <c r="GKM137" s="18"/>
      <c r="GKN137" s="18"/>
      <c r="GKO137" s="18"/>
      <c r="GKP137" s="17"/>
      <c r="GKQ137" s="9"/>
      <c r="GKR137" s="9"/>
      <c r="GKS137" s="18"/>
      <c r="GKT137" s="18"/>
      <c r="GKU137" s="18"/>
      <c r="GKV137" s="18"/>
      <c r="GKW137" s="18"/>
      <c r="GKX137" s="17"/>
      <c r="GKY137" s="9"/>
      <c r="GKZ137" s="9"/>
      <c r="GLA137" s="18"/>
      <c r="GLB137" s="18"/>
      <c r="GLC137" s="18"/>
      <c r="GLD137" s="18"/>
      <c r="GLE137" s="18"/>
      <c r="GLF137" s="17"/>
      <c r="GLG137" s="9"/>
      <c r="GLH137" s="9"/>
      <c r="GLI137" s="18"/>
      <c r="GLJ137" s="18"/>
      <c r="GLK137" s="18"/>
      <c r="GLL137" s="18"/>
      <c r="GLM137" s="18"/>
      <c r="GLN137" s="17"/>
      <c r="GLO137" s="9"/>
      <c r="GLP137" s="9"/>
      <c r="GLQ137" s="18"/>
      <c r="GLR137" s="18"/>
      <c r="GLS137" s="18"/>
      <c r="GLT137" s="18"/>
      <c r="GLU137" s="18"/>
      <c r="GLV137" s="17"/>
      <c r="GLW137" s="9"/>
      <c r="GLX137" s="9"/>
      <c r="GLY137" s="18"/>
      <c r="GLZ137" s="18"/>
      <c r="GMA137" s="18"/>
      <c r="GMB137" s="18"/>
      <c r="GMC137" s="18"/>
      <c r="GMD137" s="17"/>
      <c r="GME137" s="9"/>
      <c r="GMF137" s="9"/>
      <c r="GMG137" s="18"/>
      <c r="GMH137" s="18"/>
      <c r="GMI137" s="18"/>
      <c r="GMJ137" s="18"/>
      <c r="GMK137" s="18"/>
      <c r="GML137" s="17"/>
      <c r="GMM137" s="9"/>
      <c r="GMN137" s="9"/>
      <c r="GMO137" s="18"/>
      <c r="GMP137" s="18"/>
      <c r="GMQ137" s="18"/>
      <c r="GMR137" s="18"/>
      <c r="GMS137" s="18"/>
      <c r="GMT137" s="17"/>
      <c r="GMU137" s="9"/>
      <c r="GMV137" s="9"/>
      <c r="GMW137" s="18"/>
      <c r="GMX137" s="18"/>
      <c r="GMY137" s="18"/>
      <c r="GMZ137" s="18"/>
      <c r="GNA137" s="18"/>
      <c r="GNB137" s="17"/>
      <c r="GNC137" s="9"/>
      <c r="GND137" s="9"/>
      <c r="GNE137" s="18"/>
      <c r="GNF137" s="18"/>
      <c r="GNG137" s="18"/>
      <c r="GNH137" s="18"/>
      <c r="GNI137" s="18"/>
      <c r="GNJ137" s="17"/>
      <c r="GNK137" s="9"/>
      <c r="GNL137" s="9"/>
      <c r="GNM137" s="18"/>
      <c r="GNN137" s="18"/>
      <c r="GNO137" s="18"/>
      <c r="GNP137" s="18"/>
      <c r="GNQ137" s="18"/>
      <c r="GNR137" s="17"/>
      <c r="GNS137" s="9"/>
      <c r="GNT137" s="9"/>
      <c r="GNU137" s="18"/>
      <c r="GNV137" s="18"/>
      <c r="GNW137" s="18"/>
      <c r="GNX137" s="18"/>
      <c r="GNY137" s="18"/>
      <c r="GNZ137" s="17"/>
      <c r="GOA137" s="9"/>
      <c r="GOB137" s="9"/>
      <c r="GOC137" s="18"/>
      <c r="GOD137" s="18"/>
      <c r="GOE137" s="18"/>
      <c r="GOF137" s="18"/>
      <c r="GOG137" s="18"/>
      <c r="GOH137" s="17"/>
      <c r="GOI137" s="9"/>
      <c r="GOJ137" s="9"/>
      <c r="GOK137" s="18"/>
      <c r="GOL137" s="18"/>
      <c r="GOM137" s="18"/>
      <c r="GON137" s="18"/>
      <c r="GOO137" s="18"/>
      <c r="GOP137" s="17"/>
      <c r="GOQ137" s="9"/>
      <c r="GOR137" s="9"/>
      <c r="GOS137" s="18"/>
      <c r="GOT137" s="18"/>
      <c r="GOU137" s="18"/>
      <c r="GOV137" s="18"/>
      <c r="GOW137" s="18"/>
      <c r="GOX137" s="17"/>
      <c r="GOY137" s="9"/>
      <c r="GOZ137" s="9"/>
      <c r="GPA137" s="18"/>
      <c r="GPB137" s="18"/>
      <c r="GPC137" s="18"/>
      <c r="GPD137" s="18"/>
      <c r="GPE137" s="18"/>
      <c r="GPF137" s="17"/>
      <c r="GPG137" s="9"/>
      <c r="GPH137" s="9"/>
      <c r="GPI137" s="18"/>
      <c r="GPJ137" s="18"/>
      <c r="GPK137" s="18"/>
      <c r="GPL137" s="18"/>
      <c r="GPM137" s="18"/>
      <c r="GPN137" s="17"/>
      <c r="GPO137" s="9"/>
      <c r="GPP137" s="9"/>
      <c r="GPQ137" s="18"/>
      <c r="GPR137" s="18"/>
      <c r="GPS137" s="18"/>
      <c r="GPT137" s="18"/>
      <c r="GPU137" s="18"/>
      <c r="GPV137" s="17"/>
      <c r="GPW137" s="9"/>
      <c r="GPX137" s="9"/>
      <c r="GPY137" s="18"/>
      <c r="GPZ137" s="18"/>
      <c r="GQA137" s="18"/>
      <c r="GQB137" s="18"/>
      <c r="GQC137" s="18"/>
      <c r="GQD137" s="17"/>
      <c r="GQE137" s="9"/>
      <c r="GQF137" s="9"/>
      <c r="GQG137" s="18"/>
      <c r="GQH137" s="18"/>
      <c r="GQI137" s="18"/>
      <c r="GQJ137" s="18"/>
      <c r="GQK137" s="18"/>
      <c r="GQL137" s="17"/>
      <c r="GQM137" s="9"/>
      <c r="GQN137" s="9"/>
      <c r="GQO137" s="18"/>
      <c r="GQP137" s="18"/>
      <c r="GQQ137" s="18"/>
      <c r="GQR137" s="18"/>
      <c r="GQS137" s="18"/>
      <c r="GQT137" s="17"/>
      <c r="GQU137" s="9"/>
      <c r="GQV137" s="9"/>
      <c r="GQW137" s="18"/>
      <c r="GQX137" s="18"/>
      <c r="GQY137" s="18"/>
      <c r="GQZ137" s="18"/>
      <c r="GRA137" s="18"/>
      <c r="GRB137" s="17"/>
      <c r="GRC137" s="9"/>
      <c r="GRD137" s="9"/>
      <c r="GRE137" s="18"/>
      <c r="GRF137" s="18"/>
      <c r="GRG137" s="18"/>
      <c r="GRH137" s="18"/>
      <c r="GRI137" s="18"/>
      <c r="GRJ137" s="17"/>
      <c r="GRK137" s="9"/>
      <c r="GRL137" s="9"/>
      <c r="GRM137" s="18"/>
      <c r="GRN137" s="18"/>
      <c r="GRO137" s="18"/>
      <c r="GRP137" s="18"/>
      <c r="GRQ137" s="18"/>
      <c r="GRR137" s="17"/>
      <c r="GRS137" s="9"/>
      <c r="GRT137" s="9"/>
      <c r="GRU137" s="18"/>
      <c r="GRV137" s="18"/>
      <c r="GRW137" s="18"/>
      <c r="GRX137" s="18"/>
      <c r="GRY137" s="18"/>
      <c r="GRZ137" s="17"/>
      <c r="GSA137" s="9"/>
      <c r="GSB137" s="9"/>
      <c r="GSC137" s="18"/>
      <c r="GSD137" s="18"/>
      <c r="GSE137" s="18"/>
      <c r="GSF137" s="18"/>
      <c r="GSG137" s="18"/>
      <c r="GSH137" s="17"/>
      <c r="GSI137" s="9"/>
      <c r="GSJ137" s="9"/>
      <c r="GSK137" s="18"/>
      <c r="GSL137" s="18"/>
      <c r="GSM137" s="18"/>
      <c r="GSN137" s="18"/>
      <c r="GSO137" s="18"/>
      <c r="GSP137" s="17"/>
      <c r="GSQ137" s="9"/>
      <c r="GSR137" s="9"/>
      <c r="GSS137" s="18"/>
      <c r="GST137" s="18"/>
      <c r="GSU137" s="18"/>
      <c r="GSV137" s="18"/>
      <c r="GSW137" s="18"/>
      <c r="GSX137" s="17"/>
      <c r="GSY137" s="9"/>
      <c r="GSZ137" s="9"/>
      <c r="GTA137" s="18"/>
      <c r="GTB137" s="18"/>
      <c r="GTC137" s="18"/>
      <c r="GTD137" s="18"/>
      <c r="GTE137" s="18"/>
      <c r="GTF137" s="17"/>
      <c r="GTG137" s="9"/>
      <c r="GTH137" s="9"/>
      <c r="GTI137" s="18"/>
      <c r="GTJ137" s="18"/>
      <c r="GTK137" s="18"/>
      <c r="GTL137" s="18"/>
      <c r="GTM137" s="18"/>
      <c r="GTN137" s="17"/>
      <c r="GTO137" s="9"/>
      <c r="GTP137" s="9"/>
      <c r="GTQ137" s="18"/>
      <c r="GTR137" s="18"/>
      <c r="GTS137" s="18"/>
      <c r="GTT137" s="18"/>
      <c r="GTU137" s="18"/>
      <c r="GTV137" s="17"/>
      <c r="GTW137" s="9"/>
      <c r="GTX137" s="9"/>
      <c r="GTY137" s="18"/>
      <c r="GTZ137" s="18"/>
      <c r="GUA137" s="18"/>
      <c r="GUB137" s="18"/>
      <c r="GUC137" s="18"/>
      <c r="GUD137" s="17"/>
      <c r="GUE137" s="9"/>
      <c r="GUF137" s="9"/>
      <c r="GUG137" s="18"/>
      <c r="GUH137" s="18"/>
      <c r="GUI137" s="18"/>
      <c r="GUJ137" s="18"/>
      <c r="GUK137" s="18"/>
      <c r="GUL137" s="17"/>
      <c r="GUM137" s="9"/>
      <c r="GUN137" s="9"/>
      <c r="GUO137" s="18"/>
      <c r="GUP137" s="18"/>
      <c r="GUQ137" s="18"/>
      <c r="GUR137" s="18"/>
      <c r="GUS137" s="18"/>
      <c r="GUT137" s="17"/>
      <c r="GUU137" s="9"/>
      <c r="GUV137" s="9"/>
      <c r="GUW137" s="18"/>
      <c r="GUX137" s="18"/>
      <c r="GUY137" s="18"/>
      <c r="GUZ137" s="18"/>
      <c r="GVA137" s="18"/>
      <c r="GVB137" s="17"/>
      <c r="GVC137" s="9"/>
      <c r="GVD137" s="9"/>
      <c r="GVE137" s="18"/>
      <c r="GVF137" s="18"/>
      <c r="GVG137" s="18"/>
      <c r="GVH137" s="18"/>
      <c r="GVI137" s="18"/>
      <c r="GVJ137" s="17"/>
      <c r="GVK137" s="9"/>
      <c r="GVL137" s="9"/>
      <c r="GVM137" s="18"/>
      <c r="GVN137" s="18"/>
      <c r="GVO137" s="18"/>
      <c r="GVP137" s="18"/>
      <c r="GVQ137" s="18"/>
      <c r="GVR137" s="17"/>
      <c r="GVS137" s="9"/>
      <c r="GVT137" s="9"/>
      <c r="GVU137" s="18"/>
      <c r="GVV137" s="18"/>
      <c r="GVW137" s="18"/>
      <c r="GVX137" s="18"/>
      <c r="GVY137" s="18"/>
      <c r="GVZ137" s="17"/>
      <c r="GWA137" s="9"/>
      <c r="GWB137" s="9"/>
      <c r="GWC137" s="18"/>
      <c r="GWD137" s="18"/>
      <c r="GWE137" s="18"/>
      <c r="GWF137" s="18"/>
      <c r="GWG137" s="18"/>
      <c r="GWH137" s="17"/>
      <c r="GWI137" s="9"/>
      <c r="GWJ137" s="9"/>
      <c r="GWK137" s="18"/>
      <c r="GWL137" s="18"/>
      <c r="GWM137" s="18"/>
      <c r="GWN137" s="18"/>
      <c r="GWO137" s="18"/>
      <c r="GWP137" s="17"/>
      <c r="GWQ137" s="9"/>
      <c r="GWR137" s="9"/>
      <c r="GWS137" s="18"/>
      <c r="GWT137" s="18"/>
      <c r="GWU137" s="18"/>
      <c r="GWV137" s="18"/>
      <c r="GWW137" s="18"/>
      <c r="GWX137" s="17"/>
      <c r="GWY137" s="9"/>
      <c r="GWZ137" s="9"/>
      <c r="GXA137" s="18"/>
      <c r="GXB137" s="18"/>
      <c r="GXC137" s="18"/>
      <c r="GXD137" s="18"/>
      <c r="GXE137" s="18"/>
      <c r="GXF137" s="17"/>
      <c r="GXG137" s="9"/>
      <c r="GXH137" s="9"/>
      <c r="GXI137" s="18"/>
      <c r="GXJ137" s="18"/>
      <c r="GXK137" s="18"/>
      <c r="GXL137" s="18"/>
      <c r="GXM137" s="18"/>
      <c r="GXN137" s="17"/>
      <c r="GXO137" s="9"/>
      <c r="GXP137" s="9"/>
      <c r="GXQ137" s="18"/>
      <c r="GXR137" s="18"/>
      <c r="GXS137" s="18"/>
      <c r="GXT137" s="18"/>
      <c r="GXU137" s="18"/>
      <c r="GXV137" s="17"/>
      <c r="GXW137" s="9"/>
      <c r="GXX137" s="9"/>
      <c r="GXY137" s="18"/>
      <c r="GXZ137" s="18"/>
      <c r="GYA137" s="18"/>
      <c r="GYB137" s="18"/>
      <c r="GYC137" s="18"/>
      <c r="GYD137" s="17"/>
      <c r="GYE137" s="9"/>
      <c r="GYF137" s="9"/>
      <c r="GYG137" s="18"/>
      <c r="GYH137" s="18"/>
      <c r="GYI137" s="18"/>
      <c r="GYJ137" s="18"/>
      <c r="GYK137" s="18"/>
      <c r="GYL137" s="17"/>
      <c r="GYM137" s="9"/>
      <c r="GYN137" s="9"/>
      <c r="GYO137" s="18"/>
      <c r="GYP137" s="18"/>
      <c r="GYQ137" s="18"/>
      <c r="GYR137" s="18"/>
      <c r="GYS137" s="18"/>
      <c r="GYT137" s="17"/>
      <c r="GYU137" s="9"/>
      <c r="GYV137" s="9"/>
      <c r="GYW137" s="18"/>
      <c r="GYX137" s="18"/>
      <c r="GYY137" s="18"/>
      <c r="GYZ137" s="18"/>
      <c r="GZA137" s="18"/>
      <c r="GZB137" s="17"/>
      <c r="GZC137" s="9"/>
      <c r="GZD137" s="9"/>
      <c r="GZE137" s="18"/>
      <c r="GZF137" s="18"/>
      <c r="GZG137" s="18"/>
      <c r="GZH137" s="18"/>
      <c r="GZI137" s="18"/>
      <c r="GZJ137" s="17"/>
      <c r="GZK137" s="9"/>
      <c r="GZL137" s="9"/>
      <c r="GZM137" s="18"/>
      <c r="GZN137" s="18"/>
      <c r="GZO137" s="18"/>
      <c r="GZP137" s="18"/>
      <c r="GZQ137" s="18"/>
      <c r="GZR137" s="17"/>
      <c r="GZS137" s="9"/>
      <c r="GZT137" s="9"/>
      <c r="GZU137" s="18"/>
      <c r="GZV137" s="18"/>
      <c r="GZW137" s="18"/>
      <c r="GZX137" s="18"/>
      <c r="GZY137" s="18"/>
      <c r="GZZ137" s="17"/>
      <c r="HAA137" s="9"/>
      <c r="HAB137" s="9"/>
      <c r="HAC137" s="18"/>
      <c r="HAD137" s="18"/>
      <c r="HAE137" s="18"/>
      <c r="HAF137" s="18"/>
      <c r="HAG137" s="18"/>
      <c r="HAH137" s="17"/>
      <c r="HAI137" s="9"/>
      <c r="HAJ137" s="9"/>
      <c r="HAK137" s="18"/>
      <c r="HAL137" s="18"/>
      <c r="HAM137" s="18"/>
      <c r="HAN137" s="18"/>
      <c r="HAO137" s="18"/>
      <c r="HAP137" s="17"/>
      <c r="HAQ137" s="9"/>
      <c r="HAR137" s="9"/>
      <c r="HAS137" s="18"/>
      <c r="HAT137" s="18"/>
      <c r="HAU137" s="18"/>
      <c r="HAV137" s="18"/>
      <c r="HAW137" s="18"/>
      <c r="HAX137" s="17"/>
      <c r="HAY137" s="9"/>
      <c r="HAZ137" s="9"/>
      <c r="HBA137" s="18"/>
      <c r="HBB137" s="18"/>
      <c r="HBC137" s="18"/>
      <c r="HBD137" s="18"/>
      <c r="HBE137" s="18"/>
      <c r="HBF137" s="17"/>
      <c r="HBG137" s="9"/>
      <c r="HBH137" s="9"/>
      <c r="HBI137" s="18"/>
      <c r="HBJ137" s="18"/>
      <c r="HBK137" s="18"/>
      <c r="HBL137" s="18"/>
      <c r="HBM137" s="18"/>
      <c r="HBN137" s="17"/>
      <c r="HBO137" s="9"/>
      <c r="HBP137" s="9"/>
      <c r="HBQ137" s="18"/>
      <c r="HBR137" s="18"/>
      <c r="HBS137" s="18"/>
      <c r="HBT137" s="18"/>
      <c r="HBU137" s="18"/>
      <c r="HBV137" s="17"/>
      <c r="HBW137" s="9"/>
      <c r="HBX137" s="9"/>
      <c r="HBY137" s="18"/>
      <c r="HBZ137" s="18"/>
      <c r="HCA137" s="18"/>
      <c r="HCB137" s="18"/>
      <c r="HCC137" s="18"/>
      <c r="HCD137" s="17"/>
      <c r="HCE137" s="9"/>
      <c r="HCF137" s="9"/>
      <c r="HCG137" s="18"/>
      <c r="HCH137" s="18"/>
      <c r="HCI137" s="18"/>
      <c r="HCJ137" s="18"/>
      <c r="HCK137" s="18"/>
      <c r="HCL137" s="17"/>
      <c r="HCM137" s="9"/>
      <c r="HCN137" s="9"/>
      <c r="HCO137" s="18"/>
      <c r="HCP137" s="18"/>
      <c r="HCQ137" s="18"/>
      <c r="HCR137" s="18"/>
      <c r="HCS137" s="18"/>
      <c r="HCT137" s="17"/>
      <c r="HCU137" s="9"/>
      <c r="HCV137" s="9"/>
      <c r="HCW137" s="18"/>
      <c r="HCX137" s="18"/>
      <c r="HCY137" s="18"/>
      <c r="HCZ137" s="18"/>
      <c r="HDA137" s="18"/>
      <c r="HDB137" s="17"/>
      <c r="HDC137" s="9"/>
      <c r="HDD137" s="9"/>
      <c r="HDE137" s="18"/>
      <c r="HDF137" s="18"/>
      <c r="HDG137" s="18"/>
      <c r="HDH137" s="18"/>
      <c r="HDI137" s="18"/>
      <c r="HDJ137" s="17"/>
      <c r="HDK137" s="9"/>
      <c r="HDL137" s="9"/>
      <c r="HDM137" s="18"/>
      <c r="HDN137" s="18"/>
      <c r="HDO137" s="18"/>
      <c r="HDP137" s="18"/>
      <c r="HDQ137" s="18"/>
      <c r="HDR137" s="17"/>
      <c r="HDS137" s="9"/>
      <c r="HDT137" s="9"/>
      <c r="HDU137" s="18"/>
      <c r="HDV137" s="18"/>
      <c r="HDW137" s="18"/>
      <c r="HDX137" s="18"/>
      <c r="HDY137" s="18"/>
      <c r="HDZ137" s="17"/>
      <c r="HEA137" s="9"/>
      <c r="HEB137" s="9"/>
      <c r="HEC137" s="18"/>
      <c r="HED137" s="18"/>
      <c r="HEE137" s="18"/>
      <c r="HEF137" s="18"/>
      <c r="HEG137" s="18"/>
      <c r="HEH137" s="17"/>
      <c r="HEI137" s="9"/>
      <c r="HEJ137" s="9"/>
      <c r="HEK137" s="18"/>
      <c r="HEL137" s="18"/>
      <c r="HEM137" s="18"/>
      <c r="HEN137" s="18"/>
      <c r="HEO137" s="18"/>
      <c r="HEP137" s="17"/>
      <c r="HEQ137" s="9"/>
      <c r="HER137" s="9"/>
      <c r="HES137" s="18"/>
      <c r="HET137" s="18"/>
      <c r="HEU137" s="18"/>
      <c r="HEV137" s="18"/>
      <c r="HEW137" s="18"/>
      <c r="HEX137" s="17"/>
      <c r="HEY137" s="9"/>
      <c r="HEZ137" s="9"/>
      <c r="HFA137" s="18"/>
      <c r="HFB137" s="18"/>
      <c r="HFC137" s="18"/>
      <c r="HFD137" s="18"/>
      <c r="HFE137" s="18"/>
      <c r="HFF137" s="17"/>
      <c r="HFG137" s="9"/>
      <c r="HFH137" s="9"/>
      <c r="HFI137" s="18"/>
      <c r="HFJ137" s="18"/>
      <c r="HFK137" s="18"/>
      <c r="HFL137" s="18"/>
      <c r="HFM137" s="18"/>
      <c r="HFN137" s="17"/>
      <c r="HFO137" s="9"/>
      <c r="HFP137" s="9"/>
      <c r="HFQ137" s="18"/>
      <c r="HFR137" s="18"/>
      <c r="HFS137" s="18"/>
      <c r="HFT137" s="18"/>
      <c r="HFU137" s="18"/>
      <c r="HFV137" s="17"/>
      <c r="HFW137" s="9"/>
      <c r="HFX137" s="9"/>
      <c r="HFY137" s="18"/>
      <c r="HFZ137" s="18"/>
      <c r="HGA137" s="18"/>
      <c r="HGB137" s="18"/>
      <c r="HGC137" s="18"/>
      <c r="HGD137" s="17"/>
      <c r="HGE137" s="9"/>
      <c r="HGF137" s="9"/>
      <c r="HGG137" s="18"/>
      <c r="HGH137" s="18"/>
      <c r="HGI137" s="18"/>
      <c r="HGJ137" s="18"/>
      <c r="HGK137" s="18"/>
      <c r="HGL137" s="17"/>
      <c r="HGM137" s="9"/>
      <c r="HGN137" s="9"/>
      <c r="HGO137" s="18"/>
      <c r="HGP137" s="18"/>
      <c r="HGQ137" s="18"/>
      <c r="HGR137" s="18"/>
      <c r="HGS137" s="18"/>
      <c r="HGT137" s="17"/>
      <c r="HGU137" s="9"/>
      <c r="HGV137" s="9"/>
      <c r="HGW137" s="18"/>
      <c r="HGX137" s="18"/>
      <c r="HGY137" s="18"/>
      <c r="HGZ137" s="18"/>
      <c r="HHA137" s="18"/>
      <c r="HHB137" s="17"/>
      <c r="HHC137" s="9"/>
      <c r="HHD137" s="9"/>
      <c r="HHE137" s="18"/>
      <c r="HHF137" s="18"/>
      <c r="HHG137" s="18"/>
      <c r="HHH137" s="18"/>
      <c r="HHI137" s="18"/>
      <c r="HHJ137" s="17"/>
      <c r="HHK137" s="9"/>
      <c r="HHL137" s="9"/>
      <c r="HHM137" s="18"/>
      <c r="HHN137" s="18"/>
      <c r="HHO137" s="18"/>
      <c r="HHP137" s="18"/>
      <c r="HHQ137" s="18"/>
      <c r="HHR137" s="17"/>
      <c r="HHS137" s="9"/>
      <c r="HHT137" s="9"/>
      <c r="HHU137" s="18"/>
      <c r="HHV137" s="18"/>
      <c r="HHW137" s="18"/>
      <c r="HHX137" s="18"/>
      <c r="HHY137" s="18"/>
      <c r="HHZ137" s="17"/>
      <c r="HIA137" s="9"/>
      <c r="HIB137" s="9"/>
      <c r="HIC137" s="18"/>
      <c r="HID137" s="18"/>
      <c r="HIE137" s="18"/>
      <c r="HIF137" s="18"/>
      <c r="HIG137" s="18"/>
      <c r="HIH137" s="17"/>
      <c r="HII137" s="9"/>
      <c r="HIJ137" s="9"/>
      <c r="HIK137" s="18"/>
      <c r="HIL137" s="18"/>
      <c r="HIM137" s="18"/>
      <c r="HIN137" s="18"/>
      <c r="HIO137" s="18"/>
      <c r="HIP137" s="17"/>
      <c r="HIQ137" s="9"/>
      <c r="HIR137" s="9"/>
      <c r="HIS137" s="18"/>
      <c r="HIT137" s="18"/>
      <c r="HIU137" s="18"/>
      <c r="HIV137" s="18"/>
      <c r="HIW137" s="18"/>
      <c r="HIX137" s="17"/>
      <c r="HIY137" s="9"/>
      <c r="HIZ137" s="9"/>
      <c r="HJA137" s="18"/>
      <c r="HJB137" s="18"/>
      <c r="HJC137" s="18"/>
      <c r="HJD137" s="18"/>
      <c r="HJE137" s="18"/>
      <c r="HJF137" s="17"/>
      <c r="HJG137" s="9"/>
      <c r="HJH137" s="9"/>
      <c r="HJI137" s="18"/>
      <c r="HJJ137" s="18"/>
      <c r="HJK137" s="18"/>
      <c r="HJL137" s="18"/>
      <c r="HJM137" s="18"/>
      <c r="HJN137" s="17"/>
      <c r="HJO137" s="9"/>
      <c r="HJP137" s="9"/>
      <c r="HJQ137" s="18"/>
      <c r="HJR137" s="18"/>
      <c r="HJS137" s="18"/>
      <c r="HJT137" s="18"/>
      <c r="HJU137" s="18"/>
      <c r="HJV137" s="17"/>
      <c r="HJW137" s="9"/>
      <c r="HJX137" s="9"/>
      <c r="HJY137" s="18"/>
      <c r="HJZ137" s="18"/>
      <c r="HKA137" s="18"/>
      <c r="HKB137" s="18"/>
      <c r="HKC137" s="18"/>
      <c r="HKD137" s="17"/>
      <c r="HKE137" s="9"/>
      <c r="HKF137" s="9"/>
      <c r="HKG137" s="18"/>
      <c r="HKH137" s="18"/>
      <c r="HKI137" s="18"/>
      <c r="HKJ137" s="18"/>
      <c r="HKK137" s="18"/>
      <c r="HKL137" s="17"/>
      <c r="HKM137" s="9"/>
      <c r="HKN137" s="9"/>
      <c r="HKO137" s="18"/>
      <c r="HKP137" s="18"/>
      <c r="HKQ137" s="18"/>
      <c r="HKR137" s="18"/>
      <c r="HKS137" s="18"/>
      <c r="HKT137" s="17"/>
      <c r="HKU137" s="9"/>
      <c r="HKV137" s="9"/>
      <c r="HKW137" s="18"/>
      <c r="HKX137" s="18"/>
      <c r="HKY137" s="18"/>
      <c r="HKZ137" s="18"/>
      <c r="HLA137" s="18"/>
      <c r="HLB137" s="17"/>
      <c r="HLC137" s="9"/>
      <c r="HLD137" s="9"/>
      <c r="HLE137" s="18"/>
      <c r="HLF137" s="18"/>
      <c r="HLG137" s="18"/>
      <c r="HLH137" s="18"/>
      <c r="HLI137" s="18"/>
      <c r="HLJ137" s="17"/>
      <c r="HLK137" s="9"/>
      <c r="HLL137" s="9"/>
      <c r="HLM137" s="18"/>
      <c r="HLN137" s="18"/>
      <c r="HLO137" s="18"/>
      <c r="HLP137" s="18"/>
      <c r="HLQ137" s="18"/>
      <c r="HLR137" s="17"/>
      <c r="HLS137" s="9"/>
      <c r="HLT137" s="9"/>
      <c r="HLU137" s="18"/>
      <c r="HLV137" s="18"/>
      <c r="HLW137" s="18"/>
      <c r="HLX137" s="18"/>
      <c r="HLY137" s="18"/>
      <c r="HLZ137" s="17"/>
      <c r="HMA137" s="9"/>
      <c r="HMB137" s="9"/>
      <c r="HMC137" s="18"/>
      <c r="HMD137" s="18"/>
      <c r="HME137" s="18"/>
      <c r="HMF137" s="18"/>
      <c r="HMG137" s="18"/>
      <c r="HMH137" s="17"/>
      <c r="HMI137" s="9"/>
      <c r="HMJ137" s="9"/>
      <c r="HMK137" s="18"/>
      <c r="HML137" s="18"/>
      <c r="HMM137" s="18"/>
      <c r="HMN137" s="18"/>
      <c r="HMO137" s="18"/>
      <c r="HMP137" s="17"/>
      <c r="HMQ137" s="9"/>
      <c r="HMR137" s="9"/>
      <c r="HMS137" s="18"/>
      <c r="HMT137" s="18"/>
      <c r="HMU137" s="18"/>
      <c r="HMV137" s="18"/>
      <c r="HMW137" s="18"/>
      <c r="HMX137" s="17"/>
      <c r="HMY137" s="9"/>
      <c r="HMZ137" s="9"/>
      <c r="HNA137" s="18"/>
      <c r="HNB137" s="18"/>
      <c r="HNC137" s="18"/>
      <c r="HND137" s="18"/>
      <c r="HNE137" s="18"/>
      <c r="HNF137" s="17"/>
      <c r="HNG137" s="9"/>
      <c r="HNH137" s="9"/>
      <c r="HNI137" s="18"/>
      <c r="HNJ137" s="18"/>
      <c r="HNK137" s="18"/>
      <c r="HNL137" s="18"/>
      <c r="HNM137" s="18"/>
      <c r="HNN137" s="17"/>
      <c r="HNO137" s="9"/>
      <c r="HNP137" s="9"/>
      <c r="HNQ137" s="18"/>
      <c r="HNR137" s="18"/>
      <c r="HNS137" s="18"/>
      <c r="HNT137" s="18"/>
      <c r="HNU137" s="18"/>
      <c r="HNV137" s="17"/>
      <c r="HNW137" s="9"/>
      <c r="HNX137" s="9"/>
      <c r="HNY137" s="18"/>
      <c r="HNZ137" s="18"/>
      <c r="HOA137" s="18"/>
      <c r="HOB137" s="18"/>
      <c r="HOC137" s="18"/>
      <c r="HOD137" s="17"/>
      <c r="HOE137" s="9"/>
      <c r="HOF137" s="9"/>
      <c r="HOG137" s="18"/>
      <c r="HOH137" s="18"/>
      <c r="HOI137" s="18"/>
      <c r="HOJ137" s="18"/>
      <c r="HOK137" s="18"/>
      <c r="HOL137" s="17"/>
      <c r="HOM137" s="9"/>
      <c r="HON137" s="9"/>
      <c r="HOO137" s="18"/>
      <c r="HOP137" s="18"/>
      <c r="HOQ137" s="18"/>
      <c r="HOR137" s="18"/>
      <c r="HOS137" s="18"/>
      <c r="HOT137" s="17"/>
      <c r="HOU137" s="9"/>
      <c r="HOV137" s="9"/>
      <c r="HOW137" s="18"/>
      <c r="HOX137" s="18"/>
      <c r="HOY137" s="18"/>
      <c r="HOZ137" s="18"/>
      <c r="HPA137" s="18"/>
      <c r="HPB137" s="17"/>
      <c r="HPC137" s="9"/>
      <c r="HPD137" s="9"/>
      <c r="HPE137" s="18"/>
      <c r="HPF137" s="18"/>
      <c r="HPG137" s="18"/>
      <c r="HPH137" s="18"/>
      <c r="HPI137" s="18"/>
      <c r="HPJ137" s="17"/>
      <c r="HPK137" s="9"/>
      <c r="HPL137" s="9"/>
      <c r="HPM137" s="18"/>
      <c r="HPN137" s="18"/>
      <c r="HPO137" s="18"/>
      <c r="HPP137" s="18"/>
      <c r="HPQ137" s="18"/>
      <c r="HPR137" s="17"/>
      <c r="HPS137" s="9"/>
      <c r="HPT137" s="9"/>
      <c r="HPU137" s="18"/>
      <c r="HPV137" s="18"/>
      <c r="HPW137" s="18"/>
      <c r="HPX137" s="18"/>
      <c r="HPY137" s="18"/>
      <c r="HPZ137" s="17"/>
      <c r="HQA137" s="9"/>
      <c r="HQB137" s="9"/>
      <c r="HQC137" s="18"/>
      <c r="HQD137" s="18"/>
      <c r="HQE137" s="18"/>
      <c r="HQF137" s="18"/>
      <c r="HQG137" s="18"/>
      <c r="HQH137" s="17"/>
      <c r="HQI137" s="9"/>
      <c r="HQJ137" s="9"/>
      <c r="HQK137" s="18"/>
      <c r="HQL137" s="18"/>
      <c r="HQM137" s="18"/>
      <c r="HQN137" s="18"/>
      <c r="HQO137" s="18"/>
      <c r="HQP137" s="17"/>
      <c r="HQQ137" s="9"/>
      <c r="HQR137" s="9"/>
      <c r="HQS137" s="18"/>
      <c r="HQT137" s="18"/>
      <c r="HQU137" s="18"/>
      <c r="HQV137" s="18"/>
      <c r="HQW137" s="18"/>
      <c r="HQX137" s="17"/>
      <c r="HQY137" s="9"/>
      <c r="HQZ137" s="9"/>
      <c r="HRA137" s="18"/>
      <c r="HRB137" s="18"/>
      <c r="HRC137" s="18"/>
      <c r="HRD137" s="18"/>
      <c r="HRE137" s="18"/>
      <c r="HRF137" s="17"/>
      <c r="HRG137" s="9"/>
      <c r="HRH137" s="9"/>
      <c r="HRI137" s="18"/>
      <c r="HRJ137" s="18"/>
      <c r="HRK137" s="18"/>
      <c r="HRL137" s="18"/>
      <c r="HRM137" s="18"/>
      <c r="HRN137" s="17"/>
      <c r="HRO137" s="9"/>
      <c r="HRP137" s="9"/>
      <c r="HRQ137" s="18"/>
      <c r="HRR137" s="18"/>
      <c r="HRS137" s="18"/>
      <c r="HRT137" s="18"/>
      <c r="HRU137" s="18"/>
      <c r="HRV137" s="17"/>
      <c r="HRW137" s="9"/>
      <c r="HRX137" s="9"/>
      <c r="HRY137" s="18"/>
      <c r="HRZ137" s="18"/>
      <c r="HSA137" s="18"/>
      <c r="HSB137" s="18"/>
      <c r="HSC137" s="18"/>
      <c r="HSD137" s="17"/>
      <c r="HSE137" s="9"/>
      <c r="HSF137" s="9"/>
      <c r="HSG137" s="18"/>
      <c r="HSH137" s="18"/>
      <c r="HSI137" s="18"/>
      <c r="HSJ137" s="18"/>
      <c r="HSK137" s="18"/>
      <c r="HSL137" s="17"/>
      <c r="HSM137" s="9"/>
      <c r="HSN137" s="9"/>
      <c r="HSO137" s="18"/>
      <c r="HSP137" s="18"/>
      <c r="HSQ137" s="18"/>
      <c r="HSR137" s="18"/>
      <c r="HSS137" s="18"/>
      <c r="HST137" s="17"/>
      <c r="HSU137" s="9"/>
      <c r="HSV137" s="9"/>
      <c r="HSW137" s="18"/>
      <c r="HSX137" s="18"/>
      <c r="HSY137" s="18"/>
      <c r="HSZ137" s="18"/>
      <c r="HTA137" s="18"/>
      <c r="HTB137" s="17"/>
      <c r="HTC137" s="9"/>
      <c r="HTD137" s="9"/>
      <c r="HTE137" s="18"/>
      <c r="HTF137" s="18"/>
      <c r="HTG137" s="18"/>
      <c r="HTH137" s="18"/>
      <c r="HTI137" s="18"/>
      <c r="HTJ137" s="17"/>
      <c r="HTK137" s="9"/>
      <c r="HTL137" s="9"/>
      <c r="HTM137" s="18"/>
      <c r="HTN137" s="18"/>
      <c r="HTO137" s="18"/>
      <c r="HTP137" s="18"/>
      <c r="HTQ137" s="18"/>
      <c r="HTR137" s="17"/>
      <c r="HTS137" s="9"/>
      <c r="HTT137" s="9"/>
      <c r="HTU137" s="18"/>
      <c r="HTV137" s="18"/>
      <c r="HTW137" s="18"/>
      <c r="HTX137" s="18"/>
      <c r="HTY137" s="18"/>
      <c r="HTZ137" s="17"/>
      <c r="HUA137" s="9"/>
      <c r="HUB137" s="9"/>
      <c r="HUC137" s="18"/>
      <c r="HUD137" s="18"/>
      <c r="HUE137" s="18"/>
      <c r="HUF137" s="18"/>
      <c r="HUG137" s="18"/>
      <c r="HUH137" s="17"/>
      <c r="HUI137" s="9"/>
      <c r="HUJ137" s="9"/>
      <c r="HUK137" s="18"/>
      <c r="HUL137" s="18"/>
      <c r="HUM137" s="18"/>
      <c r="HUN137" s="18"/>
      <c r="HUO137" s="18"/>
      <c r="HUP137" s="17"/>
      <c r="HUQ137" s="9"/>
      <c r="HUR137" s="9"/>
      <c r="HUS137" s="18"/>
      <c r="HUT137" s="18"/>
      <c r="HUU137" s="18"/>
      <c r="HUV137" s="18"/>
      <c r="HUW137" s="18"/>
      <c r="HUX137" s="17"/>
      <c r="HUY137" s="9"/>
      <c r="HUZ137" s="9"/>
      <c r="HVA137" s="18"/>
      <c r="HVB137" s="18"/>
      <c r="HVC137" s="18"/>
      <c r="HVD137" s="18"/>
      <c r="HVE137" s="18"/>
      <c r="HVF137" s="17"/>
      <c r="HVG137" s="9"/>
      <c r="HVH137" s="9"/>
      <c r="HVI137" s="18"/>
      <c r="HVJ137" s="18"/>
      <c r="HVK137" s="18"/>
      <c r="HVL137" s="18"/>
      <c r="HVM137" s="18"/>
      <c r="HVN137" s="17"/>
      <c r="HVO137" s="9"/>
      <c r="HVP137" s="9"/>
      <c r="HVQ137" s="18"/>
      <c r="HVR137" s="18"/>
      <c r="HVS137" s="18"/>
      <c r="HVT137" s="18"/>
      <c r="HVU137" s="18"/>
      <c r="HVV137" s="17"/>
      <c r="HVW137" s="9"/>
      <c r="HVX137" s="9"/>
      <c r="HVY137" s="18"/>
      <c r="HVZ137" s="18"/>
      <c r="HWA137" s="18"/>
      <c r="HWB137" s="18"/>
      <c r="HWC137" s="18"/>
      <c r="HWD137" s="17"/>
      <c r="HWE137" s="9"/>
      <c r="HWF137" s="9"/>
      <c r="HWG137" s="18"/>
      <c r="HWH137" s="18"/>
      <c r="HWI137" s="18"/>
      <c r="HWJ137" s="18"/>
      <c r="HWK137" s="18"/>
      <c r="HWL137" s="17"/>
      <c r="HWM137" s="9"/>
      <c r="HWN137" s="9"/>
      <c r="HWO137" s="18"/>
      <c r="HWP137" s="18"/>
      <c r="HWQ137" s="18"/>
      <c r="HWR137" s="18"/>
      <c r="HWS137" s="18"/>
      <c r="HWT137" s="17"/>
      <c r="HWU137" s="9"/>
      <c r="HWV137" s="9"/>
      <c r="HWW137" s="18"/>
      <c r="HWX137" s="18"/>
      <c r="HWY137" s="18"/>
      <c r="HWZ137" s="18"/>
      <c r="HXA137" s="18"/>
      <c r="HXB137" s="17"/>
      <c r="HXC137" s="9"/>
      <c r="HXD137" s="9"/>
      <c r="HXE137" s="18"/>
      <c r="HXF137" s="18"/>
      <c r="HXG137" s="18"/>
      <c r="HXH137" s="18"/>
      <c r="HXI137" s="18"/>
      <c r="HXJ137" s="17"/>
      <c r="HXK137" s="9"/>
      <c r="HXL137" s="9"/>
      <c r="HXM137" s="18"/>
      <c r="HXN137" s="18"/>
      <c r="HXO137" s="18"/>
      <c r="HXP137" s="18"/>
      <c r="HXQ137" s="18"/>
      <c r="HXR137" s="17"/>
      <c r="HXS137" s="9"/>
      <c r="HXT137" s="9"/>
      <c r="HXU137" s="18"/>
      <c r="HXV137" s="18"/>
      <c r="HXW137" s="18"/>
      <c r="HXX137" s="18"/>
      <c r="HXY137" s="18"/>
      <c r="HXZ137" s="17"/>
      <c r="HYA137" s="9"/>
      <c r="HYB137" s="9"/>
      <c r="HYC137" s="18"/>
      <c r="HYD137" s="18"/>
      <c r="HYE137" s="18"/>
      <c r="HYF137" s="18"/>
      <c r="HYG137" s="18"/>
      <c r="HYH137" s="17"/>
      <c r="HYI137" s="9"/>
      <c r="HYJ137" s="9"/>
      <c r="HYK137" s="18"/>
      <c r="HYL137" s="18"/>
      <c r="HYM137" s="18"/>
      <c r="HYN137" s="18"/>
      <c r="HYO137" s="18"/>
      <c r="HYP137" s="17"/>
      <c r="HYQ137" s="9"/>
      <c r="HYR137" s="9"/>
      <c r="HYS137" s="18"/>
      <c r="HYT137" s="18"/>
      <c r="HYU137" s="18"/>
      <c r="HYV137" s="18"/>
      <c r="HYW137" s="18"/>
      <c r="HYX137" s="17"/>
      <c r="HYY137" s="9"/>
      <c r="HYZ137" s="9"/>
      <c r="HZA137" s="18"/>
      <c r="HZB137" s="18"/>
      <c r="HZC137" s="18"/>
      <c r="HZD137" s="18"/>
      <c r="HZE137" s="18"/>
      <c r="HZF137" s="17"/>
      <c r="HZG137" s="9"/>
      <c r="HZH137" s="9"/>
      <c r="HZI137" s="18"/>
      <c r="HZJ137" s="18"/>
      <c r="HZK137" s="18"/>
      <c r="HZL137" s="18"/>
      <c r="HZM137" s="18"/>
      <c r="HZN137" s="17"/>
      <c r="HZO137" s="9"/>
      <c r="HZP137" s="9"/>
      <c r="HZQ137" s="18"/>
      <c r="HZR137" s="18"/>
      <c r="HZS137" s="18"/>
      <c r="HZT137" s="18"/>
      <c r="HZU137" s="18"/>
      <c r="HZV137" s="17"/>
      <c r="HZW137" s="9"/>
      <c r="HZX137" s="9"/>
      <c r="HZY137" s="18"/>
      <c r="HZZ137" s="18"/>
      <c r="IAA137" s="18"/>
      <c r="IAB137" s="18"/>
      <c r="IAC137" s="18"/>
      <c r="IAD137" s="17"/>
      <c r="IAE137" s="9"/>
      <c r="IAF137" s="9"/>
      <c r="IAG137" s="18"/>
      <c r="IAH137" s="18"/>
      <c r="IAI137" s="18"/>
      <c r="IAJ137" s="18"/>
      <c r="IAK137" s="18"/>
      <c r="IAL137" s="17"/>
      <c r="IAM137" s="9"/>
      <c r="IAN137" s="9"/>
      <c r="IAO137" s="18"/>
      <c r="IAP137" s="18"/>
      <c r="IAQ137" s="18"/>
      <c r="IAR137" s="18"/>
      <c r="IAS137" s="18"/>
      <c r="IAT137" s="17"/>
      <c r="IAU137" s="9"/>
      <c r="IAV137" s="9"/>
      <c r="IAW137" s="18"/>
      <c r="IAX137" s="18"/>
      <c r="IAY137" s="18"/>
      <c r="IAZ137" s="18"/>
      <c r="IBA137" s="18"/>
      <c r="IBB137" s="17"/>
      <c r="IBC137" s="9"/>
      <c r="IBD137" s="9"/>
      <c r="IBE137" s="18"/>
      <c r="IBF137" s="18"/>
      <c r="IBG137" s="18"/>
      <c r="IBH137" s="18"/>
      <c r="IBI137" s="18"/>
      <c r="IBJ137" s="17"/>
      <c r="IBK137" s="9"/>
      <c r="IBL137" s="9"/>
      <c r="IBM137" s="18"/>
      <c r="IBN137" s="18"/>
      <c r="IBO137" s="18"/>
      <c r="IBP137" s="18"/>
      <c r="IBQ137" s="18"/>
      <c r="IBR137" s="17"/>
      <c r="IBS137" s="9"/>
      <c r="IBT137" s="9"/>
      <c r="IBU137" s="18"/>
      <c r="IBV137" s="18"/>
      <c r="IBW137" s="18"/>
      <c r="IBX137" s="18"/>
      <c r="IBY137" s="18"/>
      <c r="IBZ137" s="17"/>
      <c r="ICA137" s="9"/>
      <c r="ICB137" s="9"/>
      <c r="ICC137" s="18"/>
      <c r="ICD137" s="18"/>
      <c r="ICE137" s="18"/>
      <c r="ICF137" s="18"/>
      <c r="ICG137" s="18"/>
      <c r="ICH137" s="17"/>
      <c r="ICI137" s="9"/>
      <c r="ICJ137" s="9"/>
      <c r="ICK137" s="18"/>
      <c r="ICL137" s="18"/>
      <c r="ICM137" s="18"/>
      <c r="ICN137" s="18"/>
      <c r="ICO137" s="18"/>
      <c r="ICP137" s="17"/>
      <c r="ICQ137" s="9"/>
      <c r="ICR137" s="9"/>
      <c r="ICS137" s="18"/>
      <c r="ICT137" s="18"/>
      <c r="ICU137" s="18"/>
      <c r="ICV137" s="18"/>
      <c r="ICW137" s="18"/>
      <c r="ICX137" s="17"/>
      <c r="ICY137" s="9"/>
      <c r="ICZ137" s="9"/>
      <c r="IDA137" s="18"/>
      <c r="IDB137" s="18"/>
      <c r="IDC137" s="18"/>
      <c r="IDD137" s="18"/>
      <c r="IDE137" s="18"/>
      <c r="IDF137" s="17"/>
      <c r="IDG137" s="9"/>
      <c r="IDH137" s="9"/>
      <c r="IDI137" s="18"/>
      <c r="IDJ137" s="18"/>
      <c r="IDK137" s="18"/>
      <c r="IDL137" s="18"/>
      <c r="IDM137" s="18"/>
      <c r="IDN137" s="17"/>
      <c r="IDO137" s="9"/>
      <c r="IDP137" s="9"/>
      <c r="IDQ137" s="18"/>
      <c r="IDR137" s="18"/>
      <c r="IDS137" s="18"/>
      <c r="IDT137" s="18"/>
      <c r="IDU137" s="18"/>
      <c r="IDV137" s="17"/>
      <c r="IDW137" s="9"/>
      <c r="IDX137" s="9"/>
      <c r="IDY137" s="18"/>
      <c r="IDZ137" s="18"/>
      <c r="IEA137" s="18"/>
      <c r="IEB137" s="18"/>
      <c r="IEC137" s="18"/>
      <c r="IED137" s="17"/>
      <c r="IEE137" s="9"/>
      <c r="IEF137" s="9"/>
      <c r="IEG137" s="18"/>
      <c r="IEH137" s="18"/>
      <c r="IEI137" s="18"/>
      <c r="IEJ137" s="18"/>
      <c r="IEK137" s="18"/>
      <c r="IEL137" s="17"/>
      <c r="IEM137" s="9"/>
      <c r="IEN137" s="9"/>
      <c r="IEO137" s="18"/>
      <c r="IEP137" s="18"/>
      <c r="IEQ137" s="18"/>
      <c r="IER137" s="18"/>
      <c r="IES137" s="18"/>
      <c r="IET137" s="17"/>
      <c r="IEU137" s="9"/>
      <c r="IEV137" s="9"/>
      <c r="IEW137" s="18"/>
      <c r="IEX137" s="18"/>
      <c r="IEY137" s="18"/>
      <c r="IEZ137" s="18"/>
      <c r="IFA137" s="18"/>
      <c r="IFB137" s="17"/>
      <c r="IFC137" s="9"/>
      <c r="IFD137" s="9"/>
      <c r="IFE137" s="18"/>
      <c r="IFF137" s="18"/>
      <c r="IFG137" s="18"/>
      <c r="IFH137" s="18"/>
      <c r="IFI137" s="18"/>
      <c r="IFJ137" s="17"/>
      <c r="IFK137" s="9"/>
      <c r="IFL137" s="9"/>
      <c r="IFM137" s="18"/>
      <c r="IFN137" s="18"/>
      <c r="IFO137" s="18"/>
      <c r="IFP137" s="18"/>
      <c r="IFQ137" s="18"/>
      <c r="IFR137" s="17"/>
      <c r="IFS137" s="9"/>
      <c r="IFT137" s="9"/>
      <c r="IFU137" s="18"/>
      <c r="IFV137" s="18"/>
      <c r="IFW137" s="18"/>
      <c r="IFX137" s="18"/>
      <c r="IFY137" s="18"/>
      <c r="IFZ137" s="17"/>
      <c r="IGA137" s="9"/>
      <c r="IGB137" s="9"/>
      <c r="IGC137" s="18"/>
      <c r="IGD137" s="18"/>
      <c r="IGE137" s="18"/>
      <c r="IGF137" s="18"/>
      <c r="IGG137" s="18"/>
      <c r="IGH137" s="17"/>
      <c r="IGI137" s="9"/>
      <c r="IGJ137" s="9"/>
      <c r="IGK137" s="18"/>
      <c r="IGL137" s="18"/>
      <c r="IGM137" s="18"/>
      <c r="IGN137" s="18"/>
      <c r="IGO137" s="18"/>
      <c r="IGP137" s="17"/>
      <c r="IGQ137" s="9"/>
      <c r="IGR137" s="9"/>
      <c r="IGS137" s="18"/>
      <c r="IGT137" s="18"/>
      <c r="IGU137" s="18"/>
      <c r="IGV137" s="18"/>
      <c r="IGW137" s="18"/>
      <c r="IGX137" s="17"/>
      <c r="IGY137" s="9"/>
      <c r="IGZ137" s="9"/>
      <c r="IHA137" s="18"/>
      <c r="IHB137" s="18"/>
      <c r="IHC137" s="18"/>
      <c r="IHD137" s="18"/>
      <c r="IHE137" s="18"/>
      <c r="IHF137" s="17"/>
      <c r="IHG137" s="9"/>
      <c r="IHH137" s="9"/>
      <c r="IHI137" s="18"/>
      <c r="IHJ137" s="18"/>
      <c r="IHK137" s="18"/>
      <c r="IHL137" s="18"/>
      <c r="IHM137" s="18"/>
      <c r="IHN137" s="17"/>
      <c r="IHO137" s="9"/>
      <c r="IHP137" s="9"/>
      <c r="IHQ137" s="18"/>
      <c r="IHR137" s="18"/>
      <c r="IHS137" s="18"/>
      <c r="IHT137" s="18"/>
      <c r="IHU137" s="18"/>
      <c r="IHV137" s="17"/>
      <c r="IHW137" s="9"/>
      <c r="IHX137" s="9"/>
      <c r="IHY137" s="18"/>
      <c r="IHZ137" s="18"/>
      <c r="IIA137" s="18"/>
      <c r="IIB137" s="18"/>
      <c r="IIC137" s="18"/>
      <c r="IID137" s="17"/>
      <c r="IIE137" s="9"/>
      <c r="IIF137" s="9"/>
      <c r="IIG137" s="18"/>
      <c r="IIH137" s="18"/>
      <c r="III137" s="18"/>
      <c r="IIJ137" s="18"/>
      <c r="IIK137" s="18"/>
      <c r="IIL137" s="17"/>
      <c r="IIM137" s="9"/>
      <c r="IIN137" s="9"/>
      <c r="IIO137" s="18"/>
      <c r="IIP137" s="18"/>
      <c r="IIQ137" s="18"/>
      <c r="IIR137" s="18"/>
      <c r="IIS137" s="18"/>
      <c r="IIT137" s="17"/>
      <c r="IIU137" s="9"/>
      <c r="IIV137" s="9"/>
      <c r="IIW137" s="18"/>
      <c r="IIX137" s="18"/>
      <c r="IIY137" s="18"/>
      <c r="IIZ137" s="18"/>
      <c r="IJA137" s="18"/>
      <c r="IJB137" s="17"/>
      <c r="IJC137" s="9"/>
      <c r="IJD137" s="9"/>
      <c r="IJE137" s="18"/>
      <c r="IJF137" s="18"/>
      <c r="IJG137" s="18"/>
      <c r="IJH137" s="18"/>
      <c r="IJI137" s="18"/>
      <c r="IJJ137" s="17"/>
      <c r="IJK137" s="9"/>
      <c r="IJL137" s="9"/>
      <c r="IJM137" s="18"/>
      <c r="IJN137" s="18"/>
      <c r="IJO137" s="18"/>
      <c r="IJP137" s="18"/>
      <c r="IJQ137" s="18"/>
      <c r="IJR137" s="17"/>
      <c r="IJS137" s="9"/>
      <c r="IJT137" s="9"/>
      <c r="IJU137" s="18"/>
      <c r="IJV137" s="18"/>
      <c r="IJW137" s="18"/>
      <c r="IJX137" s="18"/>
      <c r="IJY137" s="18"/>
      <c r="IJZ137" s="17"/>
      <c r="IKA137" s="9"/>
      <c r="IKB137" s="9"/>
      <c r="IKC137" s="18"/>
      <c r="IKD137" s="18"/>
      <c r="IKE137" s="18"/>
      <c r="IKF137" s="18"/>
      <c r="IKG137" s="18"/>
      <c r="IKH137" s="17"/>
      <c r="IKI137" s="9"/>
      <c r="IKJ137" s="9"/>
      <c r="IKK137" s="18"/>
      <c r="IKL137" s="18"/>
      <c r="IKM137" s="18"/>
      <c r="IKN137" s="18"/>
      <c r="IKO137" s="18"/>
      <c r="IKP137" s="17"/>
      <c r="IKQ137" s="9"/>
      <c r="IKR137" s="9"/>
      <c r="IKS137" s="18"/>
      <c r="IKT137" s="18"/>
      <c r="IKU137" s="18"/>
      <c r="IKV137" s="18"/>
      <c r="IKW137" s="18"/>
      <c r="IKX137" s="17"/>
      <c r="IKY137" s="9"/>
      <c r="IKZ137" s="9"/>
      <c r="ILA137" s="18"/>
      <c r="ILB137" s="18"/>
      <c r="ILC137" s="18"/>
      <c r="ILD137" s="18"/>
      <c r="ILE137" s="18"/>
      <c r="ILF137" s="17"/>
      <c r="ILG137" s="9"/>
      <c r="ILH137" s="9"/>
      <c r="ILI137" s="18"/>
      <c r="ILJ137" s="18"/>
      <c r="ILK137" s="18"/>
      <c r="ILL137" s="18"/>
      <c r="ILM137" s="18"/>
      <c r="ILN137" s="17"/>
      <c r="ILO137" s="9"/>
      <c r="ILP137" s="9"/>
      <c r="ILQ137" s="18"/>
      <c r="ILR137" s="18"/>
      <c r="ILS137" s="18"/>
      <c r="ILT137" s="18"/>
      <c r="ILU137" s="18"/>
      <c r="ILV137" s="17"/>
      <c r="ILW137" s="9"/>
      <c r="ILX137" s="9"/>
      <c r="ILY137" s="18"/>
      <c r="ILZ137" s="18"/>
      <c r="IMA137" s="18"/>
      <c r="IMB137" s="18"/>
      <c r="IMC137" s="18"/>
      <c r="IMD137" s="17"/>
      <c r="IME137" s="9"/>
      <c r="IMF137" s="9"/>
      <c r="IMG137" s="18"/>
      <c r="IMH137" s="18"/>
      <c r="IMI137" s="18"/>
      <c r="IMJ137" s="18"/>
      <c r="IMK137" s="18"/>
      <c r="IML137" s="17"/>
      <c r="IMM137" s="9"/>
      <c r="IMN137" s="9"/>
      <c r="IMO137" s="18"/>
      <c r="IMP137" s="18"/>
      <c r="IMQ137" s="18"/>
      <c r="IMR137" s="18"/>
      <c r="IMS137" s="18"/>
      <c r="IMT137" s="17"/>
      <c r="IMU137" s="9"/>
      <c r="IMV137" s="9"/>
      <c r="IMW137" s="18"/>
      <c r="IMX137" s="18"/>
      <c r="IMY137" s="18"/>
      <c r="IMZ137" s="18"/>
      <c r="INA137" s="18"/>
      <c r="INB137" s="17"/>
      <c r="INC137" s="9"/>
      <c r="IND137" s="9"/>
      <c r="INE137" s="18"/>
      <c r="INF137" s="18"/>
      <c r="ING137" s="18"/>
      <c r="INH137" s="18"/>
      <c r="INI137" s="18"/>
      <c r="INJ137" s="17"/>
      <c r="INK137" s="9"/>
      <c r="INL137" s="9"/>
      <c r="INM137" s="18"/>
      <c r="INN137" s="18"/>
      <c r="INO137" s="18"/>
      <c r="INP137" s="18"/>
      <c r="INQ137" s="18"/>
      <c r="INR137" s="17"/>
      <c r="INS137" s="9"/>
      <c r="INT137" s="9"/>
      <c r="INU137" s="18"/>
      <c r="INV137" s="18"/>
      <c r="INW137" s="18"/>
      <c r="INX137" s="18"/>
      <c r="INY137" s="18"/>
      <c r="INZ137" s="17"/>
      <c r="IOA137" s="9"/>
      <c r="IOB137" s="9"/>
      <c r="IOC137" s="18"/>
      <c r="IOD137" s="18"/>
      <c r="IOE137" s="18"/>
      <c r="IOF137" s="18"/>
      <c r="IOG137" s="18"/>
      <c r="IOH137" s="17"/>
      <c r="IOI137" s="9"/>
      <c r="IOJ137" s="9"/>
      <c r="IOK137" s="18"/>
      <c r="IOL137" s="18"/>
      <c r="IOM137" s="18"/>
      <c r="ION137" s="18"/>
      <c r="IOO137" s="18"/>
      <c r="IOP137" s="17"/>
      <c r="IOQ137" s="9"/>
      <c r="IOR137" s="9"/>
      <c r="IOS137" s="18"/>
      <c r="IOT137" s="18"/>
      <c r="IOU137" s="18"/>
      <c r="IOV137" s="18"/>
      <c r="IOW137" s="18"/>
      <c r="IOX137" s="17"/>
      <c r="IOY137" s="9"/>
      <c r="IOZ137" s="9"/>
      <c r="IPA137" s="18"/>
      <c r="IPB137" s="18"/>
      <c r="IPC137" s="18"/>
      <c r="IPD137" s="18"/>
      <c r="IPE137" s="18"/>
      <c r="IPF137" s="17"/>
      <c r="IPG137" s="9"/>
      <c r="IPH137" s="9"/>
      <c r="IPI137" s="18"/>
      <c r="IPJ137" s="18"/>
      <c r="IPK137" s="18"/>
      <c r="IPL137" s="18"/>
      <c r="IPM137" s="18"/>
      <c r="IPN137" s="17"/>
      <c r="IPO137" s="9"/>
      <c r="IPP137" s="9"/>
      <c r="IPQ137" s="18"/>
      <c r="IPR137" s="18"/>
      <c r="IPS137" s="18"/>
      <c r="IPT137" s="18"/>
      <c r="IPU137" s="18"/>
      <c r="IPV137" s="17"/>
      <c r="IPW137" s="9"/>
      <c r="IPX137" s="9"/>
      <c r="IPY137" s="18"/>
      <c r="IPZ137" s="18"/>
      <c r="IQA137" s="18"/>
      <c r="IQB137" s="18"/>
      <c r="IQC137" s="18"/>
      <c r="IQD137" s="17"/>
      <c r="IQE137" s="9"/>
      <c r="IQF137" s="9"/>
      <c r="IQG137" s="18"/>
      <c r="IQH137" s="18"/>
      <c r="IQI137" s="18"/>
      <c r="IQJ137" s="18"/>
      <c r="IQK137" s="18"/>
      <c r="IQL137" s="17"/>
      <c r="IQM137" s="9"/>
      <c r="IQN137" s="9"/>
      <c r="IQO137" s="18"/>
      <c r="IQP137" s="18"/>
      <c r="IQQ137" s="18"/>
      <c r="IQR137" s="18"/>
      <c r="IQS137" s="18"/>
      <c r="IQT137" s="17"/>
      <c r="IQU137" s="9"/>
      <c r="IQV137" s="9"/>
      <c r="IQW137" s="18"/>
      <c r="IQX137" s="18"/>
      <c r="IQY137" s="18"/>
      <c r="IQZ137" s="18"/>
      <c r="IRA137" s="18"/>
      <c r="IRB137" s="17"/>
      <c r="IRC137" s="9"/>
      <c r="IRD137" s="9"/>
      <c r="IRE137" s="18"/>
      <c r="IRF137" s="18"/>
      <c r="IRG137" s="18"/>
      <c r="IRH137" s="18"/>
      <c r="IRI137" s="18"/>
      <c r="IRJ137" s="17"/>
      <c r="IRK137" s="9"/>
      <c r="IRL137" s="9"/>
      <c r="IRM137" s="18"/>
      <c r="IRN137" s="18"/>
      <c r="IRO137" s="18"/>
      <c r="IRP137" s="18"/>
      <c r="IRQ137" s="18"/>
      <c r="IRR137" s="17"/>
      <c r="IRS137" s="9"/>
      <c r="IRT137" s="9"/>
      <c r="IRU137" s="18"/>
      <c r="IRV137" s="18"/>
      <c r="IRW137" s="18"/>
      <c r="IRX137" s="18"/>
      <c r="IRY137" s="18"/>
      <c r="IRZ137" s="17"/>
      <c r="ISA137" s="9"/>
      <c r="ISB137" s="9"/>
      <c r="ISC137" s="18"/>
      <c r="ISD137" s="18"/>
      <c r="ISE137" s="18"/>
      <c r="ISF137" s="18"/>
      <c r="ISG137" s="18"/>
      <c r="ISH137" s="17"/>
      <c r="ISI137" s="9"/>
      <c r="ISJ137" s="9"/>
      <c r="ISK137" s="18"/>
      <c r="ISL137" s="18"/>
      <c r="ISM137" s="18"/>
      <c r="ISN137" s="18"/>
      <c r="ISO137" s="18"/>
      <c r="ISP137" s="17"/>
      <c r="ISQ137" s="9"/>
      <c r="ISR137" s="9"/>
      <c r="ISS137" s="18"/>
      <c r="IST137" s="18"/>
      <c r="ISU137" s="18"/>
      <c r="ISV137" s="18"/>
      <c r="ISW137" s="18"/>
      <c r="ISX137" s="17"/>
      <c r="ISY137" s="9"/>
      <c r="ISZ137" s="9"/>
      <c r="ITA137" s="18"/>
      <c r="ITB137" s="18"/>
      <c r="ITC137" s="18"/>
      <c r="ITD137" s="18"/>
      <c r="ITE137" s="18"/>
      <c r="ITF137" s="17"/>
      <c r="ITG137" s="9"/>
      <c r="ITH137" s="9"/>
      <c r="ITI137" s="18"/>
      <c r="ITJ137" s="18"/>
      <c r="ITK137" s="18"/>
      <c r="ITL137" s="18"/>
      <c r="ITM137" s="18"/>
      <c r="ITN137" s="17"/>
      <c r="ITO137" s="9"/>
      <c r="ITP137" s="9"/>
      <c r="ITQ137" s="18"/>
      <c r="ITR137" s="18"/>
      <c r="ITS137" s="18"/>
      <c r="ITT137" s="18"/>
      <c r="ITU137" s="18"/>
      <c r="ITV137" s="17"/>
      <c r="ITW137" s="9"/>
      <c r="ITX137" s="9"/>
      <c r="ITY137" s="18"/>
      <c r="ITZ137" s="18"/>
      <c r="IUA137" s="18"/>
      <c r="IUB137" s="18"/>
      <c r="IUC137" s="18"/>
      <c r="IUD137" s="17"/>
      <c r="IUE137" s="9"/>
      <c r="IUF137" s="9"/>
      <c r="IUG137" s="18"/>
      <c r="IUH137" s="18"/>
      <c r="IUI137" s="18"/>
      <c r="IUJ137" s="18"/>
      <c r="IUK137" s="18"/>
      <c r="IUL137" s="17"/>
      <c r="IUM137" s="9"/>
      <c r="IUN137" s="9"/>
      <c r="IUO137" s="18"/>
      <c r="IUP137" s="18"/>
      <c r="IUQ137" s="18"/>
      <c r="IUR137" s="18"/>
      <c r="IUS137" s="18"/>
      <c r="IUT137" s="17"/>
      <c r="IUU137" s="9"/>
      <c r="IUV137" s="9"/>
      <c r="IUW137" s="18"/>
      <c r="IUX137" s="18"/>
      <c r="IUY137" s="18"/>
      <c r="IUZ137" s="18"/>
      <c r="IVA137" s="18"/>
      <c r="IVB137" s="17"/>
      <c r="IVC137" s="9"/>
      <c r="IVD137" s="9"/>
      <c r="IVE137" s="18"/>
      <c r="IVF137" s="18"/>
      <c r="IVG137" s="18"/>
      <c r="IVH137" s="18"/>
      <c r="IVI137" s="18"/>
      <c r="IVJ137" s="17"/>
      <c r="IVK137" s="9"/>
      <c r="IVL137" s="9"/>
      <c r="IVM137" s="18"/>
      <c r="IVN137" s="18"/>
      <c r="IVO137" s="18"/>
      <c r="IVP137" s="18"/>
      <c r="IVQ137" s="18"/>
      <c r="IVR137" s="17"/>
      <c r="IVS137" s="9"/>
      <c r="IVT137" s="9"/>
      <c r="IVU137" s="18"/>
      <c r="IVV137" s="18"/>
      <c r="IVW137" s="18"/>
      <c r="IVX137" s="18"/>
      <c r="IVY137" s="18"/>
      <c r="IVZ137" s="17"/>
      <c r="IWA137" s="9"/>
      <c r="IWB137" s="9"/>
      <c r="IWC137" s="18"/>
      <c r="IWD137" s="18"/>
      <c r="IWE137" s="18"/>
      <c r="IWF137" s="18"/>
      <c r="IWG137" s="18"/>
      <c r="IWH137" s="17"/>
      <c r="IWI137" s="9"/>
      <c r="IWJ137" s="9"/>
      <c r="IWK137" s="18"/>
      <c r="IWL137" s="18"/>
      <c r="IWM137" s="18"/>
      <c r="IWN137" s="18"/>
      <c r="IWO137" s="18"/>
      <c r="IWP137" s="17"/>
      <c r="IWQ137" s="9"/>
      <c r="IWR137" s="9"/>
      <c r="IWS137" s="18"/>
      <c r="IWT137" s="18"/>
      <c r="IWU137" s="18"/>
      <c r="IWV137" s="18"/>
      <c r="IWW137" s="18"/>
      <c r="IWX137" s="17"/>
      <c r="IWY137" s="9"/>
      <c r="IWZ137" s="9"/>
      <c r="IXA137" s="18"/>
      <c r="IXB137" s="18"/>
      <c r="IXC137" s="18"/>
      <c r="IXD137" s="18"/>
      <c r="IXE137" s="18"/>
      <c r="IXF137" s="17"/>
      <c r="IXG137" s="9"/>
      <c r="IXH137" s="9"/>
      <c r="IXI137" s="18"/>
      <c r="IXJ137" s="18"/>
      <c r="IXK137" s="18"/>
      <c r="IXL137" s="18"/>
      <c r="IXM137" s="18"/>
      <c r="IXN137" s="17"/>
      <c r="IXO137" s="9"/>
      <c r="IXP137" s="9"/>
      <c r="IXQ137" s="18"/>
      <c r="IXR137" s="18"/>
      <c r="IXS137" s="18"/>
      <c r="IXT137" s="18"/>
      <c r="IXU137" s="18"/>
      <c r="IXV137" s="17"/>
      <c r="IXW137" s="9"/>
      <c r="IXX137" s="9"/>
      <c r="IXY137" s="18"/>
      <c r="IXZ137" s="18"/>
      <c r="IYA137" s="18"/>
      <c r="IYB137" s="18"/>
      <c r="IYC137" s="18"/>
      <c r="IYD137" s="17"/>
      <c r="IYE137" s="9"/>
      <c r="IYF137" s="9"/>
      <c r="IYG137" s="18"/>
      <c r="IYH137" s="18"/>
      <c r="IYI137" s="18"/>
      <c r="IYJ137" s="18"/>
      <c r="IYK137" s="18"/>
      <c r="IYL137" s="17"/>
      <c r="IYM137" s="9"/>
      <c r="IYN137" s="9"/>
      <c r="IYO137" s="18"/>
      <c r="IYP137" s="18"/>
      <c r="IYQ137" s="18"/>
      <c r="IYR137" s="18"/>
      <c r="IYS137" s="18"/>
      <c r="IYT137" s="17"/>
      <c r="IYU137" s="9"/>
      <c r="IYV137" s="9"/>
      <c r="IYW137" s="18"/>
      <c r="IYX137" s="18"/>
      <c r="IYY137" s="18"/>
      <c r="IYZ137" s="18"/>
      <c r="IZA137" s="18"/>
      <c r="IZB137" s="17"/>
      <c r="IZC137" s="9"/>
      <c r="IZD137" s="9"/>
      <c r="IZE137" s="18"/>
      <c r="IZF137" s="18"/>
      <c r="IZG137" s="18"/>
      <c r="IZH137" s="18"/>
      <c r="IZI137" s="18"/>
      <c r="IZJ137" s="17"/>
      <c r="IZK137" s="9"/>
      <c r="IZL137" s="9"/>
      <c r="IZM137" s="18"/>
      <c r="IZN137" s="18"/>
      <c r="IZO137" s="18"/>
      <c r="IZP137" s="18"/>
      <c r="IZQ137" s="18"/>
      <c r="IZR137" s="17"/>
      <c r="IZS137" s="9"/>
      <c r="IZT137" s="9"/>
      <c r="IZU137" s="18"/>
      <c r="IZV137" s="18"/>
      <c r="IZW137" s="18"/>
      <c r="IZX137" s="18"/>
      <c r="IZY137" s="18"/>
      <c r="IZZ137" s="17"/>
      <c r="JAA137" s="9"/>
      <c r="JAB137" s="9"/>
      <c r="JAC137" s="18"/>
      <c r="JAD137" s="18"/>
      <c r="JAE137" s="18"/>
      <c r="JAF137" s="18"/>
      <c r="JAG137" s="18"/>
      <c r="JAH137" s="17"/>
      <c r="JAI137" s="9"/>
      <c r="JAJ137" s="9"/>
      <c r="JAK137" s="18"/>
      <c r="JAL137" s="18"/>
      <c r="JAM137" s="18"/>
      <c r="JAN137" s="18"/>
      <c r="JAO137" s="18"/>
      <c r="JAP137" s="17"/>
      <c r="JAQ137" s="9"/>
      <c r="JAR137" s="9"/>
      <c r="JAS137" s="18"/>
      <c r="JAT137" s="18"/>
      <c r="JAU137" s="18"/>
      <c r="JAV137" s="18"/>
      <c r="JAW137" s="18"/>
      <c r="JAX137" s="17"/>
      <c r="JAY137" s="9"/>
      <c r="JAZ137" s="9"/>
      <c r="JBA137" s="18"/>
      <c r="JBB137" s="18"/>
      <c r="JBC137" s="18"/>
      <c r="JBD137" s="18"/>
      <c r="JBE137" s="18"/>
      <c r="JBF137" s="17"/>
      <c r="JBG137" s="9"/>
      <c r="JBH137" s="9"/>
      <c r="JBI137" s="18"/>
      <c r="JBJ137" s="18"/>
      <c r="JBK137" s="18"/>
      <c r="JBL137" s="18"/>
      <c r="JBM137" s="18"/>
      <c r="JBN137" s="17"/>
      <c r="JBO137" s="9"/>
      <c r="JBP137" s="9"/>
      <c r="JBQ137" s="18"/>
      <c r="JBR137" s="18"/>
      <c r="JBS137" s="18"/>
      <c r="JBT137" s="18"/>
      <c r="JBU137" s="18"/>
      <c r="JBV137" s="17"/>
      <c r="JBW137" s="9"/>
      <c r="JBX137" s="9"/>
      <c r="JBY137" s="18"/>
      <c r="JBZ137" s="18"/>
      <c r="JCA137" s="18"/>
      <c r="JCB137" s="18"/>
      <c r="JCC137" s="18"/>
      <c r="JCD137" s="17"/>
      <c r="JCE137" s="9"/>
      <c r="JCF137" s="9"/>
      <c r="JCG137" s="18"/>
      <c r="JCH137" s="18"/>
      <c r="JCI137" s="18"/>
      <c r="JCJ137" s="18"/>
      <c r="JCK137" s="18"/>
      <c r="JCL137" s="17"/>
      <c r="JCM137" s="9"/>
      <c r="JCN137" s="9"/>
      <c r="JCO137" s="18"/>
      <c r="JCP137" s="18"/>
      <c r="JCQ137" s="18"/>
      <c r="JCR137" s="18"/>
      <c r="JCS137" s="18"/>
      <c r="JCT137" s="17"/>
      <c r="JCU137" s="9"/>
      <c r="JCV137" s="9"/>
      <c r="JCW137" s="18"/>
      <c r="JCX137" s="18"/>
      <c r="JCY137" s="18"/>
      <c r="JCZ137" s="18"/>
      <c r="JDA137" s="18"/>
      <c r="JDB137" s="17"/>
      <c r="JDC137" s="9"/>
      <c r="JDD137" s="9"/>
      <c r="JDE137" s="18"/>
      <c r="JDF137" s="18"/>
      <c r="JDG137" s="18"/>
      <c r="JDH137" s="18"/>
      <c r="JDI137" s="18"/>
      <c r="JDJ137" s="17"/>
      <c r="JDK137" s="9"/>
      <c r="JDL137" s="9"/>
      <c r="JDM137" s="18"/>
      <c r="JDN137" s="18"/>
      <c r="JDO137" s="18"/>
      <c r="JDP137" s="18"/>
      <c r="JDQ137" s="18"/>
      <c r="JDR137" s="17"/>
      <c r="JDS137" s="9"/>
      <c r="JDT137" s="9"/>
      <c r="JDU137" s="18"/>
      <c r="JDV137" s="18"/>
      <c r="JDW137" s="18"/>
      <c r="JDX137" s="18"/>
      <c r="JDY137" s="18"/>
      <c r="JDZ137" s="17"/>
      <c r="JEA137" s="9"/>
      <c r="JEB137" s="9"/>
      <c r="JEC137" s="18"/>
      <c r="JED137" s="18"/>
      <c r="JEE137" s="18"/>
      <c r="JEF137" s="18"/>
      <c r="JEG137" s="18"/>
      <c r="JEH137" s="17"/>
      <c r="JEI137" s="9"/>
      <c r="JEJ137" s="9"/>
      <c r="JEK137" s="18"/>
      <c r="JEL137" s="18"/>
      <c r="JEM137" s="18"/>
      <c r="JEN137" s="18"/>
      <c r="JEO137" s="18"/>
      <c r="JEP137" s="17"/>
      <c r="JEQ137" s="9"/>
      <c r="JER137" s="9"/>
      <c r="JES137" s="18"/>
      <c r="JET137" s="18"/>
      <c r="JEU137" s="18"/>
      <c r="JEV137" s="18"/>
      <c r="JEW137" s="18"/>
      <c r="JEX137" s="17"/>
      <c r="JEY137" s="9"/>
      <c r="JEZ137" s="9"/>
      <c r="JFA137" s="18"/>
      <c r="JFB137" s="18"/>
      <c r="JFC137" s="18"/>
      <c r="JFD137" s="18"/>
      <c r="JFE137" s="18"/>
      <c r="JFF137" s="17"/>
      <c r="JFG137" s="9"/>
      <c r="JFH137" s="9"/>
      <c r="JFI137" s="18"/>
      <c r="JFJ137" s="18"/>
      <c r="JFK137" s="18"/>
      <c r="JFL137" s="18"/>
      <c r="JFM137" s="18"/>
      <c r="JFN137" s="17"/>
      <c r="JFO137" s="9"/>
      <c r="JFP137" s="9"/>
      <c r="JFQ137" s="18"/>
      <c r="JFR137" s="18"/>
      <c r="JFS137" s="18"/>
      <c r="JFT137" s="18"/>
      <c r="JFU137" s="18"/>
      <c r="JFV137" s="17"/>
      <c r="JFW137" s="9"/>
      <c r="JFX137" s="9"/>
      <c r="JFY137" s="18"/>
      <c r="JFZ137" s="18"/>
      <c r="JGA137" s="18"/>
      <c r="JGB137" s="18"/>
      <c r="JGC137" s="18"/>
      <c r="JGD137" s="17"/>
      <c r="JGE137" s="9"/>
      <c r="JGF137" s="9"/>
      <c r="JGG137" s="18"/>
      <c r="JGH137" s="18"/>
      <c r="JGI137" s="18"/>
      <c r="JGJ137" s="18"/>
      <c r="JGK137" s="18"/>
      <c r="JGL137" s="17"/>
      <c r="JGM137" s="9"/>
      <c r="JGN137" s="9"/>
      <c r="JGO137" s="18"/>
      <c r="JGP137" s="18"/>
      <c r="JGQ137" s="18"/>
      <c r="JGR137" s="18"/>
      <c r="JGS137" s="18"/>
      <c r="JGT137" s="17"/>
      <c r="JGU137" s="9"/>
      <c r="JGV137" s="9"/>
      <c r="JGW137" s="18"/>
      <c r="JGX137" s="18"/>
      <c r="JGY137" s="18"/>
      <c r="JGZ137" s="18"/>
      <c r="JHA137" s="18"/>
      <c r="JHB137" s="17"/>
      <c r="JHC137" s="9"/>
      <c r="JHD137" s="9"/>
      <c r="JHE137" s="18"/>
      <c r="JHF137" s="18"/>
      <c r="JHG137" s="18"/>
      <c r="JHH137" s="18"/>
      <c r="JHI137" s="18"/>
      <c r="JHJ137" s="17"/>
      <c r="JHK137" s="9"/>
      <c r="JHL137" s="9"/>
      <c r="JHM137" s="18"/>
      <c r="JHN137" s="18"/>
      <c r="JHO137" s="18"/>
      <c r="JHP137" s="18"/>
      <c r="JHQ137" s="18"/>
      <c r="JHR137" s="17"/>
      <c r="JHS137" s="9"/>
      <c r="JHT137" s="9"/>
      <c r="JHU137" s="18"/>
      <c r="JHV137" s="18"/>
      <c r="JHW137" s="18"/>
      <c r="JHX137" s="18"/>
      <c r="JHY137" s="18"/>
      <c r="JHZ137" s="17"/>
      <c r="JIA137" s="9"/>
      <c r="JIB137" s="9"/>
      <c r="JIC137" s="18"/>
      <c r="JID137" s="18"/>
      <c r="JIE137" s="18"/>
      <c r="JIF137" s="18"/>
      <c r="JIG137" s="18"/>
      <c r="JIH137" s="17"/>
      <c r="JII137" s="9"/>
      <c r="JIJ137" s="9"/>
      <c r="JIK137" s="18"/>
      <c r="JIL137" s="18"/>
      <c r="JIM137" s="18"/>
      <c r="JIN137" s="18"/>
      <c r="JIO137" s="18"/>
      <c r="JIP137" s="17"/>
      <c r="JIQ137" s="9"/>
      <c r="JIR137" s="9"/>
      <c r="JIS137" s="18"/>
      <c r="JIT137" s="18"/>
      <c r="JIU137" s="18"/>
      <c r="JIV137" s="18"/>
      <c r="JIW137" s="18"/>
      <c r="JIX137" s="17"/>
      <c r="JIY137" s="9"/>
      <c r="JIZ137" s="9"/>
      <c r="JJA137" s="18"/>
      <c r="JJB137" s="18"/>
      <c r="JJC137" s="18"/>
      <c r="JJD137" s="18"/>
      <c r="JJE137" s="18"/>
      <c r="JJF137" s="17"/>
      <c r="JJG137" s="9"/>
      <c r="JJH137" s="9"/>
      <c r="JJI137" s="18"/>
      <c r="JJJ137" s="18"/>
      <c r="JJK137" s="18"/>
      <c r="JJL137" s="18"/>
      <c r="JJM137" s="18"/>
      <c r="JJN137" s="17"/>
      <c r="JJO137" s="9"/>
      <c r="JJP137" s="9"/>
      <c r="JJQ137" s="18"/>
      <c r="JJR137" s="18"/>
      <c r="JJS137" s="18"/>
      <c r="JJT137" s="18"/>
      <c r="JJU137" s="18"/>
      <c r="JJV137" s="17"/>
      <c r="JJW137" s="9"/>
      <c r="JJX137" s="9"/>
      <c r="JJY137" s="18"/>
      <c r="JJZ137" s="18"/>
      <c r="JKA137" s="18"/>
      <c r="JKB137" s="18"/>
      <c r="JKC137" s="18"/>
      <c r="JKD137" s="17"/>
      <c r="JKE137" s="9"/>
      <c r="JKF137" s="9"/>
      <c r="JKG137" s="18"/>
      <c r="JKH137" s="18"/>
      <c r="JKI137" s="18"/>
      <c r="JKJ137" s="18"/>
      <c r="JKK137" s="18"/>
      <c r="JKL137" s="17"/>
      <c r="JKM137" s="9"/>
      <c r="JKN137" s="9"/>
      <c r="JKO137" s="18"/>
      <c r="JKP137" s="18"/>
      <c r="JKQ137" s="18"/>
      <c r="JKR137" s="18"/>
      <c r="JKS137" s="18"/>
      <c r="JKT137" s="17"/>
      <c r="JKU137" s="9"/>
      <c r="JKV137" s="9"/>
      <c r="JKW137" s="18"/>
      <c r="JKX137" s="18"/>
      <c r="JKY137" s="18"/>
      <c r="JKZ137" s="18"/>
      <c r="JLA137" s="18"/>
      <c r="JLB137" s="17"/>
      <c r="JLC137" s="9"/>
      <c r="JLD137" s="9"/>
      <c r="JLE137" s="18"/>
      <c r="JLF137" s="18"/>
      <c r="JLG137" s="18"/>
      <c r="JLH137" s="18"/>
      <c r="JLI137" s="18"/>
      <c r="JLJ137" s="17"/>
      <c r="JLK137" s="9"/>
      <c r="JLL137" s="9"/>
      <c r="JLM137" s="18"/>
      <c r="JLN137" s="18"/>
      <c r="JLO137" s="18"/>
      <c r="JLP137" s="18"/>
      <c r="JLQ137" s="18"/>
      <c r="JLR137" s="17"/>
      <c r="JLS137" s="9"/>
      <c r="JLT137" s="9"/>
      <c r="JLU137" s="18"/>
      <c r="JLV137" s="18"/>
      <c r="JLW137" s="18"/>
      <c r="JLX137" s="18"/>
      <c r="JLY137" s="18"/>
      <c r="JLZ137" s="17"/>
      <c r="JMA137" s="9"/>
      <c r="JMB137" s="9"/>
      <c r="JMC137" s="18"/>
      <c r="JMD137" s="18"/>
      <c r="JME137" s="18"/>
      <c r="JMF137" s="18"/>
      <c r="JMG137" s="18"/>
      <c r="JMH137" s="17"/>
      <c r="JMI137" s="9"/>
      <c r="JMJ137" s="9"/>
      <c r="JMK137" s="18"/>
      <c r="JML137" s="18"/>
      <c r="JMM137" s="18"/>
      <c r="JMN137" s="18"/>
      <c r="JMO137" s="18"/>
      <c r="JMP137" s="17"/>
      <c r="JMQ137" s="9"/>
      <c r="JMR137" s="9"/>
      <c r="JMS137" s="18"/>
      <c r="JMT137" s="18"/>
      <c r="JMU137" s="18"/>
      <c r="JMV137" s="18"/>
      <c r="JMW137" s="18"/>
      <c r="JMX137" s="17"/>
      <c r="JMY137" s="9"/>
      <c r="JMZ137" s="9"/>
      <c r="JNA137" s="18"/>
      <c r="JNB137" s="18"/>
      <c r="JNC137" s="18"/>
      <c r="JND137" s="18"/>
      <c r="JNE137" s="18"/>
      <c r="JNF137" s="17"/>
      <c r="JNG137" s="9"/>
      <c r="JNH137" s="9"/>
      <c r="JNI137" s="18"/>
      <c r="JNJ137" s="18"/>
      <c r="JNK137" s="18"/>
      <c r="JNL137" s="18"/>
      <c r="JNM137" s="18"/>
      <c r="JNN137" s="17"/>
      <c r="JNO137" s="9"/>
      <c r="JNP137" s="9"/>
      <c r="JNQ137" s="18"/>
      <c r="JNR137" s="18"/>
      <c r="JNS137" s="18"/>
      <c r="JNT137" s="18"/>
      <c r="JNU137" s="18"/>
      <c r="JNV137" s="17"/>
      <c r="JNW137" s="9"/>
      <c r="JNX137" s="9"/>
      <c r="JNY137" s="18"/>
      <c r="JNZ137" s="18"/>
      <c r="JOA137" s="18"/>
      <c r="JOB137" s="18"/>
      <c r="JOC137" s="18"/>
      <c r="JOD137" s="17"/>
      <c r="JOE137" s="9"/>
      <c r="JOF137" s="9"/>
      <c r="JOG137" s="18"/>
      <c r="JOH137" s="18"/>
      <c r="JOI137" s="18"/>
      <c r="JOJ137" s="18"/>
      <c r="JOK137" s="18"/>
      <c r="JOL137" s="17"/>
      <c r="JOM137" s="9"/>
      <c r="JON137" s="9"/>
      <c r="JOO137" s="18"/>
      <c r="JOP137" s="18"/>
      <c r="JOQ137" s="18"/>
      <c r="JOR137" s="18"/>
      <c r="JOS137" s="18"/>
      <c r="JOT137" s="17"/>
      <c r="JOU137" s="9"/>
      <c r="JOV137" s="9"/>
      <c r="JOW137" s="18"/>
      <c r="JOX137" s="18"/>
      <c r="JOY137" s="18"/>
      <c r="JOZ137" s="18"/>
      <c r="JPA137" s="18"/>
      <c r="JPB137" s="17"/>
      <c r="JPC137" s="9"/>
      <c r="JPD137" s="9"/>
      <c r="JPE137" s="18"/>
      <c r="JPF137" s="18"/>
      <c r="JPG137" s="18"/>
      <c r="JPH137" s="18"/>
      <c r="JPI137" s="18"/>
      <c r="JPJ137" s="17"/>
      <c r="JPK137" s="9"/>
      <c r="JPL137" s="9"/>
      <c r="JPM137" s="18"/>
      <c r="JPN137" s="18"/>
      <c r="JPO137" s="18"/>
      <c r="JPP137" s="18"/>
      <c r="JPQ137" s="18"/>
      <c r="JPR137" s="17"/>
      <c r="JPS137" s="9"/>
      <c r="JPT137" s="9"/>
      <c r="JPU137" s="18"/>
      <c r="JPV137" s="18"/>
      <c r="JPW137" s="18"/>
      <c r="JPX137" s="18"/>
      <c r="JPY137" s="18"/>
      <c r="JPZ137" s="17"/>
      <c r="JQA137" s="9"/>
      <c r="JQB137" s="9"/>
      <c r="JQC137" s="18"/>
      <c r="JQD137" s="18"/>
      <c r="JQE137" s="18"/>
      <c r="JQF137" s="18"/>
      <c r="JQG137" s="18"/>
      <c r="JQH137" s="17"/>
      <c r="JQI137" s="9"/>
      <c r="JQJ137" s="9"/>
      <c r="JQK137" s="18"/>
      <c r="JQL137" s="18"/>
      <c r="JQM137" s="18"/>
      <c r="JQN137" s="18"/>
      <c r="JQO137" s="18"/>
      <c r="JQP137" s="17"/>
      <c r="JQQ137" s="9"/>
      <c r="JQR137" s="9"/>
      <c r="JQS137" s="18"/>
      <c r="JQT137" s="18"/>
      <c r="JQU137" s="18"/>
      <c r="JQV137" s="18"/>
      <c r="JQW137" s="18"/>
      <c r="JQX137" s="17"/>
      <c r="JQY137" s="9"/>
      <c r="JQZ137" s="9"/>
      <c r="JRA137" s="18"/>
      <c r="JRB137" s="18"/>
      <c r="JRC137" s="18"/>
      <c r="JRD137" s="18"/>
      <c r="JRE137" s="18"/>
      <c r="JRF137" s="17"/>
      <c r="JRG137" s="9"/>
      <c r="JRH137" s="9"/>
      <c r="JRI137" s="18"/>
      <c r="JRJ137" s="18"/>
      <c r="JRK137" s="18"/>
      <c r="JRL137" s="18"/>
      <c r="JRM137" s="18"/>
      <c r="JRN137" s="17"/>
      <c r="JRO137" s="9"/>
      <c r="JRP137" s="9"/>
      <c r="JRQ137" s="18"/>
      <c r="JRR137" s="18"/>
      <c r="JRS137" s="18"/>
      <c r="JRT137" s="18"/>
      <c r="JRU137" s="18"/>
      <c r="JRV137" s="17"/>
      <c r="JRW137" s="9"/>
      <c r="JRX137" s="9"/>
      <c r="JRY137" s="18"/>
      <c r="JRZ137" s="18"/>
      <c r="JSA137" s="18"/>
      <c r="JSB137" s="18"/>
      <c r="JSC137" s="18"/>
      <c r="JSD137" s="17"/>
      <c r="JSE137" s="9"/>
      <c r="JSF137" s="9"/>
      <c r="JSG137" s="18"/>
      <c r="JSH137" s="18"/>
      <c r="JSI137" s="18"/>
      <c r="JSJ137" s="18"/>
      <c r="JSK137" s="18"/>
      <c r="JSL137" s="17"/>
      <c r="JSM137" s="9"/>
      <c r="JSN137" s="9"/>
      <c r="JSO137" s="18"/>
      <c r="JSP137" s="18"/>
      <c r="JSQ137" s="18"/>
      <c r="JSR137" s="18"/>
      <c r="JSS137" s="18"/>
      <c r="JST137" s="17"/>
      <c r="JSU137" s="9"/>
      <c r="JSV137" s="9"/>
      <c r="JSW137" s="18"/>
      <c r="JSX137" s="18"/>
      <c r="JSY137" s="18"/>
      <c r="JSZ137" s="18"/>
      <c r="JTA137" s="18"/>
      <c r="JTB137" s="17"/>
      <c r="JTC137" s="9"/>
      <c r="JTD137" s="9"/>
      <c r="JTE137" s="18"/>
      <c r="JTF137" s="18"/>
      <c r="JTG137" s="18"/>
      <c r="JTH137" s="18"/>
      <c r="JTI137" s="18"/>
      <c r="JTJ137" s="17"/>
      <c r="JTK137" s="9"/>
      <c r="JTL137" s="9"/>
      <c r="JTM137" s="18"/>
      <c r="JTN137" s="18"/>
      <c r="JTO137" s="18"/>
      <c r="JTP137" s="18"/>
      <c r="JTQ137" s="18"/>
      <c r="JTR137" s="17"/>
      <c r="JTS137" s="9"/>
      <c r="JTT137" s="9"/>
      <c r="JTU137" s="18"/>
      <c r="JTV137" s="18"/>
      <c r="JTW137" s="18"/>
      <c r="JTX137" s="18"/>
      <c r="JTY137" s="18"/>
      <c r="JTZ137" s="17"/>
      <c r="JUA137" s="9"/>
      <c r="JUB137" s="9"/>
      <c r="JUC137" s="18"/>
      <c r="JUD137" s="18"/>
      <c r="JUE137" s="18"/>
      <c r="JUF137" s="18"/>
      <c r="JUG137" s="18"/>
      <c r="JUH137" s="17"/>
      <c r="JUI137" s="9"/>
      <c r="JUJ137" s="9"/>
      <c r="JUK137" s="18"/>
      <c r="JUL137" s="18"/>
      <c r="JUM137" s="18"/>
      <c r="JUN137" s="18"/>
      <c r="JUO137" s="18"/>
      <c r="JUP137" s="17"/>
      <c r="JUQ137" s="9"/>
      <c r="JUR137" s="9"/>
      <c r="JUS137" s="18"/>
      <c r="JUT137" s="18"/>
      <c r="JUU137" s="18"/>
      <c r="JUV137" s="18"/>
      <c r="JUW137" s="18"/>
      <c r="JUX137" s="17"/>
      <c r="JUY137" s="9"/>
      <c r="JUZ137" s="9"/>
      <c r="JVA137" s="18"/>
      <c r="JVB137" s="18"/>
      <c r="JVC137" s="18"/>
      <c r="JVD137" s="18"/>
      <c r="JVE137" s="18"/>
      <c r="JVF137" s="17"/>
      <c r="JVG137" s="9"/>
      <c r="JVH137" s="9"/>
      <c r="JVI137" s="18"/>
      <c r="JVJ137" s="18"/>
      <c r="JVK137" s="18"/>
      <c r="JVL137" s="18"/>
      <c r="JVM137" s="18"/>
      <c r="JVN137" s="17"/>
      <c r="JVO137" s="9"/>
      <c r="JVP137" s="9"/>
      <c r="JVQ137" s="18"/>
      <c r="JVR137" s="18"/>
      <c r="JVS137" s="18"/>
      <c r="JVT137" s="18"/>
      <c r="JVU137" s="18"/>
      <c r="JVV137" s="17"/>
      <c r="JVW137" s="9"/>
      <c r="JVX137" s="9"/>
      <c r="JVY137" s="18"/>
      <c r="JVZ137" s="18"/>
      <c r="JWA137" s="18"/>
      <c r="JWB137" s="18"/>
      <c r="JWC137" s="18"/>
      <c r="JWD137" s="17"/>
      <c r="JWE137" s="9"/>
      <c r="JWF137" s="9"/>
      <c r="JWG137" s="18"/>
      <c r="JWH137" s="18"/>
      <c r="JWI137" s="18"/>
      <c r="JWJ137" s="18"/>
      <c r="JWK137" s="18"/>
      <c r="JWL137" s="17"/>
      <c r="JWM137" s="9"/>
      <c r="JWN137" s="9"/>
      <c r="JWO137" s="18"/>
      <c r="JWP137" s="18"/>
      <c r="JWQ137" s="18"/>
      <c r="JWR137" s="18"/>
      <c r="JWS137" s="18"/>
      <c r="JWT137" s="17"/>
      <c r="JWU137" s="9"/>
      <c r="JWV137" s="9"/>
      <c r="JWW137" s="18"/>
      <c r="JWX137" s="18"/>
      <c r="JWY137" s="18"/>
      <c r="JWZ137" s="18"/>
      <c r="JXA137" s="18"/>
      <c r="JXB137" s="17"/>
      <c r="JXC137" s="9"/>
      <c r="JXD137" s="9"/>
      <c r="JXE137" s="18"/>
      <c r="JXF137" s="18"/>
      <c r="JXG137" s="18"/>
      <c r="JXH137" s="18"/>
      <c r="JXI137" s="18"/>
      <c r="JXJ137" s="17"/>
      <c r="JXK137" s="9"/>
      <c r="JXL137" s="9"/>
      <c r="JXM137" s="18"/>
      <c r="JXN137" s="18"/>
      <c r="JXO137" s="18"/>
      <c r="JXP137" s="18"/>
      <c r="JXQ137" s="18"/>
      <c r="JXR137" s="17"/>
      <c r="JXS137" s="9"/>
      <c r="JXT137" s="9"/>
      <c r="JXU137" s="18"/>
      <c r="JXV137" s="18"/>
      <c r="JXW137" s="18"/>
      <c r="JXX137" s="18"/>
      <c r="JXY137" s="18"/>
      <c r="JXZ137" s="17"/>
      <c r="JYA137" s="9"/>
      <c r="JYB137" s="9"/>
      <c r="JYC137" s="18"/>
      <c r="JYD137" s="18"/>
      <c r="JYE137" s="18"/>
      <c r="JYF137" s="18"/>
      <c r="JYG137" s="18"/>
      <c r="JYH137" s="17"/>
      <c r="JYI137" s="9"/>
      <c r="JYJ137" s="9"/>
      <c r="JYK137" s="18"/>
      <c r="JYL137" s="18"/>
      <c r="JYM137" s="18"/>
      <c r="JYN137" s="18"/>
      <c r="JYO137" s="18"/>
      <c r="JYP137" s="17"/>
      <c r="JYQ137" s="9"/>
      <c r="JYR137" s="9"/>
      <c r="JYS137" s="18"/>
      <c r="JYT137" s="18"/>
      <c r="JYU137" s="18"/>
      <c r="JYV137" s="18"/>
      <c r="JYW137" s="18"/>
      <c r="JYX137" s="17"/>
      <c r="JYY137" s="9"/>
      <c r="JYZ137" s="9"/>
      <c r="JZA137" s="18"/>
      <c r="JZB137" s="18"/>
      <c r="JZC137" s="18"/>
      <c r="JZD137" s="18"/>
      <c r="JZE137" s="18"/>
      <c r="JZF137" s="17"/>
      <c r="JZG137" s="9"/>
      <c r="JZH137" s="9"/>
      <c r="JZI137" s="18"/>
      <c r="JZJ137" s="18"/>
      <c r="JZK137" s="18"/>
      <c r="JZL137" s="18"/>
      <c r="JZM137" s="18"/>
      <c r="JZN137" s="17"/>
      <c r="JZO137" s="9"/>
      <c r="JZP137" s="9"/>
      <c r="JZQ137" s="18"/>
      <c r="JZR137" s="18"/>
      <c r="JZS137" s="18"/>
      <c r="JZT137" s="18"/>
      <c r="JZU137" s="18"/>
      <c r="JZV137" s="17"/>
      <c r="JZW137" s="9"/>
      <c r="JZX137" s="9"/>
      <c r="JZY137" s="18"/>
      <c r="JZZ137" s="18"/>
      <c r="KAA137" s="18"/>
      <c r="KAB137" s="18"/>
      <c r="KAC137" s="18"/>
      <c r="KAD137" s="17"/>
      <c r="KAE137" s="9"/>
      <c r="KAF137" s="9"/>
      <c r="KAG137" s="18"/>
      <c r="KAH137" s="18"/>
      <c r="KAI137" s="18"/>
      <c r="KAJ137" s="18"/>
      <c r="KAK137" s="18"/>
      <c r="KAL137" s="17"/>
      <c r="KAM137" s="9"/>
      <c r="KAN137" s="9"/>
      <c r="KAO137" s="18"/>
      <c r="KAP137" s="18"/>
      <c r="KAQ137" s="18"/>
      <c r="KAR137" s="18"/>
      <c r="KAS137" s="18"/>
      <c r="KAT137" s="17"/>
      <c r="KAU137" s="9"/>
      <c r="KAV137" s="9"/>
      <c r="KAW137" s="18"/>
      <c r="KAX137" s="18"/>
      <c r="KAY137" s="18"/>
      <c r="KAZ137" s="18"/>
      <c r="KBA137" s="18"/>
      <c r="KBB137" s="17"/>
      <c r="KBC137" s="9"/>
      <c r="KBD137" s="9"/>
      <c r="KBE137" s="18"/>
      <c r="KBF137" s="18"/>
      <c r="KBG137" s="18"/>
      <c r="KBH137" s="18"/>
      <c r="KBI137" s="18"/>
      <c r="KBJ137" s="17"/>
      <c r="KBK137" s="9"/>
      <c r="KBL137" s="9"/>
      <c r="KBM137" s="18"/>
      <c r="KBN137" s="18"/>
      <c r="KBO137" s="18"/>
      <c r="KBP137" s="18"/>
      <c r="KBQ137" s="18"/>
      <c r="KBR137" s="17"/>
      <c r="KBS137" s="9"/>
      <c r="KBT137" s="9"/>
      <c r="KBU137" s="18"/>
      <c r="KBV137" s="18"/>
      <c r="KBW137" s="18"/>
      <c r="KBX137" s="18"/>
      <c r="KBY137" s="18"/>
      <c r="KBZ137" s="17"/>
      <c r="KCA137" s="9"/>
      <c r="KCB137" s="9"/>
      <c r="KCC137" s="18"/>
      <c r="KCD137" s="18"/>
      <c r="KCE137" s="18"/>
      <c r="KCF137" s="18"/>
      <c r="KCG137" s="18"/>
      <c r="KCH137" s="17"/>
      <c r="KCI137" s="9"/>
      <c r="KCJ137" s="9"/>
      <c r="KCK137" s="18"/>
      <c r="KCL137" s="18"/>
      <c r="KCM137" s="18"/>
      <c r="KCN137" s="18"/>
      <c r="KCO137" s="18"/>
      <c r="KCP137" s="17"/>
      <c r="KCQ137" s="9"/>
      <c r="KCR137" s="9"/>
      <c r="KCS137" s="18"/>
      <c r="KCT137" s="18"/>
      <c r="KCU137" s="18"/>
      <c r="KCV137" s="18"/>
      <c r="KCW137" s="18"/>
      <c r="KCX137" s="17"/>
      <c r="KCY137" s="9"/>
      <c r="KCZ137" s="9"/>
      <c r="KDA137" s="18"/>
      <c r="KDB137" s="18"/>
      <c r="KDC137" s="18"/>
      <c r="KDD137" s="18"/>
      <c r="KDE137" s="18"/>
      <c r="KDF137" s="17"/>
      <c r="KDG137" s="9"/>
      <c r="KDH137" s="9"/>
      <c r="KDI137" s="18"/>
      <c r="KDJ137" s="18"/>
      <c r="KDK137" s="18"/>
      <c r="KDL137" s="18"/>
      <c r="KDM137" s="18"/>
      <c r="KDN137" s="17"/>
      <c r="KDO137" s="9"/>
      <c r="KDP137" s="9"/>
      <c r="KDQ137" s="18"/>
      <c r="KDR137" s="18"/>
      <c r="KDS137" s="18"/>
      <c r="KDT137" s="18"/>
      <c r="KDU137" s="18"/>
      <c r="KDV137" s="17"/>
      <c r="KDW137" s="9"/>
      <c r="KDX137" s="9"/>
      <c r="KDY137" s="18"/>
      <c r="KDZ137" s="18"/>
      <c r="KEA137" s="18"/>
      <c r="KEB137" s="18"/>
      <c r="KEC137" s="18"/>
      <c r="KED137" s="17"/>
      <c r="KEE137" s="9"/>
      <c r="KEF137" s="9"/>
      <c r="KEG137" s="18"/>
      <c r="KEH137" s="18"/>
      <c r="KEI137" s="18"/>
      <c r="KEJ137" s="18"/>
      <c r="KEK137" s="18"/>
      <c r="KEL137" s="17"/>
      <c r="KEM137" s="9"/>
      <c r="KEN137" s="9"/>
      <c r="KEO137" s="18"/>
      <c r="KEP137" s="18"/>
      <c r="KEQ137" s="18"/>
      <c r="KER137" s="18"/>
      <c r="KES137" s="18"/>
      <c r="KET137" s="17"/>
      <c r="KEU137" s="9"/>
      <c r="KEV137" s="9"/>
      <c r="KEW137" s="18"/>
      <c r="KEX137" s="18"/>
      <c r="KEY137" s="18"/>
      <c r="KEZ137" s="18"/>
      <c r="KFA137" s="18"/>
      <c r="KFB137" s="17"/>
      <c r="KFC137" s="9"/>
      <c r="KFD137" s="9"/>
      <c r="KFE137" s="18"/>
      <c r="KFF137" s="18"/>
      <c r="KFG137" s="18"/>
      <c r="KFH137" s="18"/>
      <c r="KFI137" s="18"/>
      <c r="KFJ137" s="17"/>
      <c r="KFK137" s="9"/>
      <c r="KFL137" s="9"/>
      <c r="KFM137" s="18"/>
      <c r="KFN137" s="18"/>
      <c r="KFO137" s="18"/>
      <c r="KFP137" s="18"/>
      <c r="KFQ137" s="18"/>
      <c r="KFR137" s="17"/>
      <c r="KFS137" s="9"/>
      <c r="KFT137" s="9"/>
      <c r="KFU137" s="18"/>
      <c r="KFV137" s="18"/>
      <c r="KFW137" s="18"/>
      <c r="KFX137" s="18"/>
      <c r="KFY137" s="18"/>
      <c r="KFZ137" s="17"/>
      <c r="KGA137" s="9"/>
      <c r="KGB137" s="9"/>
      <c r="KGC137" s="18"/>
      <c r="KGD137" s="18"/>
      <c r="KGE137" s="18"/>
      <c r="KGF137" s="18"/>
      <c r="KGG137" s="18"/>
      <c r="KGH137" s="17"/>
      <c r="KGI137" s="9"/>
      <c r="KGJ137" s="9"/>
      <c r="KGK137" s="18"/>
      <c r="KGL137" s="18"/>
      <c r="KGM137" s="18"/>
      <c r="KGN137" s="18"/>
      <c r="KGO137" s="18"/>
      <c r="KGP137" s="17"/>
      <c r="KGQ137" s="9"/>
      <c r="KGR137" s="9"/>
      <c r="KGS137" s="18"/>
      <c r="KGT137" s="18"/>
      <c r="KGU137" s="18"/>
      <c r="KGV137" s="18"/>
      <c r="KGW137" s="18"/>
      <c r="KGX137" s="17"/>
      <c r="KGY137" s="9"/>
      <c r="KGZ137" s="9"/>
      <c r="KHA137" s="18"/>
      <c r="KHB137" s="18"/>
      <c r="KHC137" s="18"/>
      <c r="KHD137" s="18"/>
      <c r="KHE137" s="18"/>
      <c r="KHF137" s="17"/>
      <c r="KHG137" s="9"/>
      <c r="KHH137" s="9"/>
      <c r="KHI137" s="18"/>
      <c r="KHJ137" s="18"/>
      <c r="KHK137" s="18"/>
      <c r="KHL137" s="18"/>
      <c r="KHM137" s="18"/>
      <c r="KHN137" s="17"/>
      <c r="KHO137" s="9"/>
      <c r="KHP137" s="9"/>
      <c r="KHQ137" s="18"/>
      <c r="KHR137" s="18"/>
      <c r="KHS137" s="18"/>
      <c r="KHT137" s="18"/>
      <c r="KHU137" s="18"/>
      <c r="KHV137" s="17"/>
      <c r="KHW137" s="9"/>
      <c r="KHX137" s="9"/>
      <c r="KHY137" s="18"/>
      <c r="KHZ137" s="18"/>
      <c r="KIA137" s="18"/>
      <c r="KIB137" s="18"/>
      <c r="KIC137" s="18"/>
      <c r="KID137" s="17"/>
      <c r="KIE137" s="9"/>
      <c r="KIF137" s="9"/>
      <c r="KIG137" s="18"/>
      <c r="KIH137" s="18"/>
      <c r="KII137" s="18"/>
      <c r="KIJ137" s="18"/>
      <c r="KIK137" s="18"/>
      <c r="KIL137" s="17"/>
      <c r="KIM137" s="9"/>
      <c r="KIN137" s="9"/>
      <c r="KIO137" s="18"/>
      <c r="KIP137" s="18"/>
      <c r="KIQ137" s="18"/>
      <c r="KIR137" s="18"/>
      <c r="KIS137" s="18"/>
      <c r="KIT137" s="17"/>
      <c r="KIU137" s="9"/>
      <c r="KIV137" s="9"/>
      <c r="KIW137" s="18"/>
      <c r="KIX137" s="18"/>
      <c r="KIY137" s="18"/>
      <c r="KIZ137" s="18"/>
      <c r="KJA137" s="18"/>
      <c r="KJB137" s="17"/>
      <c r="KJC137" s="9"/>
      <c r="KJD137" s="9"/>
      <c r="KJE137" s="18"/>
      <c r="KJF137" s="18"/>
      <c r="KJG137" s="18"/>
      <c r="KJH137" s="18"/>
      <c r="KJI137" s="18"/>
      <c r="KJJ137" s="17"/>
      <c r="KJK137" s="9"/>
      <c r="KJL137" s="9"/>
      <c r="KJM137" s="18"/>
      <c r="KJN137" s="18"/>
      <c r="KJO137" s="18"/>
      <c r="KJP137" s="18"/>
      <c r="KJQ137" s="18"/>
      <c r="KJR137" s="17"/>
      <c r="KJS137" s="9"/>
      <c r="KJT137" s="9"/>
      <c r="KJU137" s="18"/>
      <c r="KJV137" s="18"/>
      <c r="KJW137" s="18"/>
      <c r="KJX137" s="18"/>
      <c r="KJY137" s="18"/>
      <c r="KJZ137" s="17"/>
      <c r="KKA137" s="9"/>
      <c r="KKB137" s="9"/>
      <c r="KKC137" s="18"/>
      <c r="KKD137" s="18"/>
      <c r="KKE137" s="18"/>
      <c r="KKF137" s="18"/>
      <c r="KKG137" s="18"/>
      <c r="KKH137" s="17"/>
      <c r="KKI137" s="9"/>
      <c r="KKJ137" s="9"/>
      <c r="KKK137" s="18"/>
      <c r="KKL137" s="18"/>
      <c r="KKM137" s="18"/>
      <c r="KKN137" s="18"/>
      <c r="KKO137" s="18"/>
      <c r="KKP137" s="17"/>
      <c r="KKQ137" s="9"/>
      <c r="KKR137" s="9"/>
      <c r="KKS137" s="18"/>
      <c r="KKT137" s="18"/>
      <c r="KKU137" s="18"/>
      <c r="KKV137" s="18"/>
      <c r="KKW137" s="18"/>
      <c r="KKX137" s="17"/>
      <c r="KKY137" s="9"/>
      <c r="KKZ137" s="9"/>
      <c r="KLA137" s="18"/>
      <c r="KLB137" s="18"/>
      <c r="KLC137" s="18"/>
      <c r="KLD137" s="18"/>
      <c r="KLE137" s="18"/>
      <c r="KLF137" s="17"/>
      <c r="KLG137" s="9"/>
      <c r="KLH137" s="9"/>
      <c r="KLI137" s="18"/>
      <c r="KLJ137" s="18"/>
      <c r="KLK137" s="18"/>
      <c r="KLL137" s="18"/>
      <c r="KLM137" s="18"/>
      <c r="KLN137" s="17"/>
      <c r="KLO137" s="9"/>
      <c r="KLP137" s="9"/>
      <c r="KLQ137" s="18"/>
      <c r="KLR137" s="18"/>
      <c r="KLS137" s="18"/>
      <c r="KLT137" s="18"/>
      <c r="KLU137" s="18"/>
      <c r="KLV137" s="17"/>
      <c r="KLW137" s="9"/>
      <c r="KLX137" s="9"/>
      <c r="KLY137" s="18"/>
      <c r="KLZ137" s="18"/>
      <c r="KMA137" s="18"/>
      <c r="KMB137" s="18"/>
      <c r="KMC137" s="18"/>
      <c r="KMD137" s="17"/>
      <c r="KME137" s="9"/>
      <c r="KMF137" s="9"/>
      <c r="KMG137" s="18"/>
      <c r="KMH137" s="18"/>
      <c r="KMI137" s="18"/>
      <c r="KMJ137" s="18"/>
      <c r="KMK137" s="18"/>
      <c r="KML137" s="17"/>
      <c r="KMM137" s="9"/>
      <c r="KMN137" s="9"/>
      <c r="KMO137" s="18"/>
      <c r="KMP137" s="18"/>
      <c r="KMQ137" s="18"/>
      <c r="KMR137" s="18"/>
      <c r="KMS137" s="18"/>
      <c r="KMT137" s="17"/>
      <c r="KMU137" s="9"/>
      <c r="KMV137" s="9"/>
      <c r="KMW137" s="18"/>
      <c r="KMX137" s="18"/>
      <c r="KMY137" s="18"/>
      <c r="KMZ137" s="18"/>
      <c r="KNA137" s="18"/>
      <c r="KNB137" s="17"/>
      <c r="KNC137" s="9"/>
      <c r="KND137" s="9"/>
      <c r="KNE137" s="18"/>
      <c r="KNF137" s="18"/>
      <c r="KNG137" s="18"/>
      <c r="KNH137" s="18"/>
      <c r="KNI137" s="18"/>
      <c r="KNJ137" s="17"/>
      <c r="KNK137" s="9"/>
      <c r="KNL137" s="9"/>
      <c r="KNM137" s="18"/>
      <c r="KNN137" s="18"/>
      <c r="KNO137" s="18"/>
      <c r="KNP137" s="18"/>
      <c r="KNQ137" s="18"/>
      <c r="KNR137" s="17"/>
      <c r="KNS137" s="9"/>
      <c r="KNT137" s="9"/>
      <c r="KNU137" s="18"/>
      <c r="KNV137" s="18"/>
      <c r="KNW137" s="18"/>
      <c r="KNX137" s="18"/>
      <c r="KNY137" s="18"/>
      <c r="KNZ137" s="17"/>
      <c r="KOA137" s="9"/>
      <c r="KOB137" s="9"/>
      <c r="KOC137" s="18"/>
      <c r="KOD137" s="18"/>
      <c r="KOE137" s="18"/>
      <c r="KOF137" s="18"/>
      <c r="KOG137" s="18"/>
      <c r="KOH137" s="17"/>
      <c r="KOI137" s="9"/>
      <c r="KOJ137" s="9"/>
      <c r="KOK137" s="18"/>
      <c r="KOL137" s="18"/>
      <c r="KOM137" s="18"/>
      <c r="KON137" s="18"/>
      <c r="KOO137" s="18"/>
      <c r="KOP137" s="17"/>
      <c r="KOQ137" s="9"/>
      <c r="KOR137" s="9"/>
      <c r="KOS137" s="18"/>
      <c r="KOT137" s="18"/>
      <c r="KOU137" s="18"/>
      <c r="KOV137" s="18"/>
      <c r="KOW137" s="18"/>
      <c r="KOX137" s="17"/>
      <c r="KOY137" s="9"/>
      <c r="KOZ137" s="9"/>
      <c r="KPA137" s="18"/>
      <c r="KPB137" s="18"/>
      <c r="KPC137" s="18"/>
      <c r="KPD137" s="18"/>
      <c r="KPE137" s="18"/>
      <c r="KPF137" s="17"/>
      <c r="KPG137" s="9"/>
      <c r="KPH137" s="9"/>
      <c r="KPI137" s="18"/>
      <c r="KPJ137" s="18"/>
      <c r="KPK137" s="18"/>
      <c r="KPL137" s="18"/>
      <c r="KPM137" s="18"/>
      <c r="KPN137" s="17"/>
      <c r="KPO137" s="9"/>
      <c r="KPP137" s="9"/>
      <c r="KPQ137" s="18"/>
      <c r="KPR137" s="18"/>
      <c r="KPS137" s="18"/>
      <c r="KPT137" s="18"/>
      <c r="KPU137" s="18"/>
      <c r="KPV137" s="17"/>
      <c r="KPW137" s="9"/>
      <c r="KPX137" s="9"/>
      <c r="KPY137" s="18"/>
      <c r="KPZ137" s="18"/>
      <c r="KQA137" s="18"/>
      <c r="KQB137" s="18"/>
      <c r="KQC137" s="18"/>
      <c r="KQD137" s="17"/>
      <c r="KQE137" s="9"/>
      <c r="KQF137" s="9"/>
      <c r="KQG137" s="18"/>
      <c r="KQH137" s="18"/>
      <c r="KQI137" s="18"/>
      <c r="KQJ137" s="18"/>
      <c r="KQK137" s="18"/>
      <c r="KQL137" s="17"/>
      <c r="KQM137" s="9"/>
      <c r="KQN137" s="9"/>
      <c r="KQO137" s="18"/>
      <c r="KQP137" s="18"/>
      <c r="KQQ137" s="18"/>
      <c r="KQR137" s="18"/>
      <c r="KQS137" s="18"/>
      <c r="KQT137" s="17"/>
      <c r="KQU137" s="9"/>
      <c r="KQV137" s="9"/>
      <c r="KQW137" s="18"/>
      <c r="KQX137" s="18"/>
      <c r="KQY137" s="18"/>
      <c r="KQZ137" s="18"/>
      <c r="KRA137" s="18"/>
      <c r="KRB137" s="17"/>
      <c r="KRC137" s="9"/>
      <c r="KRD137" s="9"/>
      <c r="KRE137" s="18"/>
      <c r="KRF137" s="18"/>
      <c r="KRG137" s="18"/>
      <c r="KRH137" s="18"/>
      <c r="KRI137" s="18"/>
      <c r="KRJ137" s="17"/>
      <c r="KRK137" s="9"/>
      <c r="KRL137" s="9"/>
      <c r="KRM137" s="18"/>
      <c r="KRN137" s="18"/>
      <c r="KRO137" s="18"/>
      <c r="KRP137" s="18"/>
      <c r="KRQ137" s="18"/>
      <c r="KRR137" s="17"/>
      <c r="KRS137" s="9"/>
      <c r="KRT137" s="9"/>
      <c r="KRU137" s="18"/>
      <c r="KRV137" s="18"/>
      <c r="KRW137" s="18"/>
      <c r="KRX137" s="18"/>
      <c r="KRY137" s="18"/>
      <c r="KRZ137" s="17"/>
      <c r="KSA137" s="9"/>
      <c r="KSB137" s="9"/>
      <c r="KSC137" s="18"/>
      <c r="KSD137" s="18"/>
      <c r="KSE137" s="18"/>
      <c r="KSF137" s="18"/>
      <c r="KSG137" s="18"/>
      <c r="KSH137" s="17"/>
      <c r="KSI137" s="9"/>
      <c r="KSJ137" s="9"/>
      <c r="KSK137" s="18"/>
      <c r="KSL137" s="18"/>
      <c r="KSM137" s="18"/>
      <c r="KSN137" s="18"/>
      <c r="KSO137" s="18"/>
      <c r="KSP137" s="17"/>
      <c r="KSQ137" s="9"/>
      <c r="KSR137" s="9"/>
      <c r="KSS137" s="18"/>
      <c r="KST137" s="18"/>
      <c r="KSU137" s="18"/>
      <c r="KSV137" s="18"/>
      <c r="KSW137" s="18"/>
      <c r="KSX137" s="17"/>
      <c r="KSY137" s="9"/>
      <c r="KSZ137" s="9"/>
      <c r="KTA137" s="18"/>
      <c r="KTB137" s="18"/>
      <c r="KTC137" s="18"/>
      <c r="KTD137" s="18"/>
      <c r="KTE137" s="18"/>
      <c r="KTF137" s="17"/>
      <c r="KTG137" s="9"/>
      <c r="KTH137" s="9"/>
      <c r="KTI137" s="18"/>
      <c r="KTJ137" s="18"/>
      <c r="KTK137" s="18"/>
      <c r="KTL137" s="18"/>
      <c r="KTM137" s="18"/>
      <c r="KTN137" s="17"/>
      <c r="KTO137" s="9"/>
      <c r="KTP137" s="9"/>
      <c r="KTQ137" s="18"/>
      <c r="KTR137" s="18"/>
      <c r="KTS137" s="18"/>
      <c r="KTT137" s="18"/>
      <c r="KTU137" s="18"/>
      <c r="KTV137" s="17"/>
      <c r="KTW137" s="9"/>
      <c r="KTX137" s="9"/>
      <c r="KTY137" s="18"/>
      <c r="KTZ137" s="18"/>
      <c r="KUA137" s="18"/>
      <c r="KUB137" s="18"/>
      <c r="KUC137" s="18"/>
      <c r="KUD137" s="17"/>
      <c r="KUE137" s="9"/>
      <c r="KUF137" s="9"/>
      <c r="KUG137" s="18"/>
      <c r="KUH137" s="18"/>
      <c r="KUI137" s="18"/>
      <c r="KUJ137" s="18"/>
      <c r="KUK137" s="18"/>
      <c r="KUL137" s="17"/>
      <c r="KUM137" s="9"/>
      <c r="KUN137" s="9"/>
      <c r="KUO137" s="18"/>
      <c r="KUP137" s="18"/>
      <c r="KUQ137" s="18"/>
      <c r="KUR137" s="18"/>
      <c r="KUS137" s="18"/>
      <c r="KUT137" s="17"/>
      <c r="KUU137" s="9"/>
      <c r="KUV137" s="9"/>
      <c r="KUW137" s="18"/>
      <c r="KUX137" s="18"/>
      <c r="KUY137" s="18"/>
      <c r="KUZ137" s="18"/>
      <c r="KVA137" s="18"/>
      <c r="KVB137" s="17"/>
      <c r="KVC137" s="9"/>
      <c r="KVD137" s="9"/>
      <c r="KVE137" s="18"/>
      <c r="KVF137" s="18"/>
      <c r="KVG137" s="18"/>
      <c r="KVH137" s="18"/>
      <c r="KVI137" s="18"/>
      <c r="KVJ137" s="17"/>
      <c r="KVK137" s="9"/>
      <c r="KVL137" s="9"/>
      <c r="KVM137" s="18"/>
      <c r="KVN137" s="18"/>
      <c r="KVO137" s="18"/>
      <c r="KVP137" s="18"/>
      <c r="KVQ137" s="18"/>
      <c r="KVR137" s="17"/>
      <c r="KVS137" s="9"/>
      <c r="KVT137" s="9"/>
      <c r="KVU137" s="18"/>
      <c r="KVV137" s="18"/>
      <c r="KVW137" s="18"/>
      <c r="KVX137" s="18"/>
      <c r="KVY137" s="18"/>
      <c r="KVZ137" s="17"/>
      <c r="KWA137" s="9"/>
      <c r="KWB137" s="9"/>
      <c r="KWC137" s="18"/>
      <c r="KWD137" s="18"/>
      <c r="KWE137" s="18"/>
      <c r="KWF137" s="18"/>
      <c r="KWG137" s="18"/>
      <c r="KWH137" s="17"/>
      <c r="KWI137" s="9"/>
      <c r="KWJ137" s="9"/>
      <c r="KWK137" s="18"/>
      <c r="KWL137" s="18"/>
      <c r="KWM137" s="18"/>
      <c r="KWN137" s="18"/>
      <c r="KWO137" s="18"/>
      <c r="KWP137" s="17"/>
      <c r="KWQ137" s="9"/>
      <c r="KWR137" s="9"/>
      <c r="KWS137" s="18"/>
      <c r="KWT137" s="18"/>
      <c r="KWU137" s="18"/>
      <c r="KWV137" s="18"/>
      <c r="KWW137" s="18"/>
      <c r="KWX137" s="17"/>
      <c r="KWY137" s="9"/>
      <c r="KWZ137" s="9"/>
      <c r="KXA137" s="18"/>
      <c r="KXB137" s="18"/>
      <c r="KXC137" s="18"/>
      <c r="KXD137" s="18"/>
      <c r="KXE137" s="18"/>
      <c r="KXF137" s="17"/>
      <c r="KXG137" s="9"/>
      <c r="KXH137" s="9"/>
      <c r="KXI137" s="18"/>
      <c r="KXJ137" s="18"/>
      <c r="KXK137" s="18"/>
      <c r="KXL137" s="18"/>
      <c r="KXM137" s="18"/>
      <c r="KXN137" s="17"/>
      <c r="KXO137" s="9"/>
      <c r="KXP137" s="9"/>
      <c r="KXQ137" s="18"/>
      <c r="KXR137" s="18"/>
      <c r="KXS137" s="18"/>
      <c r="KXT137" s="18"/>
      <c r="KXU137" s="18"/>
      <c r="KXV137" s="17"/>
      <c r="KXW137" s="9"/>
      <c r="KXX137" s="9"/>
      <c r="KXY137" s="18"/>
      <c r="KXZ137" s="18"/>
      <c r="KYA137" s="18"/>
      <c r="KYB137" s="18"/>
      <c r="KYC137" s="18"/>
      <c r="KYD137" s="17"/>
      <c r="KYE137" s="9"/>
      <c r="KYF137" s="9"/>
      <c r="KYG137" s="18"/>
      <c r="KYH137" s="18"/>
      <c r="KYI137" s="18"/>
      <c r="KYJ137" s="18"/>
      <c r="KYK137" s="18"/>
      <c r="KYL137" s="17"/>
      <c r="KYM137" s="9"/>
      <c r="KYN137" s="9"/>
      <c r="KYO137" s="18"/>
      <c r="KYP137" s="18"/>
      <c r="KYQ137" s="18"/>
      <c r="KYR137" s="18"/>
      <c r="KYS137" s="18"/>
      <c r="KYT137" s="17"/>
      <c r="KYU137" s="9"/>
      <c r="KYV137" s="9"/>
      <c r="KYW137" s="18"/>
      <c r="KYX137" s="18"/>
      <c r="KYY137" s="18"/>
      <c r="KYZ137" s="18"/>
      <c r="KZA137" s="18"/>
      <c r="KZB137" s="17"/>
      <c r="KZC137" s="9"/>
      <c r="KZD137" s="9"/>
      <c r="KZE137" s="18"/>
      <c r="KZF137" s="18"/>
      <c r="KZG137" s="18"/>
      <c r="KZH137" s="18"/>
      <c r="KZI137" s="18"/>
      <c r="KZJ137" s="17"/>
      <c r="KZK137" s="9"/>
      <c r="KZL137" s="9"/>
      <c r="KZM137" s="18"/>
      <c r="KZN137" s="18"/>
      <c r="KZO137" s="18"/>
      <c r="KZP137" s="18"/>
      <c r="KZQ137" s="18"/>
      <c r="KZR137" s="17"/>
      <c r="KZS137" s="9"/>
      <c r="KZT137" s="9"/>
      <c r="KZU137" s="18"/>
      <c r="KZV137" s="18"/>
      <c r="KZW137" s="18"/>
      <c r="KZX137" s="18"/>
      <c r="KZY137" s="18"/>
      <c r="KZZ137" s="17"/>
      <c r="LAA137" s="9"/>
      <c r="LAB137" s="9"/>
      <c r="LAC137" s="18"/>
      <c r="LAD137" s="18"/>
      <c r="LAE137" s="18"/>
      <c r="LAF137" s="18"/>
      <c r="LAG137" s="18"/>
      <c r="LAH137" s="17"/>
      <c r="LAI137" s="9"/>
      <c r="LAJ137" s="9"/>
      <c r="LAK137" s="18"/>
      <c r="LAL137" s="18"/>
      <c r="LAM137" s="18"/>
      <c r="LAN137" s="18"/>
      <c r="LAO137" s="18"/>
      <c r="LAP137" s="17"/>
      <c r="LAQ137" s="9"/>
      <c r="LAR137" s="9"/>
      <c r="LAS137" s="18"/>
      <c r="LAT137" s="18"/>
      <c r="LAU137" s="18"/>
      <c r="LAV137" s="18"/>
      <c r="LAW137" s="18"/>
      <c r="LAX137" s="17"/>
      <c r="LAY137" s="9"/>
      <c r="LAZ137" s="9"/>
      <c r="LBA137" s="18"/>
      <c r="LBB137" s="18"/>
      <c r="LBC137" s="18"/>
      <c r="LBD137" s="18"/>
      <c r="LBE137" s="18"/>
      <c r="LBF137" s="17"/>
      <c r="LBG137" s="9"/>
      <c r="LBH137" s="9"/>
      <c r="LBI137" s="18"/>
      <c r="LBJ137" s="18"/>
      <c r="LBK137" s="18"/>
      <c r="LBL137" s="18"/>
      <c r="LBM137" s="18"/>
      <c r="LBN137" s="17"/>
      <c r="LBO137" s="9"/>
      <c r="LBP137" s="9"/>
      <c r="LBQ137" s="18"/>
      <c r="LBR137" s="18"/>
      <c r="LBS137" s="18"/>
      <c r="LBT137" s="18"/>
      <c r="LBU137" s="18"/>
      <c r="LBV137" s="17"/>
      <c r="LBW137" s="9"/>
      <c r="LBX137" s="9"/>
      <c r="LBY137" s="18"/>
      <c r="LBZ137" s="18"/>
      <c r="LCA137" s="18"/>
      <c r="LCB137" s="18"/>
      <c r="LCC137" s="18"/>
      <c r="LCD137" s="17"/>
      <c r="LCE137" s="9"/>
      <c r="LCF137" s="9"/>
      <c r="LCG137" s="18"/>
      <c r="LCH137" s="18"/>
      <c r="LCI137" s="18"/>
      <c r="LCJ137" s="18"/>
      <c r="LCK137" s="18"/>
      <c r="LCL137" s="17"/>
      <c r="LCM137" s="9"/>
      <c r="LCN137" s="9"/>
      <c r="LCO137" s="18"/>
      <c r="LCP137" s="18"/>
      <c r="LCQ137" s="18"/>
      <c r="LCR137" s="18"/>
      <c r="LCS137" s="18"/>
      <c r="LCT137" s="17"/>
      <c r="LCU137" s="9"/>
      <c r="LCV137" s="9"/>
      <c r="LCW137" s="18"/>
      <c r="LCX137" s="18"/>
      <c r="LCY137" s="18"/>
      <c r="LCZ137" s="18"/>
      <c r="LDA137" s="18"/>
      <c r="LDB137" s="17"/>
      <c r="LDC137" s="9"/>
      <c r="LDD137" s="9"/>
      <c r="LDE137" s="18"/>
      <c r="LDF137" s="18"/>
      <c r="LDG137" s="18"/>
      <c r="LDH137" s="18"/>
      <c r="LDI137" s="18"/>
      <c r="LDJ137" s="17"/>
      <c r="LDK137" s="9"/>
      <c r="LDL137" s="9"/>
      <c r="LDM137" s="18"/>
      <c r="LDN137" s="18"/>
      <c r="LDO137" s="18"/>
      <c r="LDP137" s="18"/>
      <c r="LDQ137" s="18"/>
      <c r="LDR137" s="17"/>
      <c r="LDS137" s="9"/>
      <c r="LDT137" s="9"/>
      <c r="LDU137" s="18"/>
      <c r="LDV137" s="18"/>
      <c r="LDW137" s="18"/>
      <c r="LDX137" s="18"/>
      <c r="LDY137" s="18"/>
      <c r="LDZ137" s="17"/>
      <c r="LEA137" s="9"/>
      <c r="LEB137" s="9"/>
      <c r="LEC137" s="18"/>
      <c r="LED137" s="18"/>
      <c r="LEE137" s="18"/>
      <c r="LEF137" s="18"/>
      <c r="LEG137" s="18"/>
      <c r="LEH137" s="17"/>
      <c r="LEI137" s="9"/>
      <c r="LEJ137" s="9"/>
      <c r="LEK137" s="18"/>
      <c r="LEL137" s="18"/>
      <c r="LEM137" s="18"/>
      <c r="LEN137" s="18"/>
      <c r="LEO137" s="18"/>
      <c r="LEP137" s="17"/>
      <c r="LEQ137" s="9"/>
      <c r="LER137" s="9"/>
      <c r="LES137" s="18"/>
      <c r="LET137" s="18"/>
      <c r="LEU137" s="18"/>
      <c r="LEV137" s="18"/>
      <c r="LEW137" s="18"/>
      <c r="LEX137" s="17"/>
      <c r="LEY137" s="9"/>
      <c r="LEZ137" s="9"/>
      <c r="LFA137" s="18"/>
      <c r="LFB137" s="18"/>
      <c r="LFC137" s="18"/>
      <c r="LFD137" s="18"/>
      <c r="LFE137" s="18"/>
      <c r="LFF137" s="17"/>
      <c r="LFG137" s="9"/>
      <c r="LFH137" s="9"/>
      <c r="LFI137" s="18"/>
      <c r="LFJ137" s="18"/>
      <c r="LFK137" s="18"/>
      <c r="LFL137" s="18"/>
      <c r="LFM137" s="18"/>
      <c r="LFN137" s="17"/>
      <c r="LFO137" s="9"/>
      <c r="LFP137" s="9"/>
      <c r="LFQ137" s="18"/>
      <c r="LFR137" s="18"/>
      <c r="LFS137" s="18"/>
      <c r="LFT137" s="18"/>
      <c r="LFU137" s="18"/>
      <c r="LFV137" s="17"/>
      <c r="LFW137" s="9"/>
      <c r="LFX137" s="9"/>
      <c r="LFY137" s="18"/>
      <c r="LFZ137" s="18"/>
      <c r="LGA137" s="18"/>
      <c r="LGB137" s="18"/>
      <c r="LGC137" s="18"/>
      <c r="LGD137" s="17"/>
      <c r="LGE137" s="9"/>
      <c r="LGF137" s="9"/>
      <c r="LGG137" s="18"/>
      <c r="LGH137" s="18"/>
      <c r="LGI137" s="18"/>
      <c r="LGJ137" s="18"/>
      <c r="LGK137" s="18"/>
      <c r="LGL137" s="17"/>
      <c r="LGM137" s="9"/>
      <c r="LGN137" s="9"/>
      <c r="LGO137" s="18"/>
      <c r="LGP137" s="18"/>
      <c r="LGQ137" s="18"/>
      <c r="LGR137" s="18"/>
      <c r="LGS137" s="18"/>
      <c r="LGT137" s="17"/>
      <c r="LGU137" s="9"/>
      <c r="LGV137" s="9"/>
      <c r="LGW137" s="18"/>
      <c r="LGX137" s="18"/>
      <c r="LGY137" s="18"/>
      <c r="LGZ137" s="18"/>
      <c r="LHA137" s="18"/>
      <c r="LHB137" s="17"/>
      <c r="LHC137" s="9"/>
      <c r="LHD137" s="9"/>
      <c r="LHE137" s="18"/>
      <c r="LHF137" s="18"/>
      <c r="LHG137" s="18"/>
      <c r="LHH137" s="18"/>
      <c r="LHI137" s="18"/>
      <c r="LHJ137" s="17"/>
      <c r="LHK137" s="9"/>
      <c r="LHL137" s="9"/>
      <c r="LHM137" s="18"/>
      <c r="LHN137" s="18"/>
      <c r="LHO137" s="18"/>
      <c r="LHP137" s="18"/>
      <c r="LHQ137" s="18"/>
      <c r="LHR137" s="17"/>
      <c r="LHS137" s="9"/>
      <c r="LHT137" s="9"/>
      <c r="LHU137" s="18"/>
      <c r="LHV137" s="18"/>
      <c r="LHW137" s="18"/>
      <c r="LHX137" s="18"/>
      <c r="LHY137" s="18"/>
      <c r="LHZ137" s="17"/>
      <c r="LIA137" s="9"/>
      <c r="LIB137" s="9"/>
      <c r="LIC137" s="18"/>
      <c r="LID137" s="18"/>
      <c r="LIE137" s="18"/>
      <c r="LIF137" s="18"/>
      <c r="LIG137" s="18"/>
      <c r="LIH137" s="17"/>
      <c r="LII137" s="9"/>
      <c r="LIJ137" s="9"/>
      <c r="LIK137" s="18"/>
      <c r="LIL137" s="18"/>
      <c r="LIM137" s="18"/>
      <c r="LIN137" s="18"/>
      <c r="LIO137" s="18"/>
      <c r="LIP137" s="17"/>
      <c r="LIQ137" s="9"/>
      <c r="LIR137" s="9"/>
      <c r="LIS137" s="18"/>
      <c r="LIT137" s="18"/>
      <c r="LIU137" s="18"/>
      <c r="LIV137" s="18"/>
      <c r="LIW137" s="18"/>
      <c r="LIX137" s="17"/>
      <c r="LIY137" s="9"/>
      <c r="LIZ137" s="9"/>
      <c r="LJA137" s="18"/>
      <c r="LJB137" s="18"/>
      <c r="LJC137" s="18"/>
      <c r="LJD137" s="18"/>
      <c r="LJE137" s="18"/>
      <c r="LJF137" s="17"/>
      <c r="LJG137" s="9"/>
      <c r="LJH137" s="9"/>
      <c r="LJI137" s="18"/>
      <c r="LJJ137" s="18"/>
      <c r="LJK137" s="18"/>
      <c r="LJL137" s="18"/>
      <c r="LJM137" s="18"/>
      <c r="LJN137" s="17"/>
      <c r="LJO137" s="9"/>
      <c r="LJP137" s="9"/>
      <c r="LJQ137" s="18"/>
      <c r="LJR137" s="18"/>
      <c r="LJS137" s="18"/>
      <c r="LJT137" s="18"/>
      <c r="LJU137" s="18"/>
      <c r="LJV137" s="17"/>
      <c r="LJW137" s="9"/>
      <c r="LJX137" s="9"/>
      <c r="LJY137" s="18"/>
      <c r="LJZ137" s="18"/>
      <c r="LKA137" s="18"/>
      <c r="LKB137" s="18"/>
      <c r="LKC137" s="18"/>
      <c r="LKD137" s="17"/>
      <c r="LKE137" s="9"/>
      <c r="LKF137" s="9"/>
      <c r="LKG137" s="18"/>
      <c r="LKH137" s="18"/>
      <c r="LKI137" s="18"/>
      <c r="LKJ137" s="18"/>
      <c r="LKK137" s="18"/>
      <c r="LKL137" s="17"/>
      <c r="LKM137" s="9"/>
      <c r="LKN137" s="9"/>
      <c r="LKO137" s="18"/>
      <c r="LKP137" s="18"/>
      <c r="LKQ137" s="18"/>
      <c r="LKR137" s="18"/>
      <c r="LKS137" s="18"/>
      <c r="LKT137" s="17"/>
      <c r="LKU137" s="9"/>
      <c r="LKV137" s="9"/>
      <c r="LKW137" s="18"/>
      <c r="LKX137" s="18"/>
      <c r="LKY137" s="18"/>
      <c r="LKZ137" s="18"/>
      <c r="LLA137" s="18"/>
      <c r="LLB137" s="17"/>
      <c r="LLC137" s="9"/>
      <c r="LLD137" s="9"/>
      <c r="LLE137" s="18"/>
      <c r="LLF137" s="18"/>
      <c r="LLG137" s="18"/>
      <c r="LLH137" s="18"/>
      <c r="LLI137" s="18"/>
      <c r="LLJ137" s="17"/>
      <c r="LLK137" s="9"/>
      <c r="LLL137" s="9"/>
      <c r="LLM137" s="18"/>
      <c r="LLN137" s="18"/>
      <c r="LLO137" s="18"/>
      <c r="LLP137" s="18"/>
      <c r="LLQ137" s="18"/>
      <c r="LLR137" s="17"/>
      <c r="LLS137" s="9"/>
      <c r="LLT137" s="9"/>
      <c r="LLU137" s="18"/>
      <c r="LLV137" s="18"/>
      <c r="LLW137" s="18"/>
      <c r="LLX137" s="18"/>
      <c r="LLY137" s="18"/>
      <c r="LLZ137" s="17"/>
      <c r="LMA137" s="9"/>
      <c r="LMB137" s="9"/>
      <c r="LMC137" s="18"/>
      <c r="LMD137" s="18"/>
      <c r="LME137" s="18"/>
      <c r="LMF137" s="18"/>
      <c r="LMG137" s="18"/>
      <c r="LMH137" s="17"/>
      <c r="LMI137" s="9"/>
      <c r="LMJ137" s="9"/>
      <c r="LMK137" s="18"/>
      <c r="LML137" s="18"/>
      <c r="LMM137" s="18"/>
      <c r="LMN137" s="18"/>
      <c r="LMO137" s="18"/>
      <c r="LMP137" s="17"/>
      <c r="LMQ137" s="9"/>
      <c r="LMR137" s="9"/>
      <c r="LMS137" s="18"/>
      <c r="LMT137" s="18"/>
      <c r="LMU137" s="18"/>
      <c r="LMV137" s="18"/>
      <c r="LMW137" s="18"/>
      <c r="LMX137" s="17"/>
      <c r="LMY137" s="9"/>
      <c r="LMZ137" s="9"/>
      <c r="LNA137" s="18"/>
      <c r="LNB137" s="18"/>
      <c r="LNC137" s="18"/>
      <c r="LND137" s="18"/>
      <c r="LNE137" s="18"/>
      <c r="LNF137" s="17"/>
      <c r="LNG137" s="9"/>
      <c r="LNH137" s="9"/>
      <c r="LNI137" s="18"/>
      <c r="LNJ137" s="18"/>
      <c r="LNK137" s="18"/>
      <c r="LNL137" s="18"/>
      <c r="LNM137" s="18"/>
      <c r="LNN137" s="17"/>
      <c r="LNO137" s="9"/>
      <c r="LNP137" s="9"/>
      <c r="LNQ137" s="18"/>
      <c r="LNR137" s="18"/>
      <c r="LNS137" s="18"/>
      <c r="LNT137" s="18"/>
      <c r="LNU137" s="18"/>
      <c r="LNV137" s="17"/>
      <c r="LNW137" s="9"/>
      <c r="LNX137" s="9"/>
      <c r="LNY137" s="18"/>
      <c r="LNZ137" s="18"/>
      <c r="LOA137" s="18"/>
      <c r="LOB137" s="18"/>
      <c r="LOC137" s="18"/>
      <c r="LOD137" s="17"/>
      <c r="LOE137" s="9"/>
      <c r="LOF137" s="9"/>
      <c r="LOG137" s="18"/>
      <c r="LOH137" s="18"/>
      <c r="LOI137" s="18"/>
      <c r="LOJ137" s="18"/>
      <c r="LOK137" s="18"/>
      <c r="LOL137" s="17"/>
      <c r="LOM137" s="9"/>
      <c r="LON137" s="9"/>
      <c r="LOO137" s="18"/>
      <c r="LOP137" s="18"/>
      <c r="LOQ137" s="18"/>
      <c r="LOR137" s="18"/>
      <c r="LOS137" s="18"/>
      <c r="LOT137" s="17"/>
      <c r="LOU137" s="9"/>
      <c r="LOV137" s="9"/>
      <c r="LOW137" s="18"/>
      <c r="LOX137" s="18"/>
      <c r="LOY137" s="18"/>
      <c r="LOZ137" s="18"/>
      <c r="LPA137" s="18"/>
      <c r="LPB137" s="17"/>
      <c r="LPC137" s="9"/>
      <c r="LPD137" s="9"/>
      <c r="LPE137" s="18"/>
      <c r="LPF137" s="18"/>
      <c r="LPG137" s="18"/>
      <c r="LPH137" s="18"/>
      <c r="LPI137" s="18"/>
      <c r="LPJ137" s="17"/>
      <c r="LPK137" s="9"/>
      <c r="LPL137" s="9"/>
      <c r="LPM137" s="18"/>
      <c r="LPN137" s="18"/>
      <c r="LPO137" s="18"/>
      <c r="LPP137" s="18"/>
      <c r="LPQ137" s="18"/>
      <c r="LPR137" s="17"/>
      <c r="LPS137" s="9"/>
      <c r="LPT137" s="9"/>
      <c r="LPU137" s="18"/>
      <c r="LPV137" s="18"/>
      <c r="LPW137" s="18"/>
      <c r="LPX137" s="18"/>
      <c r="LPY137" s="18"/>
      <c r="LPZ137" s="17"/>
      <c r="LQA137" s="9"/>
      <c r="LQB137" s="9"/>
      <c r="LQC137" s="18"/>
      <c r="LQD137" s="18"/>
      <c r="LQE137" s="18"/>
      <c r="LQF137" s="18"/>
      <c r="LQG137" s="18"/>
      <c r="LQH137" s="17"/>
      <c r="LQI137" s="9"/>
      <c r="LQJ137" s="9"/>
      <c r="LQK137" s="18"/>
      <c r="LQL137" s="18"/>
      <c r="LQM137" s="18"/>
      <c r="LQN137" s="18"/>
      <c r="LQO137" s="18"/>
      <c r="LQP137" s="17"/>
      <c r="LQQ137" s="9"/>
      <c r="LQR137" s="9"/>
      <c r="LQS137" s="18"/>
      <c r="LQT137" s="18"/>
      <c r="LQU137" s="18"/>
      <c r="LQV137" s="18"/>
      <c r="LQW137" s="18"/>
      <c r="LQX137" s="17"/>
      <c r="LQY137" s="9"/>
      <c r="LQZ137" s="9"/>
      <c r="LRA137" s="18"/>
      <c r="LRB137" s="18"/>
      <c r="LRC137" s="18"/>
      <c r="LRD137" s="18"/>
      <c r="LRE137" s="18"/>
      <c r="LRF137" s="17"/>
      <c r="LRG137" s="9"/>
      <c r="LRH137" s="9"/>
      <c r="LRI137" s="18"/>
      <c r="LRJ137" s="18"/>
      <c r="LRK137" s="18"/>
      <c r="LRL137" s="18"/>
      <c r="LRM137" s="18"/>
      <c r="LRN137" s="17"/>
      <c r="LRO137" s="9"/>
      <c r="LRP137" s="9"/>
      <c r="LRQ137" s="18"/>
      <c r="LRR137" s="18"/>
      <c r="LRS137" s="18"/>
      <c r="LRT137" s="18"/>
      <c r="LRU137" s="18"/>
      <c r="LRV137" s="17"/>
      <c r="LRW137" s="9"/>
      <c r="LRX137" s="9"/>
      <c r="LRY137" s="18"/>
      <c r="LRZ137" s="18"/>
      <c r="LSA137" s="18"/>
      <c r="LSB137" s="18"/>
      <c r="LSC137" s="18"/>
      <c r="LSD137" s="17"/>
      <c r="LSE137" s="9"/>
      <c r="LSF137" s="9"/>
      <c r="LSG137" s="18"/>
      <c r="LSH137" s="18"/>
      <c r="LSI137" s="18"/>
      <c r="LSJ137" s="18"/>
      <c r="LSK137" s="18"/>
      <c r="LSL137" s="17"/>
      <c r="LSM137" s="9"/>
      <c r="LSN137" s="9"/>
      <c r="LSO137" s="18"/>
      <c r="LSP137" s="18"/>
      <c r="LSQ137" s="18"/>
      <c r="LSR137" s="18"/>
      <c r="LSS137" s="18"/>
      <c r="LST137" s="17"/>
      <c r="LSU137" s="9"/>
      <c r="LSV137" s="9"/>
      <c r="LSW137" s="18"/>
      <c r="LSX137" s="18"/>
      <c r="LSY137" s="18"/>
      <c r="LSZ137" s="18"/>
      <c r="LTA137" s="18"/>
      <c r="LTB137" s="17"/>
      <c r="LTC137" s="9"/>
      <c r="LTD137" s="9"/>
      <c r="LTE137" s="18"/>
      <c r="LTF137" s="18"/>
      <c r="LTG137" s="18"/>
      <c r="LTH137" s="18"/>
      <c r="LTI137" s="18"/>
      <c r="LTJ137" s="17"/>
      <c r="LTK137" s="9"/>
      <c r="LTL137" s="9"/>
      <c r="LTM137" s="18"/>
      <c r="LTN137" s="18"/>
      <c r="LTO137" s="18"/>
      <c r="LTP137" s="18"/>
      <c r="LTQ137" s="18"/>
      <c r="LTR137" s="17"/>
      <c r="LTS137" s="9"/>
      <c r="LTT137" s="9"/>
      <c r="LTU137" s="18"/>
      <c r="LTV137" s="18"/>
      <c r="LTW137" s="18"/>
      <c r="LTX137" s="18"/>
      <c r="LTY137" s="18"/>
      <c r="LTZ137" s="17"/>
      <c r="LUA137" s="9"/>
      <c r="LUB137" s="9"/>
      <c r="LUC137" s="18"/>
      <c r="LUD137" s="18"/>
      <c r="LUE137" s="18"/>
      <c r="LUF137" s="18"/>
      <c r="LUG137" s="18"/>
      <c r="LUH137" s="17"/>
      <c r="LUI137" s="9"/>
      <c r="LUJ137" s="9"/>
      <c r="LUK137" s="18"/>
      <c r="LUL137" s="18"/>
      <c r="LUM137" s="18"/>
      <c r="LUN137" s="18"/>
      <c r="LUO137" s="18"/>
      <c r="LUP137" s="17"/>
      <c r="LUQ137" s="9"/>
      <c r="LUR137" s="9"/>
      <c r="LUS137" s="18"/>
      <c r="LUT137" s="18"/>
      <c r="LUU137" s="18"/>
      <c r="LUV137" s="18"/>
      <c r="LUW137" s="18"/>
      <c r="LUX137" s="17"/>
      <c r="LUY137" s="9"/>
      <c r="LUZ137" s="9"/>
      <c r="LVA137" s="18"/>
      <c r="LVB137" s="18"/>
      <c r="LVC137" s="18"/>
      <c r="LVD137" s="18"/>
      <c r="LVE137" s="18"/>
      <c r="LVF137" s="17"/>
      <c r="LVG137" s="9"/>
      <c r="LVH137" s="9"/>
      <c r="LVI137" s="18"/>
      <c r="LVJ137" s="18"/>
      <c r="LVK137" s="18"/>
      <c r="LVL137" s="18"/>
      <c r="LVM137" s="18"/>
      <c r="LVN137" s="17"/>
      <c r="LVO137" s="9"/>
      <c r="LVP137" s="9"/>
      <c r="LVQ137" s="18"/>
      <c r="LVR137" s="18"/>
      <c r="LVS137" s="18"/>
      <c r="LVT137" s="18"/>
      <c r="LVU137" s="18"/>
      <c r="LVV137" s="17"/>
      <c r="LVW137" s="9"/>
      <c r="LVX137" s="9"/>
      <c r="LVY137" s="18"/>
      <c r="LVZ137" s="18"/>
      <c r="LWA137" s="18"/>
      <c r="LWB137" s="18"/>
      <c r="LWC137" s="18"/>
      <c r="LWD137" s="17"/>
      <c r="LWE137" s="9"/>
      <c r="LWF137" s="9"/>
      <c r="LWG137" s="18"/>
      <c r="LWH137" s="18"/>
      <c r="LWI137" s="18"/>
      <c r="LWJ137" s="18"/>
      <c r="LWK137" s="18"/>
      <c r="LWL137" s="17"/>
      <c r="LWM137" s="9"/>
      <c r="LWN137" s="9"/>
      <c r="LWO137" s="18"/>
      <c r="LWP137" s="18"/>
      <c r="LWQ137" s="18"/>
      <c r="LWR137" s="18"/>
      <c r="LWS137" s="18"/>
      <c r="LWT137" s="17"/>
      <c r="LWU137" s="9"/>
      <c r="LWV137" s="9"/>
      <c r="LWW137" s="18"/>
      <c r="LWX137" s="18"/>
      <c r="LWY137" s="18"/>
      <c r="LWZ137" s="18"/>
      <c r="LXA137" s="18"/>
      <c r="LXB137" s="17"/>
      <c r="LXC137" s="9"/>
      <c r="LXD137" s="9"/>
      <c r="LXE137" s="18"/>
      <c r="LXF137" s="18"/>
      <c r="LXG137" s="18"/>
      <c r="LXH137" s="18"/>
      <c r="LXI137" s="18"/>
      <c r="LXJ137" s="17"/>
      <c r="LXK137" s="9"/>
      <c r="LXL137" s="9"/>
      <c r="LXM137" s="18"/>
      <c r="LXN137" s="18"/>
      <c r="LXO137" s="18"/>
      <c r="LXP137" s="18"/>
      <c r="LXQ137" s="18"/>
      <c r="LXR137" s="17"/>
      <c r="LXS137" s="9"/>
      <c r="LXT137" s="9"/>
      <c r="LXU137" s="18"/>
      <c r="LXV137" s="18"/>
      <c r="LXW137" s="18"/>
      <c r="LXX137" s="18"/>
      <c r="LXY137" s="18"/>
      <c r="LXZ137" s="17"/>
      <c r="LYA137" s="9"/>
      <c r="LYB137" s="9"/>
      <c r="LYC137" s="18"/>
      <c r="LYD137" s="18"/>
      <c r="LYE137" s="18"/>
      <c r="LYF137" s="18"/>
      <c r="LYG137" s="18"/>
      <c r="LYH137" s="17"/>
      <c r="LYI137" s="9"/>
      <c r="LYJ137" s="9"/>
      <c r="LYK137" s="18"/>
      <c r="LYL137" s="18"/>
      <c r="LYM137" s="18"/>
      <c r="LYN137" s="18"/>
      <c r="LYO137" s="18"/>
      <c r="LYP137" s="17"/>
      <c r="LYQ137" s="9"/>
      <c r="LYR137" s="9"/>
      <c r="LYS137" s="18"/>
      <c r="LYT137" s="18"/>
      <c r="LYU137" s="18"/>
      <c r="LYV137" s="18"/>
      <c r="LYW137" s="18"/>
      <c r="LYX137" s="17"/>
      <c r="LYY137" s="9"/>
      <c r="LYZ137" s="9"/>
      <c r="LZA137" s="18"/>
      <c r="LZB137" s="18"/>
      <c r="LZC137" s="18"/>
      <c r="LZD137" s="18"/>
      <c r="LZE137" s="18"/>
      <c r="LZF137" s="17"/>
      <c r="LZG137" s="9"/>
      <c r="LZH137" s="9"/>
      <c r="LZI137" s="18"/>
      <c r="LZJ137" s="18"/>
      <c r="LZK137" s="18"/>
      <c r="LZL137" s="18"/>
      <c r="LZM137" s="18"/>
      <c r="LZN137" s="17"/>
      <c r="LZO137" s="9"/>
      <c r="LZP137" s="9"/>
      <c r="LZQ137" s="18"/>
      <c r="LZR137" s="18"/>
      <c r="LZS137" s="18"/>
      <c r="LZT137" s="18"/>
      <c r="LZU137" s="18"/>
      <c r="LZV137" s="17"/>
      <c r="LZW137" s="9"/>
      <c r="LZX137" s="9"/>
      <c r="LZY137" s="18"/>
      <c r="LZZ137" s="18"/>
      <c r="MAA137" s="18"/>
      <c r="MAB137" s="18"/>
      <c r="MAC137" s="18"/>
      <c r="MAD137" s="17"/>
      <c r="MAE137" s="9"/>
      <c r="MAF137" s="9"/>
      <c r="MAG137" s="18"/>
      <c r="MAH137" s="18"/>
      <c r="MAI137" s="18"/>
      <c r="MAJ137" s="18"/>
      <c r="MAK137" s="18"/>
      <c r="MAL137" s="17"/>
      <c r="MAM137" s="9"/>
      <c r="MAN137" s="9"/>
      <c r="MAO137" s="18"/>
      <c r="MAP137" s="18"/>
      <c r="MAQ137" s="18"/>
      <c r="MAR137" s="18"/>
      <c r="MAS137" s="18"/>
      <c r="MAT137" s="17"/>
      <c r="MAU137" s="9"/>
      <c r="MAV137" s="9"/>
      <c r="MAW137" s="18"/>
      <c r="MAX137" s="18"/>
      <c r="MAY137" s="18"/>
      <c r="MAZ137" s="18"/>
      <c r="MBA137" s="18"/>
      <c r="MBB137" s="17"/>
      <c r="MBC137" s="9"/>
      <c r="MBD137" s="9"/>
      <c r="MBE137" s="18"/>
      <c r="MBF137" s="18"/>
      <c r="MBG137" s="18"/>
      <c r="MBH137" s="18"/>
      <c r="MBI137" s="18"/>
      <c r="MBJ137" s="17"/>
      <c r="MBK137" s="9"/>
      <c r="MBL137" s="9"/>
      <c r="MBM137" s="18"/>
      <c r="MBN137" s="18"/>
      <c r="MBO137" s="18"/>
      <c r="MBP137" s="18"/>
      <c r="MBQ137" s="18"/>
      <c r="MBR137" s="17"/>
      <c r="MBS137" s="9"/>
      <c r="MBT137" s="9"/>
      <c r="MBU137" s="18"/>
      <c r="MBV137" s="18"/>
      <c r="MBW137" s="18"/>
      <c r="MBX137" s="18"/>
      <c r="MBY137" s="18"/>
      <c r="MBZ137" s="17"/>
      <c r="MCA137" s="9"/>
      <c r="MCB137" s="9"/>
      <c r="MCC137" s="18"/>
      <c r="MCD137" s="18"/>
      <c r="MCE137" s="18"/>
      <c r="MCF137" s="18"/>
      <c r="MCG137" s="18"/>
      <c r="MCH137" s="17"/>
      <c r="MCI137" s="9"/>
      <c r="MCJ137" s="9"/>
      <c r="MCK137" s="18"/>
      <c r="MCL137" s="18"/>
      <c r="MCM137" s="18"/>
      <c r="MCN137" s="18"/>
      <c r="MCO137" s="18"/>
      <c r="MCP137" s="17"/>
      <c r="MCQ137" s="9"/>
      <c r="MCR137" s="9"/>
      <c r="MCS137" s="18"/>
      <c r="MCT137" s="18"/>
      <c r="MCU137" s="18"/>
      <c r="MCV137" s="18"/>
      <c r="MCW137" s="18"/>
      <c r="MCX137" s="17"/>
      <c r="MCY137" s="9"/>
      <c r="MCZ137" s="9"/>
      <c r="MDA137" s="18"/>
      <c r="MDB137" s="18"/>
      <c r="MDC137" s="18"/>
      <c r="MDD137" s="18"/>
      <c r="MDE137" s="18"/>
      <c r="MDF137" s="17"/>
      <c r="MDG137" s="9"/>
      <c r="MDH137" s="9"/>
      <c r="MDI137" s="18"/>
      <c r="MDJ137" s="18"/>
      <c r="MDK137" s="18"/>
      <c r="MDL137" s="18"/>
      <c r="MDM137" s="18"/>
      <c r="MDN137" s="17"/>
      <c r="MDO137" s="9"/>
      <c r="MDP137" s="9"/>
      <c r="MDQ137" s="18"/>
      <c r="MDR137" s="18"/>
      <c r="MDS137" s="18"/>
      <c r="MDT137" s="18"/>
      <c r="MDU137" s="18"/>
      <c r="MDV137" s="17"/>
      <c r="MDW137" s="9"/>
      <c r="MDX137" s="9"/>
      <c r="MDY137" s="18"/>
      <c r="MDZ137" s="18"/>
      <c r="MEA137" s="18"/>
      <c r="MEB137" s="18"/>
      <c r="MEC137" s="18"/>
      <c r="MED137" s="17"/>
      <c r="MEE137" s="9"/>
      <c r="MEF137" s="9"/>
      <c r="MEG137" s="18"/>
      <c r="MEH137" s="18"/>
      <c r="MEI137" s="18"/>
      <c r="MEJ137" s="18"/>
      <c r="MEK137" s="18"/>
      <c r="MEL137" s="17"/>
      <c r="MEM137" s="9"/>
      <c r="MEN137" s="9"/>
      <c r="MEO137" s="18"/>
      <c r="MEP137" s="18"/>
      <c r="MEQ137" s="18"/>
      <c r="MER137" s="18"/>
      <c r="MES137" s="18"/>
      <c r="MET137" s="17"/>
      <c r="MEU137" s="9"/>
      <c r="MEV137" s="9"/>
      <c r="MEW137" s="18"/>
      <c r="MEX137" s="18"/>
      <c r="MEY137" s="18"/>
      <c r="MEZ137" s="18"/>
      <c r="MFA137" s="18"/>
      <c r="MFB137" s="17"/>
      <c r="MFC137" s="9"/>
      <c r="MFD137" s="9"/>
      <c r="MFE137" s="18"/>
      <c r="MFF137" s="18"/>
      <c r="MFG137" s="18"/>
      <c r="MFH137" s="18"/>
      <c r="MFI137" s="18"/>
      <c r="MFJ137" s="17"/>
      <c r="MFK137" s="9"/>
      <c r="MFL137" s="9"/>
      <c r="MFM137" s="18"/>
      <c r="MFN137" s="18"/>
      <c r="MFO137" s="18"/>
      <c r="MFP137" s="18"/>
      <c r="MFQ137" s="18"/>
      <c r="MFR137" s="17"/>
      <c r="MFS137" s="9"/>
      <c r="MFT137" s="9"/>
      <c r="MFU137" s="18"/>
      <c r="MFV137" s="18"/>
      <c r="MFW137" s="18"/>
      <c r="MFX137" s="18"/>
      <c r="MFY137" s="18"/>
      <c r="MFZ137" s="17"/>
      <c r="MGA137" s="9"/>
      <c r="MGB137" s="9"/>
      <c r="MGC137" s="18"/>
      <c r="MGD137" s="18"/>
      <c r="MGE137" s="18"/>
      <c r="MGF137" s="18"/>
      <c r="MGG137" s="18"/>
      <c r="MGH137" s="17"/>
      <c r="MGI137" s="9"/>
      <c r="MGJ137" s="9"/>
      <c r="MGK137" s="18"/>
      <c r="MGL137" s="18"/>
      <c r="MGM137" s="18"/>
      <c r="MGN137" s="18"/>
      <c r="MGO137" s="18"/>
      <c r="MGP137" s="17"/>
      <c r="MGQ137" s="9"/>
      <c r="MGR137" s="9"/>
      <c r="MGS137" s="18"/>
      <c r="MGT137" s="18"/>
      <c r="MGU137" s="18"/>
      <c r="MGV137" s="18"/>
      <c r="MGW137" s="18"/>
      <c r="MGX137" s="17"/>
      <c r="MGY137" s="9"/>
      <c r="MGZ137" s="9"/>
      <c r="MHA137" s="18"/>
      <c r="MHB137" s="18"/>
      <c r="MHC137" s="18"/>
      <c r="MHD137" s="18"/>
      <c r="MHE137" s="18"/>
      <c r="MHF137" s="17"/>
      <c r="MHG137" s="9"/>
      <c r="MHH137" s="9"/>
      <c r="MHI137" s="18"/>
      <c r="MHJ137" s="18"/>
      <c r="MHK137" s="18"/>
      <c r="MHL137" s="18"/>
      <c r="MHM137" s="18"/>
      <c r="MHN137" s="17"/>
      <c r="MHO137" s="9"/>
      <c r="MHP137" s="9"/>
      <c r="MHQ137" s="18"/>
      <c r="MHR137" s="18"/>
      <c r="MHS137" s="18"/>
      <c r="MHT137" s="18"/>
      <c r="MHU137" s="18"/>
      <c r="MHV137" s="17"/>
      <c r="MHW137" s="9"/>
      <c r="MHX137" s="9"/>
      <c r="MHY137" s="18"/>
      <c r="MHZ137" s="18"/>
      <c r="MIA137" s="18"/>
      <c r="MIB137" s="18"/>
      <c r="MIC137" s="18"/>
      <c r="MID137" s="17"/>
      <c r="MIE137" s="9"/>
      <c r="MIF137" s="9"/>
      <c r="MIG137" s="18"/>
      <c r="MIH137" s="18"/>
      <c r="MII137" s="18"/>
      <c r="MIJ137" s="18"/>
      <c r="MIK137" s="18"/>
      <c r="MIL137" s="17"/>
      <c r="MIM137" s="9"/>
      <c r="MIN137" s="9"/>
      <c r="MIO137" s="18"/>
      <c r="MIP137" s="18"/>
      <c r="MIQ137" s="18"/>
      <c r="MIR137" s="18"/>
      <c r="MIS137" s="18"/>
      <c r="MIT137" s="17"/>
      <c r="MIU137" s="9"/>
      <c r="MIV137" s="9"/>
      <c r="MIW137" s="18"/>
      <c r="MIX137" s="18"/>
      <c r="MIY137" s="18"/>
      <c r="MIZ137" s="18"/>
      <c r="MJA137" s="18"/>
      <c r="MJB137" s="17"/>
      <c r="MJC137" s="9"/>
      <c r="MJD137" s="9"/>
      <c r="MJE137" s="18"/>
      <c r="MJF137" s="18"/>
      <c r="MJG137" s="18"/>
      <c r="MJH137" s="18"/>
      <c r="MJI137" s="18"/>
      <c r="MJJ137" s="17"/>
      <c r="MJK137" s="9"/>
      <c r="MJL137" s="9"/>
      <c r="MJM137" s="18"/>
      <c r="MJN137" s="18"/>
      <c r="MJO137" s="18"/>
      <c r="MJP137" s="18"/>
      <c r="MJQ137" s="18"/>
      <c r="MJR137" s="17"/>
      <c r="MJS137" s="9"/>
      <c r="MJT137" s="9"/>
      <c r="MJU137" s="18"/>
      <c r="MJV137" s="18"/>
      <c r="MJW137" s="18"/>
      <c r="MJX137" s="18"/>
      <c r="MJY137" s="18"/>
      <c r="MJZ137" s="17"/>
      <c r="MKA137" s="9"/>
      <c r="MKB137" s="9"/>
      <c r="MKC137" s="18"/>
      <c r="MKD137" s="18"/>
      <c r="MKE137" s="18"/>
      <c r="MKF137" s="18"/>
      <c r="MKG137" s="18"/>
      <c r="MKH137" s="17"/>
      <c r="MKI137" s="9"/>
      <c r="MKJ137" s="9"/>
      <c r="MKK137" s="18"/>
      <c r="MKL137" s="18"/>
      <c r="MKM137" s="18"/>
      <c r="MKN137" s="18"/>
      <c r="MKO137" s="18"/>
      <c r="MKP137" s="17"/>
      <c r="MKQ137" s="9"/>
      <c r="MKR137" s="9"/>
      <c r="MKS137" s="18"/>
      <c r="MKT137" s="18"/>
      <c r="MKU137" s="18"/>
      <c r="MKV137" s="18"/>
      <c r="MKW137" s="18"/>
      <c r="MKX137" s="17"/>
      <c r="MKY137" s="9"/>
      <c r="MKZ137" s="9"/>
      <c r="MLA137" s="18"/>
      <c r="MLB137" s="18"/>
      <c r="MLC137" s="18"/>
      <c r="MLD137" s="18"/>
      <c r="MLE137" s="18"/>
      <c r="MLF137" s="17"/>
      <c r="MLG137" s="9"/>
      <c r="MLH137" s="9"/>
      <c r="MLI137" s="18"/>
      <c r="MLJ137" s="18"/>
      <c r="MLK137" s="18"/>
      <c r="MLL137" s="18"/>
      <c r="MLM137" s="18"/>
      <c r="MLN137" s="17"/>
      <c r="MLO137" s="9"/>
      <c r="MLP137" s="9"/>
      <c r="MLQ137" s="18"/>
      <c r="MLR137" s="18"/>
      <c r="MLS137" s="18"/>
      <c r="MLT137" s="18"/>
      <c r="MLU137" s="18"/>
      <c r="MLV137" s="17"/>
      <c r="MLW137" s="9"/>
      <c r="MLX137" s="9"/>
      <c r="MLY137" s="18"/>
      <c r="MLZ137" s="18"/>
      <c r="MMA137" s="18"/>
      <c r="MMB137" s="18"/>
      <c r="MMC137" s="18"/>
      <c r="MMD137" s="17"/>
      <c r="MME137" s="9"/>
      <c r="MMF137" s="9"/>
      <c r="MMG137" s="18"/>
      <c r="MMH137" s="18"/>
      <c r="MMI137" s="18"/>
      <c r="MMJ137" s="18"/>
      <c r="MMK137" s="18"/>
      <c r="MML137" s="17"/>
      <c r="MMM137" s="9"/>
      <c r="MMN137" s="9"/>
      <c r="MMO137" s="18"/>
      <c r="MMP137" s="18"/>
      <c r="MMQ137" s="18"/>
      <c r="MMR137" s="18"/>
      <c r="MMS137" s="18"/>
      <c r="MMT137" s="17"/>
      <c r="MMU137" s="9"/>
      <c r="MMV137" s="9"/>
      <c r="MMW137" s="18"/>
      <c r="MMX137" s="18"/>
      <c r="MMY137" s="18"/>
      <c r="MMZ137" s="18"/>
      <c r="MNA137" s="18"/>
      <c r="MNB137" s="17"/>
      <c r="MNC137" s="9"/>
      <c r="MND137" s="9"/>
      <c r="MNE137" s="18"/>
      <c r="MNF137" s="18"/>
      <c r="MNG137" s="18"/>
      <c r="MNH137" s="18"/>
      <c r="MNI137" s="18"/>
      <c r="MNJ137" s="17"/>
      <c r="MNK137" s="9"/>
      <c r="MNL137" s="9"/>
      <c r="MNM137" s="18"/>
      <c r="MNN137" s="18"/>
      <c r="MNO137" s="18"/>
      <c r="MNP137" s="18"/>
      <c r="MNQ137" s="18"/>
      <c r="MNR137" s="17"/>
      <c r="MNS137" s="9"/>
      <c r="MNT137" s="9"/>
      <c r="MNU137" s="18"/>
      <c r="MNV137" s="18"/>
      <c r="MNW137" s="18"/>
      <c r="MNX137" s="18"/>
      <c r="MNY137" s="18"/>
      <c r="MNZ137" s="17"/>
      <c r="MOA137" s="9"/>
      <c r="MOB137" s="9"/>
      <c r="MOC137" s="18"/>
      <c r="MOD137" s="18"/>
      <c r="MOE137" s="18"/>
      <c r="MOF137" s="18"/>
      <c r="MOG137" s="18"/>
      <c r="MOH137" s="17"/>
      <c r="MOI137" s="9"/>
      <c r="MOJ137" s="9"/>
      <c r="MOK137" s="18"/>
      <c r="MOL137" s="18"/>
      <c r="MOM137" s="18"/>
      <c r="MON137" s="18"/>
      <c r="MOO137" s="18"/>
      <c r="MOP137" s="17"/>
      <c r="MOQ137" s="9"/>
      <c r="MOR137" s="9"/>
      <c r="MOS137" s="18"/>
      <c r="MOT137" s="18"/>
      <c r="MOU137" s="18"/>
      <c r="MOV137" s="18"/>
      <c r="MOW137" s="18"/>
      <c r="MOX137" s="17"/>
      <c r="MOY137" s="9"/>
      <c r="MOZ137" s="9"/>
      <c r="MPA137" s="18"/>
      <c r="MPB137" s="18"/>
      <c r="MPC137" s="18"/>
      <c r="MPD137" s="18"/>
      <c r="MPE137" s="18"/>
      <c r="MPF137" s="17"/>
      <c r="MPG137" s="9"/>
      <c r="MPH137" s="9"/>
      <c r="MPI137" s="18"/>
      <c r="MPJ137" s="18"/>
      <c r="MPK137" s="18"/>
      <c r="MPL137" s="18"/>
      <c r="MPM137" s="18"/>
      <c r="MPN137" s="17"/>
      <c r="MPO137" s="9"/>
      <c r="MPP137" s="9"/>
      <c r="MPQ137" s="18"/>
      <c r="MPR137" s="18"/>
      <c r="MPS137" s="18"/>
      <c r="MPT137" s="18"/>
      <c r="MPU137" s="18"/>
      <c r="MPV137" s="17"/>
      <c r="MPW137" s="9"/>
      <c r="MPX137" s="9"/>
      <c r="MPY137" s="18"/>
      <c r="MPZ137" s="18"/>
      <c r="MQA137" s="18"/>
      <c r="MQB137" s="18"/>
      <c r="MQC137" s="18"/>
      <c r="MQD137" s="17"/>
      <c r="MQE137" s="9"/>
      <c r="MQF137" s="9"/>
      <c r="MQG137" s="18"/>
      <c r="MQH137" s="18"/>
      <c r="MQI137" s="18"/>
      <c r="MQJ137" s="18"/>
      <c r="MQK137" s="18"/>
      <c r="MQL137" s="17"/>
      <c r="MQM137" s="9"/>
      <c r="MQN137" s="9"/>
      <c r="MQO137" s="18"/>
      <c r="MQP137" s="18"/>
      <c r="MQQ137" s="18"/>
      <c r="MQR137" s="18"/>
      <c r="MQS137" s="18"/>
      <c r="MQT137" s="17"/>
      <c r="MQU137" s="9"/>
      <c r="MQV137" s="9"/>
      <c r="MQW137" s="18"/>
      <c r="MQX137" s="18"/>
      <c r="MQY137" s="18"/>
      <c r="MQZ137" s="18"/>
      <c r="MRA137" s="18"/>
      <c r="MRB137" s="17"/>
      <c r="MRC137" s="9"/>
      <c r="MRD137" s="9"/>
      <c r="MRE137" s="18"/>
      <c r="MRF137" s="18"/>
      <c r="MRG137" s="18"/>
      <c r="MRH137" s="18"/>
      <c r="MRI137" s="18"/>
      <c r="MRJ137" s="17"/>
      <c r="MRK137" s="9"/>
      <c r="MRL137" s="9"/>
      <c r="MRM137" s="18"/>
      <c r="MRN137" s="18"/>
      <c r="MRO137" s="18"/>
      <c r="MRP137" s="18"/>
      <c r="MRQ137" s="18"/>
      <c r="MRR137" s="17"/>
      <c r="MRS137" s="9"/>
      <c r="MRT137" s="9"/>
      <c r="MRU137" s="18"/>
      <c r="MRV137" s="18"/>
      <c r="MRW137" s="18"/>
      <c r="MRX137" s="18"/>
      <c r="MRY137" s="18"/>
      <c r="MRZ137" s="17"/>
      <c r="MSA137" s="9"/>
      <c r="MSB137" s="9"/>
      <c r="MSC137" s="18"/>
      <c r="MSD137" s="18"/>
      <c r="MSE137" s="18"/>
      <c r="MSF137" s="18"/>
      <c r="MSG137" s="18"/>
      <c r="MSH137" s="17"/>
      <c r="MSI137" s="9"/>
      <c r="MSJ137" s="9"/>
      <c r="MSK137" s="18"/>
      <c r="MSL137" s="18"/>
      <c r="MSM137" s="18"/>
      <c r="MSN137" s="18"/>
      <c r="MSO137" s="18"/>
      <c r="MSP137" s="17"/>
      <c r="MSQ137" s="9"/>
      <c r="MSR137" s="9"/>
      <c r="MSS137" s="18"/>
      <c r="MST137" s="18"/>
      <c r="MSU137" s="18"/>
      <c r="MSV137" s="18"/>
      <c r="MSW137" s="18"/>
      <c r="MSX137" s="17"/>
      <c r="MSY137" s="9"/>
      <c r="MSZ137" s="9"/>
      <c r="MTA137" s="18"/>
      <c r="MTB137" s="18"/>
      <c r="MTC137" s="18"/>
      <c r="MTD137" s="18"/>
      <c r="MTE137" s="18"/>
      <c r="MTF137" s="17"/>
      <c r="MTG137" s="9"/>
      <c r="MTH137" s="9"/>
      <c r="MTI137" s="18"/>
      <c r="MTJ137" s="18"/>
      <c r="MTK137" s="18"/>
      <c r="MTL137" s="18"/>
      <c r="MTM137" s="18"/>
      <c r="MTN137" s="17"/>
      <c r="MTO137" s="9"/>
      <c r="MTP137" s="9"/>
      <c r="MTQ137" s="18"/>
      <c r="MTR137" s="18"/>
      <c r="MTS137" s="18"/>
      <c r="MTT137" s="18"/>
      <c r="MTU137" s="18"/>
      <c r="MTV137" s="17"/>
      <c r="MTW137" s="9"/>
      <c r="MTX137" s="9"/>
      <c r="MTY137" s="18"/>
      <c r="MTZ137" s="18"/>
      <c r="MUA137" s="18"/>
      <c r="MUB137" s="18"/>
      <c r="MUC137" s="18"/>
      <c r="MUD137" s="17"/>
      <c r="MUE137" s="9"/>
      <c r="MUF137" s="9"/>
      <c r="MUG137" s="18"/>
      <c r="MUH137" s="18"/>
      <c r="MUI137" s="18"/>
      <c r="MUJ137" s="18"/>
      <c r="MUK137" s="18"/>
      <c r="MUL137" s="17"/>
      <c r="MUM137" s="9"/>
      <c r="MUN137" s="9"/>
      <c r="MUO137" s="18"/>
      <c r="MUP137" s="18"/>
      <c r="MUQ137" s="18"/>
      <c r="MUR137" s="18"/>
      <c r="MUS137" s="18"/>
      <c r="MUT137" s="17"/>
      <c r="MUU137" s="9"/>
      <c r="MUV137" s="9"/>
      <c r="MUW137" s="18"/>
      <c r="MUX137" s="18"/>
      <c r="MUY137" s="18"/>
      <c r="MUZ137" s="18"/>
      <c r="MVA137" s="18"/>
      <c r="MVB137" s="17"/>
      <c r="MVC137" s="9"/>
      <c r="MVD137" s="9"/>
      <c r="MVE137" s="18"/>
      <c r="MVF137" s="18"/>
      <c r="MVG137" s="18"/>
      <c r="MVH137" s="18"/>
      <c r="MVI137" s="18"/>
      <c r="MVJ137" s="17"/>
      <c r="MVK137" s="9"/>
      <c r="MVL137" s="9"/>
      <c r="MVM137" s="18"/>
      <c r="MVN137" s="18"/>
      <c r="MVO137" s="18"/>
      <c r="MVP137" s="18"/>
      <c r="MVQ137" s="18"/>
      <c r="MVR137" s="17"/>
      <c r="MVS137" s="9"/>
      <c r="MVT137" s="9"/>
      <c r="MVU137" s="18"/>
      <c r="MVV137" s="18"/>
      <c r="MVW137" s="18"/>
      <c r="MVX137" s="18"/>
      <c r="MVY137" s="18"/>
      <c r="MVZ137" s="17"/>
      <c r="MWA137" s="9"/>
      <c r="MWB137" s="9"/>
      <c r="MWC137" s="18"/>
      <c r="MWD137" s="18"/>
      <c r="MWE137" s="18"/>
      <c r="MWF137" s="18"/>
      <c r="MWG137" s="18"/>
      <c r="MWH137" s="17"/>
      <c r="MWI137" s="9"/>
      <c r="MWJ137" s="9"/>
      <c r="MWK137" s="18"/>
      <c r="MWL137" s="18"/>
      <c r="MWM137" s="18"/>
      <c r="MWN137" s="18"/>
      <c r="MWO137" s="18"/>
      <c r="MWP137" s="17"/>
      <c r="MWQ137" s="9"/>
      <c r="MWR137" s="9"/>
      <c r="MWS137" s="18"/>
      <c r="MWT137" s="18"/>
      <c r="MWU137" s="18"/>
      <c r="MWV137" s="18"/>
      <c r="MWW137" s="18"/>
      <c r="MWX137" s="17"/>
      <c r="MWY137" s="9"/>
      <c r="MWZ137" s="9"/>
      <c r="MXA137" s="18"/>
      <c r="MXB137" s="18"/>
      <c r="MXC137" s="18"/>
      <c r="MXD137" s="18"/>
      <c r="MXE137" s="18"/>
      <c r="MXF137" s="17"/>
      <c r="MXG137" s="9"/>
      <c r="MXH137" s="9"/>
      <c r="MXI137" s="18"/>
      <c r="MXJ137" s="18"/>
      <c r="MXK137" s="18"/>
      <c r="MXL137" s="18"/>
      <c r="MXM137" s="18"/>
      <c r="MXN137" s="17"/>
      <c r="MXO137" s="9"/>
      <c r="MXP137" s="9"/>
      <c r="MXQ137" s="18"/>
      <c r="MXR137" s="18"/>
      <c r="MXS137" s="18"/>
      <c r="MXT137" s="18"/>
      <c r="MXU137" s="18"/>
      <c r="MXV137" s="17"/>
      <c r="MXW137" s="9"/>
      <c r="MXX137" s="9"/>
      <c r="MXY137" s="18"/>
      <c r="MXZ137" s="18"/>
      <c r="MYA137" s="18"/>
      <c r="MYB137" s="18"/>
      <c r="MYC137" s="18"/>
      <c r="MYD137" s="17"/>
      <c r="MYE137" s="9"/>
      <c r="MYF137" s="9"/>
      <c r="MYG137" s="18"/>
      <c r="MYH137" s="18"/>
      <c r="MYI137" s="18"/>
      <c r="MYJ137" s="18"/>
      <c r="MYK137" s="18"/>
      <c r="MYL137" s="17"/>
      <c r="MYM137" s="9"/>
      <c r="MYN137" s="9"/>
      <c r="MYO137" s="18"/>
      <c r="MYP137" s="18"/>
      <c r="MYQ137" s="18"/>
      <c r="MYR137" s="18"/>
      <c r="MYS137" s="18"/>
      <c r="MYT137" s="17"/>
      <c r="MYU137" s="9"/>
      <c r="MYV137" s="9"/>
      <c r="MYW137" s="18"/>
      <c r="MYX137" s="18"/>
      <c r="MYY137" s="18"/>
      <c r="MYZ137" s="18"/>
      <c r="MZA137" s="18"/>
      <c r="MZB137" s="17"/>
      <c r="MZC137" s="9"/>
      <c r="MZD137" s="9"/>
      <c r="MZE137" s="18"/>
      <c r="MZF137" s="18"/>
      <c r="MZG137" s="18"/>
      <c r="MZH137" s="18"/>
      <c r="MZI137" s="18"/>
      <c r="MZJ137" s="17"/>
      <c r="MZK137" s="9"/>
      <c r="MZL137" s="9"/>
      <c r="MZM137" s="18"/>
      <c r="MZN137" s="18"/>
      <c r="MZO137" s="18"/>
      <c r="MZP137" s="18"/>
      <c r="MZQ137" s="18"/>
      <c r="MZR137" s="17"/>
      <c r="MZS137" s="9"/>
      <c r="MZT137" s="9"/>
      <c r="MZU137" s="18"/>
      <c r="MZV137" s="18"/>
      <c r="MZW137" s="18"/>
      <c r="MZX137" s="18"/>
      <c r="MZY137" s="18"/>
      <c r="MZZ137" s="17"/>
      <c r="NAA137" s="9"/>
      <c r="NAB137" s="9"/>
      <c r="NAC137" s="18"/>
      <c r="NAD137" s="18"/>
      <c r="NAE137" s="18"/>
      <c r="NAF137" s="18"/>
      <c r="NAG137" s="18"/>
      <c r="NAH137" s="17"/>
      <c r="NAI137" s="9"/>
      <c r="NAJ137" s="9"/>
      <c r="NAK137" s="18"/>
      <c r="NAL137" s="18"/>
      <c r="NAM137" s="18"/>
      <c r="NAN137" s="18"/>
      <c r="NAO137" s="18"/>
      <c r="NAP137" s="17"/>
      <c r="NAQ137" s="9"/>
      <c r="NAR137" s="9"/>
      <c r="NAS137" s="18"/>
      <c r="NAT137" s="18"/>
      <c r="NAU137" s="18"/>
      <c r="NAV137" s="18"/>
      <c r="NAW137" s="18"/>
      <c r="NAX137" s="17"/>
      <c r="NAY137" s="9"/>
      <c r="NAZ137" s="9"/>
      <c r="NBA137" s="18"/>
      <c r="NBB137" s="18"/>
      <c r="NBC137" s="18"/>
      <c r="NBD137" s="18"/>
      <c r="NBE137" s="18"/>
      <c r="NBF137" s="17"/>
      <c r="NBG137" s="9"/>
      <c r="NBH137" s="9"/>
      <c r="NBI137" s="18"/>
      <c r="NBJ137" s="18"/>
      <c r="NBK137" s="18"/>
      <c r="NBL137" s="18"/>
      <c r="NBM137" s="18"/>
      <c r="NBN137" s="17"/>
      <c r="NBO137" s="9"/>
      <c r="NBP137" s="9"/>
      <c r="NBQ137" s="18"/>
      <c r="NBR137" s="18"/>
      <c r="NBS137" s="18"/>
      <c r="NBT137" s="18"/>
      <c r="NBU137" s="18"/>
      <c r="NBV137" s="17"/>
      <c r="NBW137" s="9"/>
      <c r="NBX137" s="9"/>
      <c r="NBY137" s="18"/>
      <c r="NBZ137" s="18"/>
      <c r="NCA137" s="18"/>
      <c r="NCB137" s="18"/>
      <c r="NCC137" s="18"/>
      <c r="NCD137" s="17"/>
      <c r="NCE137" s="9"/>
      <c r="NCF137" s="9"/>
      <c r="NCG137" s="18"/>
      <c r="NCH137" s="18"/>
      <c r="NCI137" s="18"/>
      <c r="NCJ137" s="18"/>
      <c r="NCK137" s="18"/>
      <c r="NCL137" s="17"/>
      <c r="NCM137" s="9"/>
      <c r="NCN137" s="9"/>
      <c r="NCO137" s="18"/>
      <c r="NCP137" s="18"/>
      <c r="NCQ137" s="18"/>
      <c r="NCR137" s="18"/>
      <c r="NCS137" s="18"/>
      <c r="NCT137" s="17"/>
      <c r="NCU137" s="9"/>
      <c r="NCV137" s="9"/>
      <c r="NCW137" s="18"/>
      <c r="NCX137" s="18"/>
      <c r="NCY137" s="18"/>
      <c r="NCZ137" s="18"/>
      <c r="NDA137" s="18"/>
      <c r="NDB137" s="17"/>
      <c r="NDC137" s="9"/>
      <c r="NDD137" s="9"/>
      <c r="NDE137" s="18"/>
      <c r="NDF137" s="18"/>
      <c r="NDG137" s="18"/>
      <c r="NDH137" s="18"/>
      <c r="NDI137" s="18"/>
      <c r="NDJ137" s="17"/>
      <c r="NDK137" s="9"/>
      <c r="NDL137" s="9"/>
      <c r="NDM137" s="18"/>
      <c r="NDN137" s="18"/>
      <c r="NDO137" s="18"/>
      <c r="NDP137" s="18"/>
      <c r="NDQ137" s="18"/>
      <c r="NDR137" s="17"/>
      <c r="NDS137" s="9"/>
      <c r="NDT137" s="9"/>
      <c r="NDU137" s="18"/>
      <c r="NDV137" s="18"/>
      <c r="NDW137" s="18"/>
      <c r="NDX137" s="18"/>
      <c r="NDY137" s="18"/>
      <c r="NDZ137" s="17"/>
      <c r="NEA137" s="9"/>
      <c r="NEB137" s="9"/>
      <c r="NEC137" s="18"/>
      <c r="NED137" s="18"/>
      <c r="NEE137" s="18"/>
      <c r="NEF137" s="18"/>
      <c r="NEG137" s="18"/>
      <c r="NEH137" s="17"/>
      <c r="NEI137" s="9"/>
      <c r="NEJ137" s="9"/>
      <c r="NEK137" s="18"/>
      <c r="NEL137" s="18"/>
      <c r="NEM137" s="18"/>
      <c r="NEN137" s="18"/>
      <c r="NEO137" s="18"/>
      <c r="NEP137" s="17"/>
      <c r="NEQ137" s="9"/>
      <c r="NER137" s="9"/>
      <c r="NES137" s="18"/>
      <c r="NET137" s="18"/>
      <c r="NEU137" s="18"/>
      <c r="NEV137" s="18"/>
      <c r="NEW137" s="18"/>
      <c r="NEX137" s="17"/>
      <c r="NEY137" s="9"/>
      <c r="NEZ137" s="9"/>
      <c r="NFA137" s="18"/>
      <c r="NFB137" s="18"/>
      <c r="NFC137" s="18"/>
      <c r="NFD137" s="18"/>
      <c r="NFE137" s="18"/>
      <c r="NFF137" s="17"/>
      <c r="NFG137" s="9"/>
      <c r="NFH137" s="9"/>
      <c r="NFI137" s="18"/>
      <c r="NFJ137" s="18"/>
      <c r="NFK137" s="18"/>
      <c r="NFL137" s="18"/>
      <c r="NFM137" s="18"/>
      <c r="NFN137" s="17"/>
      <c r="NFO137" s="9"/>
      <c r="NFP137" s="9"/>
      <c r="NFQ137" s="18"/>
      <c r="NFR137" s="18"/>
      <c r="NFS137" s="18"/>
      <c r="NFT137" s="18"/>
      <c r="NFU137" s="18"/>
      <c r="NFV137" s="17"/>
      <c r="NFW137" s="9"/>
      <c r="NFX137" s="9"/>
      <c r="NFY137" s="18"/>
      <c r="NFZ137" s="18"/>
      <c r="NGA137" s="18"/>
      <c r="NGB137" s="18"/>
      <c r="NGC137" s="18"/>
      <c r="NGD137" s="17"/>
      <c r="NGE137" s="9"/>
      <c r="NGF137" s="9"/>
      <c r="NGG137" s="18"/>
      <c r="NGH137" s="18"/>
      <c r="NGI137" s="18"/>
      <c r="NGJ137" s="18"/>
      <c r="NGK137" s="18"/>
      <c r="NGL137" s="17"/>
      <c r="NGM137" s="9"/>
      <c r="NGN137" s="9"/>
      <c r="NGO137" s="18"/>
      <c r="NGP137" s="18"/>
      <c r="NGQ137" s="18"/>
      <c r="NGR137" s="18"/>
      <c r="NGS137" s="18"/>
      <c r="NGT137" s="17"/>
      <c r="NGU137" s="9"/>
      <c r="NGV137" s="9"/>
      <c r="NGW137" s="18"/>
      <c r="NGX137" s="18"/>
      <c r="NGY137" s="18"/>
      <c r="NGZ137" s="18"/>
      <c r="NHA137" s="18"/>
      <c r="NHB137" s="17"/>
      <c r="NHC137" s="9"/>
      <c r="NHD137" s="9"/>
      <c r="NHE137" s="18"/>
      <c r="NHF137" s="18"/>
      <c r="NHG137" s="18"/>
      <c r="NHH137" s="18"/>
      <c r="NHI137" s="18"/>
      <c r="NHJ137" s="17"/>
      <c r="NHK137" s="9"/>
      <c r="NHL137" s="9"/>
      <c r="NHM137" s="18"/>
      <c r="NHN137" s="18"/>
      <c r="NHO137" s="18"/>
      <c r="NHP137" s="18"/>
      <c r="NHQ137" s="18"/>
      <c r="NHR137" s="17"/>
      <c r="NHS137" s="9"/>
      <c r="NHT137" s="9"/>
      <c r="NHU137" s="18"/>
      <c r="NHV137" s="18"/>
      <c r="NHW137" s="18"/>
      <c r="NHX137" s="18"/>
      <c r="NHY137" s="18"/>
      <c r="NHZ137" s="17"/>
      <c r="NIA137" s="9"/>
      <c r="NIB137" s="9"/>
      <c r="NIC137" s="18"/>
      <c r="NID137" s="18"/>
      <c r="NIE137" s="18"/>
      <c r="NIF137" s="18"/>
      <c r="NIG137" s="18"/>
      <c r="NIH137" s="17"/>
      <c r="NII137" s="9"/>
      <c r="NIJ137" s="9"/>
      <c r="NIK137" s="18"/>
      <c r="NIL137" s="18"/>
      <c r="NIM137" s="18"/>
      <c r="NIN137" s="18"/>
      <c r="NIO137" s="18"/>
      <c r="NIP137" s="17"/>
      <c r="NIQ137" s="9"/>
      <c r="NIR137" s="9"/>
      <c r="NIS137" s="18"/>
      <c r="NIT137" s="18"/>
      <c r="NIU137" s="18"/>
      <c r="NIV137" s="18"/>
      <c r="NIW137" s="18"/>
      <c r="NIX137" s="17"/>
      <c r="NIY137" s="9"/>
      <c r="NIZ137" s="9"/>
      <c r="NJA137" s="18"/>
      <c r="NJB137" s="18"/>
      <c r="NJC137" s="18"/>
      <c r="NJD137" s="18"/>
      <c r="NJE137" s="18"/>
      <c r="NJF137" s="17"/>
      <c r="NJG137" s="9"/>
      <c r="NJH137" s="9"/>
      <c r="NJI137" s="18"/>
      <c r="NJJ137" s="18"/>
      <c r="NJK137" s="18"/>
      <c r="NJL137" s="18"/>
      <c r="NJM137" s="18"/>
      <c r="NJN137" s="17"/>
      <c r="NJO137" s="9"/>
      <c r="NJP137" s="9"/>
      <c r="NJQ137" s="18"/>
      <c r="NJR137" s="18"/>
      <c r="NJS137" s="18"/>
      <c r="NJT137" s="18"/>
      <c r="NJU137" s="18"/>
      <c r="NJV137" s="17"/>
      <c r="NJW137" s="9"/>
      <c r="NJX137" s="9"/>
      <c r="NJY137" s="18"/>
      <c r="NJZ137" s="18"/>
      <c r="NKA137" s="18"/>
      <c r="NKB137" s="18"/>
      <c r="NKC137" s="18"/>
      <c r="NKD137" s="17"/>
      <c r="NKE137" s="9"/>
      <c r="NKF137" s="9"/>
      <c r="NKG137" s="18"/>
      <c r="NKH137" s="18"/>
      <c r="NKI137" s="18"/>
      <c r="NKJ137" s="18"/>
      <c r="NKK137" s="18"/>
      <c r="NKL137" s="17"/>
      <c r="NKM137" s="9"/>
      <c r="NKN137" s="9"/>
      <c r="NKO137" s="18"/>
      <c r="NKP137" s="18"/>
      <c r="NKQ137" s="18"/>
      <c r="NKR137" s="18"/>
      <c r="NKS137" s="18"/>
      <c r="NKT137" s="17"/>
      <c r="NKU137" s="9"/>
      <c r="NKV137" s="9"/>
      <c r="NKW137" s="18"/>
      <c r="NKX137" s="18"/>
      <c r="NKY137" s="18"/>
      <c r="NKZ137" s="18"/>
      <c r="NLA137" s="18"/>
      <c r="NLB137" s="17"/>
      <c r="NLC137" s="9"/>
      <c r="NLD137" s="9"/>
      <c r="NLE137" s="18"/>
      <c r="NLF137" s="18"/>
      <c r="NLG137" s="18"/>
      <c r="NLH137" s="18"/>
      <c r="NLI137" s="18"/>
      <c r="NLJ137" s="17"/>
      <c r="NLK137" s="9"/>
      <c r="NLL137" s="9"/>
      <c r="NLM137" s="18"/>
      <c r="NLN137" s="18"/>
      <c r="NLO137" s="18"/>
      <c r="NLP137" s="18"/>
      <c r="NLQ137" s="18"/>
      <c r="NLR137" s="17"/>
      <c r="NLS137" s="9"/>
      <c r="NLT137" s="9"/>
      <c r="NLU137" s="18"/>
      <c r="NLV137" s="18"/>
      <c r="NLW137" s="18"/>
      <c r="NLX137" s="18"/>
      <c r="NLY137" s="18"/>
      <c r="NLZ137" s="17"/>
      <c r="NMA137" s="9"/>
      <c r="NMB137" s="9"/>
      <c r="NMC137" s="18"/>
      <c r="NMD137" s="18"/>
      <c r="NME137" s="18"/>
      <c r="NMF137" s="18"/>
      <c r="NMG137" s="18"/>
      <c r="NMH137" s="17"/>
      <c r="NMI137" s="9"/>
      <c r="NMJ137" s="9"/>
      <c r="NMK137" s="18"/>
      <c r="NML137" s="18"/>
      <c r="NMM137" s="18"/>
      <c r="NMN137" s="18"/>
      <c r="NMO137" s="18"/>
      <c r="NMP137" s="17"/>
      <c r="NMQ137" s="9"/>
      <c r="NMR137" s="9"/>
      <c r="NMS137" s="18"/>
      <c r="NMT137" s="18"/>
      <c r="NMU137" s="18"/>
      <c r="NMV137" s="18"/>
      <c r="NMW137" s="18"/>
      <c r="NMX137" s="17"/>
      <c r="NMY137" s="9"/>
      <c r="NMZ137" s="9"/>
      <c r="NNA137" s="18"/>
      <c r="NNB137" s="18"/>
      <c r="NNC137" s="18"/>
      <c r="NND137" s="18"/>
      <c r="NNE137" s="18"/>
      <c r="NNF137" s="17"/>
      <c r="NNG137" s="9"/>
      <c r="NNH137" s="9"/>
      <c r="NNI137" s="18"/>
      <c r="NNJ137" s="18"/>
      <c r="NNK137" s="18"/>
      <c r="NNL137" s="18"/>
      <c r="NNM137" s="18"/>
      <c r="NNN137" s="17"/>
      <c r="NNO137" s="9"/>
      <c r="NNP137" s="9"/>
      <c r="NNQ137" s="18"/>
      <c r="NNR137" s="18"/>
      <c r="NNS137" s="18"/>
      <c r="NNT137" s="18"/>
      <c r="NNU137" s="18"/>
      <c r="NNV137" s="17"/>
      <c r="NNW137" s="9"/>
      <c r="NNX137" s="9"/>
      <c r="NNY137" s="18"/>
      <c r="NNZ137" s="18"/>
      <c r="NOA137" s="18"/>
      <c r="NOB137" s="18"/>
      <c r="NOC137" s="18"/>
      <c r="NOD137" s="17"/>
      <c r="NOE137" s="9"/>
      <c r="NOF137" s="9"/>
      <c r="NOG137" s="18"/>
      <c r="NOH137" s="18"/>
      <c r="NOI137" s="18"/>
      <c r="NOJ137" s="18"/>
      <c r="NOK137" s="18"/>
      <c r="NOL137" s="17"/>
      <c r="NOM137" s="9"/>
      <c r="NON137" s="9"/>
      <c r="NOO137" s="18"/>
      <c r="NOP137" s="18"/>
      <c r="NOQ137" s="18"/>
      <c r="NOR137" s="18"/>
      <c r="NOS137" s="18"/>
      <c r="NOT137" s="17"/>
      <c r="NOU137" s="9"/>
      <c r="NOV137" s="9"/>
      <c r="NOW137" s="18"/>
      <c r="NOX137" s="18"/>
      <c r="NOY137" s="18"/>
      <c r="NOZ137" s="18"/>
      <c r="NPA137" s="18"/>
      <c r="NPB137" s="17"/>
      <c r="NPC137" s="9"/>
      <c r="NPD137" s="9"/>
      <c r="NPE137" s="18"/>
      <c r="NPF137" s="18"/>
      <c r="NPG137" s="18"/>
      <c r="NPH137" s="18"/>
      <c r="NPI137" s="18"/>
      <c r="NPJ137" s="17"/>
      <c r="NPK137" s="9"/>
      <c r="NPL137" s="9"/>
      <c r="NPM137" s="18"/>
      <c r="NPN137" s="18"/>
      <c r="NPO137" s="18"/>
      <c r="NPP137" s="18"/>
      <c r="NPQ137" s="18"/>
      <c r="NPR137" s="17"/>
      <c r="NPS137" s="9"/>
      <c r="NPT137" s="9"/>
      <c r="NPU137" s="18"/>
      <c r="NPV137" s="18"/>
      <c r="NPW137" s="18"/>
      <c r="NPX137" s="18"/>
      <c r="NPY137" s="18"/>
      <c r="NPZ137" s="17"/>
      <c r="NQA137" s="9"/>
      <c r="NQB137" s="9"/>
      <c r="NQC137" s="18"/>
      <c r="NQD137" s="18"/>
      <c r="NQE137" s="18"/>
      <c r="NQF137" s="18"/>
      <c r="NQG137" s="18"/>
      <c r="NQH137" s="17"/>
      <c r="NQI137" s="9"/>
      <c r="NQJ137" s="9"/>
      <c r="NQK137" s="18"/>
      <c r="NQL137" s="18"/>
      <c r="NQM137" s="18"/>
      <c r="NQN137" s="18"/>
      <c r="NQO137" s="18"/>
      <c r="NQP137" s="17"/>
      <c r="NQQ137" s="9"/>
      <c r="NQR137" s="9"/>
      <c r="NQS137" s="18"/>
      <c r="NQT137" s="18"/>
      <c r="NQU137" s="18"/>
      <c r="NQV137" s="18"/>
      <c r="NQW137" s="18"/>
      <c r="NQX137" s="17"/>
      <c r="NQY137" s="9"/>
      <c r="NQZ137" s="9"/>
      <c r="NRA137" s="18"/>
      <c r="NRB137" s="18"/>
      <c r="NRC137" s="18"/>
      <c r="NRD137" s="18"/>
      <c r="NRE137" s="18"/>
      <c r="NRF137" s="17"/>
      <c r="NRG137" s="9"/>
      <c r="NRH137" s="9"/>
      <c r="NRI137" s="18"/>
      <c r="NRJ137" s="18"/>
      <c r="NRK137" s="18"/>
      <c r="NRL137" s="18"/>
      <c r="NRM137" s="18"/>
      <c r="NRN137" s="17"/>
      <c r="NRO137" s="9"/>
      <c r="NRP137" s="9"/>
      <c r="NRQ137" s="18"/>
      <c r="NRR137" s="18"/>
      <c r="NRS137" s="18"/>
      <c r="NRT137" s="18"/>
      <c r="NRU137" s="18"/>
      <c r="NRV137" s="17"/>
      <c r="NRW137" s="9"/>
      <c r="NRX137" s="9"/>
      <c r="NRY137" s="18"/>
      <c r="NRZ137" s="18"/>
      <c r="NSA137" s="18"/>
      <c r="NSB137" s="18"/>
      <c r="NSC137" s="18"/>
      <c r="NSD137" s="17"/>
      <c r="NSE137" s="9"/>
      <c r="NSF137" s="9"/>
      <c r="NSG137" s="18"/>
      <c r="NSH137" s="18"/>
      <c r="NSI137" s="18"/>
      <c r="NSJ137" s="18"/>
      <c r="NSK137" s="18"/>
      <c r="NSL137" s="17"/>
      <c r="NSM137" s="9"/>
      <c r="NSN137" s="9"/>
      <c r="NSO137" s="18"/>
      <c r="NSP137" s="18"/>
      <c r="NSQ137" s="18"/>
      <c r="NSR137" s="18"/>
      <c r="NSS137" s="18"/>
      <c r="NST137" s="17"/>
      <c r="NSU137" s="9"/>
      <c r="NSV137" s="9"/>
      <c r="NSW137" s="18"/>
      <c r="NSX137" s="18"/>
      <c r="NSY137" s="18"/>
      <c r="NSZ137" s="18"/>
      <c r="NTA137" s="18"/>
      <c r="NTB137" s="17"/>
      <c r="NTC137" s="9"/>
      <c r="NTD137" s="9"/>
      <c r="NTE137" s="18"/>
      <c r="NTF137" s="18"/>
      <c r="NTG137" s="18"/>
      <c r="NTH137" s="18"/>
      <c r="NTI137" s="18"/>
      <c r="NTJ137" s="17"/>
      <c r="NTK137" s="9"/>
      <c r="NTL137" s="9"/>
      <c r="NTM137" s="18"/>
      <c r="NTN137" s="18"/>
      <c r="NTO137" s="18"/>
      <c r="NTP137" s="18"/>
      <c r="NTQ137" s="18"/>
      <c r="NTR137" s="17"/>
      <c r="NTS137" s="9"/>
      <c r="NTT137" s="9"/>
      <c r="NTU137" s="18"/>
      <c r="NTV137" s="18"/>
      <c r="NTW137" s="18"/>
      <c r="NTX137" s="18"/>
      <c r="NTY137" s="18"/>
      <c r="NTZ137" s="17"/>
      <c r="NUA137" s="9"/>
      <c r="NUB137" s="9"/>
      <c r="NUC137" s="18"/>
      <c r="NUD137" s="18"/>
      <c r="NUE137" s="18"/>
      <c r="NUF137" s="18"/>
      <c r="NUG137" s="18"/>
      <c r="NUH137" s="17"/>
      <c r="NUI137" s="9"/>
      <c r="NUJ137" s="9"/>
      <c r="NUK137" s="18"/>
      <c r="NUL137" s="18"/>
      <c r="NUM137" s="18"/>
      <c r="NUN137" s="18"/>
      <c r="NUO137" s="18"/>
      <c r="NUP137" s="17"/>
      <c r="NUQ137" s="9"/>
      <c r="NUR137" s="9"/>
      <c r="NUS137" s="18"/>
      <c r="NUT137" s="18"/>
      <c r="NUU137" s="18"/>
      <c r="NUV137" s="18"/>
      <c r="NUW137" s="18"/>
      <c r="NUX137" s="17"/>
      <c r="NUY137" s="9"/>
      <c r="NUZ137" s="9"/>
      <c r="NVA137" s="18"/>
      <c r="NVB137" s="18"/>
      <c r="NVC137" s="18"/>
      <c r="NVD137" s="18"/>
      <c r="NVE137" s="18"/>
      <c r="NVF137" s="17"/>
      <c r="NVG137" s="9"/>
      <c r="NVH137" s="9"/>
      <c r="NVI137" s="18"/>
      <c r="NVJ137" s="18"/>
      <c r="NVK137" s="18"/>
      <c r="NVL137" s="18"/>
      <c r="NVM137" s="18"/>
      <c r="NVN137" s="17"/>
      <c r="NVO137" s="9"/>
      <c r="NVP137" s="9"/>
      <c r="NVQ137" s="18"/>
      <c r="NVR137" s="18"/>
      <c r="NVS137" s="18"/>
      <c r="NVT137" s="18"/>
      <c r="NVU137" s="18"/>
      <c r="NVV137" s="17"/>
      <c r="NVW137" s="9"/>
      <c r="NVX137" s="9"/>
      <c r="NVY137" s="18"/>
      <c r="NVZ137" s="18"/>
      <c r="NWA137" s="18"/>
      <c r="NWB137" s="18"/>
      <c r="NWC137" s="18"/>
      <c r="NWD137" s="17"/>
      <c r="NWE137" s="9"/>
      <c r="NWF137" s="9"/>
      <c r="NWG137" s="18"/>
      <c r="NWH137" s="18"/>
      <c r="NWI137" s="18"/>
      <c r="NWJ137" s="18"/>
      <c r="NWK137" s="18"/>
      <c r="NWL137" s="17"/>
      <c r="NWM137" s="9"/>
      <c r="NWN137" s="9"/>
      <c r="NWO137" s="18"/>
      <c r="NWP137" s="18"/>
      <c r="NWQ137" s="18"/>
      <c r="NWR137" s="18"/>
      <c r="NWS137" s="18"/>
      <c r="NWT137" s="17"/>
      <c r="NWU137" s="9"/>
      <c r="NWV137" s="9"/>
      <c r="NWW137" s="18"/>
      <c r="NWX137" s="18"/>
      <c r="NWY137" s="18"/>
      <c r="NWZ137" s="18"/>
      <c r="NXA137" s="18"/>
      <c r="NXB137" s="17"/>
      <c r="NXC137" s="9"/>
      <c r="NXD137" s="9"/>
      <c r="NXE137" s="18"/>
      <c r="NXF137" s="18"/>
      <c r="NXG137" s="18"/>
      <c r="NXH137" s="18"/>
      <c r="NXI137" s="18"/>
      <c r="NXJ137" s="17"/>
      <c r="NXK137" s="9"/>
      <c r="NXL137" s="9"/>
      <c r="NXM137" s="18"/>
      <c r="NXN137" s="18"/>
      <c r="NXO137" s="18"/>
      <c r="NXP137" s="18"/>
      <c r="NXQ137" s="18"/>
      <c r="NXR137" s="17"/>
      <c r="NXS137" s="9"/>
      <c r="NXT137" s="9"/>
      <c r="NXU137" s="18"/>
      <c r="NXV137" s="18"/>
      <c r="NXW137" s="18"/>
      <c r="NXX137" s="18"/>
      <c r="NXY137" s="18"/>
      <c r="NXZ137" s="17"/>
      <c r="NYA137" s="9"/>
      <c r="NYB137" s="9"/>
      <c r="NYC137" s="18"/>
      <c r="NYD137" s="18"/>
      <c r="NYE137" s="18"/>
      <c r="NYF137" s="18"/>
      <c r="NYG137" s="18"/>
      <c r="NYH137" s="17"/>
      <c r="NYI137" s="9"/>
      <c r="NYJ137" s="9"/>
      <c r="NYK137" s="18"/>
      <c r="NYL137" s="18"/>
      <c r="NYM137" s="18"/>
      <c r="NYN137" s="18"/>
      <c r="NYO137" s="18"/>
      <c r="NYP137" s="17"/>
      <c r="NYQ137" s="9"/>
      <c r="NYR137" s="9"/>
      <c r="NYS137" s="18"/>
      <c r="NYT137" s="18"/>
      <c r="NYU137" s="18"/>
      <c r="NYV137" s="18"/>
      <c r="NYW137" s="18"/>
      <c r="NYX137" s="17"/>
      <c r="NYY137" s="9"/>
      <c r="NYZ137" s="9"/>
      <c r="NZA137" s="18"/>
      <c r="NZB137" s="18"/>
      <c r="NZC137" s="18"/>
      <c r="NZD137" s="18"/>
      <c r="NZE137" s="18"/>
      <c r="NZF137" s="17"/>
      <c r="NZG137" s="9"/>
      <c r="NZH137" s="9"/>
      <c r="NZI137" s="18"/>
      <c r="NZJ137" s="18"/>
      <c r="NZK137" s="18"/>
      <c r="NZL137" s="18"/>
      <c r="NZM137" s="18"/>
      <c r="NZN137" s="17"/>
      <c r="NZO137" s="9"/>
      <c r="NZP137" s="9"/>
      <c r="NZQ137" s="18"/>
      <c r="NZR137" s="18"/>
      <c r="NZS137" s="18"/>
      <c r="NZT137" s="18"/>
      <c r="NZU137" s="18"/>
      <c r="NZV137" s="17"/>
      <c r="NZW137" s="9"/>
      <c r="NZX137" s="9"/>
      <c r="NZY137" s="18"/>
      <c r="NZZ137" s="18"/>
      <c r="OAA137" s="18"/>
      <c r="OAB137" s="18"/>
      <c r="OAC137" s="18"/>
      <c r="OAD137" s="17"/>
      <c r="OAE137" s="9"/>
      <c r="OAF137" s="9"/>
      <c r="OAG137" s="18"/>
      <c r="OAH137" s="18"/>
      <c r="OAI137" s="18"/>
      <c r="OAJ137" s="18"/>
      <c r="OAK137" s="18"/>
      <c r="OAL137" s="17"/>
      <c r="OAM137" s="9"/>
      <c r="OAN137" s="9"/>
      <c r="OAO137" s="18"/>
      <c r="OAP137" s="18"/>
      <c r="OAQ137" s="18"/>
      <c r="OAR137" s="18"/>
      <c r="OAS137" s="18"/>
      <c r="OAT137" s="17"/>
      <c r="OAU137" s="9"/>
      <c r="OAV137" s="9"/>
      <c r="OAW137" s="18"/>
      <c r="OAX137" s="18"/>
      <c r="OAY137" s="18"/>
      <c r="OAZ137" s="18"/>
      <c r="OBA137" s="18"/>
      <c r="OBB137" s="17"/>
      <c r="OBC137" s="9"/>
      <c r="OBD137" s="9"/>
      <c r="OBE137" s="18"/>
      <c r="OBF137" s="18"/>
      <c r="OBG137" s="18"/>
      <c r="OBH137" s="18"/>
      <c r="OBI137" s="18"/>
      <c r="OBJ137" s="17"/>
      <c r="OBK137" s="9"/>
      <c r="OBL137" s="9"/>
      <c r="OBM137" s="18"/>
      <c r="OBN137" s="18"/>
      <c r="OBO137" s="18"/>
      <c r="OBP137" s="18"/>
      <c r="OBQ137" s="18"/>
      <c r="OBR137" s="17"/>
      <c r="OBS137" s="9"/>
      <c r="OBT137" s="9"/>
      <c r="OBU137" s="18"/>
      <c r="OBV137" s="18"/>
      <c r="OBW137" s="18"/>
      <c r="OBX137" s="18"/>
      <c r="OBY137" s="18"/>
      <c r="OBZ137" s="17"/>
      <c r="OCA137" s="9"/>
      <c r="OCB137" s="9"/>
      <c r="OCC137" s="18"/>
      <c r="OCD137" s="18"/>
      <c r="OCE137" s="18"/>
      <c r="OCF137" s="18"/>
      <c r="OCG137" s="18"/>
      <c r="OCH137" s="17"/>
      <c r="OCI137" s="9"/>
      <c r="OCJ137" s="9"/>
      <c r="OCK137" s="18"/>
      <c r="OCL137" s="18"/>
      <c r="OCM137" s="18"/>
      <c r="OCN137" s="18"/>
      <c r="OCO137" s="18"/>
      <c r="OCP137" s="17"/>
      <c r="OCQ137" s="9"/>
      <c r="OCR137" s="9"/>
      <c r="OCS137" s="18"/>
      <c r="OCT137" s="18"/>
      <c r="OCU137" s="18"/>
      <c r="OCV137" s="18"/>
      <c r="OCW137" s="18"/>
      <c r="OCX137" s="17"/>
      <c r="OCY137" s="9"/>
      <c r="OCZ137" s="9"/>
      <c r="ODA137" s="18"/>
      <c r="ODB137" s="18"/>
      <c r="ODC137" s="18"/>
      <c r="ODD137" s="18"/>
      <c r="ODE137" s="18"/>
      <c r="ODF137" s="17"/>
      <c r="ODG137" s="9"/>
      <c r="ODH137" s="9"/>
      <c r="ODI137" s="18"/>
      <c r="ODJ137" s="18"/>
      <c r="ODK137" s="18"/>
      <c r="ODL137" s="18"/>
      <c r="ODM137" s="18"/>
      <c r="ODN137" s="17"/>
      <c r="ODO137" s="9"/>
      <c r="ODP137" s="9"/>
      <c r="ODQ137" s="18"/>
      <c r="ODR137" s="18"/>
      <c r="ODS137" s="18"/>
      <c r="ODT137" s="18"/>
      <c r="ODU137" s="18"/>
      <c r="ODV137" s="17"/>
      <c r="ODW137" s="9"/>
      <c r="ODX137" s="9"/>
      <c r="ODY137" s="18"/>
      <c r="ODZ137" s="18"/>
      <c r="OEA137" s="18"/>
      <c r="OEB137" s="18"/>
      <c r="OEC137" s="18"/>
      <c r="OED137" s="17"/>
      <c r="OEE137" s="9"/>
      <c r="OEF137" s="9"/>
      <c r="OEG137" s="18"/>
      <c r="OEH137" s="18"/>
      <c r="OEI137" s="18"/>
      <c r="OEJ137" s="18"/>
      <c r="OEK137" s="18"/>
      <c r="OEL137" s="17"/>
      <c r="OEM137" s="9"/>
      <c r="OEN137" s="9"/>
      <c r="OEO137" s="18"/>
      <c r="OEP137" s="18"/>
      <c r="OEQ137" s="18"/>
      <c r="OER137" s="18"/>
      <c r="OES137" s="18"/>
      <c r="OET137" s="17"/>
      <c r="OEU137" s="9"/>
      <c r="OEV137" s="9"/>
      <c r="OEW137" s="18"/>
      <c r="OEX137" s="18"/>
      <c r="OEY137" s="18"/>
      <c r="OEZ137" s="18"/>
      <c r="OFA137" s="18"/>
      <c r="OFB137" s="17"/>
      <c r="OFC137" s="9"/>
      <c r="OFD137" s="9"/>
      <c r="OFE137" s="18"/>
      <c r="OFF137" s="18"/>
      <c r="OFG137" s="18"/>
      <c r="OFH137" s="18"/>
      <c r="OFI137" s="18"/>
      <c r="OFJ137" s="17"/>
      <c r="OFK137" s="9"/>
      <c r="OFL137" s="9"/>
      <c r="OFM137" s="18"/>
      <c r="OFN137" s="18"/>
      <c r="OFO137" s="18"/>
      <c r="OFP137" s="18"/>
      <c r="OFQ137" s="18"/>
      <c r="OFR137" s="17"/>
      <c r="OFS137" s="9"/>
      <c r="OFT137" s="9"/>
      <c r="OFU137" s="18"/>
      <c r="OFV137" s="18"/>
      <c r="OFW137" s="18"/>
      <c r="OFX137" s="18"/>
      <c r="OFY137" s="18"/>
      <c r="OFZ137" s="17"/>
      <c r="OGA137" s="9"/>
      <c r="OGB137" s="9"/>
      <c r="OGC137" s="18"/>
      <c r="OGD137" s="18"/>
      <c r="OGE137" s="18"/>
      <c r="OGF137" s="18"/>
      <c r="OGG137" s="18"/>
      <c r="OGH137" s="17"/>
      <c r="OGI137" s="9"/>
      <c r="OGJ137" s="9"/>
      <c r="OGK137" s="18"/>
      <c r="OGL137" s="18"/>
      <c r="OGM137" s="18"/>
      <c r="OGN137" s="18"/>
      <c r="OGO137" s="18"/>
      <c r="OGP137" s="17"/>
      <c r="OGQ137" s="9"/>
      <c r="OGR137" s="9"/>
      <c r="OGS137" s="18"/>
      <c r="OGT137" s="18"/>
      <c r="OGU137" s="18"/>
      <c r="OGV137" s="18"/>
      <c r="OGW137" s="18"/>
      <c r="OGX137" s="17"/>
      <c r="OGY137" s="9"/>
      <c r="OGZ137" s="9"/>
      <c r="OHA137" s="18"/>
      <c r="OHB137" s="18"/>
      <c r="OHC137" s="18"/>
      <c r="OHD137" s="18"/>
      <c r="OHE137" s="18"/>
      <c r="OHF137" s="17"/>
      <c r="OHG137" s="9"/>
      <c r="OHH137" s="9"/>
      <c r="OHI137" s="18"/>
      <c r="OHJ137" s="18"/>
      <c r="OHK137" s="18"/>
      <c r="OHL137" s="18"/>
      <c r="OHM137" s="18"/>
      <c r="OHN137" s="17"/>
      <c r="OHO137" s="9"/>
      <c r="OHP137" s="9"/>
      <c r="OHQ137" s="18"/>
      <c r="OHR137" s="18"/>
      <c r="OHS137" s="18"/>
      <c r="OHT137" s="18"/>
      <c r="OHU137" s="18"/>
      <c r="OHV137" s="17"/>
      <c r="OHW137" s="9"/>
      <c r="OHX137" s="9"/>
      <c r="OHY137" s="18"/>
      <c r="OHZ137" s="18"/>
      <c r="OIA137" s="18"/>
      <c r="OIB137" s="18"/>
      <c r="OIC137" s="18"/>
      <c r="OID137" s="17"/>
      <c r="OIE137" s="9"/>
      <c r="OIF137" s="9"/>
      <c r="OIG137" s="18"/>
      <c r="OIH137" s="18"/>
      <c r="OII137" s="18"/>
      <c r="OIJ137" s="18"/>
      <c r="OIK137" s="18"/>
      <c r="OIL137" s="17"/>
      <c r="OIM137" s="9"/>
      <c r="OIN137" s="9"/>
      <c r="OIO137" s="18"/>
      <c r="OIP137" s="18"/>
      <c r="OIQ137" s="18"/>
      <c r="OIR137" s="18"/>
      <c r="OIS137" s="18"/>
      <c r="OIT137" s="17"/>
      <c r="OIU137" s="9"/>
      <c r="OIV137" s="9"/>
      <c r="OIW137" s="18"/>
      <c r="OIX137" s="18"/>
      <c r="OIY137" s="18"/>
      <c r="OIZ137" s="18"/>
      <c r="OJA137" s="18"/>
      <c r="OJB137" s="17"/>
      <c r="OJC137" s="9"/>
      <c r="OJD137" s="9"/>
      <c r="OJE137" s="18"/>
      <c r="OJF137" s="18"/>
      <c r="OJG137" s="18"/>
      <c r="OJH137" s="18"/>
      <c r="OJI137" s="18"/>
      <c r="OJJ137" s="17"/>
      <c r="OJK137" s="9"/>
      <c r="OJL137" s="9"/>
      <c r="OJM137" s="18"/>
      <c r="OJN137" s="18"/>
      <c r="OJO137" s="18"/>
      <c r="OJP137" s="18"/>
      <c r="OJQ137" s="18"/>
      <c r="OJR137" s="17"/>
      <c r="OJS137" s="9"/>
      <c r="OJT137" s="9"/>
      <c r="OJU137" s="18"/>
      <c r="OJV137" s="18"/>
      <c r="OJW137" s="18"/>
      <c r="OJX137" s="18"/>
      <c r="OJY137" s="18"/>
      <c r="OJZ137" s="17"/>
      <c r="OKA137" s="9"/>
      <c r="OKB137" s="9"/>
      <c r="OKC137" s="18"/>
      <c r="OKD137" s="18"/>
      <c r="OKE137" s="18"/>
      <c r="OKF137" s="18"/>
      <c r="OKG137" s="18"/>
      <c r="OKH137" s="17"/>
      <c r="OKI137" s="9"/>
      <c r="OKJ137" s="9"/>
      <c r="OKK137" s="18"/>
      <c r="OKL137" s="18"/>
      <c r="OKM137" s="18"/>
      <c r="OKN137" s="18"/>
      <c r="OKO137" s="18"/>
      <c r="OKP137" s="17"/>
      <c r="OKQ137" s="9"/>
      <c r="OKR137" s="9"/>
      <c r="OKS137" s="18"/>
      <c r="OKT137" s="18"/>
      <c r="OKU137" s="18"/>
      <c r="OKV137" s="18"/>
      <c r="OKW137" s="18"/>
      <c r="OKX137" s="17"/>
      <c r="OKY137" s="9"/>
      <c r="OKZ137" s="9"/>
      <c r="OLA137" s="18"/>
      <c r="OLB137" s="18"/>
      <c r="OLC137" s="18"/>
      <c r="OLD137" s="18"/>
      <c r="OLE137" s="18"/>
      <c r="OLF137" s="17"/>
      <c r="OLG137" s="9"/>
      <c r="OLH137" s="9"/>
      <c r="OLI137" s="18"/>
      <c r="OLJ137" s="18"/>
      <c r="OLK137" s="18"/>
      <c r="OLL137" s="18"/>
      <c r="OLM137" s="18"/>
      <c r="OLN137" s="17"/>
      <c r="OLO137" s="9"/>
      <c r="OLP137" s="9"/>
      <c r="OLQ137" s="18"/>
      <c r="OLR137" s="18"/>
      <c r="OLS137" s="18"/>
      <c r="OLT137" s="18"/>
      <c r="OLU137" s="18"/>
      <c r="OLV137" s="17"/>
      <c r="OLW137" s="9"/>
      <c r="OLX137" s="9"/>
      <c r="OLY137" s="18"/>
      <c r="OLZ137" s="18"/>
      <c r="OMA137" s="18"/>
      <c r="OMB137" s="18"/>
      <c r="OMC137" s="18"/>
      <c r="OMD137" s="17"/>
      <c r="OME137" s="9"/>
      <c r="OMF137" s="9"/>
      <c r="OMG137" s="18"/>
      <c r="OMH137" s="18"/>
      <c r="OMI137" s="18"/>
      <c r="OMJ137" s="18"/>
      <c r="OMK137" s="18"/>
      <c r="OML137" s="17"/>
      <c r="OMM137" s="9"/>
      <c r="OMN137" s="9"/>
      <c r="OMO137" s="18"/>
      <c r="OMP137" s="18"/>
      <c r="OMQ137" s="18"/>
      <c r="OMR137" s="18"/>
      <c r="OMS137" s="18"/>
      <c r="OMT137" s="17"/>
      <c r="OMU137" s="9"/>
      <c r="OMV137" s="9"/>
      <c r="OMW137" s="18"/>
      <c r="OMX137" s="18"/>
      <c r="OMY137" s="18"/>
      <c r="OMZ137" s="18"/>
      <c r="ONA137" s="18"/>
      <c r="ONB137" s="17"/>
      <c r="ONC137" s="9"/>
      <c r="OND137" s="9"/>
      <c r="ONE137" s="18"/>
      <c r="ONF137" s="18"/>
      <c r="ONG137" s="18"/>
      <c r="ONH137" s="18"/>
      <c r="ONI137" s="18"/>
      <c r="ONJ137" s="17"/>
      <c r="ONK137" s="9"/>
      <c r="ONL137" s="9"/>
      <c r="ONM137" s="18"/>
      <c r="ONN137" s="18"/>
      <c r="ONO137" s="18"/>
      <c r="ONP137" s="18"/>
      <c r="ONQ137" s="18"/>
      <c r="ONR137" s="17"/>
      <c r="ONS137" s="9"/>
      <c r="ONT137" s="9"/>
      <c r="ONU137" s="18"/>
      <c r="ONV137" s="18"/>
      <c r="ONW137" s="18"/>
      <c r="ONX137" s="18"/>
      <c r="ONY137" s="18"/>
      <c r="ONZ137" s="17"/>
      <c r="OOA137" s="9"/>
      <c r="OOB137" s="9"/>
      <c r="OOC137" s="18"/>
      <c r="OOD137" s="18"/>
      <c r="OOE137" s="18"/>
      <c r="OOF137" s="18"/>
      <c r="OOG137" s="18"/>
      <c r="OOH137" s="17"/>
      <c r="OOI137" s="9"/>
      <c r="OOJ137" s="9"/>
      <c r="OOK137" s="18"/>
      <c r="OOL137" s="18"/>
      <c r="OOM137" s="18"/>
      <c r="OON137" s="18"/>
      <c r="OOO137" s="18"/>
      <c r="OOP137" s="17"/>
      <c r="OOQ137" s="9"/>
      <c r="OOR137" s="9"/>
      <c r="OOS137" s="18"/>
      <c r="OOT137" s="18"/>
      <c r="OOU137" s="18"/>
      <c r="OOV137" s="18"/>
      <c r="OOW137" s="18"/>
      <c r="OOX137" s="17"/>
      <c r="OOY137" s="9"/>
      <c r="OOZ137" s="9"/>
      <c r="OPA137" s="18"/>
      <c r="OPB137" s="18"/>
      <c r="OPC137" s="18"/>
      <c r="OPD137" s="18"/>
      <c r="OPE137" s="18"/>
      <c r="OPF137" s="17"/>
      <c r="OPG137" s="9"/>
      <c r="OPH137" s="9"/>
      <c r="OPI137" s="18"/>
      <c r="OPJ137" s="18"/>
      <c r="OPK137" s="18"/>
      <c r="OPL137" s="18"/>
      <c r="OPM137" s="18"/>
      <c r="OPN137" s="17"/>
      <c r="OPO137" s="9"/>
      <c r="OPP137" s="9"/>
      <c r="OPQ137" s="18"/>
      <c r="OPR137" s="18"/>
      <c r="OPS137" s="18"/>
      <c r="OPT137" s="18"/>
      <c r="OPU137" s="18"/>
      <c r="OPV137" s="17"/>
      <c r="OPW137" s="9"/>
      <c r="OPX137" s="9"/>
      <c r="OPY137" s="18"/>
      <c r="OPZ137" s="18"/>
      <c r="OQA137" s="18"/>
      <c r="OQB137" s="18"/>
      <c r="OQC137" s="18"/>
      <c r="OQD137" s="17"/>
      <c r="OQE137" s="9"/>
      <c r="OQF137" s="9"/>
      <c r="OQG137" s="18"/>
      <c r="OQH137" s="18"/>
      <c r="OQI137" s="18"/>
      <c r="OQJ137" s="18"/>
      <c r="OQK137" s="18"/>
      <c r="OQL137" s="17"/>
      <c r="OQM137" s="9"/>
      <c r="OQN137" s="9"/>
      <c r="OQO137" s="18"/>
      <c r="OQP137" s="18"/>
      <c r="OQQ137" s="18"/>
      <c r="OQR137" s="18"/>
      <c r="OQS137" s="18"/>
      <c r="OQT137" s="17"/>
      <c r="OQU137" s="9"/>
      <c r="OQV137" s="9"/>
      <c r="OQW137" s="18"/>
      <c r="OQX137" s="18"/>
      <c r="OQY137" s="18"/>
      <c r="OQZ137" s="18"/>
      <c r="ORA137" s="18"/>
      <c r="ORB137" s="17"/>
      <c r="ORC137" s="9"/>
      <c r="ORD137" s="9"/>
      <c r="ORE137" s="18"/>
      <c r="ORF137" s="18"/>
      <c r="ORG137" s="18"/>
      <c r="ORH137" s="18"/>
      <c r="ORI137" s="18"/>
      <c r="ORJ137" s="17"/>
      <c r="ORK137" s="9"/>
      <c r="ORL137" s="9"/>
      <c r="ORM137" s="18"/>
      <c r="ORN137" s="18"/>
      <c r="ORO137" s="18"/>
      <c r="ORP137" s="18"/>
      <c r="ORQ137" s="18"/>
      <c r="ORR137" s="17"/>
      <c r="ORS137" s="9"/>
      <c r="ORT137" s="9"/>
      <c r="ORU137" s="18"/>
      <c r="ORV137" s="18"/>
      <c r="ORW137" s="18"/>
      <c r="ORX137" s="18"/>
      <c r="ORY137" s="18"/>
      <c r="ORZ137" s="17"/>
      <c r="OSA137" s="9"/>
      <c r="OSB137" s="9"/>
      <c r="OSC137" s="18"/>
      <c r="OSD137" s="18"/>
      <c r="OSE137" s="18"/>
      <c r="OSF137" s="18"/>
      <c r="OSG137" s="18"/>
      <c r="OSH137" s="17"/>
      <c r="OSI137" s="9"/>
      <c r="OSJ137" s="9"/>
      <c r="OSK137" s="18"/>
      <c r="OSL137" s="18"/>
      <c r="OSM137" s="18"/>
      <c r="OSN137" s="18"/>
      <c r="OSO137" s="18"/>
      <c r="OSP137" s="17"/>
      <c r="OSQ137" s="9"/>
      <c r="OSR137" s="9"/>
      <c r="OSS137" s="18"/>
      <c r="OST137" s="18"/>
      <c r="OSU137" s="18"/>
      <c r="OSV137" s="18"/>
      <c r="OSW137" s="18"/>
      <c r="OSX137" s="17"/>
      <c r="OSY137" s="9"/>
      <c r="OSZ137" s="9"/>
      <c r="OTA137" s="18"/>
      <c r="OTB137" s="18"/>
      <c r="OTC137" s="18"/>
      <c r="OTD137" s="18"/>
      <c r="OTE137" s="18"/>
      <c r="OTF137" s="17"/>
      <c r="OTG137" s="9"/>
      <c r="OTH137" s="9"/>
      <c r="OTI137" s="18"/>
      <c r="OTJ137" s="18"/>
      <c r="OTK137" s="18"/>
      <c r="OTL137" s="18"/>
      <c r="OTM137" s="18"/>
      <c r="OTN137" s="17"/>
      <c r="OTO137" s="9"/>
      <c r="OTP137" s="9"/>
      <c r="OTQ137" s="18"/>
      <c r="OTR137" s="18"/>
      <c r="OTS137" s="18"/>
      <c r="OTT137" s="18"/>
      <c r="OTU137" s="18"/>
      <c r="OTV137" s="17"/>
      <c r="OTW137" s="9"/>
      <c r="OTX137" s="9"/>
      <c r="OTY137" s="18"/>
      <c r="OTZ137" s="18"/>
      <c r="OUA137" s="18"/>
      <c r="OUB137" s="18"/>
      <c r="OUC137" s="18"/>
      <c r="OUD137" s="17"/>
      <c r="OUE137" s="9"/>
      <c r="OUF137" s="9"/>
      <c r="OUG137" s="18"/>
      <c r="OUH137" s="18"/>
      <c r="OUI137" s="18"/>
      <c r="OUJ137" s="18"/>
      <c r="OUK137" s="18"/>
      <c r="OUL137" s="17"/>
      <c r="OUM137" s="9"/>
      <c r="OUN137" s="9"/>
      <c r="OUO137" s="18"/>
      <c r="OUP137" s="18"/>
      <c r="OUQ137" s="18"/>
      <c r="OUR137" s="18"/>
      <c r="OUS137" s="18"/>
      <c r="OUT137" s="17"/>
      <c r="OUU137" s="9"/>
      <c r="OUV137" s="9"/>
      <c r="OUW137" s="18"/>
      <c r="OUX137" s="18"/>
      <c r="OUY137" s="18"/>
      <c r="OUZ137" s="18"/>
      <c r="OVA137" s="18"/>
      <c r="OVB137" s="17"/>
      <c r="OVC137" s="9"/>
      <c r="OVD137" s="9"/>
      <c r="OVE137" s="18"/>
      <c r="OVF137" s="18"/>
      <c r="OVG137" s="18"/>
      <c r="OVH137" s="18"/>
      <c r="OVI137" s="18"/>
      <c r="OVJ137" s="17"/>
      <c r="OVK137" s="9"/>
      <c r="OVL137" s="9"/>
      <c r="OVM137" s="18"/>
      <c r="OVN137" s="18"/>
      <c r="OVO137" s="18"/>
      <c r="OVP137" s="18"/>
      <c r="OVQ137" s="18"/>
      <c r="OVR137" s="17"/>
      <c r="OVS137" s="9"/>
      <c r="OVT137" s="9"/>
      <c r="OVU137" s="18"/>
      <c r="OVV137" s="18"/>
      <c r="OVW137" s="18"/>
      <c r="OVX137" s="18"/>
      <c r="OVY137" s="18"/>
      <c r="OVZ137" s="17"/>
      <c r="OWA137" s="9"/>
      <c r="OWB137" s="9"/>
      <c r="OWC137" s="18"/>
      <c r="OWD137" s="18"/>
      <c r="OWE137" s="18"/>
      <c r="OWF137" s="18"/>
      <c r="OWG137" s="18"/>
      <c r="OWH137" s="17"/>
      <c r="OWI137" s="9"/>
      <c r="OWJ137" s="9"/>
      <c r="OWK137" s="18"/>
      <c r="OWL137" s="18"/>
      <c r="OWM137" s="18"/>
      <c r="OWN137" s="18"/>
      <c r="OWO137" s="18"/>
      <c r="OWP137" s="17"/>
      <c r="OWQ137" s="9"/>
      <c r="OWR137" s="9"/>
      <c r="OWS137" s="18"/>
      <c r="OWT137" s="18"/>
      <c r="OWU137" s="18"/>
      <c r="OWV137" s="18"/>
      <c r="OWW137" s="18"/>
      <c r="OWX137" s="17"/>
      <c r="OWY137" s="9"/>
      <c r="OWZ137" s="9"/>
      <c r="OXA137" s="18"/>
      <c r="OXB137" s="18"/>
      <c r="OXC137" s="18"/>
      <c r="OXD137" s="18"/>
      <c r="OXE137" s="18"/>
      <c r="OXF137" s="17"/>
      <c r="OXG137" s="9"/>
      <c r="OXH137" s="9"/>
      <c r="OXI137" s="18"/>
      <c r="OXJ137" s="18"/>
      <c r="OXK137" s="18"/>
      <c r="OXL137" s="18"/>
      <c r="OXM137" s="18"/>
      <c r="OXN137" s="17"/>
      <c r="OXO137" s="9"/>
      <c r="OXP137" s="9"/>
      <c r="OXQ137" s="18"/>
      <c r="OXR137" s="18"/>
      <c r="OXS137" s="18"/>
      <c r="OXT137" s="18"/>
      <c r="OXU137" s="18"/>
      <c r="OXV137" s="17"/>
      <c r="OXW137" s="9"/>
      <c r="OXX137" s="9"/>
      <c r="OXY137" s="18"/>
      <c r="OXZ137" s="18"/>
      <c r="OYA137" s="18"/>
      <c r="OYB137" s="18"/>
      <c r="OYC137" s="18"/>
      <c r="OYD137" s="17"/>
      <c r="OYE137" s="9"/>
      <c r="OYF137" s="9"/>
      <c r="OYG137" s="18"/>
      <c r="OYH137" s="18"/>
      <c r="OYI137" s="18"/>
      <c r="OYJ137" s="18"/>
      <c r="OYK137" s="18"/>
      <c r="OYL137" s="17"/>
      <c r="OYM137" s="9"/>
      <c r="OYN137" s="9"/>
      <c r="OYO137" s="18"/>
      <c r="OYP137" s="18"/>
      <c r="OYQ137" s="18"/>
      <c r="OYR137" s="18"/>
      <c r="OYS137" s="18"/>
      <c r="OYT137" s="17"/>
      <c r="OYU137" s="9"/>
      <c r="OYV137" s="9"/>
      <c r="OYW137" s="18"/>
      <c r="OYX137" s="18"/>
      <c r="OYY137" s="18"/>
      <c r="OYZ137" s="18"/>
      <c r="OZA137" s="18"/>
      <c r="OZB137" s="17"/>
      <c r="OZC137" s="9"/>
      <c r="OZD137" s="9"/>
      <c r="OZE137" s="18"/>
      <c r="OZF137" s="18"/>
      <c r="OZG137" s="18"/>
      <c r="OZH137" s="18"/>
      <c r="OZI137" s="18"/>
      <c r="OZJ137" s="17"/>
      <c r="OZK137" s="9"/>
      <c r="OZL137" s="9"/>
      <c r="OZM137" s="18"/>
      <c r="OZN137" s="18"/>
      <c r="OZO137" s="18"/>
      <c r="OZP137" s="18"/>
      <c r="OZQ137" s="18"/>
      <c r="OZR137" s="17"/>
      <c r="OZS137" s="9"/>
      <c r="OZT137" s="9"/>
      <c r="OZU137" s="18"/>
      <c r="OZV137" s="18"/>
      <c r="OZW137" s="18"/>
      <c r="OZX137" s="18"/>
      <c r="OZY137" s="18"/>
      <c r="OZZ137" s="17"/>
      <c r="PAA137" s="9"/>
      <c r="PAB137" s="9"/>
      <c r="PAC137" s="18"/>
      <c r="PAD137" s="18"/>
      <c r="PAE137" s="18"/>
      <c r="PAF137" s="18"/>
      <c r="PAG137" s="18"/>
      <c r="PAH137" s="17"/>
      <c r="PAI137" s="9"/>
      <c r="PAJ137" s="9"/>
      <c r="PAK137" s="18"/>
      <c r="PAL137" s="18"/>
      <c r="PAM137" s="18"/>
      <c r="PAN137" s="18"/>
      <c r="PAO137" s="18"/>
      <c r="PAP137" s="17"/>
      <c r="PAQ137" s="9"/>
      <c r="PAR137" s="9"/>
      <c r="PAS137" s="18"/>
      <c r="PAT137" s="18"/>
      <c r="PAU137" s="18"/>
      <c r="PAV137" s="18"/>
      <c r="PAW137" s="18"/>
      <c r="PAX137" s="17"/>
      <c r="PAY137" s="9"/>
      <c r="PAZ137" s="9"/>
      <c r="PBA137" s="18"/>
      <c r="PBB137" s="18"/>
      <c r="PBC137" s="18"/>
      <c r="PBD137" s="18"/>
      <c r="PBE137" s="18"/>
      <c r="PBF137" s="17"/>
      <c r="PBG137" s="9"/>
      <c r="PBH137" s="9"/>
      <c r="PBI137" s="18"/>
      <c r="PBJ137" s="18"/>
      <c r="PBK137" s="18"/>
      <c r="PBL137" s="18"/>
      <c r="PBM137" s="18"/>
      <c r="PBN137" s="17"/>
      <c r="PBO137" s="9"/>
      <c r="PBP137" s="9"/>
      <c r="PBQ137" s="18"/>
      <c r="PBR137" s="18"/>
      <c r="PBS137" s="18"/>
      <c r="PBT137" s="18"/>
      <c r="PBU137" s="18"/>
      <c r="PBV137" s="17"/>
      <c r="PBW137" s="9"/>
      <c r="PBX137" s="9"/>
      <c r="PBY137" s="18"/>
      <c r="PBZ137" s="18"/>
      <c r="PCA137" s="18"/>
      <c r="PCB137" s="18"/>
      <c r="PCC137" s="18"/>
      <c r="PCD137" s="17"/>
      <c r="PCE137" s="9"/>
      <c r="PCF137" s="9"/>
      <c r="PCG137" s="18"/>
      <c r="PCH137" s="18"/>
      <c r="PCI137" s="18"/>
      <c r="PCJ137" s="18"/>
      <c r="PCK137" s="18"/>
      <c r="PCL137" s="17"/>
      <c r="PCM137" s="9"/>
      <c r="PCN137" s="9"/>
      <c r="PCO137" s="18"/>
      <c r="PCP137" s="18"/>
      <c r="PCQ137" s="18"/>
      <c r="PCR137" s="18"/>
      <c r="PCS137" s="18"/>
      <c r="PCT137" s="17"/>
      <c r="PCU137" s="9"/>
      <c r="PCV137" s="9"/>
      <c r="PCW137" s="18"/>
      <c r="PCX137" s="18"/>
      <c r="PCY137" s="18"/>
      <c r="PCZ137" s="18"/>
      <c r="PDA137" s="18"/>
      <c r="PDB137" s="17"/>
      <c r="PDC137" s="9"/>
      <c r="PDD137" s="9"/>
      <c r="PDE137" s="18"/>
      <c r="PDF137" s="18"/>
      <c r="PDG137" s="18"/>
      <c r="PDH137" s="18"/>
      <c r="PDI137" s="18"/>
      <c r="PDJ137" s="17"/>
      <c r="PDK137" s="9"/>
      <c r="PDL137" s="9"/>
      <c r="PDM137" s="18"/>
      <c r="PDN137" s="18"/>
      <c r="PDO137" s="18"/>
      <c r="PDP137" s="18"/>
      <c r="PDQ137" s="18"/>
      <c r="PDR137" s="17"/>
      <c r="PDS137" s="9"/>
      <c r="PDT137" s="9"/>
      <c r="PDU137" s="18"/>
      <c r="PDV137" s="18"/>
      <c r="PDW137" s="18"/>
      <c r="PDX137" s="18"/>
      <c r="PDY137" s="18"/>
      <c r="PDZ137" s="17"/>
      <c r="PEA137" s="9"/>
      <c r="PEB137" s="9"/>
      <c r="PEC137" s="18"/>
      <c r="PED137" s="18"/>
      <c r="PEE137" s="18"/>
      <c r="PEF137" s="18"/>
      <c r="PEG137" s="18"/>
      <c r="PEH137" s="17"/>
      <c r="PEI137" s="9"/>
      <c r="PEJ137" s="9"/>
      <c r="PEK137" s="18"/>
      <c r="PEL137" s="18"/>
      <c r="PEM137" s="18"/>
      <c r="PEN137" s="18"/>
      <c r="PEO137" s="18"/>
      <c r="PEP137" s="17"/>
      <c r="PEQ137" s="9"/>
      <c r="PER137" s="9"/>
      <c r="PES137" s="18"/>
      <c r="PET137" s="18"/>
      <c r="PEU137" s="18"/>
      <c r="PEV137" s="18"/>
      <c r="PEW137" s="18"/>
      <c r="PEX137" s="17"/>
      <c r="PEY137" s="9"/>
      <c r="PEZ137" s="9"/>
      <c r="PFA137" s="18"/>
      <c r="PFB137" s="18"/>
      <c r="PFC137" s="18"/>
      <c r="PFD137" s="18"/>
      <c r="PFE137" s="18"/>
      <c r="PFF137" s="17"/>
      <c r="PFG137" s="9"/>
      <c r="PFH137" s="9"/>
      <c r="PFI137" s="18"/>
      <c r="PFJ137" s="18"/>
      <c r="PFK137" s="18"/>
      <c r="PFL137" s="18"/>
      <c r="PFM137" s="18"/>
      <c r="PFN137" s="17"/>
      <c r="PFO137" s="9"/>
      <c r="PFP137" s="9"/>
      <c r="PFQ137" s="18"/>
      <c r="PFR137" s="18"/>
      <c r="PFS137" s="18"/>
      <c r="PFT137" s="18"/>
      <c r="PFU137" s="18"/>
      <c r="PFV137" s="17"/>
      <c r="PFW137" s="9"/>
      <c r="PFX137" s="9"/>
      <c r="PFY137" s="18"/>
      <c r="PFZ137" s="18"/>
      <c r="PGA137" s="18"/>
      <c r="PGB137" s="18"/>
      <c r="PGC137" s="18"/>
      <c r="PGD137" s="17"/>
      <c r="PGE137" s="9"/>
      <c r="PGF137" s="9"/>
      <c r="PGG137" s="18"/>
      <c r="PGH137" s="18"/>
      <c r="PGI137" s="18"/>
      <c r="PGJ137" s="18"/>
      <c r="PGK137" s="18"/>
      <c r="PGL137" s="17"/>
      <c r="PGM137" s="9"/>
      <c r="PGN137" s="9"/>
      <c r="PGO137" s="18"/>
      <c r="PGP137" s="18"/>
      <c r="PGQ137" s="18"/>
      <c r="PGR137" s="18"/>
      <c r="PGS137" s="18"/>
      <c r="PGT137" s="17"/>
      <c r="PGU137" s="9"/>
      <c r="PGV137" s="9"/>
      <c r="PGW137" s="18"/>
      <c r="PGX137" s="18"/>
      <c r="PGY137" s="18"/>
      <c r="PGZ137" s="18"/>
      <c r="PHA137" s="18"/>
      <c r="PHB137" s="17"/>
      <c r="PHC137" s="9"/>
      <c r="PHD137" s="9"/>
      <c r="PHE137" s="18"/>
      <c r="PHF137" s="18"/>
      <c r="PHG137" s="18"/>
      <c r="PHH137" s="18"/>
      <c r="PHI137" s="18"/>
      <c r="PHJ137" s="17"/>
      <c r="PHK137" s="9"/>
      <c r="PHL137" s="9"/>
      <c r="PHM137" s="18"/>
      <c r="PHN137" s="18"/>
      <c r="PHO137" s="18"/>
      <c r="PHP137" s="18"/>
      <c r="PHQ137" s="18"/>
      <c r="PHR137" s="17"/>
      <c r="PHS137" s="9"/>
      <c r="PHT137" s="9"/>
      <c r="PHU137" s="18"/>
      <c r="PHV137" s="18"/>
      <c r="PHW137" s="18"/>
      <c r="PHX137" s="18"/>
      <c r="PHY137" s="18"/>
      <c r="PHZ137" s="17"/>
      <c r="PIA137" s="9"/>
      <c r="PIB137" s="9"/>
      <c r="PIC137" s="18"/>
      <c r="PID137" s="18"/>
      <c r="PIE137" s="18"/>
      <c r="PIF137" s="18"/>
      <c r="PIG137" s="18"/>
      <c r="PIH137" s="17"/>
      <c r="PII137" s="9"/>
      <c r="PIJ137" s="9"/>
      <c r="PIK137" s="18"/>
      <c r="PIL137" s="18"/>
      <c r="PIM137" s="18"/>
      <c r="PIN137" s="18"/>
      <c r="PIO137" s="18"/>
      <c r="PIP137" s="17"/>
      <c r="PIQ137" s="9"/>
      <c r="PIR137" s="9"/>
      <c r="PIS137" s="18"/>
      <c r="PIT137" s="18"/>
      <c r="PIU137" s="18"/>
      <c r="PIV137" s="18"/>
      <c r="PIW137" s="18"/>
      <c r="PIX137" s="17"/>
      <c r="PIY137" s="9"/>
      <c r="PIZ137" s="9"/>
      <c r="PJA137" s="18"/>
      <c r="PJB137" s="18"/>
      <c r="PJC137" s="18"/>
      <c r="PJD137" s="18"/>
      <c r="PJE137" s="18"/>
      <c r="PJF137" s="17"/>
      <c r="PJG137" s="9"/>
      <c r="PJH137" s="9"/>
      <c r="PJI137" s="18"/>
      <c r="PJJ137" s="18"/>
      <c r="PJK137" s="18"/>
      <c r="PJL137" s="18"/>
      <c r="PJM137" s="18"/>
      <c r="PJN137" s="17"/>
      <c r="PJO137" s="9"/>
      <c r="PJP137" s="9"/>
      <c r="PJQ137" s="18"/>
      <c r="PJR137" s="18"/>
      <c r="PJS137" s="18"/>
      <c r="PJT137" s="18"/>
      <c r="PJU137" s="18"/>
      <c r="PJV137" s="17"/>
      <c r="PJW137" s="9"/>
      <c r="PJX137" s="9"/>
      <c r="PJY137" s="18"/>
      <c r="PJZ137" s="18"/>
      <c r="PKA137" s="18"/>
      <c r="PKB137" s="18"/>
      <c r="PKC137" s="18"/>
      <c r="PKD137" s="17"/>
      <c r="PKE137" s="9"/>
      <c r="PKF137" s="9"/>
      <c r="PKG137" s="18"/>
      <c r="PKH137" s="18"/>
      <c r="PKI137" s="18"/>
      <c r="PKJ137" s="18"/>
      <c r="PKK137" s="18"/>
      <c r="PKL137" s="17"/>
      <c r="PKM137" s="9"/>
      <c r="PKN137" s="9"/>
      <c r="PKO137" s="18"/>
      <c r="PKP137" s="18"/>
      <c r="PKQ137" s="18"/>
      <c r="PKR137" s="18"/>
      <c r="PKS137" s="18"/>
      <c r="PKT137" s="17"/>
      <c r="PKU137" s="9"/>
      <c r="PKV137" s="9"/>
      <c r="PKW137" s="18"/>
      <c r="PKX137" s="18"/>
      <c r="PKY137" s="18"/>
      <c r="PKZ137" s="18"/>
      <c r="PLA137" s="18"/>
      <c r="PLB137" s="17"/>
      <c r="PLC137" s="9"/>
      <c r="PLD137" s="9"/>
      <c r="PLE137" s="18"/>
      <c r="PLF137" s="18"/>
      <c r="PLG137" s="18"/>
      <c r="PLH137" s="18"/>
      <c r="PLI137" s="18"/>
      <c r="PLJ137" s="17"/>
      <c r="PLK137" s="9"/>
      <c r="PLL137" s="9"/>
      <c r="PLM137" s="18"/>
      <c r="PLN137" s="18"/>
      <c r="PLO137" s="18"/>
      <c r="PLP137" s="18"/>
      <c r="PLQ137" s="18"/>
      <c r="PLR137" s="17"/>
      <c r="PLS137" s="9"/>
      <c r="PLT137" s="9"/>
      <c r="PLU137" s="18"/>
      <c r="PLV137" s="18"/>
      <c r="PLW137" s="18"/>
      <c r="PLX137" s="18"/>
      <c r="PLY137" s="18"/>
      <c r="PLZ137" s="17"/>
      <c r="PMA137" s="9"/>
      <c r="PMB137" s="9"/>
      <c r="PMC137" s="18"/>
      <c r="PMD137" s="18"/>
      <c r="PME137" s="18"/>
      <c r="PMF137" s="18"/>
      <c r="PMG137" s="18"/>
      <c r="PMH137" s="17"/>
      <c r="PMI137" s="9"/>
      <c r="PMJ137" s="9"/>
      <c r="PMK137" s="18"/>
      <c r="PML137" s="18"/>
      <c r="PMM137" s="18"/>
      <c r="PMN137" s="18"/>
      <c r="PMO137" s="18"/>
      <c r="PMP137" s="17"/>
      <c r="PMQ137" s="9"/>
      <c r="PMR137" s="9"/>
      <c r="PMS137" s="18"/>
      <c r="PMT137" s="18"/>
      <c r="PMU137" s="18"/>
      <c r="PMV137" s="18"/>
      <c r="PMW137" s="18"/>
      <c r="PMX137" s="17"/>
      <c r="PMY137" s="9"/>
      <c r="PMZ137" s="9"/>
      <c r="PNA137" s="18"/>
      <c r="PNB137" s="18"/>
      <c r="PNC137" s="18"/>
      <c r="PND137" s="18"/>
      <c r="PNE137" s="18"/>
      <c r="PNF137" s="17"/>
      <c r="PNG137" s="9"/>
      <c r="PNH137" s="9"/>
      <c r="PNI137" s="18"/>
      <c r="PNJ137" s="18"/>
      <c r="PNK137" s="18"/>
      <c r="PNL137" s="18"/>
      <c r="PNM137" s="18"/>
      <c r="PNN137" s="17"/>
      <c r="PNO137" s="9"/>
      <c r="PNP137" s="9"/>
      <c r="PNQ137" s="18"/>
      <c r="PNR137" s="18"/>
      <c r="PNS137" s="18"/>
      <c r="PNT137" s="18"/>
      <c r="PNU137" s="18"/>
      <c r="PNV137" s="17"/>
      <c r="PNW137" s="9"/>
      <c r="PNX137" s="9"/>
      <c r="PNY137" s="18"/>
      <c r="PNZ137" s="18"/>
      <c r="POA137" s="18"/>
      <c r="POB137" s="18"/>
      <c r="POC137" s="18"/>
      <c r="POD137" s="17"/>
      <c r="POE137" s="9"/>
      <c r="POF137" s="9"/>
      <c r="POG137" s="18"/>
      <c r="POH137" s="18"/>
      <c r="POI137" s="18"/>
      <c r="POJ137" s="18"/>
      <c r="POK137" s="18"/>
      <c r="POL137" s="17"/>
      <c r="POM137" s="9"/>
      <c r="PON137" s="9"/>
      <c r="POO137" s="18"/>
      <c r="POP137" s="18"/>
      <c r="POQ137" s="18"/>
      <c r="POR137" s="18"/>
      <c r="POS137" s="18"/>
      <c r="POT137" s="17"/>
      <c r="POU137" s="9"/>
      <c r="POV137" s="9"/>
      <c r="POW137" s="18"/>
      <c r="POX137" s="18"/>
      <c r="POY137" s="18"/>
      <c r="POZ137" s="18"/>
      <c r="PPA137" s="18"/>
      <c r="PPB137" s="17"/>
      <c r="PPC137" s="9"/>
      <c r="PPD137" s="9"/>
      <c r="PPE137" s="18"/>
      <c r="PPF137" s="18"/>
      <c r="PPG137" s="18"/>
      <c r="PPH137" s="18"/>
      <c r="PPI137" s="18"/>
      <c r="PPJ137" s="17"/>
      <c r="PPK137" s="9"/>
      <c r="PPL137" s="9"/>
      <c r="PPM137" s="18"/>
      <c r="PPN137" s="18"/>
      <c r="PPO137" s="18"/>
      <c r="PPP137" s="18"/>
      <c r="PPQ137" s="18"/>
      <c r="PPR137" s="17"/>
      <c r="PPS137" s="9"/>
      <c r="PPT137" s="9"/>
      <c r="PPU137" s="18"/>
      <c r="PPV137" s="18"/>
      <c r="PPW137" s="18"/>
      <c r="PPX137" s="18"/>
      <c r="PPY137" s="18"/>
      <c r="PPZ137" s="17"/>
      <c r="PQA137" s="9"/>
      <c r="PQB137" s="9"/>
      <c r="PQC137" s="18"/>
      <c r="PQD137" s="18"/>
      <c r="PQE137" s="18"/>
      <c r="PQF137" s="18"/>
      <c r="PQG137" s="18"/>
      <c r="PQH137" s="17"/>
      <c r="PQI137" s="9"/>
      <c r="PQJ137" s="9"/>
      <c r="PQK137" s="18"/>
      <c r="PQL137" s="18"/>
      <c r="PQM137" s="18"/>
      <c r="PQN137" s="18"/>
      <c r="PQO137" s="18"/>
      <c r="PQP137" s="17"/>
      <c r="PQQ137" s="9"/>
      <c r="PQR137" s="9"/>
      <c r="PQS137" s="18"/>
      <c r="PQT137" s="18"/>
      <c r="PQU137" s="18"/>
      <c r="PQV137" s="18"/>
      <c r="PQW137" s="18"/>
      <c r="PQX137" s="17"/>
      <c r="PQY137" s="9"/>
      <c r="PQZ137" s="9"/>
      <c r="PRA137" s="18"/>
      <c r="PRB137" s="18"/>
      <c r="PRC137" s="18"/>
      <c r="PRD137" s="18"/>
      <c r="PRE137" s="18"/>
      <c r="PRF137" s="17"/>
      <c r="PRG137" s="9"/>
      <c r="PRH137" s="9"/>
      <c r="PRI137" s="18"/>
      <c r="PRJ137" s="18"/>
      <c r="PRK137" s="18"/>
      <c r="PRL137" s="18"/>
      <c r="PRM137" s="18"/>
      <c r="PRN137" s="17"/>
      <c r="PRO137" s="9"/>
      <c r="PRP137" s="9"/>
      <c r="PRQ137" s="18"/>
      <c r="PRR137" s="18"/>
      <c r="PRS137" s="18"/>
      <c r="PRT137" s="18"/>
      <c r="PRU137" s="18"/>
      <c r="PRV137" s="17"/>
      <c r="PRW137" s="9"/>
      <c r="PRX137" s="9"/>
      <c r="PRY137" s="18"/>
      <c r="PRZ137" s="18"/>
      <c r="PSA137" s="18"/>
      <c r="PSB137" s="18"/>
      <c r="PSC137" s="18"/>
      <c r="PSD137" s="17"/>
      <c r="PSE137" s="9"/>
      <c r="PSF137" s="9"/>
      <c r="PSG137" s="18"/>
      <c r="PSH137" s="18"/>
      <c r="PSI137" s="18"/>
      <c r="PSJ137" s="18"/>
      <c r="PSK137" s="18"/>
      <c r="PSL137" s="17"/>
      <c r="PSM137" s="9"/>
      <c r="PSN137" s="9"/>
      <c r="PSO137" s="18"/>
      <c r="PSP137" s="18"/>
      <c r="PSQ137" s="18"/>
      <c r="PSR137" s="18"/>
      <c r="PSS137" s="18"/>
      <c r="PST137" s="17"/>
      <c r="PSU137" s="9"/>
      <c r="PSV137" s="9"/>
      <c r="PSW137" s="18"/>
      <c r="PSX137" s="18"/>
      <c r="PSY137" s="18"/>
      <c r="PSZ137" s="18"/>
      <c r="PTA137" s="18"/>
      <c r="PTB137" s="17"/>
      <c r="PTC137" s="9"/>
      <c r="PTD137" s="9"/>
      <c r="PTE137" s="18"/>
      <c r="PTF137" s="18"/>
      <c r="PTG137" s="18"/>
      <c r="PTH137" s="18"/>
      <c r="PTI137" s="18"/>
      <c r="PTJ137" s="17"/>
      <c r="PTK137" s="9"/>
      <c r="PTL137" s="9"/>
      <c r="PTM137" s="18"/>
      <c r="PTN137" s="18"/>
      <c r="PTO137" s="18"/>
      <c r="PTP137" s="18"/>
      <c r="PTQ137" s="18"/>
      <c r="PTR137" s="17"/>
      <c r="PTS137" s="9"/>
      <c r="PTT137" s="9"/>
      <c r="PTU137" s="18"/>
      <c r="PTV137" s="18"/>
      <c r="PTW137" s="18"/>
      <c r="PTX137" s="18"/>
      <c r="PTY137" s="18"/>
      <c r="PTZ137" s="17"/>
      <c r="PUA137" s="9"/>
      <c r="PUB137" s="9"/>
      <c r="PUC137" s="18"/>
      <c r="PUD137" s="18"/>
      <c r="PUE137" s="18"/>
      <c r="PUF137" s="18"/>
      <c r="PUG137" s="18"/>
      <c r="PUH137" s="17"/>
      <c r="PUI137" s="9"/>
      <c r="PUJ137" s="9"/>
      <c r="PUK137" s="18"/>
      <c r="PUL137" s="18"/>
      <c r="PUM137" s="18"/>
      <c r="PUN137" s="18"/>
      <c r="PUO137" s="18"/>
      <c r="PUP137" s="17"/>
      <c r="PUQ137" s="9"/>
      <c r="PUR137" s="9"/>
      <c r="PUS137" s="18"/>
      <c r="PUT137" s="18"/>
      <c r="PUU137" s="18"/>
      <c r="PUV137" s="18"/>
      <c r="PUW137" s="18"/>
      <c r="PUX137" s="17"/>
      <c r="PUY137" s="9"/>
      <c r="PUZ137" s="9"/>
      <c r="PVA137" s="18"/>
      <c r="PVB137" s="18"/>
      <c r="PVC137" s="18"/>
      <c r="PVD137" s="18"/>
      <c r="PVE137" s="18"/>
      <c r="PVF137" s="17"/>
      <c r="PVG137" s="9"/>
      <c r="PVH137" s="9"/>
      <c r="PVI137" s="18"/>
      <c r="PVJ137" s="18"/>
      <c r="PVK137" s="18"/>
      <c r="PVL137" s="18"/>
      <c r="PVM137" s="18"/>
      <c r="PVN137" s="17"/>
      <c r="PVO137" s="9"/>
      <c r="PVP137" s="9"/>
      <c r="PVQ137" s="18"/>
      <c r="PVR137" s="18"/>
      <c r="PVS137" s="18"/>
      <c r="PVT137" s="18"/>
      <c r="PVU137" s="18"/>
      <c r="PVV137" s="17"/>
      <c r="PVW137" s="9"/>
      <c r="PVX137" s="9"/>
      <c r="PVY137" s="18"/>
      <c r="PVZ137" s="18"/>
      <c r="PWA137" s="18"/>
      <c r="PWB137" s="18"/>
      <c r="PWC137" s="18"/>
      <c r="PWD137" s="17"/>
      <c r="PWE137" s="9"/>
      <c r="PWF137" s="9"/>
      <c r="PWG137" s="18"/>
      <c r="PWH137" s="18"/>
      <c r="PWI137" s="18"/>
      <c r="PWJ137" s="18"/>
      <c r="PWK137" s="18"/>
      <c r="PWL137" s="17"/>
      <c r="PWM137" s="9"/>
      <c r="PWN137" s="9"/>
      <c r="PWO137" s="18"/>
      <c r="PWP137" s="18"/>
      <c r="PWQ137" s="18"/>
      <c r="PWR137" s="18"/>
      <c r="PWS137" s="18"/>
      <c r="PWT137" s="17"/>
      <c r="PWU137" s="9"/>
      <c r="PWV137" s="9"/>
      <c r="PWW137" s="18"/>
      <c r="PWX137" s="18"/>
      <c r="PWY137" s="18"/>
      <c r="PWZ137" s="18"/>
      <c r="PXA137" s="18"/>
      <c r="PXB137" s="17"/>
      <c r="PXC137" s="9"/>
      <c r="PXD137" s="9"/>
      <c r="PXE137" s="18"/>
      <c r="PXF137" s="18"/>
      <c r="PXG137" s="18"/>
      <c r="PXH137" s="18"/>
      <c r="PXI137" s="18"/>
      <c r="PXJ137" s="17"/>
      <c r="PXK137" s="9"/>
      <c r="PXL137" s="9"/>
      <c r="PXM137" s="18"/>
      <c r="PXN137" s="18"/>
      <c r="PXO137" s="18"/>
      <c r="PXP137" s="18"/>
      <c r="PXQ137" s="18"/>
      <c r="PXR137" s="17"/>
      <c r="PXS137" s="9"/>
      <c r="PXT137" s="9"/>
      <c r="PXU137" s="18"/>
      <c r="PXV137" s="18"/>
      <c r="PXW137" s="18"/>
      <c r="PXX137" s="18"/>
      <c r="PXY137" s="18"/>
      <c r="PXZ137" s="17"/>
      <c r="PYA137" s="9"/>
      <c r="PYB137" s="9"/>
      <c r="PYC137" s="18"/>
      <c r="PYD137" s="18"/>
      <c r="PYE137" s="18"/>
      <c r="PYF137" s="18"/>
      <c r="PYG137" s="18"/>
      <c r="PYH137" s="17"/>
      <c r="PYI137" s="9"/>
      <c r="PYJ137" s="9"/>
      <c r="PYK137" s="18"/>
      <c r="PYL137" s="18"/>
      <c r="PYM137" s="18"/>
      <c r="PYN137" s="18"/>
      <c r="PYO137" s="18"/>
      <c r="PYP137" s="17"/>
      <c r="PYQ137" s="9"/>
      <c r="PYR137" s="9"/>
      <c r="PYS137" s="18"/>
      <c r="PYT137" s="18"/>
      <c r="PYU137" s="18"/>
      <c r="PYV137" s="18"/>
      <c r="PYW137" s="18"/>
      <c r="PYX137" s="17"/>
      <c r="PYY137" s="9"/>
      <c r="PYZ137" s="9"/>
      <c r="PZA137" s="18"/>
      <c r="PZB137" s="18"/>
      <c r="PZC137" s="18"/>
      <c r="PZD137" s="18"/>
      <c r="PZE137" s="18"/>
      <c r="PZF137" s="17"/>
      <c r="PZG137" s="9"/>
      <c r="PZH137" s="9"/>
      <c r="PZI137" s="18"/>
      <c r="PZJ137" s="18"/>
      <c r="PZK137" s="18"/>
      <c r="PZL137" s="18"/>
      <c r="PZM137" s="18"/>
      <c r="PZN137" s="17"/>
      <c r="PZO137" s="9"/>
      <c r="PZP137" s="9"/>
      <c r="PZQ137" s="18"/>
      <c r="PZR137" s="18"/>
      <c r="PZS137" s="18"/>
      <c r="PZT137" s="18"/>
      <c r="PZU137" s="18"/>
      <c r="PZV137" s="17"/>
      <c r="PZW137" s="9"/>
      <c r="PZX137" s="9"/>
      <c r="PZY137" s="18"/>
      <c r="PZZ137" s="18"/>
      <c r="QAA137" s="18"/>
      <c r="QAB137" s="18"/>
      <c r="QAC137" s="18"/>
      <c r="QAD137" s="17"/>
      <c r="QAE137" s="9"/>
      <c r="QAF137" s="9"/>
      <c r="QAG137" s="18"/>
      <c r="QAH137" s="18"/>
      <c r="QAI137" s="18"/>
      <c r="QAJ137" s="18"/>
      <c r="QAK137" s="18"/>
      <c r="QAL137" s="17"/>
      <c r="QAM137" s="9"/>
      <c r="QAN137" s="9"/>
      <c r="QAO137" s="18"/>
      <c r="QAP137" s="18"/>
      <c r="QAQ137" s="18"/>
      <c r="QAR137" s="18"/>
      <c r="QAS137" s="18"/>
      <c r="QAT137" s="17"/>
      <c r="QAU137" s="9"/>
      <c r="QAV137" s="9"/>
      <c r="QAW137" s="18"/>
      <c r="QAX137" s="18"/>
      <c r="QAY137" s="18"/>
      <c r="QAZ137" s="18"/>
      <c r="QBA137" s="18"/>
      <c r="QBB137" s="17"/>
      <c r="QBC137" s="9"/>
      <c r="QBD137" s="9"/>
      <c r="QBE137" s="18"/>
      <c r="QBF137" s="18"/>
      <c r="QBG137" s="18"/>
      <c r="QBH137" s="18"/>
      <c r="QBI137" s="18"/>
      <c r="QBJ137" s="17"/>
      <c r="QBK137" s="9"/>
      <c r="QBL137" s="9"/>
      <c r="QBM137" s="18"/>
      <c r="QBN137" s="18"/>
      <c r="QBO137" s="18"/>
      <c r="QBP137" s="18"/>
      <c r="QBQ137" s="18"/>
      <c r="QBR137" s="17"/>
      <c r="QBS137" s="9"/>
      <c r="QBT137" s="9"/>
      <c r="QBU137" s="18"/>
      <c r="QBV137" s="18"/>
      <c r="QBW137" s="18"/>
      <c r="QBX137" s="18"/>
      <c r="QBY137" s="18"/>
      <c r="QBZ137" s="17"/>
      <c r="QCA137" s="9"/>
      <c r="QCB137" s="9"/>
      <c r="QCC137" s="18"/>
      <c r="QCD137" s="18"/>
      <c r="QCE137" s="18"/>
      <c r="QCF137" s="18"/>
      <c r="QCG137" s="18"/>
      <c r="QCH137" s="17"/>
      <c r="QCI137" s="9"/>
      <c r="QCJ137" s="9"/>
      <c r="QCK137" s="18"/>
      <c r="QCL137" s="18"/>
      <c r="QCM137" s="18"/>
      <c r="QCN137" s="18"/>
      <c r="QCO137" s="18"/>
      <c r="QCP137" s="17"/>
      <c r="QCQ137" s="9"/>
      <c r="QCR137" s="9"/>
      <c r="QCS137" s="18"/>
      <c r="QCT137" s="18"/>
      <c r="QCU137" s="18"/>
      <c r="QCV137" s="18"/>
      <c r="QCW137" s="18"/>
      <c r="QCX137" s="17"/>
      <c r="QCY137" s="9"/>
      <c r="QCZ137" s="9"/>
      <c r="QDA137" s="18"/>
      <c r="QDB137" s="18"/>
      <c r="QDC137" s="18"/>
      <c r="QDD137" s="18"/>
      <c r="QDE137" s="18"/>
      <c r="QDF137" s="17"/>
      <c r="QDG137" s="9"/>
      <c r="QDH137" s="9"/>
      <c r="QDI137" s="18"/>
      <c r="QDJ137" s="18"/>
      <c r="QDK137" s="18"/>
      <c r="QDL137" s="18"/>
      <c r="QDM137" s="18"/>
      <c r="QDN137" s="17"/>
      <c r="QDO137" s="9"/>
      <c r="QDP137" s="9"/>
      <c r="QDQ137" s="18"/>
      <c r="QDR137" s="18"/>
      <c r="QDS137" s="18"/>
      <c r="QDT137" s="18"/>
      <c r="QDU137" s="18"/>
      <c r="QDV137" s="17"/>
      <c r="QDW137" s="9"/>
      <c r="QDX137" s="9"/>
      <c r="QDY137" s="18"/>
      <c r="QDZ137" s="18"/>
      <c r="QEA137" s="18"/>
      <c r="QEB137" s="18"/>
      <c r="QEC137" s="18"/>
      <c r="QED137" s="17"/>
      <c r="QEE137" s="9"/>
      <c r="QEF137" s="9"/>
      <c r="QEG137" s="18"/>
      <c r="QEH137" s="18"/>
      <c r="QEI137" s="18"/>
      <c r="QEJ137" s="18"/>
      <c r="QEK137" s="18"/>
      <c r="QEL137" s="17"/>
      <c r="QEM137" s="9"/>
      <c r="QEN137" s="9"/>
      <c r="QEO137" s="18"/>
      <c r="QEP137" s="18"/>
      <c r="QEQ137" s="18"/>
      <c r="QER137" s="18"/>
      <c r="QES137" s="18"/>
      <c r="QET137" s="17"/>
      <c r="QEU137" s="9"/>
      <c r="QEV137" s="9"/>
      <c r="QEW137" s="18"/>
      <c r="QEX137" s="18"/>
      <c r="QEY137" s="18"/>
      <c r="QEZ137" s="18"/>
      <c r="QFA137" s="18"/>
      <c r="QFB137" s="17"/>
      <c r="QFC137" s="9"/>
      <c r="QFD137" s="9"/>
      <c r="QFE137" s="18"/>
      <c r="QFF137" s="18"/>
      <c r="QFG137" s="18"/>
      <c r="QFH137" s="18"/>
      <c r="QFI137" s="18"/>
      <c r="QFJ137" s="17"/>
      <c r="QFK137" s="9"/>
      <c r="QFL137" s="9"/>
      <c r="QFM137" s="18"/>
      <c r="QFN137" s="18"/>
      <c r="QFO137" s="18"/>
      <c r="QFP137" s="18"/>
      <c r="QFQ137" s="18"/>
      <c r="QFR137" s="17"/>
      <c r="QFS137" s="9"/>
      <c r="QFT137" s="9"/>
      <c r="QFU137" s="18"/>
      <c r="QFV137" s="18"/>
      <c r="QFW137" s="18"/>
      <c r="QFX137" s="18"/>
      <c r="QFY137" s="18"/>
      <c r="QFZ137" s="17"/>
      <c r="QGA137" s="9"/>
      <c r="QGB137" s="9"/>
      <c r="QGC137" s="18"/>
      <c r="QGD137" s="18"/>
      <c r="QGE137" s="18"/>
      <c r="QGF137" s="18"/>
      <c r="QGG137" s="18"/>
      <c r="QGH137" s="17"/>
      <c r="QGI137" s="9"/>
      <c r="QGJ137" s="9"/>
      <c r="QGK137" s="18"/>
      <c r="QGL137" s="18"/>
      <c r="QGM137" s="18"/>
      <c r="QGN137" s="18"/>
      <c r="QGO137" s="18"/>
      <c r="QGP137" s="17"/>
      <c r="QGQ137" s="9"/>
      <c r="QGR137" s="9"/>
      <c r="QGS137" s="18"/>
      <c r="QGT137" s="18"/>
      <c r="QGU137" s="18"/>
      <c r="QGV137" s="18"/>
      <c r="QGW137" s="18"/>
      <c r="QGX137" s="17"/>
      <c r="QGY137" s="9"/>
      <c r="QGZ137" s="9"/>
      <c r="QHA137" s="18"/>
      <c r="QHB137" s="18"/>
      <c r="QHC137" s="18"/>
      <c r="QHD137" s="18"/>
      <c r="QHE137" s="18"/>
      <c r="QHF137" s="17"/>
      <c r="QHG137" s="9"/>
      <c r="QHH137" s="9"/>
      <c r="QHI137" s="18"/>
      <c r="QHJ137" s="18"/>
      <c r="QHK137" s="18"/>
      <c r="QHL137" s="18"/>
      <c r="QHM137" s="18"/>
      <c r="QHN137" s="17"/>
      <c r="QHO137" s="9"/>
      <c r="QHP137" s="9"/>
      <c r="QHQ137" s="18"/>
      <c r="QHR137" s="18"/>
      <c r="QHS137" s="18"/>
      <c r="QHT137" s="18"/>
      <c r="QHU137" s="18"/>
      <c r="QHV137" s="17"/>
      <c r="QHW137" s="9"/>
      <c r="QHX137" s="9"/>
      <c r="QHY137" s="18"/>
      <c r="QHZ137" s="18"/>
      <c r="QIA137" s="18"/>
      <c r="QIB137" s="18"/>
      <c r="QIC137" s="18"/>
      <c r="QID137" s="17"/>
      <c r="QIE137" s="9"/>
      <c r="QIF137" s="9"/>
      <c r="QIG137" s="18"/>
      <c r="QIH137" s="18"/>
      <c r="QII137" s="18"/>
      <c r="QIJ137" s="18"/>
      <c r="QIK137" s="18"/>
      <c r="QIL137" s="17"/>
      <c r="QIM137" s="9"/>
      <c r="QIN137" s="9"/>
      <c r="QIO137" s="18"/>
      <c r="QIP137" s="18"/>
      <c r="QIQ137" s="18"/>
      <c r="QIR137" s="18"/>
      <c r="QIS137" s="18"/>
      <c r="QIT137" s="17"/>
      <c r="QIU137" s="9"/>
      <c r="QIV137" s="9"/>
      <c r="QIW137" s="18"/>
      <c r="QIX137" s="18"/>
      <c r="QIY137" s="18"/>
      <c r="QIZ137" s="18"/>
      <c r="QJA137" s="18"/>
      <c r="QJB137" s="17"/>
      <c r="QJC137" s="9"/>
      <c r="QJD137" s="9"/>
      <c r="QJE137" s="18"/>
      <c r="QJF137" s="18"/>
      <c r="QJG137" s="18"/>
      <c r="QJH137" s="18"/>
      <c r="QJI137" s="18"/>
      <c r="QJJ137" s="17"/>
      <c r="QJK137" s="9"/>
      <c r="QJL137" s="9"/>
      <c r="QJM137" s="18"/>
      <c r="QJN137" s="18"/>
      <c r="QJO137" s="18"/>
      <c r="QJP137" s="18"/>
      <c r="QJQ137" s="18"/>
      <c r="QJR137" s="17"/>
      <c r="QJS137" s="9"/>
      <c r="QJT137" s="9"/>
      <c r="QJU137" s="18"/>
      <c r="QJV137" s="18"/>
      <c r="QJW137" s="18"/>
      <c r="QJX137" s="18"/>
      <c r="QJY137" s="18"/>
      <c r="QJZ137" s="17"/>
      <c r="QKA137" s="9"/>
      <c r="QKB137" s="9"/>
      <c r="QKC137" s="18"/>
      <c r="QKD137" s="18"/>
      <c r="QKE137" s="18"/>
      <c r="QKF137" s="18"/>
      <c r="QKG137" s="18"/>
      <c r="QKH137" s="17"/>
      <c r="QKI137" s="9"/>
      <c r="QKJ137" s="9"/>
      <c r="QKK137" s="18"/>
      <c r="QKL137" s="18"/>
      <c r="QKM137" s="18"/>
      <c r="QKN137" s="18"/>
      <c r="QKO137" s="18"/>
      <c r="QKP137" s="17"/>
      <c r="QKQ137" s="9"/>
      <c r="QKR137" s="9"/>
      <c r="QKS137" s="18"/>
      <c r="QKT137" s="18"/>
      <c r="QKU137" s="18"/>
      <c r="QKV137" s="18"/>
      <c r="QKW137" s="18"/>
      <c r="QKX137" s="17"/>
      <c r="QKY137" s="9"/>
      <c r="QKZ137" s="9"/>
      <c r="QLA137" s="18"/>
      <c r="QLB137" s="18"/>
      <c r="QLC137" s="18"/>
      <c r="QLD137" s="18"/>
      <c r="QLE137" s="18"/>
      <c r="QLF137" s="17"/>
      <c r="QLG137" s="9"/>
      <c r="QLH137" s="9"/>
      <c r="QLI137" s="18"/>
      <c r="QLJ137" s="18"/>
      <c r="QLK137" s="18"/>
      <c r="QLL137" s="18"/>
      <c r="QLM137" s="18"/>
      <c r="QLN137" s="17"/>
      <c r="QLO137" s="9"/>
      <c r="QLP137" s="9"/>
      <c r="QLQ137" s="18"/>
      <c r="QLR137" s="18"/>
      <c r="QLS137" s="18"/>
      <c r="QLT137" s="18"/>
      <c r="QLU137" s="18"/>
      <c r="QLV137" s="17"/>
      <c r="QLW137" s="9"/>
      <c r="QLX137" s="9"/>
      <c r="QLY137" s="18"/>
      <c r="QLZ137" s="18"/>
      <c r="QMA137" s="18"/>
      <c r="QMB137" s="18"/>
      <c r="QMC137" s="18"/>
      <c r="QMD137" s="17"/>
      <c r="QME137" s="9"/>
      <c r="QMF137" s="9"/>
      <c r="QMG137" s="18"/>
      <c r="QMH137" s="18"/>
      <c r="QMI137" s="18"/>
      <c r="QMJ137" s="18"/>
      <c r="QMK137" s="18"/>
      <c r="QML137" s="17"/>
      <c r="QMM137" s="9"/>
      <c r="QMN137" s="9"/>
      <c r="QMO137" s="18"/>
      <c r="QMP137" s="18"/>
      <c r="QMQ137" s="18"/>
      <c r="QMR137" s="18"/>
      <c r="QMS137" s="18"/>
      <c r="QMT137" s="17"/>
      <c r="QMU137" s="9"/>
      <c r="QMV137" s="9"/>
      <c r="QMW137" s="18"/>
      <c r="QMX137" s="18"/>
      <c r="QMY137" s="18"/>
      <c r="QMZ137" s="18"/>
      <c r="QNA137" s="18"/>
      <c r="QNB137" s="17"/>
      <c r="QNC137" s="9"/>
      <c r="QND137" s="9"/>
      <c r="QNE137" s="18"/>
      <c r="QNF137" s="18"/>
      <c r="QNG137" s="18"/>
      <c r="QNH137" s="18"/>
      <c r="QNI137" s="18"/>
      <c r="QNJ137" s="17"/>
      <c r="QNK137" s="9"/>
      <c r="QNL137" s="9"/>
      <c r="QNM137" s="18"/>
      <c r="QNN137" s="18"/>
      <c r="QNO137" s="18"/>
      <c r="QNP137" s="18"/>
      <c r="QNQ137" s="18"/>
      <c r="QNR137" s="17"/>
      <c r="QNS137" s="9"/>
      <c r="QNT137" s="9"/>
      <c r="QNU137" s="18"/>
      <c r="QNV137" s="18"/>
      <c r="QNW137" s="18"/>
      <c r="QNX137" s="18"/>
      <c r="QNY137" s="18"/>
      <c r="QNZ137" s="17"/>
      <c r="QOA137" s="9"/>
      <c r="QOB137" s="9"/>
      <c r="QOC137" s="18"/>
      <c r="QOD137" s="18"/>
      <c r="QOE137" s="18"/>
      <c r="QOF137" s="18"/>
      <c r="QOG137" s="18"/>
      <c r="QOH137" s="17"/>
      <c r="QOI137" s="9"/>
      <c r="QOJ137" s="9"/>
      <c r="QOK137" s="18"/>
      <c r="QOL137" s="18"/>
      <c r="QOM137" s="18"/>
      <c r="QON137" s="18"/>
      <c r="QOO137" s="18"/>
      <c r="QOP137" s="17"/>
      <c r="QOQ137" s="9"/>
      <c r="QOR137" s="9"/>
      <c r="QOS137" s="18"/>
      <c r="QOT137" s="18"/>
      <c r="QOU137" s="18"/>
      <c r="QOV137" s="18"/>
      <c r="QOW137" s="18"/>
      <c r="QOX137" s="17"/>
      <c r="QOY137" s="9"/>
      <c r="QOZ137" s="9"/>
      <c r="QPA137" s="18"/>
      <c r="QPB137" s="18"/>
      <c r="QPC137" s="18"/>
      <c r="QPD137" s="18"/>
      <c r="QPE137" s="18"/>
      <c r="QPF137" s="17"/>
      <c r="QPG137" s="9"/>
      <c r="QPH137" s="9"/>
      <c r="QPI137" s="18"/>
      <c r="QPJ137" s="18"/>
      <c r="QPK137" s="18"/>
      <c r="QPL137" s="18"/>
      <c r="QPM137" s="18"/>
      <c r="QPN137" s="17"/>
      <c r="QPO137" s="9"/>
      <c r="QPP137" s="9"/>
      <c r="QPQ137" s="18"/>
      <c r="QPR137" s="18"/>
      <c r="QPS137" s="18"/>
      <c r="QPT137" s="18"/>
      <c r="QPU137" s="18"/>
      <c r="QPV137" s="17"/>
      <c r="QPW137" s="9"/>
      <c r="QPX137" s="9"/>
      <c r="QPY137" s="18"/>
      <c r="QPZ137" s="18"/>
      <c r="QQA137" s="18"/>
      <c r="QQB137" s="18"/>
      <c r="QQC137" s="18"/>
      <c r="QQD137" s="17"/>
      <c r="QQE137" s="9"/>
      <c r="QQF137" s="9"/>
      <c r="QQG137" s="18"/>
      <c r="QQH137" s="18"/>
      <c r="QQI137" s="18"/>
      <c r="QQJ137" s="18"/>
      <c r="QQK137" s="18"/>
      <c r="QQL137" s="17"/>
      <c r="QQM137" s="9"/>
      <c r="QQN137" s="9"/>
      <c r="QQO137" s="18"/>
      <c r="QQP137" s="18"/>
      <c r="QQQ137" s="18"/>
      <c r="QQR137" s="18"/>
      <c r="QQS137" s="18"/>
      <c r="QQT137" s="17"/>
      <c r="QQU137" s="9"/>
      <c r="QQV137" s="9"/>
      <c r="QQW137" s="18"/>
      <c r="QQX137" s="18"/>
      <c r="QQY137" s="18"/>
      <c r="QQZ137" s="18"/>
      <c r="QRA137" s="18"/>
      <c r="QRB137" s="17"/>
      <c r="QRC137" s="9"/>
      <c r="QRD137" s="9"/>
      <c r="QRE137" s="18"/>
      <c r="QRF137" s="18"/>
      <c r="QRG137" s="18"/>
      <c r="QRH137" s="18"/>
      <c r="QRI137" s="18"/>
      <c r="QRJ137" s="17"/>
      <c r="QRK137" s="9"/>
      <c r="QRL137" s="9"/>
      <c r="QRM137" s="18"/>
      <c r="QRN137" s="18"/>
      <c r="QRO137" s="18"/>
      <c r="QRP137" s="18"/>
      <c r="QRQ137" s="18"/>
      <c r="QRR137" s="17"/>
      <c r="QRS137" s="9"/>
      <c r="QRT137" s="9"/>
      <c r="QRU137" s="18"/>
      <c r="QRV137" s="18"/>
      <c r="QRW137" s="18"/>
      <c r="QRX137" s="18"/>
      <c r="QRY137" s="18"/>
      <c r="QRZ137" s="17"/>
      <c r="QSA137" s="9"/>
      <c r="QSB137" s="9"/>
      <c r="QSC137" s="18"/>
      <c r="QSD137" s="18"/>
      <c r="QSE137" s="18"/>
      <c r="QSF137" s="18"/>
      <c r="QSG137" s="18"/>
      <c r="QSH137" s="17"/>
      <c r="QSI137" s="9"/>
      <c r="QSJ137" s="9"/>
      <c r="QSK137" s="18"/>
      <c r="QSL137" s="18"/>
      <c r="QSM137" s="18"/>
      <c r="QSN137" s="18"/>
      <c r="QSO137" s="18"/>
      <c r="QSP137" s="17"/>
      <c r="QSQ137" s="9"/>
      <c r="QSR137" s="9"/>
      <c r="QSS137" s="18"/>
      <c r="QST137" s="18"/>
      <c r="QSU137" s="18"/>
      <c r="QSV137" s="18"/>
      <c r="QSW137" s="18"/>
      <c r="QSX137" s="17"/>
      <c r="QSY137" s="9"/>
      <c r="QSZ137" s="9"/>
      <c r="QTA137" s="18"/>
      <c r="QTB137" s="18"/>
      <c r="QTC137" s="18"/>
      <c r="QTD137" s="18"/>
      <c r="QTE137" s="18"/>
      <c r="QTF137" s="17"/>
      <c r="QTG137" s="9"/>
      <c r="QTH137" s="9"/>
      <c r="QTI137" s="18"/>
      <c r="QTJ137" s="18"/>
      <c r="QTK137" s="18"/>
      <c r="QTL137" s="18"/>
      <c r="QTM137" s="18"/>
      <c r="QTN137" s="17"/>
      <c r="QTO137" s="9"/>
      <c r="QTP137" s="9"/>
      <c r="QTQ137" s="18"/>
      <c r="QTR137" s="18"/>
      <c r="QTS137" s="18"/>
      <c r="QTT137" s="18"/>
      <c r="QTU137" s="18"/>
      <c r="QTV137" s="17"/>
      <c r="QTW137" s="9"/>
      <c r="QTX137" s="9"/>
      <c r="QTY137" s="18"/>
      <c r="QTZ137" s="18"/>
      <c r="QUA137" s="18"/>
      <c r="QUB137" s="18"/>
      <c r="QUC137" s="18"/>
      <c r="QUD137" s="17"/>
      <c r="QUE137" s="9"/>
      <c r="QUF137" s="9"/>
      <c r="QUG137" s="18"/>
      <c r="QUH137" s="18"/>
      <c r="QUI137" s="18"/>
      <c r="QUJ137" s="18"/>
      <c r="QUK137" s="18"/>
      <c r="QUL137" s="17"/>
      <c r="QUM137" s="9"/>
      <c r="QUN137" s="9"/>
      <c r="QUO137" s="18"/>
      <c r="QUP137" s="18"/>
      <c r="QUQ137" s="18"/>
      <c r="QUR137" s="18"/>
      <c r="QUS137" s="18"/>
      <c r="QUT137" s="17"/>
      <c r="QUU137" s="9"/>
      <c r="QUV137" s="9"/>
      <c r="QUW137" s="18"/>
      <c r="QUX137" s="18"/>
      <c r="QUY137" s="18"/>
      <c r="QUZ137" s="18"/>
      <c r="QVA137" s="18"/>
      <c r="QVB137" s="17"/>
      <c r="QVC137" s="9"/>
      <c r="QVD137" s="9"/>
      <c r="QVE137" s="18"/>
      <c r="QVF137" s="18"/>
      <c r="QVG137" s="18"/>
      <c r="QVH137" s="18"/>
      <c r="QVI137" s="18"/>
      <c r="QVJ137" s="17"/>
      <c r="QVK137" s="9"/>
      <c r="QVL137" s="9"/>
      <c r="QVM137" s="18"/>
      <c r="QVN137" s="18"/>
      <c r="QVO137" s="18"/>
      <c r="QVP137" s="18"/>
      <c r="QVQ137" s="18"/>
      <c r="QVR137" s="17"/>
      <c r="QVS137" s="9"/>
      <c r="QVT137" s="9"/>
      <c r="QVU137" s="18"/>
      <c r="QVV137" s="18"/>
      <c r="QVW137" s="18"/>
      <c r="QVX137" s="18"/>
      <c r="QVY137" s="18"/>
      <c r="QVZ137" s="17"/>
      <c r="QWA137" s="9"/>
      <c r="QWB137" s="9"/>
      <c r="QWC137" s="18"/>
      <c r="QWD137" s="18"/>
      <c r="QWE137" s="18"/>
      <c r="QWF137" s="18"/>
      <c r="QWG137" s="18"/>
      <c r="QWH137" s="17"/>
      <c r="QWI137" s="9"/>
      <c r="QWJ137" s="9"/>
      <c r="QWK137" s="18"/>
      <c r="QWL137" s="18"/>
      <c r="QWM137" s="18"/>
      <c r="QWN137" s="18"/>
      <c r="QWO137" s="18"/>
      <c r="QWP137" s="17"/>
      <c r="QWQ137" s="9"/>
      <c r="QWR137" s="9"/>
      <c r="QWS137" s="18"/>
      <c r="QWT137" s="18"/>
      <c r="QWU137" s="18"/>
      <c r="QWV137" s="18"/>
      <c r="QWW137" s="18"/>
      <c r="QWX137" s="17"/>
      <c r="QWY137" s="9"/>
      <c r="QWZ137" s="9"/>
      <c r="QXA137" s="18"/>
      <c r="QXB137" s="18"/>
      <c r="QXC137" s="18"/>
      <c r="QXD137" s="18"/>
      <c r="QXE137" s="18"/>
      <c r="QXF137" s="17"/>
      <c r="QXG137" s="9"/>
      <c r="QXH137" s="9"/>
      <c r="QXI137" s="18"/>
      <c r="QXJ137" s="18"/>
      <c r="QXK137" s="18"/>
      <c r="QXL137" s="18"/>
      <c r="QXM137" s="18"/>
      <c r="QXN137" s="17"/>
      <c r="QXO137" s="9"/>
      <c r="QXP137" s="9"/>
      <c r="QXQ137" s="18"/>
      <c r="QXR137" s="18"/>
      <c r="QXS137" s="18"/>
      <c r="QXT137" s="18"/>
      <c r="QXU137" s="18"/>
      <c r="QXV137" s="17"/>
      <c r="QXW137" s="9"/>
      <c r="QXX137" s="9"/>
      <c r="QXY137" s="18"/>
      <c r="QXZ137" s="18"/>
      <c r="QYA137" s="18"/>
      <c r="QYB137" s="18"/>
      <c r="QYC137" s="18"/>
      <c r="QYD137" s="17"/>
      <c r="QYE137" s="9"/>
      <c r="QYF137" s="9"/>
      <c r="QYG137" s="18"/>
      <c r="QYH137" s="18"/>
      <c r="QYI137" s="18"/>
      <c r="QYJ137" s="18"/>
      <c r="QYK137" s="18"/>
      <c r="QYL137" s="17"/>
      <c r="QYM137" s="9"/>
      <c r="QYN137" s="9"/>
      <c r="QYO137" s="18"/>
      <c r="QYP137" s="18"/>
      <c r="QYQ137" s="18"/>
      <c r="QYR137" s="18"/>
      <c r="QYS137" s="18"/>
      <c r="QYT137" s="17"/>
      <c r="QYU137" s="9"/>
      <c r="QYV137" s="9"/>
      <c r="QYW137" s="18"/>
      <c r="QYX137" s="18"/>
      <c r="QYY137" s="18"/>
      <c r="QYZ137" s="18"/>
      <c r="QZA137" s="18"/>
      <c r="QZB137" s="17"/>
      <c r="QZC137" s="9"/>
      <c r="QZD137" s="9"/>
      <c r="QZE137" s="18"/>
      <c r="QZF137" s="18"/>
      <c r="QZG137" s="18"/>
      <c r="QZH137" s="18"/>
      <c r="QZI137" s="18"/>
      <c r="QZJ137" s="17"/>
      <c r="QZK137" s="9"/>
      <c r="QZL137" s="9"/>
      <c r="QZM137" s="18"/>
      <c r="QZN137" s="18"/>
      <c r="QZO137" s="18"/>
      <c r="QZP137" s="18"/>
      <c r="QZQ137" s="18"/>
      <c r="QZR137" s="17"/>
      <c r="QZS137" s="9"/>
      <c r="QZT137" s="9"/>
      <c r="QZU137" s="18"/>
      <c r="QZV137" s="18"/>
      <c r="QZW137" s="18"/>
      <c r="QZX137" s="18"/>
      <c r="QZY137" s="18"/>
      <c r="QZZ137" s="17"/>
      <c r="RAA137" s="9"/>
      <c r="RAB137" s="9"/>
      <c r="RAC137" s="18"/>
      <c r="RAD137" s="18"/>
      <c r="RAE137" s="18"/>
      <c r="RAF137" s="18"/>
      <c r="RAG137" s="18"/>
      <c r="RAH137" s="17"/>
      <c r="RAI137" s="9"/>
      <c r="RAJ137" s="9"/>
      <c r="RAK137" s="18"/>
      <c r="RAL137" s="18"/>
      <c r="RAM137" s="18"/>
      <c r="RAN137" s="18"/>
      <c r="RAO137" s="18"/>
      <c r="RAP137" s="17"/>
      <c r="RAQ137" s="9"/>
      <c r="RAR137" s="9"/>
      <c r="RAS137" s="18"/>
      <c r="RAT137" s="18"/>
      <c r="RAU137" s="18"/>
      <c r="RAV137" s="18"/>
      <c r="RAW137" s="18"/>
      <c r="RAX137" s="17"/>
      <c r="RAY137" s="9"/>
      <c r="RAZ137" s="9"/>
      <c r="RBA137" s="18"/>
      <c r="RBB137" s="18"/>
      <c r="RBC137" s="18"/>
      <c r="RBD137" s="18"/>
      <c r="RBE137" s="18"/>
      <c r="RBF137" s="17"/>
      <c r="RBG137" s="9"/>
      <c r="RBH137" s="9"/>
      <c r="RBI137" s="18"/>
      <c r="RBJ137" s="18"/>
      <c r="RBK137" s="18"/>
      <c r="RBL137" s="18"/>
      <c r="RBM137" s="18"/>
      <c r="RBN137" s="17"/>
      <c r="RBO137" s="9"/>
      <c r="RBP137" s="9"/>
      <c r="RBQ137" s="18"/>
      <c r="RBR137" s="18"/>
      <c r="RBS137" s="18"/>
      <c r="RBT137" s="18"/>
      <c r="RBU137" s="18"/>
      <c r="RBV137" s="17"/>
      <c r="RBW137" s="9"/>
      <c r="RBX137" s="9"/>
      <c r="RBY137" s="18"/>
      <c r="RBZ137" s="18"/>
      <c r="RCA137" s="18"/>
      <c r="RCB137" s="18"/>
      <c r="RCC137" s="18"/>
      <c r="RCD137" s="17"/>
      <c r="RCE137" s="9"/>
      <c r="RCF137" s="9"/>
      <c r="RCG137" s="18"/>
      <c r="RCH137" s="18"/>
      <c r="RCI137" s="18"/>
      <c r="RCJ137" s="18"/>
      <c r="RCK137" s="18"/>
      <c r="RCL137" s="17"/>
      <c r="RCM137" s="9"/>
      <c r="RCN137" s="9"/>
      <c r="RCO137" s="18"/>
      <c r="RCP137" s="18"/>
      <c r="RCQ137" s="18"/>
      <c r="RCR137" s="18"/>
      <c r="RCS137" s="18"/>
      <c r="RCT137" s="17"/>
      <c r="RCU137" s="9"/>
      <c r="RCV137" s="9"/>
      <c r="RCW137" s="18"/>
      <c r="RCX137" s="18"/>
      <c r="RCY137" s="18"/>
      <c r="RCZ137" s="18"/>
      <c r="RDA137" s="18"/>
      <c r="RDB137" s="17"/>
      <c r="RDC137" s="9"/>
      <c r="RDD137" s="9"/>
      <c r="RDE137" s="18"/>
      <c r="RDF137" s="18"/>
      <c r="RDG137" s="18"/>
      <c r="RDH137" s="18"/>
      <c r="RDI137" s="18"/>
      <c r="RDJ137" s="17"/>
      <c r="RDK137" s="9"/>
      <c r="RDL137" s="9"/>
      <c r="RDM137" s="18"/>
      <c r="RDN137" s="18"/>
      <c r="RDO137" s="18"/>
      <c r="RDP137" s="18"/>
      <c r="RDQ137" s="18"/>
      <c r="RDR137" s="17"/>
      <c r="RDS137" s="9"/>
      <c r="RDT137" s="9"/>
      <c r="RDU137" s="18"/>
      <c r="RDV137" s="18"/>
      <c r="RDW137" s="18"/>
      <c r="RDX137" s="18"/>
      <c r="RDY137" s="18"/>
      <c r="RDZ137" s="17"/>
      <c r="REA137" s="9"/>
      <c r="REB137" s="9"/>
      <c r="REC137" s="18"/>
      <c r="RED137" s="18"/>
      <c r="REE137" s="18"/>
      <c r="REF137" s="18"/>
      <c r="REG137" s="18"/>
      <c r="REH137" s="17"/>
      <c r="REI137" s="9"/>
      <c r="REJ137" s="9"/>
      <c r="REK137" s="18"/>
      <c r="REL137" s="18"/>
      <c r="REM137" s="18"/>
      <c r="REN137" s="18"/>
      <c r="REO137" s="18"/>
      <c r="REP137" s="17"/>
      <c r="REQ137" s="9"/>
      <c r="RER137" s="9"/>
      <c r="RES137" s="18"/>
      <c r="RET137" s="18"/>
      <c r="REU137" s="18"/>
      <c r="REV137" s="18"/>
      <c r="REW137" s="18"/>
      <c r="REX137" s="17"/>
      <c r="REY137" s="9"/>
      <c r="REZ137" s="9"/>
      <c r="RFA137" s="18"/>
      <c r="RFB137" s="18"/>
      <c r="RFC137" s="18"/>
      <c r="RFD137" s="18"/>
      <c r="RFE137" s="18"/>
      <c r="RFF137" s="17"/>
      <c r="RFG137" s="9"/>
      <c r="RFH137" s="9"/>
      <c r="RFI137" s="18"/>
      <c r="RFJ137" s="18"/>
      <c r="RFK137" s="18"/>
      <c r="RFL137" s="18"/>
      <c r="RFM137" s="18"/>
      <c r="RFN137" s="17"/>
      <c r="RFO137" s="9"/>
      <c r="RFP137" s="9"/>
      <c r="RFQ137" s="18"/>
      <c r="RFR137" s="18"/>
      <c r="RFS137" s="18"/>
      <c r="RFT137" s="18"/>
      <c r="RFU137" s="18"/>
      <c r="RFV137" s="17"/>
      <c r="RFW137" s="9"/>
      <c r="RFX137" s="9"/>
      <c r="RFY137" s="18"/>
      <c r="RFZ137" s="18"/>
      <c r="RGA137" s="18"/>
      <c r="RGB137" s="18"/>
      <c r="RGC137" s="18"/>
      <c r="RGD137" s="17"/>
      <c r="RGE137" s="9"/>
      <c r="RGF137" s="9"/>
      <c r="RGG137" s="18"/>
      <c r="RGH137" s="18"/>
      <c r="RGI137" s="18"/>
      <c r="RGJ137" s="18"/>
      <c r="RGK137" s="18"/>
      <c r="RGL137" s="17"/>
      <c r="RGM137" s="9"/>
      <c r="RGN137" s="9"/>
      <c r="RGO137" s="18"/>
      <c r="RGP137" s="18"/>
      <c r="RGQ137" s="18"/>
      <c r="RGR137" s="18"/>
      <c r="RGS137" s="18"/>
      <c r="RGT137" s="17"/>
      <c r="RGU137" s="9"/>
      <c r="RGV137" s="9"/>
      <c r="RGW137" s="18"/>
      <c r="RGX137" s="18"/>
      <c r="RGY137" s="18"/>
      <c r="RGZ137" s="18"/>
      <c r="RHA137" s="18"/>
      <c r="RHB137" s="17"/>
      <c r="RHC137" s="9"/>
      <c r="RHD137" s="9"/>
      <c r="RHE137" s="18"/>
      <c r="RHF137" s="18"/>
      <c r="RHG137" s="18"/>
      <c r="RHH137" s="18"/>
      <c r="RHI137" s="18"/>
      <c r="RHJ137" s="17"/>
      <c r="RHK137" s="9"/>
      <c r="RHL137" s="9"/>
      <c r="RHM137" s="18"/>
      <c r="RHN137" s="18"/>
      <c r="RHO137" s="18"/>
      <c r="RHP137" s="18"/>
      <c r="RHQ137" s="18"/>
      <c r="RHR137" s="17"/>
      <c r="RHS137" s="9"/>
      <c r="RHT137" s="9"/>
      <c r="RHU137" s="18"/>
      <c r="RHV137" s="18"/>
      <c r="RHW137" s="18"/>
      <c r="RHX137" s="18"/>
      <c r="RHY137" s="18"/>
      <c r="RHZ137" s="17"/>
      <c r="RIA137" s="9"/>
      <c r="RIB137" s="9"/>
      <c r="RIC137" s="18"/>
      <c r="RID137" s="18"/>
      <c r="RIE137" s="18"/>
      <c r="RIF137" s="18"/>
      <c r="RIG137" s="18"/>
      <c r="RIH137" s="17"/>
      <c r="RII137" s="9"/>
      <c r="RIJ137" s="9"/>
      <c r="RIK137" s="18"/>
      <c r="RIL137" s="18"/>
      <c r="RIM137" s="18"/>
      <c r="RIN137" s="18"/>
      <c r="RIO137" s="18"/>
      <c r="RIP137" s="17"/>
      <c r="RIQ137" s="9"/>
      <c r="RIR137" s="9"/>
      <c r="RIS137" s="18"/>
      <c r="RIT137" s="18"/>
      <c r="RIU137" s="18"/>
      <c r="RIV137" s="18"/>
      <c r="RIW137" s="18"/>
      <c r="RIX137" s="17"/>
      <c r="RIY137" s="9"/>
      <c r="RIZ137" s="9"/>
      <c r="RJA137" s="18"/>
      <c r="RJB137" s="18"/>
      <c r="RJC137" s="18"/>
      <c r="RJD137" s="18"/>
      <c r="RJE137" s="18"/>
      <c r="RJF137" s="17"/>
      <c r="RJG137" s="9"/>
      <c r="RJH137" s="9"/>
      <c r="RJI137" s="18"/>
      <c r="RJJ137" s="18"/>
      <c r="RJK137" s="18"/>
      <c r="RJL137" s="18"/>
      <c r="RJM137" s="18"/>
      <c r="RJN137" s="17"/>
      <c r="RJO137" s="9"/>
      <c r="RJP137" s="9"/>
      <c r="RJQ137" s="18"/>
      <c r="RJR137" s="18"/>
      <c r="RJS137" s="18"/>
      <c r="RJT137" s="18"/>
      <c r="RJU137" s="18"/>
      <c r="RJV137" s="17"/>
      <c r="RJW137" s="9"/>
      <c r="RJX137" s="9"/>
      <c r="RJY137" s="18"/>
      <c r="RJZ137" s="18"/>
      <c r="RKA137" s="18"/>
      <c r="RKB137" s="18"/>
      <c r="RKC137" s="18"/>
      <c r="RKD137" s="17"/>
      <c r="RKE137" s="9"/>
      <c r="RKF137" s="9"/>
      <c r="RKG137" s="18"/>
      <c r="RKH137" s="18"/>
      <c r="RKI137" s="18"/>
      <c r="RKJ137" s="18"/>
      <c r="RKK137" s="18"/>
      <c r="RKL137" s="17"/>
      <c r="RKM137" s="9"/>
      <c r="RKN137" s="9"/>
      <c r="RKO137" s="18"/>
      <c r="RKP137" s="18"/>
      <c r="RKQ137" s="18"/>
      <c r="RKR137" s="18"/>
      <c r="RKS137" s="18"/>
      <c r="RKT137" s="17"/>
      <c r="RKU137" s="9"/>
      <c r="RKV137" s="9"/>
      <c r="RKW137" s="18"/>
      <c r="RKX137" s="18"/>
      <c r="RKY137" s="18"/>
      <c r="RKZ137" s="18"/>
      <c r="RLA137" s="18"/>
      <c r="RLB137" s="17"/>
      <c r="RLC137" s="9"/>
      <c r="RLD137" s="9"/>
      <c r="RLE137" s="18"/>
      <c r="RLF137" s="18"/>
      <c r="RLG137" s="18"/>
      <c r="RLH137" s="18"/>
      <c r="RLI137" s="18"/>
      <c r="RLJ137" s="17"/>
      <c r="RLK137" s="9"/>
      <c r="RLL137" s="9"/>
      <c r="RLM137" s="18"/>
      <c r="RLN137" s="18"/>
      <c r="RLO137" s="18"/>
      <c r="RLP137" s="18"/>
      <c r="RLQ137" s="18"/>
      <c r="RLR137" s="17"/>
      <c r="RLS137" s="9"/>
      <c r="RLT137" s="9"/>
      <c r="RLU137" s="18"/>
      <c r="RLV137" s="18"/>
      <c r="RLW137" s="18"/>
      <c r="RLX137" s="18"/>
      <c r="RLY137" s="18"/>
      <c r="RLZ137" s="17"/>
      <c r="RMA137" s="9"/>
      <c r="RMB137" s="9"/>
      <c r="RMC137" s="18"/>
      <c r="RMD137" s="18"/>
      <c r="RME137" s="18"/>
      <c r="RMF137" s="18"/>
      <c r="RMG137" s="18"/>
      <c r="RMH137" s="17"/>
      <c r="RMI137" s="9"/>
      <c r="RMJ137" s="9"/>
      <c r="RMK137" s="18"/>
      <c r="RML137" s="18"/>
      <c r="RMM137" s="18"/>
      <c r="RMN137" s="18"/>
      <c r="RMO137" s="18"/>
      <c r="RMP137" s="17"/>
      <c r="RMQ137" s="9"/>
      <c r="RMR137" s="9"/>
      <c r="RMS137" s="18"/>
      <c r="RMT137" s="18"/>
      <c r="RMU137" s="18"/>
      <c r="RMV137" s="18"/>
      <c r="RMW137" s="18"/>
      <c r="RMX137" s="17"/>
      <c r="RMY137" s="9"/>
      <c r="RMZ137" s="9"/>
      <c r="RNA137" s="18"/>
      <c r="RNB137" s="18"/>
      <c r="RNC137" s="18"/>
      <c r="RND137" s="18"/>
      <c r="RNE137" s="18"/>
      <c r="RNF137" s="17"/>
      <c r="RNG137" s="9"/>
      <c r="RNH137" s="9"/>
      <c r="RNI137" s="18"/>
      <c r="RNJ137" s="18"/>
      <c r="RNK137" s="18"/>
      <c r="RNL137" s="18"/>
      <c r="RNM137" s="18"/>
      <c r="RNN137" s="17"/>
      <c r="RNO137" s="9"/>
      <c r="RNP137" s="9"/>
      <c r="RNQ137" s="18"/>
      <c r="RNR137" s="18"/>
      <c r="RNS137" s="18"/>
      <c r="RNT137" s="18"/>
      <c r="RNU137" s="18"/>
      <c r="RNV137" s="17"/>
      <c r="RNW137" s="9"/>
      <c r="RNX137" s="9"/>
      <c r="RNY137" s="18"/>
      <c r="RNZ137" s="18"/>
      <c r="ROA137" s="18"/>
      <c r="ROB137" s="18"/>
      <c r="ROC137" s="18"/>
      <c r="ROD137" s="17"/>
      <c r="ROE137" s="9"/>
      <c r="ROF137" s="9"/>
      <c r="ROG137" s="18"/>
      <c r="ROH137" s="18"/>
      <c r="ROI137" s="18"/>
      <c r="ROJ137" s="18"/>
      <c r="ROK137" s="18"/>
      <c r="ROL137" s="17"/>
      <c r="ROM137" s="9"/>
      <c r="RON137" s="9"/>
      <c r="ROO137" s="18"/>
      <c r="ROP137" s="18"/>
      <c r="ROQ137" s="18"/>
      <c r="ROR137" s="18"/>
      <c r="ROS137" s="18"/>
      <c r="ROT137" s="17"/>
      <c r="ROU137" s="9"/>
      <c r="ROV137" s="9"/>
      <c r="ROW137" s="18"/>
      <c r="ROX137" s="18"/>
      <c r="ROY137" s="18"/>
      <c r="ROZ137" s="18"/>
      <c r="RPA137" s="18"/>
      <c r="RPB137" s="17"/>
      <c r="RPC137" s="9"/>
      <c r="RPD137" s="9"/>
      <c r="RPE137" s="18"/>
      <c r="RPF137" s="18"/>
      <c r="RPG137" s="18"/>
      <c r="RPH137" s="18"/>
      <c r="RPI137" s="18"/>
      <c r="RPJ137" s="17"/>
      <c r="RPK137" s="9"/>
      <c r="RPL137" s="9"/>
      <c r="RPM137" s="18"/>
      <c r="RPN137" s="18"/>
      <c r="RPO137" s="18"/>
      <c r="RPP137" s="18"/>
      <c r="RPQ137" s="18"/>
      <c r="RPR137" s="17"/>
      <c r="RPS137" s="9"/>
      <c r="RPT137" s="9"/>
      <c r="RPU137" s="18"/>
      <c r="RPV137" s="18"/>
      <c r="RPW137" s="18"/>
      <c r="RPX137" s="18"/>
      <c r="RPY137" s="18"/>
      <c r="RPZ137" s="17"/>
      <c r="RQA137" s="9"/>
      <c r="RQB137" s="9"/>
      <c r="RQC137" s="18"/>
      <c r="RQD137" s="18"/>
      <c r="RQE137" s="18"/>
      <c r="RQF137" s="18"/>
      <c r="RQG137" s="18"/>
      <c r="RQH137" s="17"/>
      <c r="RQI137" s="9"/>
      <c r="RQJ137" s="9"/>
      <c r="RQK137" s="18"/>
      <c r="RQL137" s="18"/>
      <c r="RQM137" s="18"/>
      <c r="RQN137" s="18"/>
      <c r="RQO137" s="18"/>
      <c r="RQP137" s="17"/>
      <c r="RQQ137" s="9"/>
      <c r="RQR137" s="9"/>
      <c r="RQS137" s="18"/>
      <c r="RQT137" s="18"/>
      <c r="RQU137" s="18"/>
      <c r="RQV137" s="18"/>
      <c r="RQW137" s="18"/>
      <c r="RQX137" s="17"/>
      <c r="RQY137" s="9"/>
      <c r="RQZ137" s="9"/>
      <c r="RRA137" s="18"/>
      <c r="RRB137" s="18"/>
      <c r="RRC137" s="18"/>
      <c r="RRD137" s="18"/>
      <c r="RRE137" s="18"/>
      <c r="RRF137" s="17"/>
      <c r="RRG137" s="9"/>
      <c r="RRH137" s="9"/>
      <c r="RRI137" s="18"/>
      <c r="RRJ137" s="18"/>
      <c r="RRK137" s="18"/>
      <c r="RRL137" s="18"/>
      <c r="RRM137" s="18"/>
      <c r="RRN137" s="17"/>
      <c r="RRO137" s="9"/>
      <c r="RRP137" s="9"/>
      <c r="RRQ137" s="18"/>
      <c r="RRR137" s="18"/>
      <c r="RRS137" s="18"/>
      <c r="RRT137" s="18"/>
      <c r="RRU137" s="18"/>
      <c r="RRV137" s="17"/>
      <c r="RRW137" s="9"/>
      <c r="RRX137" s="9"/>
      <c r="RRY137" s="18"/>
      <c r="RRZ137" s="18"/>
      <c r="RSA137" s="18"/>
      <c r="RSB137" s="18"/>
      <c r="RSC137" s="18"/>
      <c r="RSD137" s="17"/>
      <c r="RSE137" s="9"/>
      <c r="RSF137" s="9"/>
      <c r="RSG137" s="18"/>
      <c r="RSH137" s="18"/>
      <c r="RSI137" s="18"/>
      <c r="RSJ137" s="18"/>
      <c r="RSK137" s="18"/>
      <c r="RSL137" s="17"/>
      <c r="RSM137" s="9"/>
      <c r="RSN137" s="9"/>
      <c r="RSO137" s="18"/>
      <c r="RSP137" s="18"/>
      <c r="RSQ137" s="18"/>
      <c r="RSR137" s="18"/>
      <c r="RSS137" s="18"/>
      <c r="RST137" s="17"/>
      <c r="RSU137" s="9"/>
      <c r="RSV137" s="9"/>
      <c r="RSW137" s="18"/>
      <c r="RSX137" s="18"/>
      <c r="RSY137" s="18"/>
      <c r="RSZ137" s="18"/>
      <c r="RTA137" s="18"/>
      <c r="RTB137" s="17"/>
      <c r="RTC137" s="9"/>
      <c r="RTD137" s="9"/>
      <c r="RTE137" s="18"/>
      <c r="RTF137" s="18"/>
      <c r="RTG137" s="18"/>
      <c r="RTH137" s="18"/>
      <c r="RTI137" s="18"/>
      <c r="RTJ137" s="17"/>
      <c r="RTK137" s="9"/>
      <c r="RTL137" s="9"/>
      <c r="RTM137" s="18"/>
      <c r="RTN137" s="18"/>
      <c r="RTO137" s="18"/>
      <c r="RTP137" s="18"/>
      <c r="RTQ137" s="18"/>
      <c r="RTR137" s="17"/>
      <c r="RTS137" s="9"/>
      <c r="RTT137" s="9"/>
      <c r="RTU137" s="18"/>
      <c r="RTV137" s="18"/>
      <c r="RTW137" s="18"/>
      <c r="RTX137" s="18"/>
      <c r="RTY137" s="18"/>
      <c r="RTZ137" s="17"/>
      <c r="RUA137" s="9"/>
      <c r="RUB137" s="9"/>
      <c r="RUC137" s="18"/>
      <c r="RUD137" s="18"/>
      <c r="RUE137" s="18"/>
      <c r="RUF137" s="18"/>
      <c r="RUG137" s="18"/>
      <c r="RUH137" s="17"/>
      <c r="RUI137" s="9"/>
      <c r="RUJ137" s="9"/>
      <c r="RUK137" s="18"/>
      <c r="RUL137" s="18"/>
      <c r="RUM137" s="18"/>
      <c r="RUN137" s="18"/>
      <c r="RUO137" s="18"/>
      <c r="RUP137" s="17"/>
      <c r="RUQ137" s="9"/>
      <c r="RUR137" s="9"/>
      <c r="RUS137" s="18"/>
      <c r="RUT137" s="18"/>
      <c r="RUU137" s="18"/>
      <c r="RUV137" s="18"/>
      <c r="RUW137" s="18"/>
      <c r="RUX137" s="17"/>
      <c r="RUY137" s="9"/>
      <c r="RUZ137" s="9"/>
      <c r="RVA137" s="18"/>
      <c r="RVB137" s="18"/>
      <c r="RVC137" s="18"/>
      <c r="RVD137" s="18"/>
      <c r="RVE137" s="18"/>
      <c r="RVF137" s="17"/>
      <c r="RVG137" s="9"/>
      <c r="RVH137" s="9"/>
      <c r="RVI137" s="18"/>
      <c r="RVJ137" s="18"/>
      <c r="RVK137" s="18"/>
      <c r="RVL137" s="18"/>
      <c r="RVM137" s="18"/>
      <c r="RVN137" s="17"/>
      <c r="RVO137" s="9"/>
      <c r="RVP137" s="9"/>
      <c r="RVQ137" s="18"/>
      <c r="RVR137" s="18"/>
      <c r="RVS137" s="18"/>
      <c r="RVT137" s="18"/>
      <c r="RVU137" s="18"/>
      <c r="RVV137" s="17"/>
      <c r="RVW137" s="9"/>
      <c r="RVX137" s="9"/>
      <c r="RVY137" s="18"/>
      <c r="RVZ137" s="18"/>
      <c r="RWA137" s="18"/>
      <c r="RWB137" s="18"/>
      <c r="RWC137" s="18"/>
      <c r="RWD137" s="17"/>
      <c r="RWE137" s="9"/>
      <c r="RWF137" s="9"/>
      <c r="RWG137" s="18"/>
      <c r="RWH137" s="18"/>
      <c r="RWI137" s="18"/>
      <c r="RWJ137" s="18"/>
      <c r="RWK137" s="18"/>
      <c r="RWL137" s="17"/>
      <c r="RWM137" s="9"/>
      <c r="RWN137" s="9"/>
      <c r="RWO137" s="18"/>
      <c r="RWP137" s="18"/>
      <c r="RWQ137" s="18"/>
      <c r="RWR137" s="18"/>
      <c r="RWS137" s="18"/>
      <c r="RWT137" s="17"/>
      <c r="RWU137" s="9"/>
      <c r="RWV137" s="9"/>
      <c r="RWW137" s="18"/>
      <c r="RWX137" s="18"/>
      <c r="RWY137" s="18"/>
      <c r="RWZ137" s="18"/>
      <c r="RXA137" s="18"/>
      <c r="RXB137" s="17"/>
      <c r="RXC137" s="9"/>
      <c r="RXD137" s="9"/>
      <c r="RXE137" s="18"/>
      <c r="RXF137" s="18"/>
      <c r="RXG137" s="18"/>
      <c r="RXH137" s="18"/>
      <c r="RXI137" s="18"/>
      <c r="RXJ137" s="17"/>
      <c r="RXK137" s="9"/>
      <c r="RXL137" s="9"/>
      <c r="RXM137" s="18"/>
      <c r="RXN137" s="18"/>
      <c r="RXO137" s="18"/>
      <c r="RXP137" s="18"/>
      <c r="RXQ137" s="18"/>
      <c r="RXR137" s="17"/>
      <c r="RXS137" s="9"/>
      <c r="RXT137" s="9"/>
      <c r="RXU137" s="18"/>
      <c r="RXV137" s="18"/>
      <c r="RXW137" s="18"/>
      <c r="RXX137" s="18"/>
      <c r="RXY137" s="18"/>
      <c r="RXZ137" s="17"/>
      <c r="RYA137" s="9"/>
      <c r="RYB137" s="9"/>
      <c r="RYC137" s="18"/>
      <c r="RYD137" s="18"/>
      <c r="RYE137" s="18"/>
      <c r="RYF137" s="18"/>
      <c r="RYG137" s="18"/>
      <c r="RYH137" s="17"/>
      <c r="RYI137" s="9"/>
      <c r="RYJ137" s="9"/>
      <c r="RYK137" s="18"/>
      <c r="RYL137" s="18"/>
      <c r="RYM137" s="18"/>
      <c r="RYN137" s="18"/>
      <c r="RYO137" s="18"/>
      <c r="RYP137" s="17"/>
      <c r="RYQ137" s="9"/>
      <c r="RYR137" s="9"/>
      <c r="RYS137" s="18"/>
      <c r="RYT137" s="18"/>
      <c r="RYU137" s="18"/>
      <c r="RYV137" s="18"/>
      <c r="RYW137" s="18"/>
      <c r="RYX137" s="17"/>
      <c r="RYY137" s="9"/>
      <c r="RYZ137" s="9"/>
      <c r="RZA137" s="18"/>
      <c r="RZB137" s="18"/>
      <c r="RZC137" s="18"/>
      <c r="RZD137" s="18"/>
      <c r="RZE137" s="18"/>
      <c r="RZF137" s="17"/>
      <c r="RZG137" s="9"/>
      <c r="RZH137" s="9"/>
      <c r="RZI137" s="18"/>
      <c r="RZJ137" s="18"/>
      <c r="RZK137" s="18"/>
      <c r="RZL137" s="18"/>
      <c r="RZM137" s="18"/>
      <c r="RZN137" s="17"/>
      <c r="RZO137" s="9"/>
      <c r="RZP137" s="9"/>
      <c r="RZQ137" s="18"/>
      <c r="RZR137" s="18"/>
      <c r="RZS137" s="18"/>
      <c r="RZT137" s="18"/>
      <c r="RZU137" s="18"/>
      <c r="RZV137" s="17"/>
      <c r="RZW137" s="9"/>
      <c r="RZX137" s="9"/>
      <c r="RZY137" s="18"/>
      <c r="RZZ137" s="18"/>
      <c r="SAA137" s="18"/>
      <c r="SAB137" s="18"/>
      <c r="SAC137" s="18"/>
      <c r="SAD137" s="17"/>
      <c r="SAE137" s="9"/>
      <c r="SAF137" s="9"/>
      <c r="SAG137" s="18"/>
      <c r="SAH137" s="18"/>
      <c r="SAI137" s="18"/>
      <c r="SAJ137" s="18"/>
      <c r="SAK137" s="18"/>
      <c r="SAL137" s="17"/>
      <c r="SAM137" s="9"/>
      <c r="SAN137" s="9"/>
      <c r="SAO137" s="18"/>
      <c r="SAP137" s="18"/>
      <c r="SAQ137" s="18"/>
      <c r="SAR137" s="18"/>
      <c r="SAS137" s="18"/>
      <c r="SAT137" s="17"/>
      <c r="SAU137" s="9"/>
      <c r="SAV137" s="9"/>
      <c r="SAW137" s="18"/>
      <c r="SAX137" s="18"/>
      <c r="SAY137" s="18"/>
      <c r="SAZ137" s="18"/>
      <c r="SBA137" s="18"/>
      <c r="SBB137" s="17"/>
      <c r="SBC137" s="9"/>
      <c r="SBD137" s="9"/>
      <c r="SBE137" s="18"/>
      <c r="SBF137" s="18"/>
      <c r="SBG137" s="18"/>
      <c r="SBH137" s="18"/>
      <c r="SBI137" s="18"/>
      <c r="SBJ137" s="17"/>
      <c r="SBK137" s="9"/>
      <c r="SBL137" s="9"/>
      <c r="SBM137" s="18"/>
      <c r="SBN137" s="18"/>
      <c r="SBO137" s="18"/>
      <c r="SBP137" s="18"/>
      <c r="SBQ137" s="18"/>
      <c r="SBR137" s="17"/>
      <c r="SBS137" s="9"/>
      <c r="SBT137" s="9"/>
      <c r="SBU137" s="18"/>
      <c r="SBV137" s="18"/>
      <c r="SBW137" s="18"/>
      <c r="SBX137" s="18"/>
      <c r="SBY137" s="18"/>
      <c r="SBZ137" s="17"/>
      <c r="SCA137" s="9"/>
      <c r="SCB137" s="9"/>
      <c r="SCC137" s="18"/>
      <c r="SCD137" s="18"/>
      <c r="SCE137" s="18"/>
      <c r="SCF137" s="18"/>
      <c r="SCG137" s="18"/>
      <c r="SCH137" s="17"/>
      <c r="SCI137" s="9"/>
      <c r="SCJ137" s="9"/>
      <c r="SCK137" s="18"/>
      <c r="SCL137" s="18"/>
      <c r="SCM137" s="18"/>
      <c r="SCN137" s="18"/>
      <c r="SCO137" s="18"/>
      <c r="SCP137" s="17"/>
      <c r="SCQ137" s="9"/>
      <c r="SCR137" s="9"/>
      <c r="SCS137" s="18"/>
      <c r="SCT137" s="18"/>
      <c r="SCU137" s="18"/>
      <c r="SCV137" s="18"/>
      <c r="SCW137" s="18"/>
      <c r="SCX137" s="17"/>
      <c r="SCY137" s="9"/>
      <c r="SCZ137" s="9"/>
      <c r="SDA137" s="18"/>
      <c r="SDB137" s="18"/>
      <c r="SDC137" s="18"/>
      <c r="SDD137" s="18"/>
      <c r="SDE137" s="18"/>
      <c r="SDF137" s="17"/>
      <c r="SDG137" s="9"/>
      <c r="SDH137" s="9"/>
      <c r="SDI137" s="18"/>
      <c r="SDJ137" s="18"/>
      <c r="SDK137" s="18"/>
      <c r="SDL137" s="18"/>
      <c r="SDM137" s="18"/>
      <c r="SDN137" s="17"/>
      <c r="SDO137" s="9"/>
      <c r="SDP137" s="9"/>
      <c r="SDQ137" s="18"/>
      <c r="SDR137" s="18"/>
      <c r="SDS137" s="18"/>
      <c r="SDT137" s="18"/>
      <c r="SDU137" s="18"/>
      <c r="SDV137" s="17"/>
      <c r="SDW137" s="9"/>
      <c r="SDX137" s="9"/>
      <c r="SDY137" s="18"/>
      <c r="SDZ137" s="18"/>
      <c r="SEA137" s="18"/>
      <c r="SEB137" s="18"/>
      <c r="SEC137" s="18"/>
      <c r="SED137" s="17"/>
      <c r="SEE137" s="9"/>
      <c r="SEF137" s="9"/>
      <c r="SEG137" s="18"/>
      <c r="SEH137" s="18"/>
      <c r="SEI137" s="18"/>
      <c r="SEJ137" s="18"/>
      <c r="SEK137" s="18"/>
      <c r="SEL137" s="17"/>
      <c r="SEM137" s="9"/>
      <c r="SEN137" s="9"/>
      <c r="SEO137" s="18"/>
      <c r="SEP137" s="18"/>
      <c r="SEQ137" s="18"/>
      <c r="SER137" s="18"/>
      <c r="SES137" s="18"/>
      <c r="SET137" s="17"/>
      <c r="SEU137" s="9"/>
      <c r="SEV137" s="9"/>
      <c r="SEW137" s="18"/>
      <c r="SEX137" s="18"/>
      <c r="SEY137" s="18"/>
      <c r="SEZ137" s="18"/>
      <c r="SFA137" s="18"/>
      <c r="SFB137" s="17"/>
      <c r="SFC137" s="9"/>
      <c r="SFD137" s="9"/>
      <c r="SFE137" s="18"/>
      <c r="SFF137" s="18"/>
      <c r="SFG137" s="18"/>
      <c r="SFH137" s="18"/>
      <c r="SFI137" s="18"/>
      <c r="SFJ137" s="17"/>
      <c r="SFK137" s="9"/>
      <c r="SFL137" s="9"/>
      <c r="SFM137" s="18"/>
      <c r="SFN137" s="18"/>
      <c r="SFO137" s="18"/>
      <c r="SFP137" s="18"/>
      <c r="SFQ137" s="18"/>
      <c r="SFR137" s="17"/>
      <c r="SFS137" s="9"/>
      <c r="SFT137" s="9"/>
      <c r="SFU137" s="18"/>
      <c r="SFV137" s="18"/>
      <c r="SFW137" s="18"/>
      <c r="SFX137" s="18"/>
      <c r="SFY137" s="18"/>
      <c r="SFZ137" s="17"/>
      <c r="SGA137" s="9"/>
      <c r="SGB137" s="9"/>
      <c r="SGC137" s="18"/>
      <c r="SGD137" s="18"/>
      <c r="SGE137" s="18"/>
      <c r="SGF137" s="18"/>
      <c r="SGG137" s="18"/>
      <c r="SGH137" s="17"/>
      <c r="SGI137" s="9"/>
      <c r="SGJ137" s="9"/>
      <c r="SGK137" s="18"/>
      <c r="SGL137" s="18"/>
      <c r="SGM137" s="18"/>
      <c r="SGN137" s="18"/>
      <c r="SGO137" s="18"/>
      <c r="SGP137" s="17"/>
      <c r="SGQ137" s="9"/>
      <c r="SGR137" s="9"/>
      <c r="SGS137" s="18"/>
      <c r="SGT137" s="18"/>
      <c r="SGU137" s="18"/>
      <c r="SGV137" s="18"/>
      <c r="SGW137" s="18"/>
      <c r="SGX137" s="17"/>
      <c r="SGY137" s="9"/>
      <c r="SGZ137" s="9"/>
      <c r="SHA137" s="18"/>
      <c r="SHB137" s="18"/>
      <c r="SHC137" s="18"/>
      <c r="SHD137" s="18"/>
      <c r="SHE137" s="18"/>
      <c r="SHF137" s="17"/>
      <c r="SHG137" s="9"/>
      <c r="SHH137" s="9"/>
      <c r="SHI137" s="18"/>
      <c r="SHJ137" s="18"/>
      <c r="SHK137" s="18"/>
      <c r="SHL137" s="18"/>
      <c r="SHM137" s="18"/>
      <c r="SHN137" s="17"/>
      <c r="SHO137" s="9"/>
      <c r="SHP137" s="9"/>
      <c r="SHQ137" s="18"/>
      <c r="SHR137" s="18"/>
      <c r="SHS137" s="18"/>
      <c r="SHT137" s="18"/>
      <c r="SHU137" s="18"/>
      <c r="SHV137" s="17"/>
      <c r="SHW137" s="9"/>
      <c r="SHX137" s="9"/>
      <c r="SHY137" s="18"/>
      <c r="SHZ137" s="18"/>
      <c r="SIA137" s="18"/>
      <c r="SIB137" s="18"/>
      <c r="SIC137" s="18"/>
      <c r="SID137" s="17"/>
      <c r="SIE137" s="9"/>
      <c r="SIF137" s="9"/>
      <c r="SIG137" s="18"/>
      <c r="SIH137" s="18"/>
      <c r="SII137" s="18"/>
      <c r="SIJ137" s="18"/>
      <c r="SIK137" s="18"/>
      <c r="SIL137" s="17"/>
      <c r="SIM137" s="9"/>
      <c r="SIN137" s="9"/>
      <c r="SIO137" s="18"/>
      <c r="SIP137" s="18"/>
      <c r="SIQ137" s="18"/>
      <c r="SIR137" s="18"/>
      <c r="SIS137" s="18"/>
      <c r="SIT137" s="17"/>
      <c r="SIU137" s="9"/>
      <c r="SIV137" s="9"/>
      <c r="SIW137" s="18"/>
      <c r="SIX137" s="18"/>
      <c r="SIY137" s="18"/>
      <c r="SIZ137" s="18"/>
      <c r="SJA137" s="18"/>
      <c r="SJB137" s="17"/>
      <c r="SJC137" s="9"/>
      <c r="SJD137" s="9"/>
      <c r="SJE137" s="18"/>
      <c r="SJF137" s="18"/>
      <c r="SJG137" s="18"/>
      <c r="SJH137" s="18"/>
      <c r="SJI137" s="18"/>
      <c r="SJJ137" s="17"/>
      <c r="SJK137" s="9"/>
      <c r="SJL137" s="9"/>
      <c r="SJM137" s="18"/>
      <c r="SJN137" s="18"/>
      <c r="SJO137" s="18"/>
      <c r="SJP137" s="18"/>
      <c r="SJQ137" s="18"/>
      <c r="SJR137" s="17"/>
      <c r="SJS137" s="9"/>
      <c r="SJT137" s="9"/>
      <c r="SJU137" s="18"/>
      <c r="SJV137" s="18"/>
      <c r="SJW137" s="18"/>
      <c r="SJX137" s="18"/>
      <c r="SJY137" s="18"/>
      <c r="SJZ137" s="17"/>
      <c r="SKA137" s="9"/>
      <c r="SKB137" s="9"/>
      <c r="SKC137" s="18"/>
      <c r="SKD137" s="18"/>
      <c r="SKE137" s="18"/>
      <c r="SKF137" s="18"/>
      <c r="SKG137" s="18"/>
      <c r="SKH137" s="17"/>
      <c r="SKI137" s="9"/>
      <c r="SKJ137" s="9"/>
      <c r="SKK137" s="18"/>
      <c r="SKL137" s="18"/>
      <c r="SKM137" s="18"/>
      <c r="SKN137" s="18"/>
      <c r="SKO137" s="18"/>
      <c r="SKP137" s="17"/>
      <c r="SKQ137" s="9"/>
      <c r="SKR137" s="9"/>
      <c r="SKS137" s="18"/>
      <c r="SKT137" s="18"/>
      <c r="SKU137" s="18"/>
      <c r="SKV137" s="18"/>
      <c r="SKW137" s="18"/>
      <c r="SKX137" s="17"/>
      <c r="SKY137" s="9"/>
      <c r="SKZ137" s="9"/>
      <c r="SLA137" s="18"/>
      <c r="SLB137" s="18"/>
      <c r="SLC137" s="18"/>
      <c r="SLD137" s="18"/>
      <c r="SLE137" s="18"/>
      <c r="SLF137" s="17"/>
      <c r="SLG137" s="9"/>
      <c r="SLH137" s="9"/>
      <c r="SLI137" s="18"/>
      <c r="SLJ137" s="18"/>
      <c r="SLK137" s="18"/>
      <c r="SLL137" s="18"/>
      <c r="SLM137" s="18"/>
      <c r="SLN137" s="17"/>
      <c r="SLO137" s="9"/>
      <c r="SLP137" s="9"/>
      <c r="SLQ137" s="18"/>
      <c r="SLR137" s="18"/>
      <c r="SLS137" s="18"/>
      <c r="SLT137" s="18"/>
      <c r="SLU137" s="18"/>
      <c r="SLV137" s="17"/>
      <c r="SLW137" s="9"/>
      <c r="SLX137" s="9"/>
      <c r="SLY137" s="18"/>
      <c r="SLZ137" s="18"/>
      <c r="SMA137" s="18"/>
      <c r="SMB137" s="18"/>
      <c r="SMC137" s="18"/>
      <c r="SMD137" s="17"/>
      <c r="SME137" s="9"/>
      <c r="SMF137" s="9"/>
      <c r="SMG137" s="18"/>
      <c r="SMH137" s="18"/>
      <c r="SMI137" s="18"/>
      <c r="SMJ137" s="18"/>
      <c r="SMK137" s="18"/>
      <c r="SML137" s="17"/>
      <c r="SMM137" s="9"/>
      <c r="SMN137" s="9"/>
      <c r="SMO137" s="18"/>
      <c r="SMP137" s="18"/>
      <c r="SMQ137" s="18"/>
      <c r="SMR137" s="18"/>
      <c r="SMS137" s="18"/>
      <c r="SMT137" s="17"/>
      <c r="SMU137" s="9"/>
      <c r="SMV137" s="9"/>
      <c r="SMW137" s="18"/>
      <c r="SMX137" s="18"/>
      <c r="SMY137" s="18"/>
      <c r="SMZ137" s="18"/>
      <c r="SNA137" s="18"/>
      <c r="SNB137" s="17"/>
      <c r="SNC137" s="9"/>
      <c r="SND137" s="9"/>
      <c r="SNE137" s="18"/>
      <c r="SNF137" s="18"/>
      <c r="SNG137" s="18"/>
      <c r="SNH137" s="18"/>
      <c r="SNI137" s="18"/>
      <c r="SNJ137" s="17"/>
      <c r="SNK137" s="9"/>
      <c r="SNL137" s="9"/>
      <c r="SNM137" s="18"/>
      <c r="SNN137" s="18"/>
      <c r="SNO137" s="18"/>
      <c r="SNP137" s="18"/>
      <c r="SNQ137" s="18"/>
      <c r="SNR137" s="17"/>
      <c r="SNS137" s="9"/>
      <c r="SNT137" s="9"/>
      <c r="SNU137" s="18"/>
      <c r="SNV137" s="18"/>
      <c r="SNW137" s="18"/>
      <c r="SNX137" s="18"/>
      <c r="SNY137" s="18"/>
      <c r="SNZ137" s="17"/>
      <c r="SOA137" s="9"/>
      <c r="SOB137" s="9"/>
      <c r="SOC137" s="18"/>
      <c r="SOD137" s="18"/>
      <c r="SOE137" s="18"/>
      <c r="SOF137" s="18"/>
      <c r="SOG137" s="18"/>
      <c r="SOH137" s="17"/>
      <c r="SOI137" s="9"/>
      <c r="SOJ137" s="9"/>
      <c r="SOK137" s="18"/>
      <c r="SOL137" s="18"/>
      <c r="SOM137" s="18"/>
      <c r="SON137" s="18"/>
      <c r="SOO137" s="18"/>
      <c r="SOP137" s="17"/>
      <c r="SOQ137" s="9"/>
      <c r="SOR137" s="9"/>
      <c r="SOS137" s="18"/>
      <c r="SOT137" s="18"/>
      <c r="SOU137" s="18"/>
      <c r="SOV137" s="18"/>
      <c r="SOW137" s="18"/>
      <c r="SOX137" s="17"/>
      <c r="SOY137" s="9"/>
      <c r="SOZ137" s="9"/>
      <c r="SPA137" s="18"/>
      <c r="SPB137" s="18"/>
      <c r="SPC137" s="18"/>
      <c r="SPD137" s="18"/>
      <c r="SPE137" s="18"/>
      <c r="SPF137" s="17"/>
      <c r="SPG137" s="9"/>
      <c r="SPH137" s="9"/>
      <c r="SPI137" s="18"/>
      <c r="SPJ137" s="18"/>
      <c r="SPK137" s="18"/>
      <c r="SPL137" s="18"/>
      <c r="SPM137" s="18"/>
      <c r="SPN137" s="17"/>
      <c r="SPO137" s="9"/>
      <c r="SPP137" s="9"/>
      <c r="SPQ137" s="18"/>
      <c r="SPR137" s="18"/>
      <c r="SPS137" s="18"/>
      <c r="SPT137" s="18"/>
      <c r="SPU137" s="18"/>
      <c r="SPV137" s="17"/>
      <c r="SPW137" s="9"/>
      <c r="SPX137" s="9"/>
      <c r="SPY137" s="18"/>
      <c r="SPZ137" s="18"/>
      <c r="SQA137" s="18"/>
      <c r="SQB137" s="18"/>
      <c r="SQC137" s="18"/>
      <c r="SQD137" s="17"/>
      <c r="SQE137" s="9"/>
      <c r="SQF137" s="9"/>
      <c r="SQG137" s="18"/>
      <c r="SQH137" s="18"/>
      <c r="SQI137" s="18"/>
      <c r="SQJ137" s="18"/>
      <c r="SQK137" s="18"/>
      <c r="SQL137" s="17"/>
      <c r="SQM137" s="9"/>
      <c r="SQN137" s="9"/>
      <c r="SQO137" s="18"/>
      <c r="SQP137" s="18"/>
      <c r="SQQ137" s="18"/>
      <c r="SQR137" s="18"/>
      <c r="SQS137" s="18"/>
      <c r="SQT137" s="17"/>
      <c r="SQU137" s="9"/>
      <c r="SQV137" s="9"/>
      <c r="SQW137" s="18"/>
      <c r="SQX137" s="18"/>
      <c r="SQY137" s="18"/>
      <c r="SQZ137" s="18"/>
      <c r="SRA137" s="18"/>
      <c r="SRB137" s="17"/>
      <c r="SRC137" s="9"/>
      <c r="SRD137" s="9"/>
      <c r="SRE137" s="18"/>
      <c r="SRF137" s="18"/>
      <c r="SRG137" s="18"/>
      <c r="SRH137" s="18"/>
      <c r="SRI137" s="18"/>
      <c r="SRJ137" s="17"/>
      <c r="SRK137" s="9"/>
      <c r="SRL137" s="9"/>
      <c r="SRM137" s="18"/>
      <c r="SRN137" s="18"/>
      <c r="SRO137" s="18"/>
      <c r="SRP137" s="18"/>
      <c r="SRQ137" s="18"/>
      <c r="SRR137" s="17"/>
      <c r="SRS137" s="9"/>
      <c r="SRT137" s="9"/>
      <c r="SRU137" s="18"/>
      <c r="SRV137" s="18"/>
      <c r="SRW137" s="18"/>
      <c r="SRX137" s="18"/>
      <c r="SRY137" s="18"/>
      <c r="SRZ137" s="17"/>
      <c r="SSA137" s="9"/>
      <c r="SSB137" s="9"/>
      <c r="SSC137" s="18"/>
      <c r="SSD137" s="18"/>
      <c r="SSE137" s="18"/>
      <c r="SSF137" s="18"/>
      <c r="SSG137" s="18"/>
      <c r="SSH137" s="17"/>
      <c r="SSI137" s="9"/>
      <c r="SSJ137" s="9"/>
      <c r="SSK137" s="18"/>
      <c r="SSL137" s="18"/>
      <c r="SSM137" s="18"/>
      <c r="SSN137" s="18"/>
      <c r="SSO137" s="18"/>
      <c r="SSP137" s="17"/>
      <c r="SSQ137" s="9"/>
      <c r="SSR137" s="9"/>
      <c r="SSS137" s="18"/>
      <c r="SST137" s="18"/>
      <c r="SSU137" s="18"/>
      <c r="SSV137" s="18"/>
      <c r="SSW137" s="18"/>
      <c r="SSX137" s="17"/>
      <c r="SSY137" s="9"/>
      <c r="SSZ137" s="9"/>
      <c r="STA137" s="18"/>
      <c r="STB137" s="18"/>
      <c r="STC137" s="18"/>
      <c r="STD137" s="18"/>
      <c r="STE137" s="18"/>
      <c r="STF137" s="17"/>
      <c r="STG137" s="9"/>
      <c r="STH137" s="9"/>
      <c r="STI137" s="18"/>
      <c r="STJ137" s="18"/>
      <c r="STK137" s="18"/>
      <c r="STL137" s="18"/>
      <c r="STM137" s="18"/>
      <c r="STN137" s="17"/>
      <c r="STO137" s="9"/>
      <c r="STP137" s="9"/>
      <c r="STQ137" s="18"/>
      <c r="STR137" s="18"/>
      <c r="STS137" s="18"/>
      <c r="STT137" s="18"/>
      <c r="STU137" s="18"/>
      <c r="STV137" s="17"/>
      <c r="STW137" s="9"/>
      <c r="STX137" s="9"/>
      <c r="STY137" s="18"/>
      <c r="STZ137" s="18"/>
      <c r="SUA137" s="18"/>
      <c r="SUB137" s="18"/>
      <c r="SUC137" s="18"/>
      <c r="SUD137" s="17"/>
      <c r="SUE137" s="9"/>
      <c r="SUF137" s="9"/>
      <c r="SUG137" s="18"/>
      <c r="SUH137" s="18"/>
      <c r="SUI137" s="18"/>
      <c r="SUJ137" s="18"/>
      <c r="SUK137" s="18"/>
      <c r="SUL137" s="17"/>
      <c r="SUM137" s="9"/>
      <c r="SUN137" s="9"/>
      <c r="SUO137" s="18"/>
      <c r="SUP137" s="18"/>
      <c r="SUQ137" s="18"/>
      <c r="SUR137" s="18"/>
      <c r="SUS137" s="18"/>
      <c r="SUT137" s="17"/>
      <c r="SUU137" s="9"/>
      <c r="SUV137" s="9"/>
      <c r="SUW137" s="18"/>
      <c r="SUX137" s="18"/>
      <c r="SUY137" s="18"/>
      <c r="SUZ137" s="18"/>
      <c r="SVA137" s="18"/>
      <c r="SVB137" s="17"/>
      <c r="SVC137" s="9"/>
      <c r="SVD137" s="9"/>
      <c r="SVE137" s="18"/>
      <c r="SVF137" s="18"/>
      <c r="SVG137" s="18"/>
      <c r="SVH137" s="18"/>
      <c r="SVI137" s="18"/>
      <c r="SVJ137" s="17"/>
      <c r="SVK137" s="9"/>
      <c r="SVL137" s="9"/>
      <c r="SVM137" s="18"/>
      <c r="SVN137" s="18"/>
      <c r="SVO137" s="18"/>
      <c r="SVP137" s="18"/>
      <c r="SVQ137" s="18"/>
      <c r="SVR137" s="17"/>
      <c r="SVS137" s="9"/>
      <c r="SVT137" s="9"/>
      <c r="SVU137" s="18"/>
      <c r="SVV137" s="18"/>
      <c r="SVW137" s="18"/>
      <c r="SVX137" s="18"/>
      <c r="SVY137" s="18"/>
      <c r="SVZ137" s="17"/>
      <c r="SWA137" s="9"/>
      <c r="SWB137" s="9"/>
      <c r="SWC137" s="18"/>
      <c r="SWD137" s="18"/>
      <c r="SWE137" s="18"/>
      <c r="SWF137" s="18"/>
      <c r="SWG137" s="18"/>
      <c r="SWH137" s="17"/>
      <c r="SWI137" s="9"/>
      <c r="SWJ137" s="9"/>
      <c r="SWK137" s="18"/>
      <c r="SWL137" s="18"/>
      <c r="SWM137" s="18"/>
      <c r="SWN137" s="18"/>
      <c r="SWO137" s="18"/>
      <c r="SWP137" s="17"/>
      <c r="SWQ137" s="9"/>
      <c r="SWR137" s="9"/>
      <c r="SWS137" s="18"/>
      <c r="SWT137" s="18"/>
      <c r="SWU137" s="18"/>
      <c r="SWV137" s="18"/>
      <c r="SWW137" s="18"/>
      <c r="SWX137" s="17"/>
      <c r="SWY137" s="9"/>
      <c r="SWZ137" s="9"/>
      <c r="SXA137" s="18"/>
      <c r="SXB137" s="18"/>
      <c r="SXC137" s="18"/>
      <c r="SXD137" s="18"/>
      <c r="SXE137" s="18"/>
      <c r="SXF137" s="17"/>
      <c r="SXG137" s="9"/>
      <c r="SXH137" s="9"/>
      <c r="SXI137" s="18"/>
      <c r="SXJ137" s="18"/>
      <c r="SXK137" s="18"/>
      <c r="SXL137" s="18"/>
      <c r="SXM137" s="18"/>
      <c r="SXN137" s="17"/>
      <c r="SXO137" s="9"/>
      <c r="SXP137" s="9"/>
      <c r="SXQ137" s="18"/>
      <c r="SXR137" s="18"/>
      <c r="SXS137" s="18"/>
      <c r="SXT137" s="18"/>
      <c r="SXU137" s="18"/>
      <c r="SXV137" s="17"/>
      <c r="SXW137" s="9"/>
      <c r="SXX137" s="9"/>
      <c r="SXY137" s="18"/>
      <c r="SXZ137" s="18"/>
      <c r="SYA137" s="18"/>
      <c r="SYB137" s="18"/>
      <c r="SYC137" s="18"/>
      <c r="SYD137" s="17"/>
      <c r="SYE137" s="9"/>
      <c r="SYF137" s="9"/>
      <c r="SYG137" s="18"/>
      <c r="SYH137" s="18"/>
      <c r="SYI137" s="18"/>
      <c r="SYJ137" s="18"/>
      <c r="SYK137" s="18"/>
      <c r="SYL137" s="17"/>
      <c r="SYM137" s="9"/>
      <c r="SYN137" s="9"/>
      <c r="SYO137" s="18"/>
      <c r="SYP137" s="18"/>
      <c r="SYQ137" s="18"/>
      <c r="SYR137" s="18"/>
      <c r="SYS137" s="18"/>
      <c r="SYT137" s="17"/>
      <c r="SYU137" s="9"/>
      <c r="SYV137" s="9"/>
      <c r="SYW137" s="18"/>
      <c r="SYX137" s="18"/>
      <c r="SYY137" s="18"/>
      <c r="SYZ137" s="18"/>
      <c r="SZA137" s="18"/>
      <c r="SZB137" s="17"/>
      <c r="SZC137" s="9"/>
      <c r="SZD137" s="9"/>
      <c r="SZE137" s="18"/>
      <c r="SZF137" s="18"/>
      <c r="SZG137" s="18"/>
      <c r="SZH137" s="18"/>
      <c r="SZI137" s="18"/>
      <c r="SZJ137" s="17"/>
      <c r="SZK137" s="9"/>
      <c r="SZL137" s="9"/>
      <c r="SZM137" s="18"/>
      <c r="SZN137" s="18"/>
      <c r="SZO137" s="18"/>
      <c r="SZP137" s="18"/>
      <c r="SZQ137" s="18"/>
      <c r="SZR137" s="17"/>
      <c r="SZS137" s="9"/>
      <c r="SZT137" s="9"/>
      <c r="SZU137" s="18"/>
      <c r="SZV137" s="18"/>
      <c r="SZW137" s="18"/>
      <c r="SZX137" s="18"/>
      <c r="SZY137" s="18"/>
      <c r="SZZ137" s="17"/>
      <c r="TAA137" s="9"/>
      <c r="TAB137" s="9"/>
      <c r="TAC137" s="18"/>
      <c r="TAD137" s="18"/>
      <c r="TAE137" s="18"/>
      <c r="TAF137" s="18"/>
      <c r="TAG137" s="18"/>
      <c r="TAH137" s="17"/>
      <c r="TAI137" s="9"/>
      <c r="TAJ137" s="9"/>
      <c r="TAK137" s="18"/>
      <c r="TAL137" s="18"/>
      <c r="TAM137" s="18"/>
      <c r="TAN137" s="18"/>
      <c r="TAO137" s="18"/>
      <c r="TAP137" s="17"/>
      <c r="TAQ137" s="9"/>
      <c r="TAR137" s="9"/>
      <c r="TAS137" s="18"/>
      <c r="TAT137" s="18"/>
      <c r="TAU137" s="18"/>
      <c r="TAV137" s="18"/>
      <c r="TAW137" s="18"/>
      <c r="TAX137" s="17"/>
      <c r="TAY137" s="9"/>
      <c r="TAZ137" s="9"/>
      <c r="TBA137" s="18"/>
      <c r="TBB137" s="18"/>
      <c r="TBC137" s="18"/>
      <c r="TBD137" s="18"/>
      <c r="TBE137" s="18"/>
      <c r="TBF137" s="17"/>
      <c r="TBG137" s="9"/>
      <c r="TBH137" s="9"/>
      <c r="TBI137" s="18"/>
      <c r="TBJ137" s="18"/>
      <c r="TBK137" s="18"/>
      <c r="TBL137" s="18"/>
      <c r="TBM137" s="18"/>
      <c r="TBN137" s="17"/>
      <c r="TBO137" s="9"/>
      <c r="TBP137" s="9"/>
      <c r="TBQ137" s="18"/>
      <c r="TBR137" s="18"/>
      <c r="TBS137" s="18"/>
      <c r="TBT137" s="18"/>
      <c r="TBU137" s="18"/>
      <c r="TBV137" s="17"/>
      <c r="TBW137" s="9"/>
      <c r="TBX137" s="9"/>
      <c r="TBY137" s="18"/>
      <c r="TBZ137" s="18"/>
      <c r="TCA137" s="18"/>
      <c r="TCB137" s="18"/>
      <c r="TCC137" s="18"/>
      <c r="TCD137" s="17"/>
      <c r="TCE137" s="9"/>
      <c r="TCF137" s="9"/>
      <c r="TCG137" s="18"/>
      <c r="TCH137" s="18"/>
      <c r="TCI137" s="18"/>
      <c r="TCJ137" s="18"/>
      <c r="TCK137" s="18"/>
      <c r="TCL137" s="17"/>
      <c r="TCM137" s="9"/>
      <c r="TCN137" s="9"/>
      <c r="TCO137" s="18"/>
      <c r="TCP137" s="18"/>
      <c r="TCQ137" s="18"/>
      <c r="TCR137" s="18"/>
      <c r="TCS137" s="18"/>
      <c r="TCT137" s="17"/>
      <c r="TCU137" s="9"/>
      <c r="TCV137" s="9"/>
      <c r="TCW137" s="18"/>
      <c r="TCX137" s="18"/>
      <c r="TCY137" s="18"/>
      <c r="TCZ137" s="18"/>
      <c r="TDA137" s="18"/>
      <c r="TDB137" s="17"/>
      <c r="TDC137" s="9"/>
      <c r="TDD137" s="9"/>
      <c r="TDE137" s="18"/>
      <c r="TDF137" s="18"/>
      <c r="TDG137" s="18"/>
      <c r="TDH137" s="18"/>
      <c r="TDI137" s="18"/>
      <c r="TDJ137" s="17"/>
      <c r="TDK137" s="9"/>
      <c r="TDL137" s="9"/>
      <c r="TDM137" s="18"/>
      <c r="TDN137" s="18"/>
      <c r="TDO137" s="18"/>
      <c r="TDP137" s="18"/>
      <c r="TDQ137" s="18"/>
      <c r="TDR137" s="17"/>
      <c r="TDS137" s="9"/>
      <c r="TDT137" s="9"/>
      <c r="TDU137" s="18"/>
      <c r="TDV137" s="18"/>
      <c r="TDW137" s="18"/>
      <c r="TDX137" s="18"/>
      <c r="TDY137" s="18"/>
      <c r="TDZ137" s="17"/>
      <c r="TEA137" s="9"/>
      <c r="TEB137" s="9"/>
      <c r="TEC137" s="18"/>
      <c r="TED137" s="18"/>
      <c r="TEE137" s="18"/>
      <c r="TEF137" s="18"/>
      <c r="TEG137" s="18"/>
      <c r="TEH137" s="17"/>
      <c r="TEI137" s="9"/>
      <c r="TEJ137" s="9"/>
      <c r="TEK137" s="18"/>
      <c r="TEL137" s="18"/>
      <c r="TEM137" s="18"/>
      <c r="TEN137" s="18"/>
      <c r="TEO137" s="18"/>
      <c r="TEP137" s="17"/>
      <c r="TEQ137" s="9"/>
      <c r="TER137" s="9"/>
      <c r="TES137" s="18"/>
      <c r="TET137" s="18"/>
      <c r="TEU137" s="18"/>
      <c r="TEV137" s="18"/>
      <c r="TEW137" s="18"/>
      <c r="TEX137" s="17"/>
      <c r="TEY137" s="9"/>
      <c r="TEZ137" s="9"/>
      <c r="TFA137" s="18"/>
      <c r="TFB137" s="18"/>
      <c r="TFC137" s="18"/>
      <c r="TFD137" s="18"/>
      <c r="TFE137" s="18"/>
      <c r="TFF137" s="17"/>
      <c r="TFG137" s="9"/>
      <c r="TFH137" s="9"/>
      <c r="TFI137" s="18"/>
      <c r="TFJ137" s="18"/>
      <c r="TFK137" s="18"/>
      <c r="TFL137" s="18"/>
      <c r="TFM137" s="18"/>
      <c r="TFN137" s="17"/>
      <c r="TFO137" s="9"/>
      <c r="TFP137" s="9"/>
      <c r="TFQ137" s="18"/>
      <c r="TFR137" s="18"/>
      <c r="TFS137" s="18"/>
      <c r="TFT137" s="18"/>
      <c r="TFU137" s="18"/>
      <c r="TFV137" s="17"/>
      <c r="TFW137" s="9"/>
      <c r="TFX137" s="9"/>
      <c r="TFY137" s="18"/>
      <c r="TFZ137" s="18"/>
      <c r="TGA137" s="18"/>
      <c r="TGB137" s="18"/>
      <c r="TGC137" s="18"/>
      <c r="TGD137" s="17"/>
      <c r="TGE137" s="9"/>
      <c r="TGF137" s="9"/>
      <c r="TGG137" s="18"/>
      <c r="TGH137" s="18"/>
      <c r="TGI137" s="18"/>
      <c r="TGJ137" s="18"/>
      <c r="TGK137" s="18"/>
      <c r="TGL137" s="17"/>
      <c r="TGM137" s="9"/>
      <c r="TGN137" s="9"/>
      <c r="TGO137" s="18"/>
      <c r="TGP137" s="18"/>
      <c r="TGQ137" s="18"/>
      <c r="TGR137" s="18"/>
      <c r="TGS137" s="18"/>
      <c r="TGT137" s="17"/>
      <c r="TGU137" s="9"/>
      <c r="TGV137" s="9"/>
      <c r="TGW137" s="18"/>
      <c r="TGX137" s="18"/>
      <c r="TGY137" s="18"/>
      <c r="TGZ137" s="18"/>
      <c r="THA137" s="18"/>
      <c r="THB137" s="17"/>
      <c r="THC137" s="9"/>
      <c r="THD137" s="9"/>
      <c r="THE137" s="18"/>
      <c r="THF137" s="18"/>
      <c r="THG137" s="18"/>
      <c r="THH137" s="18"/>
      <c r="THI137" s="18"/>
      <c r="THJ137" s="17"/>
      <c r="THK137" s="9"/>
      <c r="THL137" s="9"/>
      <c r="THM137" s="18"/>
      <c r="THN137" s="18"/>
      <c r="THO137" s="18"/>
      <c r="THP137" s="18"/>
      <c r="THQ137" s="18"/>
      <c r="THR137" s="17"/>
      <c r="THS137" s="9"/>
      <c r="THT137" s="9"/>
      <c r="THU137" s="18"/>
      <c r="THV137" s="18"/>
      <c r="THW137" s="18"/>
      <c r="THX137" s="18"/>
      <c r="THY137" s="18"/>
      <c r="THZ137" s="17"/>
      <c r="TIA137" s="9"/>
      <c r="TIB137" s="9"/>
      <c r="TIC137" s="18"/>
      <c r="TID137" s="18"/>
      <c r="TIE137" s="18"/>
      <c r="TIF137" s="18"/>
      <c r="TIG137" s="18"/>
      <c r="TIH137" s="17"/>
      <c r="TII137" s="9"/>
      <c r="TIJ137" s="9"/>
      <c r="TIK137" s="18"/>
      <c r="TIL137" s="18"/>
      <c r="TIM137" s="18"/>
      <c r="TIN137" s="18"/>
      <c r="TIO137" s="18"/>
      <c r="TIP137" s="17"/>
      <c r="TIQ137" s="9"/>
      <c r="TIR137" s="9"/>
      <c r="TIS137" s="18"/>
      <c r="TIT137" s="18"/>
      <c r="TIU137" s="18"/>
      <c r="TIV137" s="18"/>
      <c r="TIW137" s="18"/>
      <c r="TIX137" s="17"/>
      <c r="TIY137" s="9"/>
      <c r="TIZ137" s="9"/>
      <c r="TJA137" s="18"/>
      <c r="TJB137" s="18"/>
      <c r="TJC137" s="18"/>
      <c r="TJD137" s="18"/>
      <c r="TJE137" s="18"/>
      <c r="TJF137" s="17"/>
      <c r="TJG137" s="9"/>
      <c r="TJH137" s="9"/>
      <c r="TJI137" s="18"/>
      <c r="TJJ137" s="18"/>
      <c r="TJK137" s="18"/>
      <c r="TJL137" s="18"/>
      <c r="TJM137" s="18"/>
      <c r="TJN137" s="17"/>
      <c r="TJO137" s="9"/>
      <c r="TJP137" s="9"/>
      <c r="TJQ137" s="18"/>
      <c r="TJR137" s="18"/>
      <c r="TJS137" s="18"/>
      <c r="TJT137" s="18"/>
      <c r="TJU137" s="18"/>
      <c r="TJV137" s="17"/>
      <c r="TJW137" s="9"/>
      <c r="TJX137" s="9"/>
      <c r="TJY137" s="18"/>
      <c r="TJZ137" s="18"/>
      <c r="TKA137" s="18"/>
      <c r="TKB137" s="18"/>
      <c r="TKC137" s="18"/>
      <c r="TKD137" s="17"/>
      <c r="TKE137" s="9"/>
      <c r="TKF137" s="9"/>
      <c r="TKG137" s="18"/>
      <c r="TKH137" s="18"/>
      <c r="TKI137" s="18"/>
      <c r="TKJ137" s="18"/>
      <c r="TKK137" s="18"/>
      <c r="TKL137" s="17"/>
      <c r="TKM137" s="9"/>
      <c r="TKN137" s="9"/>
      <c r="TKO137" s="18"/>
      <c r="TKP137" s="18"/>
      <c r="TKQ137" s="18"/>
      <c r="TKR137" s="18"/>
      <c r="TKS137" s="18"/>
      <c r="TKT137" s="17"/>
      <c r="TKU137" s="9"/>
      <c r="TKV137" s="9"/>
      <c r="TKW137" s="18"/>
      <c r="TKX137" s="18"/>
      <c r="TKY137" s="18"/>
      <c r="TKZ137" s="18"/>
      <c r="TLA137" s="18"/>
      <c r="TLB137" s="17"/>
      <c r="TLC137" s="9"/>
      <c r="TLD137" s="9"/>
      <c r="TLE137" s="18"/>
      <c r="TLF137" s="18"/>
      <c r="TLG137" s="18"/>
      <c r="TLH137" s="18"/>
      <c r="TLI137" s="18"/>
      <c r="TLJ137" s="17"/>
      <c r="TLK137" s="9"/>
      <c r="TLL137" s="9"/>
      <c r="TLM137" s="18"/>
      <c r="TLN137" s="18"/>
      <c r="TLO137" s="18"/>
      <c r="TLP137" s="18"/>
      <c r="TLQ137" s="18"/>
      <c r="TLR137" s="17"/>
      <c r="TLS137" s="9"/>
      <c r="TLT137" s="9"/>
      <c r="TLU137" s="18"/>
      <c r="TLV137" s="18"/>
      <c r="TLW137" s="18"/>
      <c r="TLX137" s="18"/>
      <c r="TLY137" s="18"/>
      <c r="TLZ137" s="17"/>
      <c r="TMA137" s="9"/>
      <c r="TMB137" s="9"/>
      <c r="TMC137" s="18"/>
      <c r="TMD137" s="18"/>
      <c r="TME137" s="18"/>
      <c r="TMF137" s="18"/>
      <c r="TMG137" s="18"/>
      <c r="TMH137" s="17"/>
      <c r="TMI137" s="9"/>
      <c r="TMJ137" s="9"/>
      <c r="TMK137" s="18"/>
      <c r="TML137" s="18"/>
      <c r="TMM137" s="18"/>
      <c r="TMN137" s="18"/>
      <c r="TMO137" s="18"/>
      <c r="TMP137" s="17"/>
      <c r="TMQ137" s="9"/>
      <c r="TMR137" s="9"/>
      <c r="TMS137" s="18"/>
      <c r="TMT137" s="18"/>
      <c r="TMU137" s="18"/>
      <c r="TMV137" s="18"/>
      <c r="TMW137" s="18"/>
      <c r="TMX137" s="17"/>
      <c r="TMY137" s="9"/>
      <c r="TMZ137" s="9"/>
      <c r="TNA137" s="18"/>
      <c r="TNB137" s="18"/>
      <c r="TNC137" s="18"/>
      <c r="TND137" s="18"/>
      <c r="TNE137" s="18"/>
      <c r="TNF137" s="17"/>
      <c r="TNG137" s="9"/>
      <c r="TNH137" s="9"/>
      <c r="TNI137" s="18"/>
      <c r="TNJ137" s="18"/>
      <c r="TNK137" s="18"/>
      <c r="TNL137" s="18"/>
      <c r="TNM137" s="18"/>
      <c r="TNN137" s="17"/>
      <c r="TNO137" s="9"/>
      <c r="TNP137" s="9"/>
      <c r="TNQ137" s="18"/>
      <c r="TNR137" s="18"/>
      <c r="TNS137" s="18"/>
      <c r="TNT137" s="18"/>
      <c r="TNU137" s="18"/>
      <c r="TNV137" s="17"/>
      <c r="TNW137" s="9"/>
      <c r="TNX137" s="9"/>
      <c r="TNY137" s="18"/>
      <c r="TNZ137" s="18"/>
      <c r="TOA137" s="18"/>
      <c r="TOB137" s="18"/>
      <c r="TOC137" s="18"/>
      <c r="TOD137" s="17"/>
      <c r="TOE137" s="9"/>
      <c r="TOF137" s="9"/>
      <c r="TOG137" s="18"/>
      <c r="TOH137" s="18"/>
      <c r="TOI137" s="18"/>
      <c r="TOJ137" s="18"/>
      <c r="TOK137" s="18"/>
      <c r="TOL137" s="17"/>
      <c r="TOM137" s="9"/>
      <c r="TON137" s="9"/>
      <c r="TOO137" s="18"/>
      <c r="TOP137" s="18"/>
      <c r="TOQ137" s="18"/>
      <c r="TOR137" s="18"/>
      <c r="TOS137" s="18"/>
      <c r="TOT137" s="17"/>
      <c r="TOU137" s="9"/>
      <c r="TOV137" s="9"/>
      <c r="TOW137" s="18"/>
      <c r="TOX137" s="18"/>
      <c r="TOY137" s="18"/>
      <c r="TOZ137" s="18"/>
      <c r="TPA137" s="18"/>
      <c r="TPB137" s="17"/>
      <c r="TPC137" s="9"/>
      <c r="TPD137" s="9"/>
      <c r="TPE137" s="18"/>
      <c r="TPF137" s="18"/>
      <c r="TPG137" s="18"/>
      <c r="TPH137" s="18"/>
      <c r="TPI137" s="18"/>
      <c r="TPJ137" s="17"/>
      <c r="TPK137" s="9"/>
      <c r="TPL137" s="9"/>
      <c r="TPM137" s="18"/>
      <c r="TPN137" s="18"/>
      <c r="TPO137" s="18"/>
      <c r="TPP137" s="18"/>
      <c r="TPQ137" s="18"/>
      <c r="TPR137" s="17"/>
      <c r="TPS137" s="9"/>
      <c r="TPT137" s="9"/>
      <c r="TPU137" s="18"/>
      <c r="TPV137" s="18"/>
      <c r="TPW137" s="18"/>
      <c r="TPX137" s="18"/>
      <c r="TPY137" s="18"/>
      <c r="TPZ137" s="17"/>
      <c r="TQA137" s="9"/>
      <c r="TQB137" s="9"/>
      <c r="TQC137" s="18"/>
      <c r="TQD137" s="18"/>
      <c r="TQE137" s="18"/>
      <c r="TQF137" s="18"/>
      <c r="TQG137" s="18"/>
      <c r="TQH137" s="17"/>
      <c r="TQI137" s="9"/>
      <c r="TQJ137" s="9"/>
      <c r="TQK137" s="18"/>
      <c r="TQL137" s="18"/>
      <c r="TQM137" s="18"/>
      <c r="TQN137" s="18"/>
      <c r="TQO137" s="18"/>
      <c r="TQP137" s="17"/>
      <c r="TQQ137" s="9"/>
      <c r="TQR137" s="9"/>
      <c r="TQS137" s="18"/>
      <c r="TQT137" s="18"/>
      <c r="TQU137" s="18"/>
      <c r="TQV137" s="18"/>
      <c r="TQW137" s="18"/>
      <c r="TQX137" s="17"/>
      <c r="TQY137" s="9"/>
      <c r="TQZ137" s="9"/>
      <c r="TRA137" s="18"/>
      <c r="TRB137" s="18"/>
      <c r="TRC137" s="18"/>
      <c r="TRD137" s="18"/>
      <c r="TRE137" s="18"/>
      <c r="TRF137" s="17"/>
      <c r="TRG137" s="9"/>
      <c r="TRH137" s="9"/>
      <c r="TRI137" s="18"/>
      <c r="TRJ137" s="18"/>
      <c r="TRK137" s="18"/>
      <c r="TRL137" s="18"/>
      <c r="TRM137" s="18"/>
      <c r="TRN137" s="17"/>
      <c r="TRO137" s="9"/>
      <c r="TRP137" s="9"/>
      <c r="TRQ137" s="18"/>
      <c r="TRR137" s="18"/>
      <c r="TRS137" s="18"/>
      <c r="TRT137" s="18"/>
      <c r="TRU137" s="18"/>
      <c r="TRV137" s="17"/>
      <c r="TRW137" s="9"/>
      <c r="TRX137" s="9"/>
      <c r="TRY137" s="18"/>
      <c r="TRZ137" s="18"/>
      <c r="TSA137" s="18"/>
      <c r="TSB137" s="18"/>
      <c r="TSC137" s="18"/>
      <c r="TSD137" s="17"/>
      <c r="TSE137" s="9"/>
      <c r="TSF137" s="9"/>
      <c r="TSG137" s="18"/>
      <c r="TSH137" s="18"/>
      <c r="TSI137" s="18"/>
      <c r="TSJ137" s="18"/>
      <c r="TSK137" s="18"/>
      <c r="TSL137" s="17"/>
      <c r="TSM137" s="9"/>
      <c r="TSN137" s="9"/>
      <c r="TSO137" s="18"/>
      <c r="TSP137" s="18"/>
      <c r="TSQ137" s="18"/>
      <c r="TSR137" s="18"/>
      <c r="TSS137" s="18"/>
      <c r="TST137" s="17"/>
      <c r="TSU137" s="9"/>
      <c r="TSV137" s="9"/>
      <c r="TSW137" s="18"/>
      <c r="TSX137" s="18"/>
      <c r="TSY137" s="18"/>
      <c r="TSZ137" s="18"/>
      <c r="TTA137" s="18"/>
      <c r="TTB137" s="17"/>
      <c r="TTC137" s="9"/>
      <c r="TTD137" s="9"/>
      <c r="TTE137" s="18"/>
      <c r="TTF137" s="18"/>
      <c r="TTG137" s="18"/>
      <c r="TTH137" s="18"/>
      <c r="TTI137" s="18"/>
      <c r="TTJ137" s="17"/>
      <c r="TTK137" s="9"/>
      <c r="TTL137" s="9"/>
      <c r="TTM137" s="18"/>
      <c r="TTN137" s="18"/>
      <c r="TTO137" s="18"/>
      <c r="TTP137" s="18"/>
      <c r="TTQ137" s="18"/>
      <c r="TTR137" s="17"/>
      <c r="TTS137" s="9"/>
      <c r="TTT137" s="9"/>
      <c r="TTU137" s="18"/>
      <c r="TTV137" s="18"/>
      <c r="TTW137" s="18"/>
      <c r="TTX137" s="18"/>
      <c r="TTY137" s="18"/>
      <c r="TTZ137" s="17"/>
      <c r="TUA137" s="9"/>
      <c r="TUB137" s="9"/>
      <c r="TUC137" s="18"/>
      <c r="TUD137" s="18"/>
      <c r="TUE137" s="18"/>
      <c r="TUF137" s="18"/>
      <c r="TUG137" s="18"/>
      <c r="TUH137" s="17"/>
      <c r="TUI137" s="9"/>
      <c r="TUJ137" s="9"/>
      <c r="TUK137" s="18"/>
      <c r="TUL137" s="18"/>
      <c r="TUM137" s="18"/>
      <c r="TUN137" s="18"/>
      <c r="TUO137" s="18"/>
      <c r="TUP137" s="17"/>
      <c r="TUQ137" s="9"/>
      <c r="TUR137" s="9"/>
      <c r="TUS137" s="18"/>
      <c r="TUT137" s="18"/>
      <c r="TUU137" s="18"/>
      <c r="TUV137" s="18"/>
      <c r="TUW137" s="18"/>
      <c r="TUX137" s="17"/>
      <c r="TUY137" s="9"/>
      <c r="TUZ137" s="9"/>
      <c r="TVA137" s="18"/>
      <c r="TVB137" s="18"/>
      <c r="TVC137" s="18"/>
      <c r="TVD137" s="18"/>
      <c r="TVE137" s="18"/>
      <c r="TVF137" s="17"/>
      <c r="TVG137" s="9"/>
      <c r="TVH137" s="9"/>
      <c r="TVI137" s="18"/>
      <c r="TVJ137" s="18"/>
      <c r="TVK137" s="18"/>
      <c r="TVL137" s="18"/>
      <c r="TVM137" s="18"/>
      <c r="TVN137" s="17"/>
      <c r="TVO137" s="9"/>
      <c r="TVP137" s="9"/>
      <c r="TVQ137" s="18"/>
      <c r="TVR137" s="18"/>
      <c r="TVS137" s="18"/>
      <c r="TVT137" s="18"/>
      <c r="TVU137" s="18"/>
      <c r="TVV137" s="17"/>
      <c r="TVW137" s="9"/>
      <c r="TVX137" s="9"/>
      <c r="TVY137" s="18"/>
      <c r="TVZ137" s="18"/>
      <c r="TWA137" s="18"/>
      <c r="TWB137" s="18"/>
      <c r="TWC137" s="18"/>
      <c r="TWD137" s="17"/>
      <c r="TWE137" s="9"/>
      <c r="TWF137" s="9"/>
      <c r="TWG137" s="18"/>
      <c r="TWH137" s="18"/>
      <c r="TWI137" s="18"/>
      <c r="TWJ137" s="18"/>
      <c r="TWK137" s="18"/>
      <c r="TWL137" s="17"/>
      <c r="TWM137" s="9"/>
      <c r="TWN137" s="9"/>
      <c r="TWO137" s="18"/>
      <c r="TWP137" s="18"/>
      <c r="TWQ137" s="18"/>
      <c r="TWR137" s="18"/>
      <c r="TWS137" s="18"/>
      <c r="TWT137" s="17"/>
      <c r="TWU137" s="9"/>
      <c r="TWV137" s="9"/>
      <c r="TWW137" s="18"/>
      <c r="TWX137" s="18"/>
      <c r="TWY137" s="18"/>
      <c r="TWZ137" s="18"/>
      <c r="TXA137" s="18"/>
      <c r="TXB137" s="17"/>
      <c r="TXC137" s="9"/>
      <c r="TXD137" s="9"/>
      <c r="TXE137" s="18"/>
      <c r="TXF137" s="18"/>
      <c r="TXG137" s="18"/>
      <c r="TXH137" s="18"/>
      <c r="TXI137" s="18"/>
      <c r="TXJ137" s="17"/>
      <c r="TXK137" s="9"/>
      <c r="TXL137" s="9"/>
      <c r="TXM137" s="18"/>
      <c r="TXN137" s="18"/>
      <c r="TXO137" s="18"/>
      <c r="TXP137" s="18"/>
      <c r="TXQ137" s="18"/>
      <c r="TXR137" s="17"/>
      <c r="TXS137" s="9"/>
      <c r="TXT137" s="9"/>
      <c r="TXU137" s="18"/>
      <c r="TXV137" s="18"/>
      <c r="TXW137" s="18"/>
      <c r="TXX137" s="18"/>
      <c r="TXY137" s="18"/>
      <c r="TXZ137" s="17"/>
      <c r="TYA137" s="9"/>
      <c r="TYB137" s="9"/>
      <c r="TYC137" s="18"/>
      <c r="TYD137" s="18"/>
      <c r="TYE137" s="18"/>
      <c r="TYF137" s="18"/>
      <c r="TYG137" s="18"/>
      <c r="TYH137" s="17"/>
      <c r="TYI137" s="9"/>
      <c r="TYJ137" s="9"/>
      <c r="TYK137" s="18"/>
      <c r="TYL137" s="18"/>
      <c r="TYM137" s="18"/>
      <c r="TYN137" s="18"/>
      <c r="TYO137" s="18"/>
      <c r="TYP137" s="17"/>
      <c r="TYQ137" s="9"/>
      <c r="TYR137" s="9"/>
      <c r="TYS137" s="18"/>
      <c r="TYT137" s="18"/>
      <c r="TYU137" s="18"/>
      <c r="TYV137" s="18"/>
      <c r="TYW137" s="18"/>
      <c r="TYX137" s="17"/>
      <c r="TYY137" s="9"/>
      <c r="TYZ137" s="9"/>
      <c r="TZA137" s="18"/>
      <c r="TZB137" s="18"/>
      <c r="TZC137" s="18"/>
      <c r="TZD137" s="18"/>
      <c r="TZE137" s="18"/>
      <c r="TZF137" s="17"/>
      <c r="TZG137" s="9"/>
      <c r="TZH137" s="9"/>
      <c r="TZI137" s="18"/>
      <c r="TZJ137" s="18"/>
      <c r="TZK137" s="18"/>
      <c r="TZL137" s="18"/>
      <c r="TZM137" s="18"/>
      <c r="TZN137" s="17"/>
      <c r="TZO137" s="9"/>
      <c r="TZP137" s="9"/>
      <c r="TZQ137" s="18"/>
      <c r="TZR137" s="18"/>
      <c r="TZS137" s="18"/>
      <c r="TZT137" s="18"/>
      <c r="TZU137" s="18"/>
      <c r="TZV137" s="17"/>
      <c r="TZW137" s="9"/>
      <c r="TZX137" s="9"/>
      <c r="TZY137" s="18"/>
      <c r="TZZ137" s="18"/>
      <c r="UAA137" s="18"/>
      <c r="UAB137" s="18"/>
      <c r="UAC137" s="18"/>
      <c r="UAD137" s="17"/>
      <c r="UAE137" s="9"/>
      <c r="UAF137" s="9"/>
      <c r="UAG137" s="18"/>
      <c r="UAH137" s="18"/>
      <c r="UAI137" s="18"/>
      <c r="UAJ137" s="18"/>
      <c r="UAK137" s="18"/>
      <c r="UAL137" s="17"/>
      <c r="UAM137" s="9"/>
      <c r="UAN137" s="9"/>
      <c r="UAO137" s="18"/>
      <c r="UAP137" s="18"/>
      <c r="UAQ137" s="18"/>
      <c r="UAR137" s="18"/>
      <c r="UAS137" s="18"/>
      <c r="UAT137" s="17"/>
      <c r="UAU137" s="9"/>
      <c r="UAV137" s="9"/>
      <c r="UAW137" s="18"/>
      <c r="UAX137" s="18"/>
      <c r="UAY137" s="18"/>
      <c r="UAZ137" s="18"/>
      <c r="UBA137" s="18"/>
      <c r="UBB137" s="17"/>
      <c r="UBC137" s="9"/>
      <c r="UBD137" s="9"/>
      <c r="UBE137" s="18"/>
      <c r="UBF137" s="18"/>
      <c r="UBG137" s="18"/>
      <c r="UBH137" s="18"/>
      <c r="UBI137" s="18"/>
      <c r="UBJ137" s="17"/>
      <c r="UBK137" s="9"/>
      <c r="UBL137" s="9"/>
      <c r="UBM137" s="18"/>
      <c r="UBN137" s="18"/>
      <c r="UBO137" s="18"/>
      <c r="UBP137" s="18"/>
      <c r="UBQ137" s="18"/>
      <c r="UBR137" s="17"/>
      <c r="UBS137" s="9"/>
      <c r="UBT137" s="9"/>
      <c r="UBU137" s="18"/>
      <c r="UBV137" s="18"/>
      <c r="UBW137" s="18"/>
      <c r="UBX137" s="18"/>
      <c r="UBY137" s="18"/>
      <c r="UBZ137" s="17"/>
      <c r="UCA137" s="9"/>
      <c r="UCB137" s="9"/>
      <c r="UCC137" s="18"/>
      <c r="UCD137" s="18"/>
      <c r="UCE137" s="18"/>
      <c r="UCF137" s="18"/>
      <c r="UCG137" s="18"/>
      <c r="UCH137" s="17"/>
      <c r="UCI137" s="9"/>
      <c r="UCJ137" s="9"/>
      <c r="UCK137" s="18"/>
      <c r="UCL137" s="18"/>
      <c r="UCM137" s="18"/>
      <c r="UCN137" s="18"/>
      <c r="UCO137" s="18"/>
      <c r="UCP137" s="17"/>
      <c r="UCQ137" s="9"/>
      <c r="UCR137" s="9"/>
      <c r="UCS137" s="18"/>
      <c r="UCT137" s="18"/>
      <c r="UCU137" s="18"/>
      <c r="UCV137" s="18"/>
      <c r="UCW137" s="18"/>
      <c r="UCX137" s="17"/>
      <c r="UCY137" s="9"/>
      <c r="UCZ137" s="9"/>
      <c r="UDA137" s="18"/>
      <c r="UDB137" s="18"/>
      <c r="UDC137" s="18"/>
      <c r="UDD137" s="18"/>
      <c r="UDE137" s="18"/>
      <c r="UDF137" s="17"/>
      <c r="UDG137" s="9"/>
      <c r="UDH137" s="9"/>
      <c r="UDI137" s="18"/>
      <c r="UDJ137" s="18"/>
      <c r="UDK137" s="18"/>
      <c r="UDL137" s="18"/>
      <c r="UDM137" s="18"/>
      <c r="UDN137" s="17"/>
      <c r="UDO137" s="9"/>
      <c r="UDP137" s="9"/>
      <c r="UDQ137" s="18"/>
      <c r="UDR137" s="18"/>
      <c r="UDS137" s="18"/>
      <c r="UDT137" s="18"/>
      <c r="UDU137" s="18"/>
      <c r="UDV137" s="17"/>
      <c r="UDW137" s="9"/>
      <c r="UDX137" s="9"/>
      <c r="UDY137" s="18"/>
      <c r="UDZ137" s="18"/>
      <c r="UEA137" s="18"/>
      <c r="UEB137" s="18"/>
      <c r="UEC137" s="18"/>
      <c r="UED137" s="17"/>
      <c r="UEE137" s="9"/>
      <c r="UEF137" s="9"/>
      <c r="UEG137" s="18"/>
      <c r="UEH137" s="18"/>
      <c r="UEI137" s="18"/>
      <c r="UEJ137" s="18"/>
      <c r="UEK137" s="18"/>
      <c r="UEL137" s="17"/>
      <c r="UEM137" s="9"/>
      <c r="UEN137" s="9"/>
      <c r="UEO137" s="18"/>
      <c r="UEP137" s="18"/>
      <c r="UEQ137" s="18"/>
      <c r="UER137" s="18"/>
      <c r="UES137" s="18"/>
      <c r="UET137" s="17"/>
      <c r="UEU137" s="9"/>
      <c r="UEV137" s="9"/>
      <c r="UEW137" s="18"/>
      <c r="UEX137" s="18"/>
      <c r="UEY137" s="18"/>
      <c r="UEZ137" s="18"/>
      <c r="UFA137" s="18"/>
      <c r="UFB137" s="17"/>
      <c r="UFC137" s="9"/>
      <c r="UFD137" s="9"/>
      <c r="UFE137" s="18"/>
      <c r="UFF137" s="18"/>
      <c r="UFG137" s="18"/>
      <c r="UFH137" s="18"/>
      <c r="UFI137" s="18"/>
      <c r="UFJ137" s="17"/>
      <c r="UFK137" s="9"/>
      <c r="UFL137" s="9"/>
      <c r="UFM137" s="18"/>
      <c r="UFN137" s="18"/>
      <c r="UFO137" s="18"/>
      <c r="UFP137" s="18"/>
      <c r="UFQ137" s="18"/>
      <c r="UFR137" s="17"/>
      <c r="UFS137" s="9"/>
      <c r="UFT137" s="9"/>
      <c r="UFU137" s="18"/>
      <c r="UFV137" s="18"/>
      <c r="UFW137" s="18"/>
      <c r="UFX137" s="18"/>
      <c r="UFY137" s="18"/>
      <c r="UFZ137" s="17"/>
      <c r="UGA137" s="9"/>
      <c r="UGB137" s="9"/>
      <c r="UGC137" s="18"/>
      <c r="UGD137" s="18"/>
      <c r="UGE137" s="18"/>
      <c r="UGF137" s="18"/>
      <c r="UGG137" s="18"/>
      <c r="UGH137" s="17"/>
      <c r="UGI137" s="9"/>
      <c r="UGJ137" s="9"/>
      <c r="UGK137" s="18"/>
      <c r="UGL137" s="18"/>
      <c r="UGM137" s="18"/>
      <c r="UGN137" s="18"/>
      <c r="UGO137" s="18"/>
      <c r="UGP137" s="17"/>
      <c r="UGQ137" s="9"/>
      <c r="UGR137" s="9"/>
      <c r="UGS137" s="18"/>
      <c r="UGT137" s="18"/>
      <c r="UGU137" s="18"/>
      <c r="UGV137" s="18"/>
      <c r="UGW137" s="18"/>
      <c r="UGX137" s="17"/>
      <c r="UGY137" s="9"/>
      <c r="UGZ137" s="9"/>
      <c r="UHA137" s="18"/>
      <c r="UHB137" s="18"/>
      <c r="UHC137" s="18"/>
      <c r="UHD137" s="18"/>
      <c r="UHE137" s="18"/>
      <c r="UHF137" s="17"/>
      <c r="UHG137" s="9"/>
      <c r="UHH137" s="9"/>
      <c r="UHI137" s="18"/>
      <c r="UHJ137" s="18"/>
      <c r="UHK137" s="18"/>
      <c r="UHL137" s="18"/>
      <c r="UHM137" s="18"/>
      <c r="UHN137" s="17"/>
      <c r="UHO137" s="9"/>
      <c r="UHP137" s="9"/>
      <c r="UHQ137" s="18"/>
      <c r="UHR137" s="18"/>
      <c r="UHS137" s="18"/>
      <c r="UHT137" s="18"/>
      <c r="UHU137" s="18"/>
      <c r="UHV137" s="17"/>
      <c r="UHW137" s="9"/>
      <c r="UHX137" s="9"/>
      <c r="UHY137" s="18"/>
      <c r="UHZ137" s="18"/>
      <c r="UIA137" s="18"/>
      <c r="UIB137" s="18"/>
      <c r="UIC137" s="18"/>
      <c r="UID137" s="17"/>
      <c r="UIE137" s="9"/>
      <c r="UIF137" s="9"/>
      <c r="UIG137" s="18"/>
      <c r="UIH137" s="18"/>
      <c r="UII137" s="18"/>
      <c r="UIJ137" s="18"/>
      <c r="UIK137" s="18"/>
      <c r="UIL137" s="17"/>
      <c r="UIM137" s="9"/>
      <c r="UIN137" s="9"/>
      <c r="UIO137" s="18"/>
      <c r="UIP137" s="18"/>
      <c r="UIQ137" s="18"/>
      <c r="UIR137" s="18"/>
      <c r="UIS137" s="18"/>
      <c r="UIT137" s="17"/>
      <c r="UIU137" s="9"/>
      <c r="UIV137" s="9"/>
      <c r="UIW137" s="18"/>
      <c r="UIX137" s="18"/>
      <c r="UIY137" s="18"/>
      <c r="UIZ137" s="18"/>
      <c r="UJA137" s="18"/>
      <c r="UJB137" s="17"/>
      <c r="UJC137" s="9"/>
      <c r="UJD137" s="9"/>
      <c r="UJE137" s="18"/>
      <c r="UJF137" s="18"/>
      <c r="UJG137" s="18"/>
      <c r="UJH137" s="18"/>
      <c r="UJI137" s="18"/>
      <c r="UJJ137" s="17"/>
      <c r="UJK137" s="9"/>
      <c r="UJL137" s="9"/>
      <c r="UJM137" s="18"/>
      <c r="UJN137" s="18"/>
      <c r="UJO137" s="18"/>
      <c r="UJP137" s="18"/>
      <c r="UJQ137" s="18"/>
      <c r="UJR137" s="17"/>
      <c r="UJS137" s="9"/>
      <c r="UJT137" s="9"/>
      <c r="UJU137" s="18"/>
      <c r="UJV137" s="18"/>
      <c r="UJW137" s="18"/>
      <c r="UJX137" s="18"/>
      <c r="UJY137" s="18"/>
      <c r="UJZ137" s="17"/>
      <c r="UKA137" s="9"/>
      <c r="UKB137" s="9"/>
      <c r="UKC137" s="18"/>
      <c r="UKD137" s="18"/>
      <c r="UKE137" s="18"/>
      <c r="UKF137" s="18"/>
      <c r="UKG137" s="18"/>
      <c r="UKH137" s="17"/>
      <c r="UKI137" s="9"/>
      <c r="UKJ137" s="9"/>
      <c r="UKK137" s="18"/>
      <c r="UKL137" s="18"/>
      <c r="UKM137" s="18"/>
      <c r="UKN137" s="18"/>
      <c r="UKO137" s="18"/>
      <c r="UKP137" s="17"/>
      <c r="UKQ137" s="9"/>
      <c r="UKR137" s="9"/>
      <c r="UKS137" s="18"/>
      <c r="UKT137" s="18"/>
      <c r="UKU137" s="18"/>
      <c r="UKV137" s="18"/>
      <c r="UKW137" s="18"/>
      <c r="UKX137" s="17"/>
      <c r="UKY137" s="9"/>
      <c r="UKZ137" s="9"/>
      <c r="ULA137" s="18"/>
      <c r="ULB137" s="18"/>
      <c r="ULC137" s="18"/>
      <c r="ULD137" s="18"/>
      <c r="ULE137" s="18"/>
      <c r="ULF137" s="17"/>
      <c r="ULG137" s="9"/>
      <c r="ULH137" s="9"/>
      <c r="ULI137" s="18"/>
      <c r="ULJ137" s="18"/>
      <c r="ULK137" s="18"/>
      <c r="ULL137" s="18"/>
      <c r="ULM137" s="18"/>
      <c r="ULN137" s="17"/>
      <c r="ULO137" s="9"/>
      <c r="ULP137" s="9"/>
      <c r="ULQ137" s="18"/>
      <c r="ULR137" s="18"/>
      <c r="ULS137" s="18"/>
      <c r="ULT137" s="18"/>
      <c r="ULU137" s="18"/>
      <c r="ULV137" s="17"/>
      <c r="ULW137" s="9"/>
      <c r="ULX137" s="9"/>
      <c r="ULY137" s="18"/>
      <c r="ULZ137" s="18"/>
      <c r="UMA137" s="18"/>
      <c r="UMB137" s="18"/>
      <c r="UMC137" s="18"/>
      <c r="UMD137" s="17"/>
      <c r="UME137" s="9"/>
      <c r="UMF137" s="9"/>
      <c r="UMG137" s="18"/>
      <c r="UMH137" s="18"/>
      <c r="UMI137" s="18"/>
      <c r="UMJ137" s="18"/>
      <c r="UMK137" s="18"/>
      <c r="UML137" s="17"/>
      <c r="UMM137" s="9"/>
      <c r="UMN137" s="9"/>
      <c r="UMO137" s="18"/>
      <c r="UMP137" s="18"/>
      <c r="UMQ137" s="18"/>
      <c r="UMR137" s="18"/>
      <c r="UMS137" s="18"/>
      <c r="UMT137" s="17"/>
      <c r="UMU137" s="9"/>
      <c r="UMV137" s="9"/>
      <c r="UMW137" s="18"/>
      <c r="UMX137" s="18"/>
      <c r="UMY137" s="18"/>
      <c r="UMZ137" s="18"/>
      <c r="UNA137" s="18"/>
      <c r="UNB137" s="17"/>
      <c r="UNC137" s="9"/>
      <c r="UND137" s="9"/>
      <c r="UNE137" s="18"/>
      <c r="UNF137" s="18"/>
      <c r="UNG137" s="18"/>
      <c r="UNH137" s="18"/>
      <c r="UNI137" s="18"/>
      <c r="UNJ137" s="17"/>
      <c r="UNK137" s="9"/>
      <c r="UNL137" s="9"/>
      <c r="UNM137" s="18"/>
      <c r="UNN137" s="18"/>
      <c r="UNO137" s="18"/>
      <c r="UNP137" s="18"/>
      <c r="UNQ137" s="18"/>
      <c r="UNR137" s="17"/>
      <c r="UNS137" s="9"/>
      <c r="UNT137" s="9"/>
      <c r="UNU137" s="18"/>
      <c r="UNV137" s="18"/>
      <c r="UNW137" s="18"/>
      <c r="UNX137" s="18"/>
      <c r="UNY137" s="18"/>
      <c r="UNZ137" s="17"/>
      <c r="UOA137" s="9"/>
      <c r="UOB137" s="9"/>
      <c r="UOC137" s="18"/>
      <c r="UOD137" s="18"/>
      <c r="UOE137" s="18"/>
      <c r="UOF137" s="18"/>
      <c r="UOG137" s="18"/>
      <c r="UOH137" s="17"/>
      <c r="UOI137" s="9"/>
      <c r="UOJ137" s="9"/>
      <c r="UOK137" s="18"/>
      <c r="UOL137" s="18"/>
      <c r="UOM137" s="18"/>
      <c r="UON137" s="18"/>
      <c r="UOO137" s="18"/>
      <c r="UOP137" s="17"/>
      <c r="UOQ137" s="9"/>
      <c r="UOR137" s="9"/>
      <c r="UOS137" s="18"/>
      <c r="UOT137" s="18"/>
      <c r="UOU137" s="18"/>
      <c r="UOV137" s="18"/>
      <c r="UOW137" s="18"/>
      <c r="UOX137" s="17"/>
      <c r="UOY137" s="9"/>
      <c r="UOZ137" s="9"/>
      <c r="UPA137" s="18"/>
      <c r="UPB137" s="18"/>
      <c r="UPC137" s="18"/>
      <c r="UPD137" s="18"/>
      <c r="UPE137" s="18"/>
      <c r="UPF137" s="17"/>
      <c r="UPG137" s="9"/>
      <c r="UPH137" s="9"/>
      <c r="UPI137" s="18"/>
      <c r="UPJ137" s="18"/>
      <c r="UPK137" s="18"/>
      <c r="UPL137" s="18"/>
      <c r="UPM137" s="18"/>
      <c r="UPN137" s="17"/>
      <c r="UPO137" s="9"/>
      <c r="UPP137" s="9"/>
      <c r="UPQ137" s="18"/>
      <c r="UPR137" s="18"/>
      <c r="UPS137" s="18"/>
      <c r="UPT137" s="18"/>
      <c r="UPU137" s="18"/>
      <c r="UPV137" s="17"/>
      <c r="UPW137" s="9"/>
      <c r="UPX137" s="9"/>
      <c r="UPY137" s="18"/>
      <c r="UPZ137" s="18"/>
      <c r="UQA137" s="18"/>
      <c r="UQB137" s="18"/>
      <c r="UQC137" s="18"/>
      <c r="UQD137" s="17"/>
      <c r="UQE137" s="9"/>
      <c r="UQF137" s="9"/>
      <c r="UQG137" s="18"/>
      <c r="UQH137" s="18"/>
      <c r="UQI137" s="18"/>
      <c r="UQJ137" s="18"/>
      <c r="UQK137" s="18"/>
      <c r="UQL137" s="17"/>
      <c r="UQM137" s="9"/>
      <c r="UQN137" s="9"/>
      <c r="UQO137" s="18"/>
      <c r="UQP137" s="18"/>
      <c r="UQQ137" s="18"/>
      <c r="UQR137" s="18"/>
      <c r="UQS137" s="18"/>
      <c r="UQT137" s="17"/>
      <c r="UQU137" s="9"/>
      <c r="UQV137" s="9"/>
      <c r="UQW137" s="18"/>
      <c r="UQX137" s="18"/>
      <c r="UQY137" s="18"/>
      <c r="UQZ137" s="18"/>
      <c r="URA137" s="18"/>
      <c r="URB137" s="17"/>
      <c r="URC137" s="9"/>
      <c r="URD137" s="9"/>
      <c r="URE137" s="18"/>
      <c r="URF137" s="18"/>
      <c r="URG137" s="18"/>
      <c r="URH137" s="18"/>
      <c r="URI137" s="18"/>
      <c r="URJ137" s="17"/>
      <c r="URK137" s="9"/>
      <c r="URL137" s="9"/>
      <c r="URM137" s="18"/>
      <c r="URN137" s="18"/>
      <c r="URO137" s="18"/>
      <c r="URP137" s="18"/>
      <c r="URQ137" s="18"/>
      <c r="URR137" s="17"/>
      <c r="URS137" s="9"/>
      <c r="URT137" s="9"/>
      <c r="URU137" s="18"/>
      <c r="URV137" s="18"/>
      <c r="URW137" s="18"/>
      <c r="URX137" s="18"/>
      <c r="URY137" s="18"/>
      <c r="URZ137" s="17"/>
      <c r="USA137" s="9"/>
      <c r="USB137" s="9"/>
      <c r="USC137" s="18"/>
      <c r="USD137" s="18"/>
      <c r="USE137" s="18"/>
      <c r="USF137" s="18"/>
      <c r="USG137" s="18"/>
      <c r="USH137" s="17"/>
      <c r="USI137" s="9"/>
      <c r="USJ137" s="9"/>
      <c r="USK137" s="18"/>
      <c r="USL137" s="18"/>
      <c r="USM137" s="18"/>
      <c r="USN137" s="18"/>
      <c r="USO137" s="18"/>
      <c r="USP137" s="17"/>
      <c r="USQ137" s="9"/>
      <c r="USR137" s="9"/>
      <c r="USS137" s="18"/>
      <c r="UST137" s="18"/>
      <c r="USU137" s="18"/>
      <c r="USV137" s="18"/>
      <c r="USW137" s="18"/>
      <c r="USX137" s="17"/>
      <c r="USY137" s="9"/>
      <c r="USZ137" s="9"/>
      <c r="UTA137" s="18"/>
      <c r="UTB137" s="18"/>
      <c r="UTC137" s="18"/>
      <c r="UTD137" s="18"/>
      <c r="UTE137" s="18"/>
      <c r="UTF137" s="17"/>
      <c r="UTG137" s="9"/>
      <c r="UTH137" s="9"/>
      <c r="UTI137" s="18"/>
      <c r="UTJ137" s="18"/>
      <c r="UTK137" s="18"/>
      <c r="UTL137" s="18"/>
      <c r="UTM137" s="18"/>
      <c r="UTN137" s="17"/>
      <c r="UTO137" s="9"/>
      <c r="UTP137" s="9"/>
      <c r="UTQ137" s="18"/>
      <c r="UTR137" s="18"/>
      <c r="UTS137" s="18"/>
      <c r="UTT137" s="18"/>
      <c r="UTU137" s="18"/>
      <c r="UTV137" s="17"/>
      <c r="UTW137" s="9"/>
      <c r="UTX137" s="9"/>
      <c r="UTY137" s="18"/>
      <c r="UTZ137" s="18"/>
      <c r="UUA137" s="18"/>
      <c r="UUB137" s="18"/>
      <c r="UUC137" s="18"/>
      <c r="UUD137" s="17"/>
      <c r="UUE137" s="9"/>
      <c r="UUF137" s="9"/>
      <c r="UUG137" s="18"/>
      <c r="UUH137" s="18"/>
      <c r="UUI137" s="18"/>
      <c r="UUJ137" s="18"/>
      <c r="UUK137" s="18"/>
      <c r="UUL137" s="17"/>
      <c r="UUM137" s="9"/>
      <c r="UUN137" s="9"/>
      <c r="UUO137" s="18"/>
      <c r="UUP137" s="18"/>
      <c r="UUQ137" s="18"/>
      <c r="UUR137" s="18"/>
      <c r="UUS137" s="18"/>
      <c r="UUT137" s="17"/>
      <c r="UUU137" s="9"/>
      <c r="UUV137" s="9"/>
      <c r="UUW137" s="18"/>
      <c r="UUX137" s="18"/>
      <c r="UUY137" s="18"/>
      <c r="UUZ137" s="18"/>
      <c r="UVA137" s="18"/>
      <c r="UVB137" s="17"/>
      <c r="UVC137" s="9"/>
      <c r="UVD137" s="9"/>
      <c r="UVE137" s="18"/>
      <c r="UVF137" s="18"/>
      <c r="UVG137" s="18"/>
      <c r="UVH137" s="18"/>
      <c r="UVI137" s="18"/>
      <c r="UVJ137" s="17"/>
      <c r="UVK137" s="9"/>
      <c r="UVL137" s="9"/>
      <c r="UVM137" s="18"/>
      <c r="UVN137" s="18"/>
      <c r="UVO137" s="18"/>
      <c r="UVP137" s="18"/>
      <c r="UVQ137" s="18"/>
      <c r="UVR137" s="17"/>
      <c r="UVS137" s="9"/>
      <c r="UVT137" s="9"/>
      <c r="UVU137" s="18"/>
      <c r="UVV137" s="18"/>
      <c r="UVW137" s="18"/>
      <c r="UVX137" s="18"/>
      <c r="UVY137" s="18"/>
      <c r="UVZ137" s="17"/>
      <c r="UWA137" s="9"/>
      <c r="UWB137" s="9"/>
      <c r="UWC137" s="18"/>
      <c r="UWD137" s="18"/>
      <c r="UWE137" s="18"/>
      <c r="UWF137" s="18"/>
      <c r="UWG137" s="18"/>
      <c r="UWH137" s="17"/>
      <c r="UWI137" s="9"/>
      <c r="UWJ137" s="9"/>
      <c r="UWK137" s="18"/>
      <c r="UWL137" s="18"/>
      <c r="UWM137" s="18"/>
      <c r="UWN137" s="18"/>
      <c r="UWO137" s="18"/>
      <c r="UWP137" s="17"/>
      <c r="UWQ137" s="9"/>
      <c r="UWR137" s="9"/>
      <c r="UWS137" s="18"/>
      <c r="UWT137" s="18"/>
      <c r="UWU137" s="18"/>
      <c r="UWV137" s="18"/>
      <c r="UWW137" s="18"/>
      <c r="UWX137" s="17"/>
      <c r="UWY137" s="9"/>
      <c r="UWZ137" s="9"/>
      <c r="UXA137" s="18"/>
      <c r="UXB137" s="18"/>
      <c r="UXC137" s="18"/>
      <c r="UXD137" s="18"/>
      <c r="UXE137" s="18"/>
      <c r="UXF137" s="17"/>
      <c r="UXG137" s="9"/>
      <c r="UXH137" s="9"/>
      <c r="UXI137" s="18"/>
      <c r="UXJ137" s="18"/>
      <c r="UXK137" s="18"/>
      <c r="UXL137" s="18"/>
      <c r="UXM137" s="18"/>
      <c r="UXN137" s="17"/>
      <c r="UXO137" s="9"/>
      <c r="UXP137" s="9"/>
      <c r="UXQ137" s="18"/>
      <c r="UXR137" s="18"/>
      <c r="UXS137" s="18"/>
      <c r="UXT137" s="18"/>
      <c r="UXU137" s="18"/>
      <c r="UXV137" s="17"/>
      <c r="UXW137" s="9"/>
      <c r="UXX137" s="9"/>
      <c r="UXY137" s="18"/>
      <c r="UXZ137" s="18"/>
      <c r="UYA137" s="18"/>
      <c r="UYB137" s="18"/>
      <c r="UYC137" s="18"/>
      <c r="UYD137" s="17"/>
      <c r="UYE137" s="9"/>
      <c r="UYF137" s="9"/>
      <c r="UYG137" s="18"/>
      <c r="UYH137" s="18"/>
      <c r="UYI137" s="18"/>
      <c r="UYJ137" s="18"/>
      <c r="UYK137" s="18"/>
      <c r="UYL137" s="17"/>
      <c r="UYM137" s="9"/>
      <c r="UYN137" s="9"/>
      <c r="UYO137" s="18"/>
      <c r="UYP137" s="18"/>
      <c r="UYQ137" s="18"/>
      <c r="UYR137" s="18"/>
      <c r="UYS137" s="18"/>
      <c r="UYT137" s="17"/>
      <c r="UYU137" s="9"/>
      <c r="UYV137" s="9"/>
      <c r="UYW137" s="18"/>
      <c r="UYX137" s="18"/>
      <c r="UYY137" s="18"/>
      <c r="UYZ137" s="18"/>
      <c r="UZA137" s="18"/>
      <c r="UZB137" s="17"/>
      <c r="UZC137" s="9"/>
      <c r="UZD137" s="9"/>
      <c r="UZE137" s="18"/>
      <c r="UZF137" s="18"/>
      <c r="UZG137" s="18"/>
      <c r="UZH137" s="18"/>
      <c r="UZI137" s="18"/>
      <c r="UZJ137" s="17"/>
      <c r="UZK137" s="9"/>
      <c r="UZL137" s="9"/>
      <c r="UZM137" s="18"/>
      <c r="UZN137" s="18"/>
      <c r="UZO137" s="18"/>
      <c r="UZP137" s="18"/>
      <c r="UZQ137" s="18"/>
      <c r="UZR137" s="17"/>
      <c r="UZS137" s="9"/>
      <c r="UZT137" s="9"/>
      <c r="UZU137" s="18"/>
      <c r="UZV137" s="18"/>
      <c r="UZW137" s="18"/>
      <c r="UZX137" s="18"/>
      <c r="UZY137" s="18"/>
      <c r="UZZ137" s="17"/>
      <c r="VAA137" s="9"/>
      <c r="VAB137" s="9"/>
      <c r="VAC137" s="18"/>
      <c r="VAD137" s="18"/>
      <c r="VAE137" s="18"/>
      <c r="VAF137" s="18"/>
      <c r="VAG137" s="18"/>
      <c r="VAH137" s="17"/>
      <c r="VAI137" s="9"/>
      <c r="VAJ137" s="9"/>
      <c r="VAK137" s="18"/>
      <c r="VAL137" s="18"/>
      <c r="VAM137" s="18"/>
      <c r="VAN137" s="18"/>
      <c r="VAO137" s="18"/>
      <c r="VAP137" s="17"/>
      <c r="VAQ137" s="9"/>
      <c r="VAR137" s="9"/>
      <c r="VAS137" s="18"/>
      <c r="VAT137" s="18"/>
      <c r="VAU137" s="18"/>
      <c r="VAV137" s="18"/>
      <c r="VAW137" s="18"/>
      <c r="VAX137" s="17"/>
      <c r="VAY137" s="9"/>
      <c r="VAZ137" s="9"/>
      <c r="VBA137" s="18"/>
      <c r="VBB137" s="18"/>
      <c r="VBC137" s="18"/>
      <c r="VBD137" s="18"/>
      <c r="VBE137" s="18"/>
      <c r="VBF137" s="17"/>
      <c r="VBG137" s="9"/>
      <c r="VBH137" s="9"/>
      <c r="VBI137" s="18"/>
      <c r="VBJ137" s="18"/>
      <c r="VBK137" s="18"/>
      <c r="VBL137" s="18"/>
      <c r="VBM137" s="18"/>
      <c r="VBN137" s="17"/>
      <c r="VBO137" s="9"/>
      <c r="VBP137" s="9"/>
      <c r="VBQ137" s="18"/>
      <c r="VBR137" s="18"/>
      <c r="VBS137" s="18"/>
      <c r="VBT137" s="18"/>
      <c r="VBU137" s="18"/>
      <c r="VBV137" s="17"/>
      <c r="VBW137" s="9"/>
      <c r="VBX137" s="9"/>
      <c r="VBY137" s="18"/>
      <c r="VBZ137" s="18"/>
      <c r="VCA137" s="18"/>
      <c r="VCB137" s="18"/>
      <c r="VCC137" s="18"/>
      <c r="VCD137" s="17"/>
      <c r="VCE137" s="9"/>
      <c r="VCF137" s="9"/>
      <c r="VCG137" s="18"/>
      <c r="VCH137" s="18"/>
      <c r="VCI137" s="18"/>
      <c r="VCJ137" s="18"/>
      <c r="VCK137" s="18"/>
      <c r="VCL137" s="17"/>
      <c r="VCM137" s="9"/>
      <c r="VCN137" s="9"/>
      <c r="VCO137" s="18"/>
      <c r="VCP137" s="18"/>
      <c r="VCQ137" s="18"/>
      <c r="VCR137" s="18"/>
      <c r="VCS137" s="18"/>
      <c r="VCT137" s="17"/>
      <c r="VCU137" s="9"/>
      <c r="VCV137" s="9"/>
      <c r="VCW137" s="18"/>
      <c r="VCX137" s="18"/>
      <c r="VCY137" s="18"/>
      <c r="VCZ137" s="18"/>
      <c r="VDA137" s="18"/>
      <c r="VDB137" s="17"/>
      <c r="VDC137" s="9"/>
      <c r="VDD137" s="9"/>
      <c r="VDE137" s="18"/>
      <c r="VDF137" s="18"/>
      <c r="VDG137" s="18"/>
      <c r="VDH137" s="18"/>
      <c r="VDI137" s="18"/>
      <c r="VDJ137" s="17"/>
      <c r="VDK137" s="9"/>
      <c r="VDL137" s="9"/>
      <c r="VDM137" s="18"/>
      <c r="VDN137" s="18"/>
      <c r="VDO137" s="18"/>
      <c r="VDP137" s="18"/>
      <c r="VDQ137" s="18"/>
      <c r="VDR137" s="17"/>
      <c r="VDS137" s="9"/>
      <c r="VDT137" s="9"/>
      <c r="VDU137" s="18"/>
      <c r="VDV137" s="18"/>
      <c r="VDW137" s="18"/>
      <c r="VDX137" s="18"/>
      <c r="VDY137" s="18"/>
      <c r="VDZ137" s="17"/>
      <c r="VEA137" s="9"/>
      <c r="VEB137" s="9"/>
      <c r="VEC137" s="18"/>
      <c r="VED137" s="18"/>
      <c r="VEE137" s="18"/>
      <c r="VEF137" s="18"/>
      <c r="VEG137" s="18"/>
      <c r="VEH137" s="17"/>
      <c r="VEI137" s="9"/>
      <c r="VEJ137" s="9"/>
      <c r="VEK137" s="18"/>
      <c r="VEL137" s="18"/>
      <c r="VEM137" s="18"/>
      <c r="VEN137" s="18"/>
      <c r="VEO137" s="18"/>
      <c r="VEP137" s="17"/>
      <c r="VEQ137" s="9"/>
      <c r="VER137" s="9"/>
      <c r="VES137" s="18"/>
      <c r="VET137" s="18"/>
      <c r="VEU137" s="18"/>
      <c r="VEV137" s="18"/>
      <c r="VEW137" s="18"/>
      <c r="VEX137" s="17"/>
      <c r="VEY137" s="9"/>
      <c r="VEZ137" s="9"/>
      <c r="VFA137" s="18"/>
      <c r="VFB137" s="18"/>
      <c r="VFC137" s="18"/>
      <c r="VFD137" s="18"/>
      <c r="VFE137" s="18"/>
      <c r="VFF137" s="17"/>
      <c r="VFG137" s="9"/>
      <c r="VFH137" s="9"/>
      <c r="VFI137" s="18"/>
      <c r="VFJ137" s="18"/>
      <c r="VFK137" s="18"/>
      <c r="VFL137" s="18"/>
      <c r="VFM137" s="18"/>
      <c r="VFN137" s="17"/>
      <c r="VFO137" s="9"/>
      <c r="VFP137" s="9"/>
      <c r="VFQ137" s="18"/>
      <c r="VFR137" s="18"/>
      <c r="VFS137" s="18"/>
      <c r="VFT137" s="18"/>
      <c r="VFU137" s="18"/>
      <c r="VFV137" s="17"/>
      <c r="VFW137" s="9"/>
      <c r="VFX137" s="9"/>
      <c r="VFY137" s="18"/>
      <c r="VFZ137" s="18"/>
      <c r="VGA137" s="18"/>
      <c r="VGB137" s="18"/>
      <c r="VGC137" s="18"/>
      <c r="VGD137" s="17"/>
      <c r="VGE137" s="9"/>
      <c r="VGF137" s="9"/>
      <c r="VGG137" s="18"/>
      <c r="VGH137" s="18"/>
      <c r="VGI137" s="18"/>
      <c r="VGJ137" s="18"/>
      <c r="VGK137" s="18"/>
      <c r="VGL137" s="17"/>
      <c r="VGM137" s="9"/>
      <c r="VGN137" s="9"/>
      <c r="VGO137" s="18"/>
      <c r="VGP137" s="18"/>
      <c r="VGQ137" s="18"/>
      <c r="VGR137" s="18"/>
      <c r="VGS137" s="18"/>
      <c r="VGT137" s="17"/>
      <c r="VGU137" s="9"/>
      <c r="VGV137" s="9"/>
      <c r="VGW137" s="18"/>
      <c r="VGX137" s="18"/>
      <c r="VGY137" s="18"/>
      <c r="VGZ137" s="18"/>
      <c r="VHA137" s="18"/>
      <c r="VHB137" s="17"/>
      <c r="VHC137" s="9"/>
      <c r="VHD137" s="9"/>
      <c r="VHE137" s="18"/>
      <c r="VHF137" s="18"/>
      <c r="VHG137" s="18"/>
      <c r="VHH137" s="18"/>
      <c r="VHI137" s="18"/>
      <c r="VHJ137" s="17"/>
      <c r="VHK137" s="9"/>
      <c r="VHL137" s="9"/>
      <c r="VHM137" s="18"/>
      <c r="VHN137" s="18"/>
      <c r="VHO137" s="18"/>
      <c r="VHP137" s="18"/>
      <c r="VHQ137" s="18"/>
      <c r="VHR137" s="17"/>
      <c r="VHS137" s="9"/>
      <c r="VHT137" s="9"/>
      <c r="VHU137" s="18"/>
      <c r="VHV137" s="18"/>
      <c r="VHW137" s="18"/>
      <c r="VHX137" s="18"/>
      <c r="VHY137" s="18"/>
      <c r="VHZ137" s="17"/>
      <c r="VIA137" s="9"/>
      <c r="VIB137" s="9"/>
      <c r="VIC137" s="18"/>
      <c r="VID137" s="18"/>
      <c r="VIE137" s="18"/>
      <c r="VIF137" s="18"/>
      <c r="VIG137" s="18"/>
      <c r="VIH137" s="17"/>
      <c r="VII137" s="9"/>
      <c r="VIJ137" s="9"/>
      <c r="VIK137" s="18"/>
      <c r="VIL137" s="18"/>
      <c r="VIM137" s="18"/>
      <c r="VIN137" s="18"/>
      <c r="VIO137" s="18"/>
      <c r="VIP137" s="17"/>
      <c r="VIQ137" s="9"/>
      <c r="VIR137" s="9"/>
      <c r="VIS137" s="18"/>
      <c r="VIT137" s="18"/>
      <c r="VIU137" s="18"/>
      <c r="VIV137" s="18"/>
      <c r="VIW137" s="18"/>
      <c r="VIX137" s="17"/>
      <c r="VIY137" s="9"/>
      <c r="VIZ137" s="9"/>
      <c r="VJA137" s="18"/>
      <c r="VJB137" s="18"/>
      <c r="VJC137" s="18"/>
      <c r="VJD137" s="18"/>
      <c r="VJE137" s="18"/>
      <c r="VJF137" s="17"/>
      <c r="VJG137" s="9"/>
      <c r="VJH137" s="9"/>
      <c r="VJI137" s="18"/>
      <c r="VJJ137" s="18"/>
      <c r="VJK137" s="18"/>
      <c r="VJL137" s="18"/>
      <c r="VJM137" s="18"/>
      <c r="VJN137" s="17"/>
      <c r="VJO137" s="9"/>
      <c r="VJP137" s="9"/>
      <c r="VJQ137" s="18"/>
      <c r="VJR137" s="18"/>
      <c r="VJS137" s="18"/>
      <c r="VJT137" s="18"/>
      <c r="VJU137" s="18"/>
      <c r="VJV137" s="17"/>
      <c r="VJW137" s="9"/>
      <c r="VJX137" s="9"/>
      <c r="VJY137" s="18"/>
      <c r="VJZ137" s="18"/>
      <c r="VKA137" s="18"/>
      <c r="VKB137" s="18"/>
      <c r="VKC137" s="18"/>
      <c r="VKD137" s="17"/>
      <c r="VKE137" s="9"/>
      <c r="VKF137" s="9"/>
      <c r="VKG137" s="18"/>
      <c r="VKH137" s="18"/>
      <c r="VKI137" s="18"/>
      <c r="VKJ137" s="18"/>
      <c r="VKK137" s="18"/>
      <c r="VKL137" s="17"/>
      <c r="VKM137" s="9"/>
      <c r="VKN137" s="9"/>
      <c r="VKO137" s="18"/>
      <c r="VKP137" s="18"/>
      <c r="VKQ137" s="18"/>
      <c r="VKR137" s="18"/>
      <c r="VKS137" s="18"/>
      <c r="VKT137" s="17"/>
      <c r="VKU137" s="9"/>
      <c r="VKV137" s="9"/>
      <c r="VKW137" s="18"/>
      <c r="VKX137" s="18"/>
      <c r="VKY137" s="18"/>
      <c r="VKZ137" s="18"/>
      <c r="VLA137" s="18"/>
      <c r="VLB137" s="17"/>
      <c r="VLC137" s="9"/>
      <c r="VLD137" s="9"/>
      <c r="VLE137" s="18"/>
      <c r="VLF137" s="18"/>
      <c r="VLG137" s="18"/>
      <c r="VLH137" s="18"/>
      <c r="VLI137" s="18"/>
      <c r="VLJ137" s="17"/>
      <c r="VLK137" s="9"/>
      <c r="VLL137" s="9"/>
      <c r="VLM137" s="18"/>
      <c r="VLN137" s="18"/>
      <c r="VLO137" s="18"/>
      <c r="VLP137" s="18"/>
      <c r="VLQ137" s="18"/>
      <c r="VLR137" s="17"/>
      <c r="VLS137" s="9"/>
      <c r="VLT137" s="9"/>
      <c r="VLU137" s="18"/>
      <c r="VLV137" s="18"/>
      <c r="VLW137" s="18"/>
      <c r="VLX137" s="18"/>
      <c r="VLY137" s="18"/>
      <c r="VLZ137" s="17"/>
      <c r="VMA137" s="9"/>
      <c r="VMB137" s="9"/>
      <c r="VMC137" s="18"/>
      <c r="VMD137" s="18"/>
      <c r="VME137" s="18"/>
      <c r="VMF137" s="18"/>
      <c r="VMG137" s="18"/>
      <c r="VMH137" s="17"/>
      <c r="VMI137" s="9"/>
      <c r="VMJ137" s="9"/>
      <c r="VMK137" s="18"/>
      <c r="VML137" s="18"/>
      <c r="VMM137" s="18"/>
      <c r="VMN137" s="18"/>
      <c r="VMO137" s="18"/>
      <c r="VMP137" s="17"/>
      <c r="VMQ137" s="9"/>
      <c r="VMR137" s="9"/>
      <c r="VMS137" s="18"/>
      <c r="VMT137" s="18"/>
      <c r="VMU137" s="18"/>
      <c r="VMV137" s="18"/>
      <c r="VMW137" s="18"/>
      <c r="VMX137" s="17"/>
      <c r="VMY137" s="9"/>
      <c r="VMZ137" s="9"/>
      <c r="VNA137" s="18"/>
      <c r="VNB137" s="18"/>
      <c r="VNC137" s="18"/>
      <c r="VND137" s="18"/>
      <c r="VNE137" s="18"/>
      <c r="VNF137" s="17"/>
      <c r="VNG137" s="9"/>
      <c r="VNH137" s="9"/>
      <c r="VNI137" s="18"/>
      <c r="VNJ137" s="18"/>
      <c r="VNK137" s="18"/>
      <c r="VNL137" s="18"/>
      <c r="VNM137" s="18"/>
      <c r="VNN137" s="17"/>
      <c r="VNO137" s="9"/>
      <c r="VNP137" s="9"/>
      <c r="VNQ137" s="18"/>
      <c r="VNR137" s="18"/>
      <c r="VNS137" s="18"/>
      <c r="VNT137" s="18"/>
      <c r="VNU137" s="18"/>
      <c r="VNV137" s="17"/>
      <c r="VNW137" s="9"/>
      <c r="VNX137" s="9"/>
      <c r="VNY137" s="18"/>
      <c r="VNZ137" s="18"/>
      <c r="VOA137" s="18"/>
      <c r="VOB137" s="18"/>
      <c r="VOC137" s="18"/>
      <c r="VOD137" s="17"/>
      <c r="VOE137" s="9"/>
      <c r="VOF137" s="9"/>
      <c r="VOG137" s="18"/>
      <c r="VOH137" s="18"/>
      <c r="VOI137" s="18"/>
      <c r="VOJ137" s="18"/>
      <c r="VOK137" s="18"/>
      <c r="VOL137" s="17"/>
      <c r="VOM137" s="9"/>
      <c r="VON137" s="9"/>
      <c r="VOO137" s="18"/>
      <c r="VOP137" s="18"/>
      <c r="VOQ137" s="18"/>
      <c r="VOR137" s="18"/>
      <c r="VOS137" s="18"/>
      <c r="VOT137" s="17"/>
      <c r="VOU137" s="9"/>
      <c r="VOV137" s="9"/>
      <c r="VOW137" s="18"/>
      <c r="VOX137" s="18"/>
      <c r="VOY137" s="18"/>
      <c r="VOZ137" s="18"/>
      <c r="VPA137" s="18"/>
      <c r="VPB137" s="17"/>
      <c r="VPC137" s="9"/>
      <c r="VPD137" s="9"/>
      <c r="VPE137" s="18"/>
      <c r="VPF137" s="18"/>
      <c r="VPG137" s="18"/>
      <c r="VPH137" s="18"/>
      <c r="VPI137" s="18"/>
      <c r="VPJ137" s="17"/>
      <c r="VPK137" s="9"/>
      <c r="VPL137" s="9"/>
      <c r="VPM137" s="18"/>
      <c r="VPN137" s="18"/>
      <c r="VPO137" s="18"/>
      <c r="VPP137" s="18"/>
      <c r="VPQ137" s="18"/>
      <c r="VPR137" s="17"/>
      <c r="VPS137" s="9"/>
      <c r="VPT137" s="9"/>
      <c r="VPU137" s="18"/>
      <c r="VPV137" s="18"/>
      <c r="VPW137" s="18"/>
      <c r="VPX137" s="18"/>
      <c r="VPY137" s="18"/>
      <c r="VPZ137" s="17"/>
      <c r="VQA137" s="9"/>
      <c r="VQB137" s="9"/>
      <c r="VQC137" s="18"/>
      <c r="VQD137" s="18"/>
      <c r="VQE137" s="18"/>
      <c r="VQF137" s="18"/>
      <c r="VQG137" s="18"/>
      <c r="VQH137" s="17"/>
      <c r="VQI137" s="9"/>
      <c r="VQJ137" s="9"/>
      <c r="VQK137" s="18"/>
      <c r="VQL137" s="18"/>
      <c r="VQM137" s="18"/>
      <c r="VQN137" s="18"/>
      <c r="VQO137" s="18"/>
      <c r="VQP137" s="17"/>
      <c r="VQQ137" s="9"/>
      <c r="VQR137" s="9"/>
      <c r="VQS137" s="18"/>
      <c r="VQT137" s="18"/>
      <c r="VQU137" s="18"/>
      <c r="VQV137" s="18"/>
      <c r="VQW137" s="18"/>
      <c r="VQX137" s="17"/>
      <c r="VQY137" s="9"/>
      <c r="VQZ137" s="9"/>
      <c r="VRA137" s="18"/>
      <c r="VRB137" s="18"/>
      <c r="VRC137" s="18"/>
      <c r="VRD137" s="18"/>
      <c r="VRE137" s="18"/>
      <c r="VRF137" s="17"/>
      <c r="VRG137" s="9"/>
      <c r="VRH137" s="9"/>
      <c r="VRI137" s="18"/>
      <c r="VRJ137" s="18"/>
      <c r="VRK137" s="18"/>
      <c r="VRL137" s="18"/>
      <c r="VRM137" s="18"/>
      <c r="VRN137" s="17"/>
      <c r="VRO137" s="9"/>
      <c r="VRP137" s="9"/>
      <c r="VRQ137" s="18"/>
      <c r="VRR137" s="18"/>
      <c r="VRS137" s="18"/>
      <c r="VRT137" s="18"/>
      <c r="VRU137" s="18"/>
      <c r="VRV137" s="17"/>
      <c r="VRW137" s="9"/>
      <c r="VRX137" s="9"/>
      <c r="VRY137" s="18"/>
      <c r="VRZ137" s="18"/>
      <c r="VSA137" s="18"/>
      <c r="VSB137" s="18"/>
      <c r="VSC137" s="18"/>
      <c r="VSD137" s="17"/>
      <c r="VSE137" s="9"/>
      <c r="VSF137" s="9"/>
      <c r="VSG137" s="18"/>
      <c r="VSH137" s="18"/>
      <c r="VSI137" s="18"/>
      <c r="VSJ137" s="18"/>
      <c r="VSK137" s="18"/>
      <c r="VSL137" s="17"/>
      <c r="VSM137" s="9"/>
      <c r="VSN137" s="9"/>
      <c r="VSO137" s="18"/>
      <c r="VSP137" s="18"/>
      <c r="VSQ137" s="18"/>
      <c r="VSR137" s="18"/>
      <c r="VSS137" s="18"/>
      <c r="VST137" s="17"/>
      <c r="VSU137" s="9"/>
      <c r="VSV137" s="9"/>
      <c r="VSW137" s="18"/>
      <c r="VSX137" s="18"/>
      <c r="VSY137" s="18"/>
      <c r="VSZ137" s="18"/>
      <c r="VTA137" s="18"/>
      <c r="VTB137" s="17"/>
      <c r="VTC137" s="9"/>
      <c r="VTD137" s="9"/>
      <c r="VTE137" s="18"/>
      <c r="VTF137" s="18"/>
      <c r="VTG137" s="18"/>
      <c r="VTH137" s="18"/>
      <c r="VTI137" s="18"/>
      <c r="VTJ137" s="17"/>
      <c r="VTK137" s="9"/>
      <c r="VTL137" s="9"/>
      <c r="VTM137" s="18"/>
      <c r="VTN137" s="18"/>
      <c r="VTO137" s="18"/>
      <c r="VTP137" s="18"/>
      <c r="VTQ137" s="18"/>
      <c r="VTR137" s="17"/>
      <c r="VTS137" s="9"/>
      <c r="VTT137" s="9"/>
      <c r="VTU137" s="18"/>
      <c r="VTV137" s="18"/>
      <c r="VTW137" s="18"/>
      <c r="VTX137" s="18"/>
      <c r="VTY137" s="18"/>
      <c r="VTZ137" s="17"/>
      <c r="VUA137" s="9"/>
      <c r="VUB137" s="9"/>
      <c r="VUC137" s="18"/>
      <c r="VUD137" s="18"/>
      <c r="VUE137" s="18"/>
      <c r="VUF137" s="18"/>
      <c r="VUG137" s="18"/>
      <c r="VUH137" s="17"/>
      <c r="VUI137" s="9"/>
      <c r="VUJ137" s="9"/>
      <c r="VUK137" s="18"/>
      <c r="VUL137" s="18"/>
      <c r="VUM137" s="18"/>
      <c r="VUN137" s="18"/>
      <c r="VUO137" s="18"/>
      <c r="VUP137" s="17"/>
      <c r="VUQ137" s="9"/>
      <c r="VUR137" s="9"/>
      <c r="VUS137" s="18"/>
      <c r="VUT137" s="18"/>
      <c r="VUU137" s="18"/>
      <c r="VUV137" s="18"/>
      <c r="VUW137" s="18"/>
      <c r="VUX137" s="17"/>
      <c r="VUY137" s="9"/>
      <c r="VUZ137" s="9"/>
      <c r="VVA137" s="18"/>
      <c r="VVB137" s="18"/>
      <c r="VVC137" s="18"/>
      <c r="VVD137" s="18"/>
      <c r="VVE137" s="18"/>
      <c r="VVF137" s="17"/>
      <c r="VVG137" s="9"/>
      <c r="VVH137" s="9"/>
      <c r="VVI137" s="18"/>
      <c r="VVJ137" s="18"/>
      <c r="VVK137" s="18"/>
      <c r="VVL137" s="18"/>
      <c r="VVM137" s="18"/>
      <c r="VVN137" s="17"/>
      <c r="VVO137" s="9"/>
      <c r="VVP137" s="9"/>
      <c r="VVQ137" s="18"/>
      <c r="VVR137" s="18"/>
      <c r="VVS137" s="18"/>
      <c r="VVT137" s="18"/>
      <c r="VVU137" s="18"/>
      <c r="VVV137" s="17"/>
      <c r="VVW137" s="9"/>
      <c r="VVX137" s="9"/>
      <c r="VVY137" s="18"/>
      <c r="VVZ137" s="18"/>
      <c r="VWA137" s="18"/>
      <c r="VWB137" s="18"/>
      <c r="VWC137" s="18"/>
      <c r="VWD137" s="17"/>
      <c r="VWE137" s="9"/>
      <c r="VWF137" s="9"/>
      <c r="VWG137" s="18"/>
      <c r="VWH137" s="18"/>
      <c r="VWI137" s="18"/>
      <c r="VWJ137" s="18"/>
      <c r="VWK137" s="18"/>
      <c r="VWL137" s="17"/>
      <c r="VWM137" s="9"/>
      <c r="VWN137" s="9"/>
      <c r="VWO137" s="18"/>
      <c r="VWP137" s="18"/>
      <c r="VWQ137" s="18"/>
      <c r="VWR137" s="18"/>
      <c r="VWS137" s="18"/>
      <c r="VWT137" s="17"/>
      <c r="VWU137" s="9"/>
      <c r="VWV137" s="9"/>
      <c r="VWW137" s="18"/>
      <c r="VWX137" s="18"/>
      <c r="VWY137" s="18"/>
      <c r="VWZ137" s="18"/>
      <c r="VXA137" s="18"/>
      <c r="VXB137" s="17"/>
      <c r="VXC137" s="9"/>
      <c r="VXD137" s="9"/>
      <c r="VXE137" s="18"/>
      <c r="VXF137" s="18"/>
      <c r="VXG137" s="18"/>
      <c r="VXH137" s="18"/>
      <c r="VXI137" s="18"/>
      <c r="VXJ137" s="17"/>
      <c r="VXK137" s="9"/>
      <c r="VXL137" s="9"/>
      <c r="VXM137" s="18"/>
      <c r="VXN137" s="18"/>
      <c r="VXO137" s="18"/>
      <c r="VXP137" s="18"/>
      <c r="VXQ137" s="18"/>
      <c r="VXR137" s="17"/>
      <c r="VXS137" s="9"/>
      <c r="VXT137" s="9"/>
      <c r="VXU137" s="18"/>
      <c r="VXV137" s="18"/>
      <c r="VXW137" s="18"/>
      <c r="VXX137" s="18"/>
      <c r="VXY137" s="18"/>
      <c r="VXZ137" s="17"/>
      <c r="VYA137" s="9"/>
      <c r="VYB137" s="9"/>
      <c r="VYC137" s="18"/>
      <c r="VYD137" s="18"/>
      <c r="VYE137" s="18"/>
      <c r="VYF137" s="18"/>
      <c r="VYG137" s="18"/>
      <c r="VYH137" s="17"/>
      <c r="VYI137" s="9"/>
      <c r="VYJ137" s="9"/>
      <c r="VYK137" s="18"/>
      <c r="VYL137" s="18"/>
      <c r="VYM137" s="18"/>
      <c r="VYN137" s="18"/>
      <c r="VYO137" s="18"/>
      <c r="VYP137" s="17"/>
      <c r="VYQ137" s="9"/>
      <c r="VYR137" s="9"/>
      <c r="VYS137" s="18"/>
      <c r="VYT137" s="18"/>
      <c r="VYU137" s="18"/>
      <c r="VYV137" s="18"/>
      <c r="VYW137" s="18"/>
      <c r="VYX137" s="17"/>
      <c r="VYY137" s="9"/>
      <c r="VYZ137" s="9"/>
      <c r="VZA137" s="18"/>
      <c r="VZB137" s="18"/>
      <c r="VZC137" s="18"/>
      <c r="VZD137" s="18"/>
      <c r="VZE137" s="18"/>
      <c r="VZF137" s="17"/>
      <c r="VZG137" s="9"/>
      <c r="VZH137" s="9"/>
      <c r="VZI137" s="18"/>
      <c r="VZJ137" s="18"/>
      <c r="VZK137" s="18"/>
      <c r="VZL137" s="18"/>
      <c r="VZM137" s="18"/>
      <c r="VZN137" s="17"/>
      <c r="VZO137" s="9"/>
      <c r="VZP137" s="9"/>
      <c r="VZQ137" s="18"/>
      <c r="VZR137" s="18"/>
      <c r="VZS137" s="18"/>
      <c r="VZT137" s="18"/>
      <c r="VZU137" s="18"/>
      <c r="VZV137" s="17"/>
      <c r="VZW137" s="9"/>
      <c r="VZX137" s="9"/>
      <c r="VZY137" s="18"/>
      <c r="VZZ137" s="18"/>
      <c r="WAA137" s="18"/>
      <c r="WAB137" s="18"/>
      <c r="WAC137" s="18"/>
      <c r="WAD137" s="17"/>
      <c r="WAE137" s="9"/>
      <c r="WAF137" s="9"/>
      <c r="WAG137" s="18"/>
      <c r="WAH137" s="18"/>
      <c r="WAI137" s="18"/>
      <c r="WAJ137" s="18"/>
      <c r="WAK137" s="18"/>
      <c r="WAL137" s="17"/>
      <c r="WAM137" s="9"/>
      <c r="WAN137" s="9"/>
      <c r="WAO137" s="18"/>
      <c r="WAP137" s="18"/>
      <c r="WAQ137" s="18"/>
      <c r="WAR137" s="18"/>
      <c r="WAS137" s="18"/>
      <c r="WAT137" s="17"/>
      <c r="WAU137" s="9"/>
      <c r="WAV137" s="9"/>
      <c r="WAW137" s="18"/>
      <c r="WAX137" s="18"/>
      <c r="WAY137" s="18"/>
      <c r="WAZ137" s="18"/>
      <c r="WBA137" s="18"/>
      <c r="WBB137" s="17"/>
      <c r="WBC137" s="9"/>
      <c r="WBD137" s="9"/>
      <c r="WBE137" s="18"/>
      <c r="WBF137" s="18"/>
      <c r="WBG137" s="18"/>
      <c r="WBH137" s="18"/>
      <c r="WBI137" s="18"/>
      <c r="WBJ137" s="17"/>
      <c r="WBK137" s="9"/>
      <c r="WBL137" s="9"/>
      <c r="WBM137" s="18"/>
      <c r="WBN137" s="18"/>
      <c r="WBO137" s="18"/>
      <c r="WBP137" s="18"/>
      <c r="WBQ137" s="18"/>
      <c r="WBR137" s="17"/>
      <c r="WBS137" s="9"/>
      <c r="WBT137" s="9"/>
      <c r="WBU137" s="18"/>
      <c r="WBV137" s="18"/>
      <c r="WBW137" s="18"/>
      <c r="WBX137" s="18"/>
      <c r="WBY137" s="18"/>
      <c r="WBZ137" s="17"/>
      <c r="WCA137" s="9"/>
      <c r="WCB137" s="9"/>
      <c r="WCC137" s="18"/>
      <c r="WCD137" s="18"/>
      <c r="WCE137" s="18"/>
      <c r="WCF137" s="18"/>
      <c r="WCG137" s="18"/>
      <c r="WCH137" s="17"/>
      <c r="WCI137" s="9"/>
      <c r="WCJ137" s="9"/>
      <c r="WCK137" s="18"/>
      <c r="WCL137" s="18"/>
      <c r="WCM137" s="18"/>
      <c r="WCN137" s="18"/>
      <c r="WCO137" s="18"/>
      <c r="WCP137" s="17"/>
      <c r="WCQ137" s="9"/>
      <c r="WCR137" s="9"/>
      <c r="WCS137" s="18"/>
      <c r="WCT137" s="18"/>
      <c r="WCU137" s="18"/>
      <c r="WCV137" s="18"/>
      <c r="WCW137" s="18"/>
      <c r="WCX137" s="17"/>
      <c r="WCY137" s="9"/>
      <c r="WCZ137" s="9"/>
      <c r="WDA137" s="18"/>
      <c r="WDB137" s="18"/>
      <c r="WDC137" s="18"/>
      <c r="WDD137" s="18"/>
      <c r="WDE137" s="18"/>
      <c r="WDF137" s="17"/>
      <c r="WDG137" s="9"/>
      <c r="WDH137" s="9"/>
      <c r="WDI137" s="18"/>
      <c r="WDJ137" s="18"/>
      <c r="WDK137" s="18"/>
      <c r="WDL137" s="18"/>
      <c r="WDM137" s="18"/>
      <c r="WDN137" s="17"/>
      <c r="WDO137" s="9"/>
      <c r="WDP137" s="9"/>
      <c r="WDQ137" s="18"/>
      <c r="WDR137" s="18"/>
      <c r="WDS137" s="18"/>
      <c r="WDT137" s="18"/>
      <c r="WDU137" s="18"/>
      <c r="WDV137" s="17"/>
      <c r="WDW137" s="9"/>
      <c r="WDX137" s="9"/>
      <c r="WDY137" s="18"/>
      <c r="WDZ137" s="18"/>
      <c r="WEA137" s="18"/>
      <c r="WEB137" s="18"/>
      <c r="WEC137" s="18"/>
      <c r="WED137" s="17"/>
      <c r="WEE137" s="9"/>
      <c r="WEF137" s="9"/>
      <c r="WEG137" s="18"/>
      <c r="WEH137" s="18"/>
      <c r="WEI137" s="18"/>
      <c r="WEJ137" s="18"/>
      <c r="WEK137" s="18"/>
      <c r="WEL137" s="17"/>
      <c r="WEM137" s="9"/>
      <c r="WEN137" s="9"/>
      <c r="WEO137" s="18"/>
      <c r="WEP137" s="18"/>
      <c r="WEQ137" s="18"/>
      <c r="WER137" s="18"/>
      <c r="WES137" s="18"/>
      <c r="WET137" s="17"/>
      <c r="WEU137" s="9"/>
      <c r="WEV137" s="9"/>
      <c r="WEW137" s="18"/>
      <c r="WEX137" s="18"/>
      <c r="WEY137" s="18"/>
      <c r="WEZ137" s="18"/>
      <c r="WFA137" s="18"/>
      <c r="WFB137" s="17"/>
      <c r="WFC137" s="9"/>
      <c r="WFD137" s="9"/>
      <c r="WFE137" s="18"/>
      <c r="WFF137" s="18"/>
      <c r="WFG137" s="18"/>
      <c r="WFH137" s="18"/>
      <c r="WFI137" s="18"/>
      <c r="WFJ137" s="17"/>
      <c r="WFK137" s="9"/>
      <c r="WFL137" s="9"/>
      <c r="WFM137" s="18"/>
      <c r="WFN137" s="18"/>
      <c r="WFO137" s="18"/>
      <c r="WFP137" s="18"/>
      <c r="WFQ137" s="18"/>
      <c r="WFR137" s="17"/>
      <c r="WFS137" s="9"/>
      <c r="WFT137" s="9"/>
      <c r="WFU137" s="18"/>
      <c r="WFV137" s="18"/>
      <c r="WFW137" s="18"/>
      <c r="WFX137" s="18"/>
      <c r="WFY137" s="18"/>
      <c r="WFZ137" s="17"/>
      <c r="WGA137" s="9"/>
      <c r="WGB137" s="9"/>
      <c r="WGC137" s="18"/>
      <c r="WGD137" s="18"/>
      <c r="WGE137" s="18"/>
      <c r="WGF137" s="18"/>
      <c r="WGG137" s="18"/>
      <c r="WGH137" s="17"/>
      <c r="WGI137" s="9"/>
      <c r="WGJ137" s="9"/>
      <c r="WGK137" s="18"/>
      <c r="WGL137" s="18"/>
      <c r="WGM137" s="18"/>
      <c r="WGN137" s="18"/>
      <c r="WGO137" s="18"/>
      <c r="WGP137" s="17"/>
      <c r="WGQ137" s="9"/>
      <c r="WGR137" s="9"/>
      <c r="WGS137" s="18"/>
      <c r="WGT137" s="18"/>
      <c r="WGU137" s="18"/>
      <c r="WGV137" s="18"/>
      <c r="WGW137" s="18"/>
      <c r="WGX137" s="17"/>
      <c r="WGY137" s="9"/>
      <c r="WGZ137" s="9"/>
      <c r="WHA137" s="18"/>
      <c r="WHB137" s="18"/>
      <c r="WHC137" s="18"/>
      <c r="WHD137" s="18"/>
      <c r="WHE137" s="18"/>
      <c r="WHF137" s="17"/>
      <c r="WHG137" s="9"/>
      <c r="WHH137" s="9"/>
      <c r="WHI137" s="18"/>
      <c r="WHJ137" s="18"/>
      <c r="WHK137" s="18"/>
      <c r="WHL137" s="18"/>
      <c r="WHM137" s="18"/>
      <c r="WHN137" s="17"/>
      <c r="WHO137" s="9"/>
      <c r="WHP137" s="9"/>
      <c r="WHQ137" s="18"/>
      <c r="WHR137" s="18"/>
      <c r="WHS137" s="18"/>
      <c r="WHT137" s="18"/>
      <c r="WHU137" s="18"/>
      <c r="WHV137" s="17"/>
      <c r="WHW137" s="9"/>
      <c r="WHX137" s="9"/>
      <c r="WHY137" s="18"/>
      <c r="WHZ137" s="18"/>
      <c r="WIA137" s="18"/>
      <c r="WIB137" s="18"/>
      <c r="WIC137" s="18"/>
      <c r="WID137" s="17"/>
      <c r="WIE137" s="9"/>
      <c r="WIF137" s="9"/>
      <c r="WIG137" s="18"/>
      <c r="WIH137" s="18"/>
      <c r="WII137" s="18"/>
      <c r="WIJ137" s="18"/>
      <c r="WIK137" s="18"/>
      <c r="WIL137" s="17"/>
      <c r="WIM137" s="9"/>
      <c r="WIN137" s="9"/>
      <c r="WIO137" s="18"/>
      <c r="WIP137" s="18"/>
      <c r="WIQ137" s="18"/>
      <c r="WIR137" s="18"/>
      <c r="WIS137" s="18"/>
      <c r="WIT137" s="17"/>
      <c r="WIU137" s="9"/>
      <c r="WIV137" s="9"/>
      <c r="WIW137" s="18"/>
      <c r="WIX137" s="18"/>
      <c r="WIY137" s="18"/>
      <c r="WIZ137" s="18"/>
      <c r="WJA137" s="18"/>
      <c r="WJB137" s="17"/>
      <c r="WJC137" s="9"/>
      <c r="WJD137" s="9"/>
      <c r="WJE137" s="18"/>
      <c r="WJF137" s="18"/>
      <c r="WJG137" s="18"/>
      <c r="WJH137" s="18"/>
      <c r="WJI137" s="18"/>
      <c r="WJJ137" s="17"/>
      <c r="WJK137" s="9"/>
      <c r="WJL137" s="9"/>
      <c r="WJM137" s="18"/>
      <c r="WJN137" s="18"/>
      <c r="WJO137" s="18"/>
      <c r="WJP137" s="18"/>
      <c r="WJQ137" s="18"/>
      <c r="WJR137" s="17"/>
      <c r="WJS137" s="9"/>
      <c r="WJT137" s="9"/>
      <c r="WJU137" s="18"/>
      <c r="WJV137" s="18"/>
      <c r="WJW137" s="18"/>
      <c r="WJX137" s="18"/>
      <c r="WJY137" s="18"/>
      <c r="WJZ137" s="17"/>
      <c r="WKA137" s="9"/>
      <c r="WKB137" s="9"/>
      <c r="WKC137" s="18"/>
      <c r="WKD137" s="18"/>
      <c r="WKE137" s="18"/>
      <c r="WKF137" s="18"/>
      <c r="WKG137" s="18"/>
      <c r="WKH137" s="17"/>
      <c r="WKI137" s="9"/>
      <c r="WKJ137" s="9"/>
      <c r="WKK137" s="18"/>
      <c r="WKL137" s="18"/>
      <c r="WKM137" s="18"/>
      <c r="WKN137" s="18"/>
      <c r="WKO137" s="18"/>
      <c r="WKP137" s="17"/>
      <c r="WKQ137" s="9"/>
      <c r="WKR137" s="9"/>
      <c r="WKS137" s="18"/>
      <c r="WKT137" s="18"/>
      <c r="WKU137" s="18"/>
      <c r="WKV137" s="18"/>
      <c r="WKW137" s="18"/>
      <c r="WKX137" s="17"/>
      <c r="WKY137" s="9"/>
      <c r="WKZ137" s="9"/>
      <c r="WLA137" s="18"/>
      <c r="WLB137" s="18"/>
      <c r="WLC137" s="18"/>
      <c r="WLD137" s="18"/>
      <c r="WLE137" s="18"/>
      <c r="WLF137" s="17"/>
      <c r="WLG137" s="9"/>
      <c r="WLH137" s="9"/>
      <c r="WLI137" s="18"/>
      <c r="WLJ137" s="18"/>
      <c r="WLK137" s="18"/>
      <c r="WLL137" s="18"/>
      <c r="WLM137" s="18"/>
      <c r="WLN137" s="17"/>
      <c r="WLO137" s="9"/>
      <c r="WLP137" s="9"/>
      <c r="WLQ137" s="18"/>
      <c r="WLR137" s="18"/>
      <c r="WLS137" s="18"/>
      <c r="WLT137" s="18"/>
      <c r="WLU137" s="18"/>
      <c r="WLV137" s="17"/>
      <c r="WLW137" s="9"/>
      <c r="WLX137" s="9"/>
      <c r="WLY137" s="18"/>
      <c r="WLZ137" s="18"/>
      <c r="WMA137" s="18"/>
      <c r="WMB137" s="18"/>
      <c r="WMC137" s="18"/>
      <c r="WMD137" s="17"/>
      <c r="WME137" s="9"/>
      <c r="WMF137" s="9"/>
      <c r="WMG137" s="18"/>
      <c r="WMH137" s="18"/>
      <c r="WMI137" s="18"/>
      <c r="WMJ137" s="18"/>
      <c r="WMK137" s="18"/>
      <c r="WML137" s="17"/>
      <c r="WMM137" s="9"/>
      <c r="WMN137" s="9"/>
      <c r="WMO137" s="18"/>
      <c r="WMP137" s="18"/>
      <c r="WMQ137" s="18"/>
      <c r="WMR137" s="18"/>
      <c r="WMS137" s="18"/>
      <c r="WMT137" s="17"/>
      <c r="WMU137" s="9"/>
      <c r="WMV137" s="9"/>
      <c r="WMW137" s="18"/>
      <c r="WMX137" s="18"/>
      <c r="WMY137" s="18"/>
      <c r="WMZ137" s="18"/>
      <c r="WNA137" s="18"/>
      <c r="WNB137" s="17"/>
      <c r="WNC137" s="9"/>
      <c r="WND137" s="9"/>
      <c r="WNE137" s="18"/>
      <c r="WNF137" s="18"/>
      <c r="WNG137" s="18"/>
      <c r="WNH137" s="18"/>
      <c r="WNI137" s="18"/>
      <c r="WNJ137" s="17"/>
      <c r="WNK137" s="9"/>
      <c r="WNL137" s="9"/>
      <c r="WNM137" s="18"/>
      <c r="WNN137" s="18"/>
      <c r="WNO137" s="18"/>
      <c r="WNP137" s="18"/>
      <c r="WNQ137" s="18"/>
      <c r="WNR137" s="17"/>
      <c r="WNS137" s="9"/>
      <c r="WNT137" s="9"/>
      <c r="WNU137" s="18"/>
      <c r="WNV137" s="18"/>
      <c r="WNW137" s="18"/>
      <c r="WNX137" s="18"/>
      <c r="WNY137" s="18"/>
      <c r="WNZ137" s="17"/>
      <c r="WOA137" s="9"/>
      <c r="WOB137" s="9"/>
      <c r="WOC137" s="18"/>
      <c r="WOD137" s="18"/>
      <c r="WOE137" s="18"/>
      <c r="WOF137" s="18"/>
      <c r="WOG137" s="18"/>
      <c r="WOH137" s="17"/>
      <c r="WOI137" s="9"/>
      <c r="WOJ137" s="9"/>
      <c r="WOK137" s="18"/>
      <c r="WOL137" s="18"/>
      <c r="WOM137" s="18"/>
      <c r="WON137" s="18"/>
      <c r="WOO137" s="18"/>
      <c r="WOP137" s="17"/>
      <c r="WOQ137" s="9"/>
      <c r="WOR137" s="9"/>
      <c r="WOS137" s="18"/>
      <c r="WOT137" s="18"/>
      <c r="WOU137" s="18"/>
      <c r="WOV137" s="18"/>
      <c r="WOW137" s="18"/>
      <c r="WOX137" s="17"/>
      <c r="WOY137" s="9"/>
      <c r="WOZ137" s="9"/>
      <c r="WPA137" s="18"/>
      <c r="WPB137" s="18"/>
      <c r="WPC137" s="18"/>
      <c r="WPD137" s="18"/>
      <c r="WPE137" s="18"/>
      <c r="WPF137" s="17"/>
      <c r="WPG137" s="9"/>
      <c r="WPH137" s="9"/>
      <c r="WPI137" s="18"/>
      <c r="WPJ137" s="18"/>
      <c r="WPK137" s="18"/>
      <c r="WPL137" s="18"/>
      <c r="WPM137" s="18"/>
      <c r="WPN137" s="17"/>
      <c r="WPO137" s="9"/>
      <c r="WPP137" s="9"/>
      <c r="WPQ137" s="18"/>
      <c r="WPR137" s="18"/>
      <c r="WPS137" s="18"/>
      <c r="WPT137" s="18"/>
      <c r="WPU137" s="18"/>
      <c r="WPV137" s="17"/>
      <c r="WPW137" s="9"/>
      <c r="WPX137" s="9"/>
      <c r="WPY137" s="18"/>
      <c r="WPZ137" s="18"/>
      <c r="WQA137" s="18"/>
      <c r="WQB137" s="18"/>
      <c r="WQC137" s="18"/>
      <c r="WQD137" s="17"/>
      <c r="WQE137" s="9"/>
      <c r="WQF137" s="9"/>
      <c r="WQG137" s="18"/>
      <c r="WQH137" s="18"/>
      <c r="WQI137" s="18"/>
      <c r="WQJ137" s="18"/>
      <c r="WQK137" s="18"/>
      <c r="WQL137" s="17"/>
      <c r="WQM137" s="9"/>
      <c r="WQN137" s="9"/>
      <c r="WQO137" s="18"/>
      <c r="WQP137" s="18"/>
      <c r="WQQ137" s="18"/>
      <c r="WQR137" s="18"/>
      <c r="WQS137" s="18"/>
      <c r="WQT137" s="17"/>
      <c r="WQU137" s="9"/>
      <c r="WQV137" s="9"/>
      <c r="WQW137" s="18"/>
      <c r="WQX137" s="18"/>
      <c r="WQY137" s="18"/>
      <c r="WQZ137" s="18"/>
      <c r="WRA137" s="18"/>
      <c r="WRB137" s="17"/>
      <c r="WRC137" s="9"/>
      <c r="WRD137" s="9"/>
      <c r="WRE137" s="18"/>
      <c r="WRF137" s="18"/>
      <c r="WRG137" s="18"/>
      <c r="WRH137" s="18"/>
      <c r="WRI137" s="18"/>
      <c r="WRJ137" s="17"/>
      <c r="WRK137" s="9"/>
      <c r="WRL137" s="9"/>
      <c r="WRM137" s="18"/>
      <c r="WRN137" s="18"/>
      <c r="WRO137" s="18"/>
      <c r="WRP137" s="18"/>
      <c r="WRQ137" s="18"/>
      <c r="WRR137" s="17"/>
      <c r="WRS137" s="9"/>
      <c r="WRT137" s="9"/>
      <c r="WRU137" s="18"/>
      <c r="WRV137" s="18"/>
      <c r="WRW137" s="18"/>
      <c r="WRX137" s="18"/>
      <c r="WRY137" s="18"/>
      <c r="WRZ137" s="17"/>
      <c r="WSA137" s="9"/>
      <c r="WSB137" s="9"/>
      <c r="WSC137" s="18"/>
      <c r="WSD137" s="18"/>
      <c r="WSE137" s="18"/>
      <c r="WSF137" s="18"/>
      <c r="WSG137" s="18"/>
      <c r="WSH137" s="17"/>
      <c r="WSI137" s="9"/>
      <c r="WSJ137" s="9"/>
      <c r="WSK137" s="18"/>
      <c r="WSL137" s="18"/>
      <c r="WSM137" s="18"/>
      <c r="WSN137" s="18"/>
      <c r="WSO137" s="18"/>
      <c r="WSP137" s="17"/>
      <c r="WSQ137" s="9"/>
      <c r="WSR137" s="9"/>
      <c r="WSS137" s="18"/>
      <c r="WST137" s="18"/>
      <c r="WSU137" s="18"/>
      <c r="WSV137" s="18"/>
      <c r="WSW137" s="18"/>
      <c r="WSX137" s="17"/>
      <c r="WSY137" s="9"/>
      <c r="WSZ137" s="9"/>
      <c r="WTA137" s="18"/>
      <c r="WTB137" s="18"/>
      <c r="WTC137" s="18"/>
      <c r="WTD137" s="18"/>
      <c r="WTE137" s="18"/>
      <c r="WTF137" s="17"/>
      <c r="WTG137" s="9"/>
      <c r="WTH137" s="9"/>
      <c r="WTI137" s="18"/>
      <c r="WTJ137" s="18"/>
      <c r="WTK137" s="18"/>
      <c r="WTL137" s="18"/>
      <c r="WTM137" s="18"/>
      <c r="WTN137" s="17"/>
      <c r="WTO137" s="9"/>
      <c r="WTP137" s="9"/>
      <c r="WTQ137" s="18"/>
      <c r="WTR137" s="18"/>
      <c r="WTS137" s="18"/>
      <c r="WTT137" s="18"/>
      <c r="WTU137" s="18"/>
      <c r="WTV137" s="17"/>
      <c r="WTW137" s="9"/>
      <c r="WTX137" s="9"/>
      <c r="WTY137" s="18"/>
      <c r="WTZ137" s="18"/>
      <c r="WUA137" s="18"/>
      <c r="WUB137" s="18"/>
      <c r="WUC137" s="18"/>
      <c r="WUD137" s="17"/>
      <c r="WUE137" s="9"/>
      <c r="WUF137" s="9"/>
      <c r="WUG137" s="18"/>
      <c r="WUH137" s="18"/>
      <c r="WUI137" s="18"/>
      <c r="WUJ137" s="18"/>
      <c r="WUK137" s="18"/>
      <c r="WUL137" s="17"/>
      <c r="WUM137" s="9"/>
      <c r="WUN137" s="9"/>
      <c r="WUO137" s="18"/>
      <c r="WUP137" s="18"/>
      <c r="WUQ137" s="18"/>
      <c r="WUR137" s="18"/>
      <c r="WUS137" s="18"/>
      <c r="WUT137" s="17"/>
      <c r="WUU137" s="9"/>
      <c r="WUV137" s="9"/>
      <c r="WUW137" s="18"/>
      <c r="WUX137" s="18"/>
      <c r="WUY137" s="18"/>
      <c r="WUZ137" s="18"/>
      <c r="WVA137" s="18"/>
      <c r="WVB137" s="17"/>
      <c r="WVC137" s="9"/>
      <c r="WVD137" s="9"/>
      <c r="WVE137" s="18"/>
      <c r="WVF137" s="18"/>
      <c r="WVG137" s="18"/>
      <c r="WVH137" s="18"/>
      <c r="WVI137" s="18"/>
      <c r="WVJ137" s="17"/>
      <c r="WVK137" s="9"/>
      <c r="WVL137" s="9"/>
      <c r="WVM137" s="18"/>
      <c r="WVN137" s="18"/>
      <c r="WVO137" s="18"/>
      <c r="WVP137" s="18"/>
      <c r="WVQ137" s="18"/>
      <c r="WVR137" s="17"/>
      <c r="WVS137" s="9"/>
      <c r="WVT137" s="9"/>
      <c r="WVU137" s="18"/>
      <c r="WVV137" s="18"/>
      <c r="WVW137" s="18"/>
      <c r="WVX137" s="18"/>
      <c r="WVY137" s="18"/>
      <c r="WVZ137" s="17"/>
      <c r="WWA137" s="9"/>
      <c r="WWB137" s="9"/>
      <c r="WWC137" s="18"/>
      <c r="WWD137" s="18"/>
      <c r="WWE137" s="18"/>
      <c r="WWF137" s="18"/>
      <c r="WWG137" s="18"/>
      <c r="WWH137" s="17"/>
      <c r="WWI137" s="9"/>
      <c r="WWJ137" s="9"/>
      <c r="WWK137" s="18"/>
      <c r="WWL137" s="18"/>
      <c r="WWM137" s="18"/>
      <c r="WWN137" s="18"/>
      <c r="WWO137" s="18"/>
      <c r="WWP137" s="17"/>
      <c r="WWQ137" s="9"/>
      <c r="WWR137" s="9"/>
      <c r="WWS137" s="18"/>
      <c r="WWT137" s="18"/>
      <c r="WWU137" s="18"/>
      <c r="WWV137" s="18"/>
      <c r="WWW137" s="18"/>
      <c r="WWX137" s="17"/>
      <c r="WWY137" s="9"/>
      <c r="WWZ137" s="9"/>
      <c r="WXA137" s="18"/>
      <c r="WXB137" s="18"/>
      <c r="WXC137" s="18"/>
      <c r="WXD137" s="18"/>
      <c r="WXE137" s="18"/>
      <c r="WXF137" s="17"/>
      <c r="WXG137" s="9"/>
      <c r="WXH137" s="9"/>
      <c r="WXI137" s="18"/>
      <c r="WXJ137" s="18"/>
      <c r="WXK137" s="18"/>
      <c r="WXL137" s="18"/>
      <c r="WXM137" s="18"/>
      <c r="WXN137" s="17"/>
      <c r="WXO137" s="9"/>
      <c r="WXP137" s="9"/>
      <c r="WXQ137" s="18"/>
      <c r="WXR137" s="18"/>
      <c r="WXS137" s="18"/>
      <c r="WXT137" s="18"/>
      <c r="WXU137" s="18"/>
      <c r="WXV137" s="17"/>
      <c r="WXW137" s="9"/>
      <c r="WXX137" s="9"/>
      <c r="WXY137" s="18"/>
      <c r="WXZ137" s="18"/>
      <c r="WYA137" s="18"/>
      <c r="WYB137" s="18"/>
      <c r="WYC137" s="18"/>
      <c r="WYD137" s="17"/>
      <c r="WYE137" s="9"/>
      <c r="WYF137" s="9"/>
      <c r="WYG137" s="18"/>
      <c r="WYH137" s="18"/>
      <c r="WYI137" s="18"/>
      <c r="WYJ137" s="18"/>
      <c r="WYK137" s="18"/>
      <c r="WYL137" s="17"/>
      <c r="WYM137" s="9"/>
      <c r="WYN137" s="9"/>
      <c r="WYO137" s="18"/>
      <c r="WYP137" s="18"/>
      <c r="WYQ137" s="18"/>
      <c r="WYR137" s="18"/>
      <c r="WYS137" s="18"/>
      <c r="WYT137" s="17"/>
      <c r="WYU137" s="9"/>
      <c r="WYV137" s="9"/>
      <c r="WYW137" s="18"/>
      <c r="WYX137" s="18"/>
      <c r="WYY137" s="18"/>
      <c r="WYZ137" s="18"/>
      <c r="WZA137" s="18"/>
      <c r="WZB137" s="17"/>
      <c r="WZC137" s="9"/>
      <c r="WZD137" s="9"/>
      <c r="WZE137" s="18"/>
      <c r="WZF137" s="18"/>
      <c r="WZG137" s="18"/>
      <c r="WZH137" s="18"/>
      <c r="WZI137" s="18"/>
      <c r="WZJ137" s="17"/>
      <c r="WZK137" s="9"/>
      <c r="WZL137" s="9"/>
      <c r="WZM137" s="18"/>
      <c r="WZN137" s="18"/>
      <c r="WZO137" s="18"/>
      <c r="WZP137" s="18"/>
      <c r="WZQ137" s="18"/>
      <c r="WZR137" s="17"/>
      <c r="WZS137" s="9"/>
      <c r="WZT137" s="9"/>
      <c r="WZU137" s="18"/>
      <c r="WZV137" s="18"/>
      <c r="WZW137" s="18"/>
      <c r="WZX137" s="18"/>
      <c r="WZY137" s="18"/>
      <c r="WZZ137" s="17"/>
      <c r="XAA137" s="9"/>
      <c r="XAB137" s="9"/>
      <c r="XAC137" s="18"/>
      <c r="XAD137" s="18"/>
      <c r="XAE137" s="18"/>
      <c r="XAF137" s="18"/>
      <c r="XAG137" s="18"/>
      <c r="XAH137" s="17"/>
      <c r="XAI137" s="9"/>
      <c r="XAJ137" s="9"/>
      <c r="XAK137" s="18"/>
      <c r="XAL137" s="18"/>
      <c r="XAM137" s="18"/>
      <c r="XAN137" s="18"/>
      <c r="XAO137" s="18"/>
      <c r="XAP137" s="17"/>
      <c r="XAQ137" s="9"/>
      <c r="XAR137" s="9"/>
      <c r="XAS137" s="18"/>
      <c r="XAT137" s="18"/>
      <c r="XAU137" s="18"/>
      <c r="XAV137" s="18"/>
      <c r="XAW137" s="18"/>
      <c r="XAX137" s="17"/>
      <c r="XAY137" s="9"/>
      <c r="XAZ137" s="9"/>
      <c r="XBA137" s="18"/>
      <c r="XBB137" s="18"/>
      <c r="XBC137" s="18"/>
      <c r="XBD137" s="18"/>
      <c r="XBE137" s="18"/>
      <c r="XBF137" s="17"/>
      <c r="XBG137" s="9"/>
      <c r="XBH137" s="9"/>
      <c r="XBI137" s="18"/>
      <c r="XBJ137" s="18"/>
      <c r="XBK137" s="18"/>
      <c r="XBL137" s="18"/>
      <c r="XBM137" s="18"/>
      <c r="XBN137" s="17"/>
      <c r="XBO137" s="9"/>
      <c r="XBP137" s="9"/>
      <c r="XBQ137" s="18"/>
      <c r="XBR137" s="18"/>
      <c r="XBS137" s="18"/>
      <c r="XBT137" s="18"/>
      <c r="XBU137" s="18"/>
      <c r="XBV137" s="17"/>
      <c r="XBW137" s="9"/>
      <c r="XBX137" s="9"/>
      <c r="XBY137" s="18"/>
      <c r="XBZ137" s="18"/>
      <c r="XCA137" s="18"/>
      <c r="XCB137" s="18"/>
      <c r="XCC137" s="18"/>
      <c r="XCD137" s="17"/>
      <c r="XCE137" s="9"/>
      <c r="XCF137" s="9"/>
      <c r="XCG137" s="18"/>
      <c r="XCH137" s="18"/>
      <c r="XCI137" s="18"/>
      <c r="XCJ137" s="18"/>
      <c r="XCK137" s="18"/>
      <c r="XCL137" s="17"/>
      <c r="XCM137" s="9"/>
      <c r="XCN137" s="9"/>
      <c r="XCO137" s="18"/>
      <c r="XCP137" s="18"/>
      <c r="XCQ137" s="18"/>
      <c r="XCR137" s="18"/>
      <c r="XCS137" s="18"/>
      <c r="XCT137" s="17"/>
      <c r="XCU137" s="9"/>
      <c r="XCV137" s="9"/>
      <c r="XCW137" s="18"/>
      <c r="XCX137" s="18"/>
      <c r="XCY137" s="18"/>
      <c r="XCZ137" s="18"/>
      <c r="XDA137" s="18"/>
      <c r="XDB137" s="17"/>
      <c r="XDC137" s="9"/>
      <c r="XDD137" s="9"/>
      <c r="XDE137" s="18"/>
      <c r="XDF137" s="18"/>
      <c r="XDG137" s="18"/>
      <c r="XDH137" s="18"/>
      <c r="XDI137" s="18"/>
      <c r="XDJ137" s="17"/>
      <c r="XDK137" s="9"/>
      <c r="XDL137" s="9"/>
      <c r="XDM137" s="18"/>
      <c r="XDN137" s="18"/>
      <c r="XDO137" s="18"/>
      <c r="XDP137" s="18"/>
      <c r="XDQ137" s="18"/>
      <c r="XDR137" s="17"/>
      <c r="XDS137" s="9"/>
      <c r="XDT137" s="9"/>
      <c r="XDU137" s="18"/>
      <c r="XDV137" s="18"/>
      <c r="XDW137" s="18"/>
      <c r="XDX137" s="18"/>
      <c r="XDY137" s="18"/>
      <c r="XDZ137" s="17"/>
      <c r="XEA137" s="9"/>
      <c r="XEB137" s="9"/>
      <c r="XEC137" s="18"/>
      <c r="XED137" s="18"/>
      <c r="XEE137" s="18"/>
      <c r="XEF137" s="18"/>
      <c r="XEG137" s="18"/>
      <c r="XEH137" s="17"/>
      <c r="XEI137" s="9"/>
      <c r="XEJ137" s="9"/>
      <c r="XEK137" s="18"/>
      <c r="XEL137" s="18"/>
      <c r="XEM137" s="18"/>
      <c r="XEN137" s="18"/>
      <c r="XEO137" s="18"/>
      <c r="XEP137" s="17"/>
      <c r="XEQ137" s="9"/>
      <c r="XER137" s="9"/>
      <c r="XES137" s="18"/>
      <c r="XET137" s="18"/>
      <c r="XEU137" s="18"/>
      <c r="XEV137" s="18"/>
      <c r="XEW137" s="18"/>
      <c r="XEX137" s="17"/>
    </row>
    <row r="138" spans="1:16378" x14ac:dyDescent="0.3">
      <c r="B138" s="9" t="s">
        <v>142</v>
      </c>
      <c r="C138" s="16">
        <f t="shared" ref="C138:H138" si="55">-C164</f>
        <v>-901.77320999999984</v>
      </c>
      <c r="D138" s="16">
        <f t="shared" si="55"/>
        <v>0</v>
      </c>
      <c r="E138" s="16">
        <f t="shared" si="55"/>
        <v>0</v>
      </c>
      <c r="F138" s="16">
        <f t="shared" si="55"/>
        <v>0</v>
      </c>
      <c r="G138" s="16">
        <f t="shared" si="55"/>
        <v>0</v>
      </c>
      <c r="H138" s="16">
        <f t="shared" si="55"/>
        <v>-2950.9631644999972</v>
      </c>
      <c r="I138" s="17">
        <f>SUM(C138:H138)</f>
        <v>-3852.7363744999971</v>
      </c>
      <c r="J138" s="16">
        <f>-J167</f>
        <v>0</v>
      </c>
      <c r="K138" s="17">
        <f>SUM(C138:H138)</f>
        <v>-3852.7363744999971</v>
      </c>
      <c r="L138" s="83"/>
      <c r="M138" s="18"/>
      <c r="N138" s="18"/>
      <c r="R138" s="18"/>
      <c r="S138" s="18"/>
      <c r="T138" s="9"/>
      <c r="U138" s="18"/>
      <c r="V138" s="18"/>
      <c r="W138" s="18"/>
      <c r="X138" s="18"/>
      <c r="Y138" s="18"/>
      <c r="Z138" s="17"/>
      <c r="AA138" s="9"/>
      <c r="AB138" s="9"/>
      <c r="AC138" s="18"/>
      <c r="AD138" s="18"/>
      <c r="AE138" s="18"/>
      <c r="AF138" s="18"/>
      <c r="AG138" s="18"/>
      <c r="AH138" s="17"/>
      <c r="AI138" s="9"/>
      <c r="AJ138" s="9"/>
      <c r="AK138" s="18"/>
      <c r="AL138" s="18"/>
      <c r="AM138" s="18"/>
      <c r="AN138" s="18"/>
      <c r="AO138" s="18"/>
      <c r="AP138" s="17"/>
      <c r="AQ138" s="9"/>
      <c r="AR138" s="9"/>
      <c r="AS138" s="18"/>
      <c r="AT138" s="18"/>
      <c r="AU138" s="18"/>
      <c r="AV138" s="18"/>
      <c r="AW138" s="18"/>
      <c r="AX138" s="17"/>
      <c r="AY138" s="9"/>
      <c r="AZ138" s="9"/>
      <c r="BA138" s="18"/>
      <c r="BB138" s="18"/>
      <c r="BC138" s="18"/>
      <c r="BD138" s="18"/>
      <c r="BE138" s="18"/>
      <c r="BF138" s="17"/>
      <c r="BG138" s="9"/>
      <c r="BH138" s="9"/>
      <c r="BI138" s="18"/>
      <c r="BJ138" s="18"/>
      <c r="BK138" s="18"/>
      <c r="BL138" s="18"/>
      <c r="BM138" s="18"/>
      <c r="BN138" s="17"/>
      <c r="BO138" s="9"/>
      <c r="BP138" s="9"/>
      <c r="BQ138" s="18"/>
      <c r="BR138" s="18"/>
      <c r="BS138" s="18"/>
      <c r="BT138" s="18"/>
      <c r="BU138" s="18"/>
      <c r="BV138" s="17"/>
      <c r="BW138" s="9"/>
      <c r="BX138" s="9"/>
      <c r="BY138" s="18"/>
      <c r="BZ138" s="18"/>
      <c r="CA138" s="18"/>
      <c r="CB138" s="18"/>
      <c r="CC138" s="18"/>
      <c r="CD138" s="17"/>
      <c r="CE138" s="9"/>
      <c r="CF138" s="9"/>
      <c r="CG138" s="18"/>
      <c r="CH138" s="18"/>
      <c r="CI138" s="18"/>
      <c r="CJ138" s="18"/>
      <c r="CK138" s="18"/>
      <c r="CL138" s="17"/>
      <c r="CM138" s="9"/>
      <c r="CN138" s="9"/>
      <c r="CO138" s="18"/>
      <c r="CP138" s="18"/>
      <c r="CQ138" s="18"/>
      <c r="CR138" s="18"/>
      <c r="CS138" s="18"/>
      <c r="CT138" s="17"/>
      <c r="CU138" s="9"/>
      <c r="CV138" s="9"/>
      <c r="CW138" s="18"/>
      <c r="CX138" s="18"/>
      <c r="CY138" s="18"/>
      <c r="CZ138" s="18"/>
      <c r="DA138" s="18"/>
      <c r="DB138" s="17"/>
      <c r="DC138" s="9"/>
      <c r="DD138" s="9"/>
      <c r="DE138" s="18"/>
      <c r="DF138" s="18"/>
      <c r="DG138" s="18"/>
      <c r="DH138" s="18"/>
      <c r="DI138" s="18"/>
      <c r="DJ138" s="17"/>
      <c r="DK138" s="9"/>
      <c r="DL138" s="9"/>
      <c r="DM138" s="18"/>
      <c r="DN138" s="18"/>
      <c r="DO138" s="18"/>
      <c r="DP138" s="18"/>
      <c r="DQ138" s="18"/>
      <c r="DR138" s="17"/>
      <c r="DS138" s="9"/>
      <c r="DT138" s="9"/>
      <c r="DU138" s="18"/>
      <c r="DV138" s="18"/>
      <c r="DW138" s="18"/>
      <c r="DX138" s="18"/>
      <c r="DY138" s="18"/>
      <c r="DZ138" s="17"/>
      <c r="EA138" s="9"/>
      <c r="EB138" s="9"/>
      <c r="EC138" s="18"/>
      <c r="ED138" s="18"/>
      <c r="EE138" s="18"/>
      <c r="EF138" s="18"/>
      <c r="EG138" s="18"/>
      <c r="EH138" s="17"/>
      <c r="EI138" s="9"/>
      <c r="EJ138" s="9"/>
      <c r="EK138" s="18"/>
      <c r="EL138" s="18"/>
      <c r="EM138" s="18"/>
      <c r="EN138" s="18"/>
      <c r="EO138" s="18"/>
      <c r="EP138" s="17"/>
      <c r="EQ138" s="9"/>
      <c r="ER138" s="9"/>
      <c r="ES138" s="18"/>
      <c r="ET138" s="18"/>
      <c r="EU138" s="18"/>
      <c r="EV138" s="18"/>
      <c r="EW138" s="18"/>
      <c r="EX138" s="17"/>
      <c r="EY138" s="9"/>
      <c r="EZ138" s="9"/>
      <c r="FA138" s="18"/>
      <c r="FB138" s="18"/>
      <c r="FC138" s="18"/>
      <c r="FD138" s="18"/>
      <c r="FE138" s="18"/>
      <c r="FF138" s="17"/>
      <c r="FG138" s="9"/>
      <c r="FH138" s="9"/>
      <c r="FI138" s="18"/>
      <c r="FJ138" s="18"/>
      <c r="FK138" s="18"/>
      <c r="FL138" s="18"/>
      <c r="FM138" s="18"/>
      <c r="FN138" s="17"/>
      <c r="FO138" s="9"/>
      <c r="FP138" s="9"/>
      <c r="FQ138" s="18"/>
      <c r="FR138" s="18"/>
      <c r="FS138" s="18"/>
      <c r="FT138" s="18"/>
      <c r="FU138" s="18"/>
      <c r="FV138" s="17"/>
      <c r="FW138" s="9"/>
      <c r="FX138" s="9"/>
      <c r="FY138" s="18"/>
      <c r="FZ138" s="18"/>
      <c r="GA138" s="18"/>
      <c r="GB138" s="18"/>
      <c r="GC138" s="18"/>
      <c r="GD138" s="17"/>
      <c r="GE138" s="9"/>
      <c r="GF138" s="9"/>
      <c r="GG138" s="18"/>
      <c r="GH138" s="18"/>
      <c r="GI138" s="18"/>
      <c r="GJ138" s="18"/>
      <c r="GK138" s="18"/>
      <c r="GL138" s="17"/>
      <c r="GM138" s="9"/>
      <c r="GN138" s="9"/>
      <c r="GO138" s="18"/>
      <c r="GP138" s="18"/>
      <c r="GQ138" s="18"/>
      <c r="GR138" s="18"/>
      <c r="GS138" s="18"/>
      <c r="GT138" s="17"/>
      <c r="GU138" s="9"/>
      <c r="GV138" s="9"/>
      <c r="GW138" s="18"/>
      <c r="GX138" s="18"/>
      <c r="GY138" s="18"/>
      <c r="GZ138" s="18"/>
      <c r="HA138" s="18"/>
      <c r="HB138" s="17"/>
      <c r="HC138" s="9"/>
      <c r="HD138" s="9"/>
      <c r="HE138" s="18"/>
      <c r="HF138" s="18"/>
      <c r="HG138" s="18"/>
      <c r="HH138" s="18"/>
      <c r="HI138" s="18"/>
      <c r="HJ138" s="17"/>
      <c r="HK138" s="9"/>
      <c r="HL138" s="9"/>
      <c r="HM138" s="18"/>
      <c r="HN138" s="18"/>
      <c r="HO138" s="18"/>
      <c r="HP138" s="18"/>
      <c r="HQ138" s="18"/>
      <c r="HR138" s="17"/>
      <c r="HS138" s="9"/>
      <c r="HT138" s="9"/>
      <c r="HU138" s="18"/>
      <c r="HV138" s="18"/>
      <c r="HW138" s="18"/>
      <c r="HX138" s="18"/>
      <c r="HY138" s="18"/>
      <c r="HZ138" s="17"/>
      <c r="IA138" s="9"/>
      <c r="IB138" s="9"/>
      <c r="IC138" s="18"/>
      <c r="ID138" s="18"/>
      <c r="IE138" s="18"/>
      <c r="IF138" s="18"/>
      <c r="IG138" s="18"/>
      <c r="IH138" s="17"/>
      <c r="II138" s="9"/>
      <c r="IJ138" s="9"/>
      <c r="IK138" s="18"/>
      <c r="IL138" s="18"/>
      <c r="IM138" s="18"/>
      <c r="IN138" s="18"/>
      <c r="IO138" s="18"/>
      <c r="IP138" s="17"/>
      <c r="IQ138" s="9"/>
      <c r="IR138" s="9"/>
      <c r="IS138" s="18"/>
      <c r="IT138" s="18"/>
      <c r="IU138" s="18"/>
      <c r="IV138" s="18"/>
      <c r="IW138" s="18"/>
      <c r="IX138" s="17"/>
      <c r="IY138" s="9"/>
      <c r="IZ138" s="9"/>
      <c r="JA138" s="18"/>
      <c r="JB138" s="18"/>
      <c r="JC138" s="18"/>
      <c r="JD138" s="18"/>
      <c r="JE138" s="18"/>
      <c r="JF138" s="17"/>
      <c r="JG138" s="9"/>
      <c r="JH138" s="9"/>
      <c r="JI138" s="18"/>
      <c r="JJ138" s="18"/>
      <c r="JK138" s="18"/>
      <c r="JL138" s="18"/>
      <c r="JM138" s="18"/>
      <c r="JN138" s="17"/>
      <c r="JO138" s="9"/>
      <c r="JP138" s="9"/>
      <c r="JQ138" s="18"/>
      <c r="JR138" s="18"/>
      <c r="JS138" s="18"/>
      <c r="JT138" s="18"/>
      <c r="JU138" s="18"/>
      <c r="JV138" s="17"/>
      <c r="JW138" s="9"/>
      <c r="JX138" s="9"/>
      <c r="JY138" s="18"/>
      <c r="JZ138" s="18"/>
      <c r="KA138" s="18"/>
      <c r="KB138" s="18"/>
      <c r="KC138" s="18"/>
      <c r="KD138" s="17"/>
      <c r="KE138" s="9"/>
      <c r="KF138" s="9"/>
      <c r="KG138" s="18"/>
      <c r="KH138" s="18"/>
      <c r="KI138" s="18"/>
      <c r="KJ138" s="18"/>
      <c r="KK138" s="18"/>
      <c r="KL138" s="17"/>
      <c r="KM138" s="9"/>
      <c r="KN138" s="9"/>
      <c r="KO138" s="18"/>
      <c r="KP138" s="18"/>
      <c r="KQ138" s="18"/>
      <c r="KR138" s="18"/>
      <c r="KS138" s="18"/>
      <c r="KT138" s="17"/>
      <c r="KU138" s="9"/>
      <c r="KV138" s="9"/>
      <c r="KW138" s="18"/>
      <c r="KX138" s="18"/>
      <c r="KY138" s="18"/>
      <c r="KZ138" s="18"/>
      <c r="LA138" s="18"/>
      <c r="LB138" s="17"/>
      <c r="LC138" s="9"/>
      <c r="LD138" s="9"/>
      <c r="LE138" s="18"/>
      <c r="LF138" s="18"/>
      <c r="LG138" s="18"/>
      <c r="LH138" s="18"/>
      <c r="LI138" s="18"/>
      <c r="LJ138" s="17"/>
      <c r="LK138" s="9"/>
      <c r="LL138" s="9"/>
      <c r="LM138" s="18"/>
      <c r="LN138" s="18"/>
      <c r="LO138" s="18"/>
      <c r="LP138" s="18"/>
      <c r="LQ138" s="18"/>
      <c r="LR138" s="17"/>
      <c r="LS138" s="9"/>
      <c r="LT138" s="9"/>
      <c r="LU138" s="18"/>
      <c r="LV138" s="18"/>
      <c r="LW138" s="18"/>
      <c r="LX138" s="18"/>
      <c r="LY138" s="18"/>
      <c r="LZ138" s="17"/>
      <c r="MA138" s="9"/>
      <c r="MB138" s="9"/>
      <c r="MC138" s="18"/>
      <c r="MD138" s="18"/>
      <c r="ME138" s="18"/>
      <c r="MF138" s="18"/>
      <c r="MG138" s="18"/>
      <c r="MH138" s="17"/>
      <c r="MI138" s="9"/>
      <c r="MJ138" s="9"/>
      <c r="MK138" s="18"/>
      <c r="ML138" s="18"/>
      <c r="MM138" s="18"/>
      <c r="MN138" s="18"/>
      <c r="MO138" s="18"/>
      <c r="MP138" s="17"/>
      <c r="MQ138" s="9"/>
      <c r="MR138" s="9"/>
      <c r="MS138" s="18"/>
      <c r="MT138" s="18"/>
      <c r="MU138" s="18"/>
      <c r="MV138" s="18"/>
      <c r="MW138" s="18"/>
      <c r="MX138" s="17"/>
      <c r="MY138" s="9"/>
      <c r="MZ138" s="9"/>
      <c r="NA138" s="18"/>
      <c r="NB138" s="18"/>
      <c r="NC138" s="18"/>
      <c r="ND138" s="18"/>
      <c r="NE138" s="18"/>
      <c r="NF138" s="17"/>
      <c r="NG138" s="9"/>
      <c r="NH138" s="9"/>
      <c r="NI138" s="18"/>
      <c r="NJ138" s="18"/>
      <c r="NK138" s="18"/>
      <c r="NL138" s="18"/>
      <c r="NM138" s="18"/>
      <c r="NN138" s="17"/>
      <c r="NO138" s="9"/>
      <c r="NP138" s="9"/>
      <c r="NQ138" s="18"/>
      <c r="NR138" s="18"/>
      <c r="NS138" s="18"/>
      <c r="NT138" s="18"/>
      <c r="NU138" s="18"/>
      <c r="NV138" s="17"/>
      <c r="NW138" s="9"/>
      <c r="NX138" s="9"/>
      <c r="NY138" s="18"/>
      <c r="NZ138" s="18"/>
      <c r="OA138" s="18"/>
      <c r="OB138" s="18"/>
      <c r="OC138" s="18"/>
      <c r="OD138" s="17"/>
      <c r="OE138" s="9"/>
      <c r="OF138" s="9"/>
      <c r="OG138" s="18"/>
      <c r="OH138" s="18"/>
      <c r="OI138" s="18"/>
      <c r="OJ138" s="18"/>
      <c r="OK138" s="18"/>
      <c r="OL138" s="17"/>
      <c r="OM138" s="9"/>
      <c r="ON138" s="9"/>
      <c r="OO138" s="18"/>
      <c r="OP138" s="18"/>
      <c r="OQ138" s="18"/>
      <c r="OR138" s="18"/>
      <c r="OS138" s="18"/>
      <c r="OT138" s="17"/>
      <c r="OU138" s="9"/>
      <c r="OV138" s="9"/>
      <c r="OW138" s="18"/>
      <c r="OX138" s="18"/>
      <c r="OY138" s="18"/>
      <c r="OZ138" s="18"/>
      <c r="PA138" s="18"/>
      <c r="PB138" s="17"/>
      <c r="PC138" s="9"/>
      <c r="PD138" s="9"/>
      <c r="PE138" s="18"/>
      <c r="PF138" s="18"/>
      <c r="PG138" s="18"/>
      <c r="PH138" s="18"/>
      <c r="PI138" s="18"/>
      <c r="PJ138" s="17"/>
      <c r="PK138" s="9"/>
      <c r="PL138" s="9"/>
      <c r="PM138" s="18"/>
      <c r="PN138" s="18"/>
      <c r="PO138" s="18"/>
      <c r="PP138" s="18"/>
      <c r="PQ138" s="18"/>
      <c r="PR138" s="17"/>
      <c r="PS138" s="9"/>
      <c r="PT138" s="9"/>
      <c r="PU138" s="18"/>
      <c r="PV138" s="18"/>
      <c r="PW138" s="18"/>
      <c r="PX138" s="18"/>
      <c r="PY138" s="18"/>
      <c r="PZ138" s="17"/>
      <c r="QA138" s="9"/>
      <c r="QB138" s="9"/>
      <c r="QC138" s="18"/>
      <c r="QD138" s="18"/>
      <c r="QE138" s="18"/>
      <c r="QF138" s="18"/>
      <c r="QG138" s="18"/>
      <c r="QH138" s="17"/>
      <c r="QI138" s="9"/>
      <c r="QJ138" s="9"/>
      <c r="QK138" s="18"/>
      <c r="QL138" s="18"/>
      <c r="QM138" s="18"/>
      <c r="QN138" s="18"/>
      <c r="QO138" s="18"/>
      <c r="QP138" s="17"/>
      <c r="QQ138" s="9"/>
      <c r="QR138" s="9"/>
      <c r="QS138" s="18"/>
      <c r="QT138" s="18"/>
      <c r="QU138" s="18"/>
      <c r="QV138" s="18"/>
      <c r="QW138" s="18"/>
      <c r="QX138" s="17"/>
      <c r="QY138" s="9"/>
      <c r="QZ138" s="9"/>
      <c r="RA138" s="18"/>
      <c r="RB138" s="18"/>
      <c r="RC138" s="18"/>
      <c r="RD138" s="18"/>
      <c r="RE138" s="18"/>
      <c r="RF138" s="17"/>
      <c r="RG138" s="9"/>
      <c r="RH138" s="9"/>
      <c r="RI138" s="18"/>
      <c r="RJ138" s="18"/>
      <c r="RK138" s="18"/>
      <c r="RL138" s="18"/>
      <c r="RM138" s="18"/>
      <c r="RN138" s="17"/>
      <c r="RO138" s="9"/>
      <c r="RP138" s="9"/>
      <c r="RQ138" s="18"/>
      <c r="RR138" s="18"/>
      <c r="RS138" s="18"/>
      <c r="RT138" s="18"/>
      <c r="RU138" s="18"/>
      <c r="RV138" s="17"/>
      <c r="RW138" s="9"/>
      <c r="RX138" s="9"/>
      <c r="RY138" s="18"/>
      <c r="RZ138" s="18"/>
      <c r="SA138" s="18"/>
      <c r="SB138" s="18"/>
      <c r="SC138" s="18"/>
      <c r="SD138" s="17"/>
      <c r="SE138" s="9"/>
      <c r="SF138" s="9"/>
      <c r="SG138" s="18"/>
      <c r="SH138" s="18"/>
      <c r="SI138" s="18"/>
      <c r="SJ138" s="18"/>
      <c r="SK138" s="18"/>
      <c r="SL138" s="17"/>
      <c r="SM138" s="9"/>
      <c r="SN138" s="9"/>
      <c r="SO138" s="18"/>
      <c r="SP138" s="18"/>
      <c r="SQ138" s="18"/>
      <c r="SR138" s="18"/>
      <c r="SS138" s="18"/>
      <c r="ST138" s="17"/>
      <c r="SU138" s="9"/>
      <c r="SV138" s="9"/>
      <c r="SW138" s="18"/>
      <c r="SX138" s="18"/>
      <c r="SY138" s="18"/>
      <c r="SZ138" s="18"/>
      <c r="TA138" s="18"/>
      <c r="TB138" s="17"/>
      <c r="TC138" s="9"/>
      <c r="TD138" s="9"/>
      <c r="TE138" s="18"/>
      <c r="TF138" s="18"/>
      <c r="TG138" s="18"/>
      <c r="TH138" s="18"/>
      <c r="TI138" s="18"/>
      <c r="TJ138" s="17"/>
      <c r="TK138" s="9"/>
      <c r="TL138" s="9"/>
      <c r="TM138" s="18"/>
      <c r="TN138" s="18"/>
      <c r="TO138" s="18"/>
      <c r="TP138" s="18"/>
      <c r="TQ138" s="18"/>
      <c r="TR138" s="17"/>
      <c r="TS138" s="9"/>
      <c r="TT138" s="9"/>
      <c r="TU138" s="18"/>
      <c r="TV138" s="18"/>
      <c r="TW138" s="18"/>
      <c r="TX138" s="18"/>
      <c r="TY138" s="18"/>
      <c r="TZ138" s="17"/>
      <c r="UA138" s="9"/>
      <c r="UB138" s="9"/>
      <c r="UC138" s="18"/>
      <c r="UD138" s="18"/>
      <c r="UE138" s="18"/>
      <c r="UF138" s="18"/>
      <c r="UG138" s="18"/>
      <c r="UH138" s="17"/>
      <c r="UI138" s="9"/>
      <c r="UJ138" s="9"/>
      <c r="UK138" s="18"/>
      <c r="UL138" s="18"/>
      <c r="UM138" s="18"/>
      <c r="UN138" s="18"/>
      <c r="UO138" s="18"/>
      <c r="UP138" s="17"/>
      <c r="UQ138" s="9"/>
      <c r="UR138" s="9"/>
      <c r="US138" s="18"/>
      <c r="UT138" s="18"/>
      <c r="UU138" s="18"/>
      <c r="UV138" s="18"/>
      <c r="UW138" s="18"/>
      <c r="UX138" s="17"/>
      <c r="UY138" s="9"/>
      <c r="UZ138" s="9"/>
      <c r="VA138" s="18"/>
      <c r="VB138" s="18"/>
      <c r="VC138" s="18"/>
      <c r="VD138" s="18"/>
      <c r="VE138" s="18"/>
      <c r="VF138" s="17"/>
      <c r="VG138" s="9"/>
      <c r="VH138" s="9"/>
      <c r="VI138" s="18"/>
      <c r="VJ138" s="18"/>
      <c r="VK138" s="18"/>
      <c r="VL138" s="18"/>
      <c r="VM138" s="18"/>
      <c r="VN138" s="17"/>
      <c r="VO138" s="9"/>
      <c r="VP138" s="9"/>
      <c r="VQ138" s="18"/>
      <c r="VR138" s="18"/>
      <c r="VS138" s="18"/>
      <c r="VT138" s="18"/>
      <c r="VU138" s="18"/>
      <c r="VV138" s="17"/>
      <c r="VW138" s="9"/>
      <c r="VX138" s="9"/>
      <c r="VY138" s="18"/>
      <c r="VZ138" s="18"/>
      <c r="WA138" s="18"/>
      <c r="WB138" s="18"/>
      <c r="WC138" s="18"/>
      <c r="WD138" s="17"/>
      <c r="WE138" s="9"/>
      <c r="WF138" s="9"/>
      <c r="WG138" s="18"/>
      <c r="WH138" s="18"/>
      <c r="WI138" s="18"/>
      <c r="WJ138" s="18"/>
      <c r="WK138" s="18"/>
      <c r="WL138" s="17"/>
      <c r="WM138" s="9"/>
      <c r="WN138" s="9"/>
      <c r="WO138" s="18"/>
      <c r="WP138" s="18"/>
      <c r="WQ138" s="18"/>
      <c r="WR138" s="18"/>
      <c r="WS138" s="18"/>
      <c r="WT138" s="17"/>
      <c r="WU138" s="9"/>
      <c r="WV138" s="9"/>
      <c r="WW138" s="18"/>
      <c r="WX138" s="18"/>
      <c r="WY138" s="18"/>
      <c r="WZ138" s="18"/>
      <c r="XA138" s="18"/>
      <c r="XB138" s="17"/>
      <c r="XC138" s="9"/>
      <c r="XD138" s="9"/>
      <c r="XE138" s="18"/>
      <c r="XF138" s="18"/>
      <c r="XG138" s="18"/>
      <c r="XH138" s="18"/>
      <c r="XI138" s="18"/>
      <c r="XJ138" s="17"/>
      <c r="XK138" s="9"/>
      <c r="XL138" s="9"/>
      <c r="XM138" s="18"/>
      <c r="XN138" s="18"/>
      <c r="XO138" s="18"/>
      <c r="XP138" s="18"/>
      <c r="XQ138" s="18"/>
      <c r="XR138" s="17"/>
      <c r="XS138" s="9"/>
      <c r="XT138" s="9"/>
      <c r="XU138" s="18"/>
      <c r="XV138" s="18"/>
      <c r="XW138" s="18"/>
      <c r="XX138" s="18"/>
      <c r="XY138" s="18"/>
      <c r="XZ138" s="17"/>
      <c r="YA138" s="9"/>
      <c r="YB138" s="9"/>
      <c r="YC138" s="18"/>
      <c r="YD138" s="18"/>
      <c r="YE138" s="18"/>
      <c r="YF138" s="18"/>
      <c r="YG138" s="18"/>
      <c r="YH138" s="17"/>
      <c r="YI138" s="9"/>
      <c r="YJ138" s="9"/>
      <c r="YK138" s="18"/>
      <c r="YL138" s="18"/>
      <c r="YM138" s="18"/>
      <c r="YN138" s="18"/>
      <c r="YO138" s="18"/>
      <c r="YP138" s="17"/>
      <c r="YQ138" s="9"/>
      <c r="YR138" s="9"/>
      <c r="YS138" s="18"/>
      <c r="YT138" s="18"/>
      <c r="YU138" s="18"/>
      <c r="YV138" s="18"/>
      <c r="YW138" s="18"/>
      <c r="YX138" s="17"/>
      <c r="YY138" s="9"/>
      <c r="YZ138" s="9"/>
      <c r="ZA138" s="18"/>
      <c r="ZB138" s="18"/>
      <c r="ZC138" s="18"/>
      <c r="ZD138" s="18"/>
      <c r="ZE138" s="18"/>
      <c r="ZF138" s="17"/>
      <c r="ZG138" s="9"/>
      <c r="ZH138" s="9"/>
      <c r="ZI138" s="18"/>
      <c r="ZJ138" s="18"/>
      <c r="ZK138" s="18"/>
      <c r="ZL138" s="18"/>
      <c r="ZM138" s="18"/>
      <c r="ZN138" s="17"/>
      <c r="ZO138" s="9"/>
      <c r="ZP138" s="9"/>
      <c r="ZQ138" s="18"/>
      <c r="ZR138" s="18"/>
      <c r="ZS138" s="18"/>
      <c r="ZT138" s="18"/>
      <c r="ZU138" s="18"/>
      <c r="ZV138" s="17"/>
      <c r="ZW138" s="9"/>
      <c r="ZX138" s="9"/>
      <c r="ZY138" s="18"/>
      <c r="ZZ138" s="18"/>
      <c r="AAA138" s="18"/>
      <c r="AAB138" s="18"/>
      <c r="AAC138" s="18"/>
      <c r="AAD138" s="17"/>
      <c r="AAE138" s="9"/>
      <c r="AAF138" s="9"/>
      <c r="AAG138" s="18"/>
      <c r="AAH138" s="18"/>
      <c r="AAI138" s="18"/>
      <c r="AAJ138" s="18"/>
      <c r="AAK138" s="18"/>
      <c r="AAL138" s="17"/>
      <c r="AAM138" s="9"/>
      <c r="AAN138" s="9"/>
      <c r="AAO138" s="18"/>
      <c r="AAP138" s="18"/>
      <c r="AAQ138" s="18"/>
      <c r="AAR138" s="18"/>
      <c r="AAS138" s="18"/>
      <c r="AAT138" s="17"/>
      <c r="AAU138" s="9"/>
      <c r="AAV138" s="9"/>
      <c r="AAW138" s="18"/>
      <c r="AAX138" s="18"/>
      <c r="AAY138" s="18"/>
      <c r="AAZ138" s="18"/>
      <c r="ABA138" s="18"/>
      <c r="ABB138" s="17"/>
      <c r="ABC138" s="9"/>
      <c r="ABD138" s="9"/>
      <c r="ABE138" s="18"/>
      <c r="ABF138" s="18"/>
      <c r="ABG138" s="18"/>
      <c r="ABH138" s="18"/>
      <c r="ABI138" s="18"/>
      <c r="ABJ138" s="17"/>
      <c r="ABK138" s="9"/>
      <c r="ABL138" s="9"/>
      <c r="ABM138" s="18"/>
      <c r="ABN138" s="18"/>
      <c r="ABO138" s="18"/>
      <c r="ABP138" s="18"/>
      <c r="ABQ138" s="18"/>
      <c r="ABR138" s="17"/>
      <c r="ABS138" s="9"/>
      <c r="ABT138" s="9"/>
      <c r="ABU138" s="18"/>
      <c r="ABV138" s="18"/>
      <c r="ABW138" s="18"/>
      <c r="ABX138" s="18"/>
      <c r="ABY138" s="18"/>
      <c r="ABZ138" s="17"/>
      <c r="ACA138" s="9"/>
      <c r="ACB138" s="9"/>
      <c r="ACC138" s="18"/>
      <c r="ACD138" s="18"/>
      <c r="ACE138" s="18"/>
      <c r="ACF138" s="18"/>
      <c r="ACG138" s="18"/>
      <c r="ACH138" s="17"/>
      <c r="ACI138" s="9"/>
      <c r="ACJ138" s="9"/>
      <c r="ACK138" s="18"/>
      <c r="ACL138" s="18"/>
      <c r="ACM138" s="18"/>
      <c r="ACN138" s="18"/>
      <c r="ACO138" s="18"/>
      <c r="ACP138" s="17"/>
      <c r="ACQ138" s="9"/>
      <c r="ACR138" s="9"/>
      <c r="ACS138" s="18"/>
      <c r="ACT138" s="18"/>
      <c r="ACU138" s="18"/>
      <c r="ACV138" s="18"/>
      <c r="ACW138" s="18"/>
      <c r="ACX138" s="17"/>
      <c r="ACY138" s="9"/>
      <c r="ACZ138" s="9"/>
      <c r="ADA138" s="18"/>
      <c r="ADB138" s="18"/>
      <c r="ADC138" s="18"/>
      <c r="ADD138" s="18"/>
      <c r="ADE138" s="18"/>
      <c r="ADF138" s="17"/>
      <c r="ADG138" s="9"/>
      <c r="ADH138" s="9"/>
      <c r="ADI138" s="18"/>
      <c r="ADJ138" s="18"/>
      <c r="ADK138" s="18"/>
      <c r="ADL138" s="18"/>
      <c r="ADM138" s="18"/>
      <c r="ADN138" s="17"/>
      <c r="ADO138" s="9"/>
      <c r="ADP138" s="9"/>
      <c r="ADQ138" s="18"/>
      <c r="ADR138" s="18"/>
      <c r="ADS138" s="18"/>
      <c r="ADT138" s="18"/>
      <c r="ADU138" s="18"/>
      <c r="ADV138" s="17"/>
      <c r="ADW138" s="9"/>
      <c r="ADX138" s="9"/>
      <c r="ADY138" s="18"/>
      <c r="ADZ138" s="18"/>
      <c r="AEA138" s="18"/>
      <c r="AEB138" s="18"/>
      <c r="AEC138" s="18"/>
      <c r="AED138" s="17"/>
      <c r="AEE138" s="9"/>
      <c r="AEF138" s="9"/>
      <c r="AEG138" s="18"/>
      <c r="AEH138" s="18"/>
      <c r="AEI138" s="18"/>
      <c r="AEJ138" s="18"/>
      <c r="AEK138" s="18"/>
      <c r="AEL138" s="17"/>
      <c r="AEM138" s="9"/>
      <c r="AEN138" s="9"/>
      <c r="AEO138" s="18"/>
      <c r="AEP138" s="18"/>
      <c r="AEQ138" s="18"/>
      <c r="AER138" s="18"/>
      <c r="AES138" s="18"/>
      <c r="AET138" s="17"/>
      <c r="AEU138" s="9"/>
      <c r="AEV138" s="9"/>
      <c r="AEW138" s="18"/>
      <c r="AEX138" s="18"/>
      <c r="AEY138" s="18"/>
      <c r="AEZ138" s="18"/>
      <c r="AFA138" s="18"/>
      <c r="AFB138" s="17"/>
      <c r="AFC138" s="9"/>
      <c r="AFD138" s="9"/>
      <c r="AFE138" s="18"/>
      <c r="AFF138" s="18"/>
      <c r="AFG138" s="18"/>
      <c r="AFH138" s="18"/>
      <c r="AFI138" s="18"/>
      <c r="AFJ138" s="17"/>
      <c r="AFK138" s="9"/>
      <c r="AFL138" s="9"/>
      <c r="AFM138" s="18"/>
      <c r="AFN138" s="18"/>
      <c r="AFO138" s="18"/>
      <c r="AFP138" s="18"/>
      <c r="AFQ138" s="18"/>
      <c r="AFR138" s="17"/>
      <c r="AFS138" s="9"/>
      <c r="AFT138" s="9"/>
      <c r="AFU138" s="18"/>
      <c r="AFV138" s="18"/>
      <c r="AFW138" s="18"/>
      <c r="AFX138" s="18"/>
      <c r="AFY138" s="18"/>
      <c r="AFZ138" s="17"/>
      <c r="AGA138" s="9"/>
      <c r="AGB138" s="9"/>
      <c r="AGC138" s="18"/>
      <c r="AGD138" s="18"/>
      <c r="AGE138" s="18"/>
      <c r="AGF138" s="18"/>
      <c r="AGG138" s="18"/>
      <c r="AGH138" s="17"/>
      <c r="AGI138" s="9"/>
      <c r="AGJ138" s="9"/>
      <c r="AGK138" s="18"/>
      <c r="AGL138" s="18"/>
      <c r="AGM138" s="18"/>
      <c r="AGN138" s="18"/>
      <c r="AGO138" s="18"/>
      <c r="AGP138" s="17"/>
      <c r="AGQ138" s="9"/>
      <c r="AGR138" s="9"/>
      <c r="AGS138" s="18"/>
      <c r="AGT138" s="18"/>
      <c r="AGU138" s="18"/>
      <c r="AGV138" s="18"/>
      <c r="AGW138" s="18"/>
      <c r="AGX138" s="17"/>
      <c r="AGY138" s="9"/>
      <c r="AGZ138" s="9"/>
      <c r="AHA138" s="18"/>
      <c r="AHB138" s="18"/>
      <c r="AHC138" s="18"/>
      <c r="AHD138" s="18"/>
      <c r="AHE138" s="18"/>
      <c r="AHF138" s="17"/>
      <c r="AHG138" s="9"/>
      <c r="AHH138" s="9"/>
      <c r="AHI138" s="18"/>
      <c r="AHJ138" s="18"/>
      <c r="AHK138" s="18"/>
      <c r="AHL138" s="18"/>
      <c r="AHM138" s="18"/>
      <c r="AHN138" s="17"/>
      <c r="AHO138" s="9"/>
      <c r="AHP138" s="9"/>
      <c r="AHQ138" s="18"/>
      <c r="AHR138" s="18"/>
      <c r="AHS138" s="18"/>
      <c r="AHT138" s="18"/>
      <c r="AHU138" s="18"/>
      <c r="AHV138" s="17"/>
      <c r="AHW138" s="9"/>
      <c r="AHX138" s="9"/>
      <c r="AHY138" s="18"/>
      <c r="AHZ138" s="18"/>
      <c r="AIA138" s="18"/>
      <c r="AIB138" s="18"/>
      <c r="AIC138" s="18"/>
      <c r="AID138" s="17"/>
      <c r="AIE138" s="9"/>
      <c r="AIF138" s="9"/>
      <c r="AIG138" s="18"/>
      <c r="AIH138" s="18"/>
      <c r="AII138" s="18"/>
      <c r="AIJ138" s="18"/>
      <c r="AIK138" s="18"/>
      <c r="AIL138" s="17"/>
      <c r="AIM138" s="9"/>
      <c r="AIN138" s="9"/>
      <c r="AIO138" s="18"/>
      <c r="AIP138" s="18"/>
      <c r="AIQ138" s="18"/>
      <c r="AIR138" s="18"/>
      <c r="AIS138" s="18"/>
      <c r="AIT138" s="17"/>
      <c r="AIU138" s="9"/>
      <c r="AIV138" s="9"/>
      <c r="AIW138" s="18"/>
      <c r="AIX138" s="18"/>
      <c r="AIY138" s="18"/>
      <c r="AIZ138" s="18"/>
      <c r="AJA138" s="18"/>
      <c r="AJB138" s="17"/>
      <c r="AJC138" s="9"/>
      <c r="AJD138" s="9"/>
      <c r="AJE138" s="18"/>
      <c r="AJF138" s="18"/>
      <c r="AJG138" s="18"/>
      <c r="AJH138" s="18"/>
      <c r="AJI138" s="18"/>
      <c r="AJJ138" s="17"/>
      <c r="AJK138" s="9"/>
      <c r="AJL138" s="9"/>
      <c r="AJM138" s="18"/>
      <c r="AJN138" s="18"/>
      <c r="AJO138" s="18"/>
      <c r="AJP138" s="18"/>
      <c r="AJQ138" s="18"/>
      <c r="AJR138" s="17"/>
      <c r="AJS138" s="9"/>
      <c r="AJT138" s="9"/>
      <c r="AJU138" s="18"/>
      <c r="AJV138" s="18"/>
      <c r="AJW138" s="18"/>
      <c r="AJX138" s="18"/>
      <c r="AJY138" s="18"/>
      <c r="AJZ138" s="17"/>
      <c r="AKA138" s="9"/>
      <c r="AKB138" s="9"/>
      <c r="AKC138" s="18"/>
      <c r="AKD138" s="18"/>
      <c r="AKE138" s="18"/>
      <c r="AKF138" s="18"/>
      <c r="AKG138" s="18"/>
      <c r="AKH138" s="17"/>
      <c r="AKI138" s="9"/>
      <c r="AKJ138" s="9"/>
      <c r="AKK138" s="18"/>
      <c r="AKL138" s="18"/>
      <c r="AKM138" s="18"/>
      <c r="AKN138" s="18"/>
      <c r="AKO138" s="18"/>
      <c r="AKP138" s="17"/>
      <c r="AKQ138" s="9"/>
      <c r="AKR138" s="9"/>
      <c r="AKS138" s="18"/>
      <c r="AKT138" s="18"/>
      <c r="AKU138" s="18"/>
      <c r="AKV138" s="18"/>
      <c r="AKW138" s="18"/>
      <c r="AKX138" s="17"/>
      <c r="AKY138" s="9"/>
      <c r="AKZ138" s="9"/>
      <c r="ALA138" s="18"/>
      <c r="ALB138" s="18"/>
      <c r="ALC138" s="18"/>
      <c r="ALD138" s="18"/>
      <c r="ALE138" s="18"/>
      <c r="ALF138" s="17"/>
      <c r="ALG138" s="9"/>
      <c r="ALH138" s="9"/>
      <c r="ALI138" s="18"/>
      <c r="ALJ138" s="18"/>
      <c r="ALK138" s="18"/>
      <c r="ALL138" s="18"/>
      <c r="ALM138" s="18"/>
      <c r="ALN138" s="17"/>
      <c r="ALO138" s="9"/>
      <c r="ALP138" s="9"/>
      <c r="ALQ138" s="18"/>
      <c r="ALR138" s="18"/>
      <c r="ALS138" s="18"/>
      <c r="ALT138" s="18"/>
      <c r="ALU138" s="18"/>
      <c r="ALV138" s="17"/>
      <c r="ALW138" s="9"/>
      <c r="ALX138" s="9"/>
      <c r="ALY138" s="18"/>
      <c r="ALZ138" s="18"/>
      <c r="AMA138" s="18"/>
      <c r="AMB138" s="18"/>
      <c r="AMC138" s="18"/>
      <c r="AMD138" s="17"/>
      <c r="AME138" s="9"/>
      <c r="AMF138" s="9"/>
      <c r="AMG138" s="18"/>
      <c r="AMH138" s="18"/>
      <c r="AMI138" s="18"/>
      <c r="AMJ138" s="18"/>
      <c r="AMK138" s="18"/>
      <c r="AML138" s="17"/>
      <c r="AMM138" s="9"/>
      <c r="AMN138" s="9"/>
      <c r="AMO138" s="18"/>
      <c r="AMP138" s="18"/>
      <c r="AMQ138" s="18"/>
      <c r="AMR138" s="18"/>
      <c r="AMS138" s="18"/>
      <c r="AMT138" s="17"/>
      <c r="AMU138" s="9"/>
      <c r="AMV138" s="9"/>
      <c r="AMW138" s="18"/>
      <c r="AMX138" s="18"/>
      <c r="AMY138" s="18"/>
      <c r="AMZ138" s="18"/>
      <c r="ANA138" s="18"/>
      <c r="ANB138" s="17"/>
      <c r="ANC138" s="9"/>
      <c r="AND138" s="9"/>
      <c r="ANE138" s="18"/>
      <c r="ANF138" s="18"/>
      <c r="ANG138" s="18"/>
      <c r="ANH138" s="18"/>
      <c r="ANI138" s="18"/>
      <c r="ANJ138" s="17"/>
      <c r="ANK138" s="9"/>
      <c r="ANL138" s="9"/>
      <c r="ANM138" s="18"/>
      <c r="ANN138" s="18"/>
      <c r="ANO138" s="18"/>
      <c r="ANP138" s="18"/>
      <c r="ANQ138" s="18"/>
      <c r="ANR138" s="17"/>
      <c r="ANS138" s="9"/>
      <c r="ANT138" s="9"/>
      <c r="ANU138" s="18"/>
      <c r="ANV138" s="18"/>
      <c r="ANW138" s="18"/>
      <c r="ANX138" s="18"/>
      <c r="ANY138" s="18"/>
      <c r="ANZ138" s="17"/>
      <c r="AOA138" s="9"/>
      <c r="AOB138" s="9"/>
      <c r="AOC138" s="18"/>
      <c r="AOD138" s="18"/>
      <c r="AOE138" s="18"/>
      <c r="AOF138" s="18"/>
      <c r="AOG138" s="18"/>
      <c r="AOH138" s="17"/>
      <c r="AOI138" s="9"/>
      <c r="AOJ138" s="9"/>
      <c r="AOK138" s="18"/>
      <c r="AOL138" s="18"/>
      <c r="AOM138" s="18"/>
      <c r="AON138" s="18"/>
      <c r="AOO138" s="18"/>
      <c r="AOP138" s="17"/>
      <c r="AOQ138" s="9"/>
      <c r="AOR138" s="9"/>
      <c r="AOS138" s="18"/>
      <c r="AOT138" s="18"/>
      <c r="AOU138" s="18"/>
      <c r="AOV138" s="18"/>
      <c r="AOW138" s="18"/>
      <c r="AOX138" s="17"/>
      <c r="AOY138" s="9"/>
      <c r="AOZ138" s="9"/>
      <c r="APA138" s="18"/>
      <c r="APB138" s="18"/>
      <c r="APC138" s="18"/>
      <c r="APD138" s="18"/>
      <c r="APE138" s="18"/>
      <c r="APF138" s="17"/>
      <c r="APG138" s="9"/>
      <c r="APH138" s="9"/>
      <c r="API138" s="18"/>
      <c r="APJ138" s="18"/>
      <c r="APK138" s="18"/>
      <c r="APL138" s="18"/>
      <c r="APM138" s="18"/>
      <c r="APN138" s="17"/>
      <c r="APO138" s="9"/>
      <c r="APP138" s="9"/>
      <c r="APQ138" s="18"/>
      <c r="APR138" s="18"/>
      <c r="APS138" s="18"/>
      <c r="APT138" s="18"/>
      <c r="APU138" s="18"/>
      <c r="APV138" s="17"/>
      <c r="APW138" s="9"/>
      <c r="APX138" s="9"/>
      <c r="APY138" s="18"/>
      <c r="APZ138" s="18"/>
      <c r="AQA138" s="18"/>
      <c r="AQB138" s="18"/>
      <c r="AQC138" s="18"/>
      <c r="AQD138" s="17"/>
      <c r="AQE138" s="9"/>
      <c r="AQF138" s="9"/>
      <c r="AQG138" s="18"/>
      <c r="AQH138" s="18"/>
      <c r="AQI138" s="18"/>
      <c r="AQJ138" s="18"/>
      <c r="AQK138" s="18"/>
      <c r="AQL138" s="17"/>
      <c r="AQM138" s="9"/>
      <c r="AQN138" s="9"/>
      <c r="AQO138" s="18"/>
      <c r="AQP138" s="18"/>
      <c r="AQQ138" s="18"/>
      <c r="AQR138" s="18"/>
      <c r="AQS138" s="18"/>
      <c r="AQT138" s="17"/>
      <c r="AQU138" s="9"/>
      <c r="AQV138" s="9"/>
      <c r="AQW138" s="18"/>
      <c r="AQX138" s="18"/>
      <c r="AQY138" s="18"/>
      <c r="AQZ138" s="18"/>
      <c r="ARA138" s="18"/>
      <c r="ARB138" s="17"/>
      <c r="ARC138" s="9"/>
      <c r="ARD138" s="9"/>
      <c r="ARE138" s="18"/>
      <c r="ARF138" s="18"/>
      <c r="ARG138" s="18"/>
      <c r="ARH138" s="18"/>
      <c r="ARI138" s="18"/>
      <c r="ARJ138" s="17"/>
      <c r="ARK138" s="9"/>
      <c r="ARL138" s="9"/>
      <c r="ARM138" s="18"/>
      <c r="ARN138" s="18"/>
      <c r="ARO138" s="18"/>
      <c r="ARP138" s="18"/>
      <c r="ARQ138" s="18"/>
      <c r="ARR138" s="17"/>
      <c r="ARS138" s="9"/>
      <c r="ART138" s="9"/>
      <c r="ARU138" s="18"/>
      <c r="ARV138" s="18"/>
      <c r="ARW138" s="18"/>
      <c r="ARX138" s="18"/>
      <c r="ARY138" s="18"/>
      <c r="ARZ138" s="17"/>
      <c r="ASA138" s="9"/>
      <c r="ASB138" s="9"/>
      <c r="ASC138" s="18"/>
      <c r="ASD138" s="18"/>
      <c r="ASE138" s="18"/>
      <c r="ASF138" s="18"/>
      <c r="ASG138" s="18"/>
      <c r="ASH138" s="17"/>
      <c r="ASI138" s="9"/>
      <c r="ASJ138" s="9"/>
      <c r="ASK138" s="18"/>
      <c r="ASL138" s="18"/>
      <c r="ASM138" s="18"/>
      <c r="ASN138" s="18"/>
      <c r="ASO138" s="18"/>
      <c r="ASP138" s="17"/>
      <c r="ASQ138" s="9"/>
      <c r="ASR138" s="9"/>
      <c r="ASS138" s="18"/>
      <c r="AST138" s="18"/>
      <c r="ASU138" s="18"/>
      <c r="ASV138" s="18"/>
      <c r="ASW138" s="18"/>
      <c r="ASX138" s="17"/>
      <c r="ASY138" s="9"/>
      <c r="ASZ138" s="9"/>
      <c r="ATA138" s="18"/>
      <c r="ATB138" s="18"/>
      <c r="ATC138" s="18"/>
      <c r="ATD138" s="18"/>
      <c r="ATE138" s="18"/>
      <c r="ATF138" s="17"/>
      <c r="ATG138" s="9"/>
      <c r="ATH138" s="9"/>
      <c r="ATI138" s="18"/>
      <c r="ATJ138" s="18"/>
      <c r="ATK138" s="18"/>
      <c r="ATL138" s="18"/>
      <c r="ATM138" s="18"/>
      <c r="ATN138" s="17"/>
      <c r="ATO138" s="9"/>
      <c r="ATP138" s="9"/>
      <c r="ATQ138" s="18"/>
      <c r="ATR138" s="18"/>
      <c r="ATS138" s="18"/>
      <c r="ATT138" s="18"/>
      <c r="ATU138" s="18"/>
      <c r="ATV138" s="17"/>
      <c r="ATW138" s="9"/>
      <c r="ATX138" s="9"/>
      <c r="ATY138" s="18"/>
      <c r="ATZ138" s="18"/>
      <c r="AUA138" s="18"/>
      <c r="AUB138" s="18"/>
      <c r="AUC138" s="18"/>
      <c r="AUD138" s="17"/>
      <c r="AUE138" s="9"/>
      <c r="AUF138" s="9"/>
      <c r="AUG138" s="18"/>
      <c r="AUH138" s="18"/>
      <c r="AUI138" s="18"/>
      <c r="AUJ138" s="18"/>
      <c r="AUK138" s="18"/>
      <c r="AUL138" s="17"/>
      <c r="AUM138" s="9"/>
      <c r="AUN138" s="9"/>
      <c r="AUO138" s="18"/>
      <c r="AUP138" s="18"/>
      <c r="AUQ138" s="18"/>
      <c r="AUR138" s="18"/>
      <c r="AUS138" s="18"/>
      <c r="AUT138" s="17"/>
      <c r="AUU138" s="9"/>
      <c r="AUV138" s="9"/>
      <c r="AUW138" s="18"/>
      <c r="AUX138" s="18"/>
      <c r="AUY138" s="18"/>
      <c r="AUZ138" s="18"/>
      <c r="AVA138" s="18"/>
      <c r="AVB138" s="17"/>
      <c r="AVC138" s="9"/>
      <c r="AVD138" s="9"/>
      <c r="AVE138" s="18"/>
      <c r="AVF138" s="18"/>
      <c r="AVG138" s="18"/>
      <c r="AVH138" s="18"/>
      <c r="AVI138" s="18"/>
      <c r="AVJ138" s="17"/>
      <c r="AVK138" s="9"/>
      <c r="AVL138" s="9"/>
      <c r="AVM138" s="18"/>
      <c r="AVN138" s="18"/>
      <c r="AVO138" s="18"/>
      <c r="AVP138" s="18"/>
      <c r="AVQ138" s="18"/>
      <c r="AVR138" s="17"/>
      <c r="AVS138" s="9"/>
      <c r="AVT138" s="9"/>
      <c r="AVU138" s="18"/>
      <c r="AVV138" s="18"/>
      <c r="AVW138" s="18"/>
      <c r="AVX138" s="18"/>
      <c r="AVY138" s="18"/>
      <c r="AVZ138" s="17"/>
      <c r="AWA138" s="9"/>
      <c r="AWB138" s="9"/>
      <c r="AWC138" s="18"/>
      <c r="AWD138" s="18"/>
      <c r="AWE138" s="18"/>
      <c r="AWF138" s="18"/>
      <c r="AWG138" s="18"/>
      <c r="AWH138" s="17"/>
      <c r="AWI138" s="9"/>
      <c r="AWJ138" s="9"/>
      <c r="AWK138" s="18"/>
      <c r="AWL138" s="18"/>
      <c r="AWM138" s="18"/>
      <c r="AWN138" s="18"/>
      <c r="AWO138" s="18"/>
      <c r="AWP138" s="17"/>
      <c r="AWQ138" s="9"/>
      <c r="AWR138" s="9"/>
      <c r="AWS138" s="18"/>
      <c r="AWT138" s="18"/>
      <c r="AWU138" s="18"/>
      <c r="AWV138" s="18"/>
      <c r="AWW138" s="18"/>
      <c r="AWX138" s="17"/>
      <c r="AWY138" s="9"/>
      <c r="AWZ138" s="9"/>
      <c r="AXA138" s="18"/>
      <c r="AXB138" s="18"/>
      <c r="AXC138" s="18"/>
      <c r="AXD138" s="18"/>
      <c r="AXE138" s="18"/>
      <c r="AXF138" s="17"/>
      <c r="AXG138" s="9"/>
      <c r="AXH138" s="9"/>
      <c r="AXI138" s="18"/>
      <c r="AXJ138" s="18"/>
      <c r="AXK138" s="18"/>
      <c r="AXL138" s="18"/>
      <c r="AXM138" s="18"/>
      <c r="AXN138" s="17"/>
      <c r="AXO138" s="9"/>
      <c r="AXP138" s="9"/>
      <c r="AXQ138" s="18"/>
      <c r="AXR138" s="18"/>
      <c r="AXS138" s="18"/>
      <c r="AXT138" s="18"/>
      <c r="AXU138" s="18"/>
      <c r="AXV138" s="17"/>
      <c r="AXW138" s="9"/>
      <c r="AXX138" s="9"/>
      <c r="AXY138" s="18"/>
      <c r="AXZ138" s="18"/>
      <c r="AYA138" s="18"/>
      <c r="AYB138" s="18"/>
      <c r="AYC138" s="18"/>
      <c r="AYD138" s="17"/>
      <c r="AYE138" s="9"/>
      <c r="AYF138" s="9"/>
      <c r="AYG138" s="18"/>
      <c r="AYH138" s="18"/>
      <c r="AYI138" s="18"/>
      <c r="AYJ138" s="18"/>
      <c r="AYK138" s="18"/>
      <c r="AYL138" s="17"/>
      <c r="AYM138" s="9"/>
      <c r="AYN138" s="9"/>
      <c r="AYO138" s="18"/>
      <c r="AYP138" s="18"/>
      <c r="AYQ138" s="18"/>
      <c r="AYR138" s="18"/>
      <c r="AYS138" s="18"/>
      <c r="AYT138" s="17"/>
      <c r="AYU138" s="9"/>
      <c r="AYV138" s="9"/>
      <c r="AYW138" s="18"/>
      <c r="AYX138" s="18"/>
      <c r="AYY138" s="18"/>
      <c r="AYZ138" s="18"/>
      <c r="AZA138" s="18"/>
      <c r="AZB138" s="17"/>
      <c r="AZC138" s="9"/>
      <c r="AZD138" s="9"/>
      <c r="AZE138" s="18"/>
      <c r="AZF138" s="18"/>
      <c r="AZG138" s="18"/>
      <c r="AZH138" s="18"/>
      <c r="AZI138" s="18"/>
      <c r="AZJ138" s="17"/>
      <c r="AZK138" s="9"/>
      <c r="AZL138" s="9"/>
      <c r="AZM138" s="18"/>
      <c r="AZN138" s="18"/>
      <c r="AZO138" s="18"/>
      <c r="AZP138" s="18"/>
      <c r="AZQ138" s="18"/>
      <c r="AZR138" s="17"/>
      <c r="AZS138" s="9"/>
      <c r="AZT138" s="9"/>
      <c r="AZU138" s="18"/>
      <c r="AZV138" s="18"/>
      <c r="AZW138" s="18"/>
      <c r="AZX138" s="18"/>
      <c r="AZY138" s="18"/>
      <c r="AZZ138" s="17"/>
      <c r="BAA138" s="9"/>
      <c r="BAB138" s="9"/>
      <c r="BAC138" s="18"/>
      <c r="BAD138" s="18"/>
      <c r="BAE138" s="18"/>
      <c r="BAF138" s="18"/>
      <c r="BAG138" s="18"/>
      <c r="BAH138" s="17"/>
      <c r="BAI138" s="9"/>
      <c r="BAJ138" s="9"/>
      <c r="BAK138" s="18"/>
      <c r="BAL138" s="18"/>
      <c r="BAM138" s="18"/>
      <c r="BAN138" s="18"/>
      <c r="BAO138" s="18"/>
      <c r="BAP138" s="17"/>
      <c r="BAQ138" s="9"/>
      <c r="BAR138" s="9"/>
      <c r="BAS138" s="18"/>
      <c r="BAT138" s="18"/>
      <c r="BAU138" s="18"/>
      <c r="BAV138" s="18"/>
      <c r="BAW138" s="18"/>
      <c r="BAX138" s="17"/>
      <c r="BAY138" s="9"/>
      <c r="BAZ138" s="9"/>
      <c r="BBA138" s="18"/>
      <c r="BBB138" s="18"/>
      <c r="BBC138" s="18"/>
      <c r="BBD138" s="18"/>
      <c r="BBE138" s="18"/>
      <c r="BBF138" s="17"/>
      <c r="BBG138" s="9"/>
      <c r="BBH138" s="9"/>
      <c r="BBI138" s="18"/>
      <c r="BBJ138" s="18"/>
      <c r="BBK138" s="18"/>
      <c r="BBL138" s="18"/>
      <c r="BBM138" s="18"/>
      <c r="BBN138" s="17"/>
      <c r="BBO138" s="9"/>
      <c r="BBP138" s="9"/>
      <c r="BBQ138" s="18"/>
      <c r="BBR138" s="18"/>
      <c r="BBS138" s="18"/>
      <c r="BBT138" s="18"/>
      <c r="BBU138" s="18"/>
      <c r="BBV138" s="17"/>
      <c r="BBW138" s="9"/>
      <c r="BBX138" s="9"/>
      <c r="BBY138" s="18"/>
      <c r="BBZ138" s="18"/>
      <c r="BCA138" s="18"/>
      <c r="BCB138" s="18"/>
      <c r="BCC138" s="18"/>
      <c r="BCD138" s="17"/>
      <c r="BCE138" s="9"/>
      <c r="BCF138" s="9"/>
      <c r="BCG138" s="18"/>
      <c r="BCH138" s="18"/>
      <c r="BCI138" s="18"/>
      <c r="BCJ138" s="18"/>
      <c r="BCK138" s="18"/>
      <c r="BCL138" s="17"/>
      <c r="BCM138" s="9"/>
      <c r="BCN138" s="9"/>
      <c r="BCO138" s="18"/>
      <c r="BCP138" s="18"/>
      <c r="BCQ138" s="18"/>
      <c r="BCR138" s="18"/>
      <c r="BCS138" s="18"/>
      <c r="BCT138" s="17"/>
      <c r="BCU138" s="9"/>
      <c r="BCV138" s="9"/>
      <c r="BCW138" s="18"/>
      <c r="BCX138" s="18"/>
      <c r="BCY138" s="18"/>
      <c r="BCZ138" s="18"/>
      <c r="BDA138" s="18"/>
      <c r="BDB138" s="17"/>
      <c r="BDC138" s="9"/>
      <c r="BDD138" s="9"/>
      <c r="BDE138" s="18"/>
      <c r="BDF138" s="18"/>
      <c r="BDG138" s="18"/>
      <c r="BDH138" s="18"/>
      <c r="BDI138" s="18"/>
      <c r="BDJ138" s="17"/>
      <c r="BDK138" s="9"/>
      <c r="BDL138" s="9"/>
      <c r="BDM138" s="18"/>
      <c r="BDN138" s="18"/>
      <c r="BDO138" s="18"/>
      <c r="BDP138" s="18"/>
      <c r="BDQ138" s="18"/>
      <c r="BDR138" s="17"/>
      <c r="BDS138" s="9"/>
      <c r="BDT138" s="9"/>
      <c r="BDU138" s="18"/>
      <c r="BDV138" s="18"/>
      <c r="BDW138" s="18"/>
      <c r="BDX138" s="18"/>
      <c r="BDY138" s="18"/>
      <c r="BDZ138" s="17"/>
      <c r="BEA138" s="9"/>
      <c r="BEB138" s="9"/>
      <c r="BEC138" s="18"/>
      <c r="BED138" s="18"/>
      <c r="BEE138" s="18"/>
      <c r="BEF138" s="18"/>
      <c r="BEG138" s="18"/>
      <c r="BEH138" s="17"/>
      <c r="BEI138" s="9"/>
      <c r="BEJ138" s="9"/>
      <c r="BEK138" s="18"/>
      <c r="BEL138" s="18"/>
      <c r="BEM138" s="18"/>
      <c r="BEN138" s="18"/>
      <c r="BEO138" s="18"/>
      <c r="BEP138" s="17"/>
      <c r="BEQ138" s="9"/>
      <c r="BER138" s="9"/>
      <c r="BES138" s="18"/>
      <c r="BET138" s="18"/>
      <c r="BEU138" s="18"/>
      <c r="BEV138" s="18"/>
      <c r="BEW138" s="18"/>
      <c r="BEX138" s="17"/>
      <c r="BEY138" s="9"/>
      <c r="BEZ138" s="9"/>
      <c r="BFA138" s="18"/>
      <c r="BFB138" s="18"/>
      <c r="BFC138" s="18"/>
      <c r="BFD138" s="18"/>
      <c r="BFE138" s="18"/>
      <c r="BFF138" s="17"/>
      <c r="BFG138" s="9"/>
      <c r="BFH138" s="9"/>
      <c r="BFI138" s="18"/>
      <c r="BFJ138" s="18"/>
      <c r="BFK138" s="18"/>
      <c r="BFL138" s="18"/>
      <c r="BFM138" s="18"/>
      <c r="BFN138" s="17"/>
      <c r="BFO138" s="9"/>
      <c r="BFP138" s="9"/>
      <c r="BFQ138" s="18"/>
      <c r="BFR138" s="18"/>
      <c r="BFS138" s="18"/>
      <c r="BFT138" s="18"/>
      <c r="BFU138" s="18"/>
      <c r="BFV138" s="17"/>
      <c r="BFW138" s="9"/>
      <c r="BFX138" s="9"/>
      <c r="BFY138" s="18"/>
      <c r="BFZ138" s="18"/>
      <c r="BGA138" s="18"/>
      <c r="BGB138" s="18"/>
      <c r="BGC138" s="18"/>
      <c r="BGD138" s="17"/>
      <c r="BGE138" s="9"/>
      <c r="BGF138" s="9"/>
      <c r="BGG138" s="18"/>
      <c r="BGH138" s="18"/>
      <c r="BGI138" s="18"/>
      <c r="BGJ138" s="18"/>
      <c r="BGK138" s="18"/>
      <c r="BGL138" s="17"/>
      <c r="BGM138" s="9"/>
      <c r="BGN138" s="9"/>
      <c r="BGO138" s="18"/>
      <c r="BGP138" s="18"/>
      <c r="BGQ138" s="18"/>
      <c r="BGR138" s="18"/>
      <c r="BGS138" s="18"/>
      <c r="BGT138" s="17"/>
      <c r="BGU138" s="9"/>
      <c r="BGV138" s="9"/>
      <c r="BGW138" s="18"/>
      <c r="BGX138" s="18"/>
      <c r="BGY138" s="18"/>
      <c r="BGZ138" s="18"/>
      <c r="BHA138" s="18"/>
      <c r="BHB138" s="17"/>
      <c r="BHC138" s="9"/>
      <c r="BHD138" s="9"/>
      <c r="BHE138" s="18"/>
      <c r="BHF138" s="18"/>
      <c r="BHG138" s="18"/>
      <c r="BHH138" s="18"/>
      <c r="BHI138" s="18"/>
      <c r="BHJ138" s="17"/>
      <c r="BHK138" s="9"/>
      <c r="BHL138" s="9"/>
      <c r="BHM138" s="18"/>
      <c r="BHN138" s="18"/>
      <c r="BHO138" s="18"/>
      <c r="BHP138" s="18"/>
      <c r="BHQ138" s="18"/>
      <c r="BHR138" s="17"/>
      <c r="BHS138" s="9"/>
      <c r="BHT138" s="9"/>
      <c r="BHU138" s="18"/>
      <c r="BHV138" s="18"/>
      <c r="BHW138" s="18"/>
      <c r="BHX138" s="18"/>
      <c r="BHY138" s="18"/>
      <c r="BHZ138" s="17"/>
      <c r="BIA138" s="9"/>
      <c r="BIB138" s="9"/>
      <c r="BIC138" s="18"/>
      <c r="BID138" s="18"/>
      <c r="BIE138" s="18"/>
      <c r="BIF138" s="18"/>
      <c r="BIG138" s="18"/>
      <c r="BIH138" s="17"/>
      <c r="BII138" s="9"/>
      <c r="BIJ138" s="9"/>
      <c r="BIK138" s="18"/>
      <c r="BIL138" s="18"/>
      <c r="BIM138" s="18"/>
      <c r="BIN138" s="18"/>
      <c r="BIO138" s="18"/>
      <c r="BIP138" s="17"/>
      <c r="BIQ138" s="9"/>
      <c r="BIR138" s="9"/>
      <c r="BIS138" s="18"/>
      <c r="BIT138" s="18"/>
      <c r="BIU138" s="18"/>
      <c r="BIV138" s="18"/>
      <c r="BIW138" s="18"/>
      <c r="BIX138" s="17"/>
      <c r="BIY138" s="9"/>
      <c r="BIZ138" s="9"/>
      <c r="BJA138" s="18"/>
      <c r="BJB138" s="18"/>
      <c r="BJC138" s="18"/>
      <c r="BJD138" s="18"/>
      <c r="BJE138" s="18"/>
      <c r="BJF138" s="17"/>
      <c r="BJG138" s="9"/>
      <c r="BJH138" s="9"/>
      <c r="BJI138" s="18"/>
      <c r="BJJ138" s="18"/>
      <c r="BJK138" s="18"/>
      <c r="BJL138" s="18"/>
      <c r="BJM138" s="18"/>
      <c r="BJN138" s="17"/>
      <c r="BJO138" s="9"/>
      <c r="BJP138" s="9"/>
      <c r="BJQ138" s="18"/>
      <c r="BJR138" s="18"/>
      <c r="BJS138" s="18"/>
      <c r="BJT138" s="18"/>
      <c r="BJU138" s="18"/>
      <c r="BJV138" s="17"/>
      <c r="BJW138" s="9"/>
      <c r="BJX138" s="9"/>
      <c r="BJY138" s="18"/>
      <c r="BJZ138" s="18"/>
      <c r="BKA138" s="18"/>
      <c r="BKB138" s="18"/>
      <c r="BKC138" s="18"/>
      <c r="BKD138" s="17"/>
      <c r="BKE138" s="9"/>
      <c r="BKF138" s="9"/>
      <c r="BKG138" s="18"/>
      <c r="BKH138" s="18"/>
      <c r="BKI138" s="18"/>
      <c r="BKJ138" s="18"/>
      <c r="BKK138" s="18"/>
      <c r="BKL138" s="17"/>
      <c r="BKM138" s="9"/>
      <c r="BKN138" s="9"/>
      <c r="BKO138" s="18"/>
      <c r="BKP138" s="18"/>
      <c r="BKQ138" s="18"/>
      <c r="BKR138" s="18"/>
      <c r="BKS138" s="18"/>
      <c r="BKT138" s="17"/>
      <c r="BKU138" s="9"/>
      <c r="BKV138" s="9"/>
      <c r="BKW138" s="18"/>
      <c r="BKX138" s="18"/>
      <c r="BKY138" s="18"/>
      <c r="BKZ138" s="18"/>
      <c r="BLA138" s="18"/>
      <c r="BLB138" s="17"/>
      <c r="BLC138" s="9"/>
      <c r="BLD138" s="9"/>
      <c r="BLE138" s="18"/>
      <c r="BLF138" s="18"/>
      <c r="BLG138" s="18"/>
      <c r="BLH138" s="18"/>
      <c r="BLI138" s="18"/>
      <c r="BLJ138" s="17"/>
      <c r="BLK138" s="9"/>
      <c r="BLL138" s="9"/>
      <c r="BLM138" s="18"/>
      <c r="BLN138" s="18"/>
      <c r="BLO138" s="18"/>
      <c r="BLP138" s="18"/>
      <c r="BLQ138" s="18"/>
      <c r="BLR138" s="17"/>
      <c r="BLS138" s="9"/>
      <c r="BLT138" s="9"/>
      <c r="BLU138" s="18"/>
      <c r="BLV138" s="18"/>
      <c r="BLW138" s="18"/>
      <c r="BLX138" s="18"/>
      <c r="BLY138" s="18"/>
      <c r="BLZ138" s="17"/>
      <c r="BMA138" s="9"/>
      <c r="BMB138" s="9"/>
      <c r="BMC138" s="18"/>
      <c r="BMD138" s="18"/>
      <c r="BME138" s="18"/>
      <c r="BMF138" s="18"/>
      <c r="BMG138" s="18"/>
      <c r="BMH138" s="17"/>
      <c r="BMI138" s="9"/>
      <c r="BMJ138" s="9"/>
      <c r="BMK138" s="18"/>
      <c r="BML138" s="18"/>
      <c r="BMM138" s="18"/>
      <c r="BMN138" s="18"/>
      <c r="BMO138" s="18"/>
      <c r="BMP138" s="17"/>
      <c r="BMQ138" s="9"/>
      <c r="BMR138" s="9"/>
      <c r="BMS138" s="18"/>
      <c r="BMT138" s="18"/>
      <c r="BMU138" s="18"/>
      <c r="BMV138" s="18"/>
      <c r="BMW138" s="18"/>
      <c r="BMX138" s="17"/>
      <c r="BMY138" s="9"/>
      <c r="BMZ138" s="9"/>
      <c r="BNA138" s="18"/>
      <c r="BNB138" s="18"/>
      <c r="BNC138" s="18"/>
      <c r="BND138" s="18"/>
      <c r="BNE138" s="18"/>
      <c r="BNF138" s="17"/>
      <c r="BNG138" s="9"/>
      <c r="BNH138" s="9"/>
      <c r="BNI138" s="18"/>
      <c r="BNJ138" s="18"/>
      <c r="BNK138" s="18"/>
      <c r="BNL138" s="18"/>
      <c r="BNM138" s="18"/>
      <c r="BNN138" s="17"/>
      <c r="BNO138" s="9"/>
      <c r="BNP138" s="9"/>
      <c r="BNQ138" s="18"/>
      <c r="BNR138" s="18"/>
      <c r="BNS138" s="18"/>
      <c r="BNT138" s="18"/>
      <c r="BNU138" s="18"/>
      <c r="BNV138" s="17"/>
      <c r="BNW138" s="9"/>
      <c r="BNX138" s="9"/>
      <c r="BNY138" s="18"/>
      <c r="BNZ138" s="18"/>
      <c r="BOA138" s="18"/>
      <c r="BOB138" s="18"/>
      <c r="BOC138" s="18"/>
      <c r="BOD138" s="17"/>
      <c r="BOE138" s="9"/>
      <c r="BOF138" s="9"/>
      <c r="BOG138" s="18"/>
      <c r="BOH138" s="18"/>
      <c r="BOI138" s="18"/>
      <c r="BOJ138" s="18"/>
      <c r="BOK138" s="18"/>
      <c r="BOL138" s="17"/>
      <c r="BOM138" s="9"/>
      <c r="BON138" s="9"/>
      <c r="BOO138" s="18"/>
      <c r="BOP138" s="18"/>
      <c r="BOQ138" s="18"/>
      <c r="BOR138" s="18"/>
      <c r="BOS138" s="18"/>
      <c r="BOT138" s="17"/>
      <c r="BOU138" s="9"/>
      <c r="BOV138" s="9"/>
      <c r="BOW138" s="18"/>
      <c r="BOX138" s="18"/>
      <c r="BOY138" s="18"/>
      <c r="BOZ138" s="18"/>
      <c r="BPA138" s="18"/>
      <c r="BPB138" s="17"/>
      <c r="BPC138" s="9"/>
      <c r="BPD138" s="9"/>
      <c r="BPE138" s="18"/>
      <c r="BPF138" s="18"/>
      <c r="BPG138" s="18"/>
      <c r="BPH138" s="18"/>
      <c r="BPI138" s="18"/>
      <c r="BPJ138" s="17"/>
      <c r="BPK138" s="9"/>
      <c r="BPL138" s="9"/>
      <c r="BPM138" s="18"/>
      <c r="BPN138" s="18"/>
      <c r="BPO138" s="18"/>
      <c r="BPP138" s="18"/>
      <c r="BPQ138" s="18"/>
      <c r="BPR138" s="17"/>
      <c r="BPS138" s="9"/>
      <c r="BPT138" s="9"/>
      <c r="BPU138" s="18"/>
      <c r="BPV138" s="18"/>
      <c r="BPW138" s="18"/>
      <c r="BPX138" s="18"/>
      <c r="BPY138" s="18"/>
      <c r="BPZ138" s="17"/>
      <c r="BQA138" s="9"/>
      <c r="BQB138" s="9"/>
      <c r="BQC138" s="18"/>
      <c r="BQD138" s="18"/>
      <c r="BQE138" s="18"/>
      <c r="BQF138" s="18"/>
      <c r="BQG138" s="18"/>
      <c r="BQH138" s="17"/>
      <c r="BQI138" s="9"/>
      <c r="BQJ138" s="9"/>
      <c r="BQK138" s="18"/>
      <c r="BQL138" s="18"/>
      <c r="BQM138" s="18"/>
      <c r="BQN138" s="18"/>
      <c r="BQO138" s="18"/>
      <c r="BQP138" s="17"/>
      <c r="BQQ138" s="9"/>
      <c r="BQR138" s="9"/>
      <c r="BQS138" s="18"/>
      <c r="BQT138" s="18"/>
      <c r="BQU138" s="18"/>
      <c r="BQV138" s="18"/>
      <c r="BQW138" s="18"/>
      <c r="BQX138" s="17"/>
      <c r="BQY138" s="9"/>
      <c r="BQZ138" s="9"/>
      <c r="BRA138" s="18"/>
      <c r="BRB138" s="18"/>
      <c r="BRC138" s="18"/>
      <c r="BRD138" s="18"/>
      <c r="BRE138" s="18"/>
      <c r="BRF138" s="17"/>
      <c r="BRG138" s="9"/>
      <c r="BRH138" s="9"/>
      <c r="BRI138" s="18"/>
      <c r="BRJ138" s="18"/>
      <c r="BRK138" s="18"/>
      <c r="BRL138" s="18"/>
      <c r="BRM138" s="18"/>
      <c r="BRN138" s="17"/>
      <c r="BRO138" s="9"/>
      <c r="BRP138" s="9"/>
      <c r="BRQ138" s="18"/>
      <c r="BRR138" s="18"/>
      <c r="BRS138" s="18"/>
      <c r="BRT138" s="18"/>
      <c r="BRU138" s="18"/>
      <c r="BRV138" s="17"/>
      <c r="BRW138" s="9"/>
      <c r="BRX138" s="9"/>
      <c r="BRY138" s="18"/>
      <c r="BRZ138" s="18"/>
      <c r="BSA138" s="18"/>
      <c r="BSB138" s="18"/>
      <c r="BSC138" s="18"/>
      <c r="BSD138" s="17"/>
      <c r="BSE138" s="9"/>
      <c r="BSF138" s="9"/>
      <c r="BSG138" s="18"/>
      <c r="BSH138" s="18"/>
      <c r="BSI138" s="18"/>
      <c r="BSJ138" s="18"/>
      <c r="BSK138" s="18"/>
      <c r="BSL138" s="17"/>
      <c r="BSM138" s="9"/>
      <c r="BSN138" s="9"/>
      <c r="BSO138" s="18"/>
      <c r="BSP138" s="18"/>
      <c r="BSQ138" s="18"/>
      <c r="BSR138" s="18"/>
      <c r="BSS138" s="18"/>
      <c r="BST138" s="17"/>
      <c r="BSU138" s="9"/>
      <c r="BSV138" s="9"/>
      <c r="BSW138" s="18"/>
      <c r="BSX138" s="18"/>
      <c r="BSY138" s="18"/>
      <c r="BSZ138" s="18"/>
      <c r="BTA138" s="18"/>
      <c r="BTB138" s="17"/>
      <c r="BTC138" s="9"/>
      <c r="BTD138" s="9"/>
      <c r="BTE138" s="18"/>
      <c r="BTF138" s="18"/>
      <c r="BTG138" s="18"/>
      <c r="BTH138" s="18"/>
      <c r="BTI138" s="18"/>
      <c r="BTJ138" s="17"/>
      <c r="BTK138" s="9"/>
      <c r="BTL138" s="9"/>
      <c r="BTM138" s="18"/>
      <c r="BTN138" s="18"/>
      <c r="BTO138" s="18"/>
      <c r="BTP138" s="18"/>
      <c r="BTQ138" s="18"/>
      <c r="BTR138" s="17"/>
      <c r="BTS138" s="9"/>
      <c r="BTT138" s="9"/>
      <c r="BTU138" s="18"/>
      <c r="BTV138" s="18"/>
      <c r="BTW138" s="18"/>
      <c r="BTX138" s="18"/>
      <c r="BTY138" s="18"/>
      <c r="BTZ138" s="17"/>
      <c r="BUA138" s="9"/>
      <c r="BUB138" s="9"/>
      <c r="BUC138" s="18"/>
      <c r="BUD138" s="18"/>
      <c r="BUE138" s="18"/>
      <c r="BUF138" s="18"/>
      <c r="BUG138" s="18"/>
      <c r="BUH138" s="17"/>
      <c r="BUI138" s="9"/>
      <c r="BUJ138" s="9"/>
      <c r="BUK138" s="18"/>
      <c r="BUL138" s="18"/>
      <c r="BUM138" s="18"/>
      <c r="BUN138" s="18"/>
      <c r="BUO138" s="18"/>
      <c r="BUP138" s="17"/>
      <c r="BUQ138" s="9"/>
      <c r="BUR138" s="9"/>
      <c r="BUS138" s="18"/>
      <c r="BUT138" s="18"/>
      <c r="BUU138" s="18"/>
      <c r="BUV138" s="18"/>
      <c r="BUW138" s="18"/>
      <c r="BUX138" s="17"/>
      <c r="BUY138" s="9"/>
      <c r="BUZ138" s="9"/>
      <c r="BVA138" s="18"/>
      <c r="BVB138" s="18"/>
      <c r="BVC138" s="18"/>
      <c r="BVD138" s="18"/>
      <c r="BVE138" s="18"/>
      <c r="BVF138" s="17"/>
      <c r="BVG138" s="9"/>
      <c r="BVH138" s="9"/>
      <c r="BVI138" s="18"/>
      <c r="BVJ138" s="18"/>
      <c r="BVK138" s="18"/>
      <c r="BVL138" s="18"/>
      <c r="BVM138" s="18"/>
      <c r="BVN138" s="17"/>
      <c r="BVO138" s="9"/>
      <c r="BVP138" s="9"/>
      <c r="BVQ138" s="18"/>
      <c r="BVR138" s="18"/>
      <c r="BVS138" s="18"/>
      <c r="BVT138" s="18"/>
      <c r="BVU138" s="18"/>
      <c r="BVV138" s="17"/>
      <c r="BVW138" s="9"/>
      <c r="BVX138" s="9"/>
      <c r="BVY138" s="18"/>
      <c r="BVZ138" s="18"/>
      <c r="BWA138" s="18"/>
      <c r="BWB138" s="18"/>
      <c r="BWC138" s="18"/>
      <c r="BWD138" s="17"/>
      <c r="BWE138" s="9"/>
      <c r="BWF138" s="9"/>
      <c r="BWG138" s="18"/>
      <c r="BWH138" s="18"/>
      <c r="BWI138" s="18"/>
      <c r="BWJ138" s="18"/>
      <c r="BWK138" s="18"/>
      <c r="BWL138" s="17"/>
      <c r="BWM138" s="9"/>
      <c r="BWN138" s="9"/>
      <c r="BWO138" s="18"/>
      <c r="BWP138" s="18"/>
      <c r="BWQ138" s="18"/>
      <c r="BWR138" s="18"/>
      <c r="BWS138" s="18"/>
      <c r="BWT138" s="17"/>
      <c r="BWU138" s="9"/>
      <c r="BWV138" s="9"/>
      <c r="BWW138" s="18"/>
      <c r="BWX138" s="18"/>
      <c r="BWY138" s="18"/>
      <c r="BWZ138" s="18"/>
      <c r="BXA138" s="18"/>
      <c r="BXB138" s="17"/>
      <c r="BXC138" s="9"/>
      <c r="BXD138" s="9"/>
      <c r="BXE138" s="18"/>
      <c r="BXF138" s="18"/>
      <c r="BXG138" s="18"/>
      <c r="BXH138" s="18"/>
      <c r="BXI138" s="18"/>
      <c r="BXJ138" s="17"/>
      <c r="BXK138" s="9"/>
      <c r="BXL138" s="9"/>
      <c r="BXM138" s="18"/>
      <c r="BXN138" s="18"/>
      <c r="BXO138" s="18"/>
      <c r="BXP138" s="18"/>
      <c r="BXQ138" s="18"/>
      <c r="BXR138" s="17"/>
      <c r="BXS138" s="9"/>
      <c r="BXT138" s="9"/>
      <c r="BXU138" s="18"/>
      <c r="BXV138" s="18"/>
      <c r="BXW138" s="18"/>
      <c r="BXX138" s="18"/>
      <c r="BXY138" s="18"/>
      <c r="BXZ138" s="17"/>
      <c r="BYA138" s="9"/>
      <c r="BYB138" s="9"/>
      <c r="BYC138" s="18"/>
      <c r="BYD138" s="18"/>
      <c r="BYE138" s="18"/>
      <c r="BYF138" s="18"/>
      <c r="BYG138" s="18"/>
      <c r="BYH138" s="17"/>
      <c r="BYI138" s="9"/>
      <c r="BYJ138" s="9"/>
      <c r="BYK138" s="18"/>
      <c r="BYL138" s="18"/>
      <c r="BYM138" s="18"/>
      <c r="BYN138" s="18"/>
      <c r="BYO138" s="18"/>
      <c r="BYP138" s="17"/>
      <c r="BYQ138" s="9"/>
      <c r="BYR138" s="9"/>
      <c r="BYS138" s="18"/>
      <c r="BYT138" s="18"/>
      <c r="BYU138" s="18"/>
      <c r="BYV138" s="18"/>
      <c r="BYW138" s="18"/>
      <c r="BYX138" s="17"/>
      <c r="BYY138" s="9"/>
      <c r="BYZ138" s="9"/>
      <c r="BZA138" s="18"/>
      <c r="BZB138" s="18"/>
      <c r="BZC138" s="18"/>
      <c r="BZD138" s="18"/>
      <c r="BZE138" s="18"/>
      <c r="BZF138" s="17"/>
      <c r="BZG138" s="9"/>
      <c r="BZH138" s="9"/>
      <c r="BZI138" s="18"/>
      <c r="BZJ138" s="18"/>
      <c r="BZK138" s="18"/>
      <c r="BZL138" s="18"/>
      <c r="BZM138" s="18"/>
      <c r="BZN138" s="17"/>
      <c r="BZO138" s="9"/>
      <c r="BZP138" s="9"/>
      <c r="BZQ138" s="18"/>
      <c r="BZR138" s="18"/>
      <c r="BZS138" s="18"/>
      <c r="BZT138" s="18"/>
      <c r="BZU138" s="18"/>
      <c r="BZV138" s="17"/>
      <c r="BZW138" s="9"/>
      <c r="BZX138" s="9"/>
      <c r="BZY138" s="18"/>
      <c r="BZZ138" s="18"/>
      <c r="CAA138" s="18"/>
      <c r="CAB138" s="18"/>
      <c r="CAC138" s="18"/>
      <c r="CAD138" s="17"/>
      <c r="CAE138" s="9"/>
      <c r="CAF138" s="9"/>
      <c r="CAG138" s="18"/>
      <c r="CAH138" s="18"/>
      <c r="CAI138" s="18"/>
      <c r="CAJ138" s="18"/>
      <c r="CAK138" s="18"/>
      <c r="CAL138" s="17"/>
      <c r="CAM138" s="9"/>
      <c r="CAN138" s="9"/>
      <c r="CAO138" s="18"/>
      <c r="CAP138" s="18"/>
      <c r="CAQ138" s="18"/>
      <c r="CAR138" s="18"/>
      <c r="CAS138" s="18"/>
      <c r="CAT138" s="17"/>
      <c r="CAU138" s="9"/>
      <c r="CAV138" s="9"/>
      <c r="CAW138" s="18"/>
      <c r="CAX138" s="18"/>
      <c r="CAY138" s="18"/>
      <c r="CAZ138" s="18"/>
      <c r="CBA138" s="18"/>
      <c r="CBB138" s="17"/>
      <c r="CBC138" s="9"/>
      <c r="CBD138" s="9"/>
      <c r="CBE138" s="18"/>
      <c r="CBF138" s="18"/>
      <c r="CBG138" s="18"/>
      <c r="CBH138" s="18"/>
      <c r="CBI138" s="18"/>
      <c r="CBJ138" s="17"/>
      <c r="CBK138" s="9"/>
      <c r="CBL138" s="9"/>
      <c r="CBM138" s="18"/>
      <c r="CBN138" s="18"/>
      <c r="CBO138" s="18"/>
      <c r="CBP138" s="18"/>
      <c r="CBQ138" s="18"/>
      <c r="CBR138" s="17"/>
      <c r="CBS138" s="9"/>
      <c r="CBT138" s="9"/>
      <c r="CBU138" s="18"/>
      <c r="CBV138" s="18"/>
      <c r="CBW138" s="18"/>
      <c r="CBX138" s="18"/>
      <c r="CBY138" s="18"/>
      <c r="CBZ138" s="17"/>
      <c r="CCA138" s="9"/>
      <c r="CCB138" s="9"/>
      <c r="CCC138" s="18"/>
      <c r="CCD138" s="18"/>
      <c r="CCE138" s="18"/>
      <c r="CCF138" s="18"/>
      <c r="CCG138" s="18"/>
      <c r="CCH138" s="17"/>
      <c r="CCI138" s="9"/>
      <c r="CCJ138" s="9"/>
      <c r="CCK138" s="18"/>
      <c r="CCL138" s="18"/>
      <c r="CCM138" s="18"/>
      <c r="CCN138" s="18"/>
      <c r="CCO138" s="18"/>
      <c r="CCP138" s="17"/>
      <c r="CCQ138" s="9"/>
      <c r="CCR138" s="9"/>
      <c r="CCS138" s="18"/>
      <c r="CCT138" s="18"/>
      <c r="CCU138" s="18"/>
      <c r="CCV138" s="18"/>
      <c r="CCW138" s="18"/>
      <c r="CCX138" s="17"/>
      <c r="CCY138" s="9"/>
      <c r="CCZ138" s="9"/>
      <c r="CDA138" s="18"/>
      <c r="CDB138" s="18"/>
      <c r="CDC138" s="18"/>
      <c r="CDD138" s="18"/>
      <c r="CDE138" s="18"/>
      <c r="CDF138" s="17"/>
      <c r="CDG138" s="9"/>
      <c r="CDH138" s="9"/>
      <c r="CDI138" s="18"/>
      <c r="CDJ138" s="18"/>
      <c r="CDK138" s="18"/>
      <c r="CDL138" s="18"/>
      <c r="CDM138" s="18"/>
      <c r="CDN138" s="17"/>
      <c r="CDO138" s="9"/>
      <c r="CDP138" s="9"/>
      <c r="CDQ138" s="18"/>
      <c r="CDR138" s="18"/>
      <c r="CDS138" s="18"/>
      <c r="CDT138" s="18"/>
      <c r="CDU138" s="18"/>
      <c r="CDV138" s="17"/>
      <c r="CDW138" s="9"/>
      <c r="CDX138" s="9"/>
      <c r="CDY138" s="18"/>
      <c r="CDZ138" s="18"/>
      <c r="CEA138" s="18"/>
      <c r="CEB138" s="18"/>
      <c r="CEC138" s="18"/>
      <c r="CED138" s="17"/>
      <c r="CEE138" s="9"/>
      <c r="CEF138" s="9"/>
      <c r="CEG138" s="18"/>
      <c r="CEH138" s="18"/>
      <c r="CEI138" s="18"/>
      <c r="CEJ138" s="18"/>
      <c r="CEK138" s="18"/>
      <c r="CEL138" s="17"/>
      <c r="CEM138" s="9"/>
      <c r="CEN138" s="9"/>
      <c r="CEO138" s="18"/>
      <c r="CEP138" s="18"/>
      <c r="CEQ138" s="18"/>
      <c r="CER138" s="18"/>
      <c r="CES138" s="18"/>
      <c r="CET138" s="17"/>
      <c r="CEU138" s="9"/>
      <c r="CEV138" s="9"/>
      <c r="CEW138" s="18"/>
      <c r="CEX138" s="18"/>
      <c r="CEY138" s="18"/>
      <c r="CEZ138" s="18"/>
      <c r="CFA138" s="18"/>
      <c r="CFB138" s="17"/>
      <c r="CFC138" s="9"/>
      <c r="CFD138" s="9"/>
      <c r="CFE138" s="18"/>
      <c r="CFF138" s="18"/>
      <c r="CFG138" s="18"/>
      <c r="CFH138" s="18"/>
      <c r="CFI138" s="18"/>
      <c r="CFJ138" s="17"/>
      <c r="CFK138" s="9"/>
      <c r="CFL138" s="9"/>
      <c r="CFM138" s="18"/>
      <c r="CFN138" s="18"/>
      <c r="CFO138" s="18"/>
      <c r="CFP138" s="18"/>
      <c r="CFQ138" s="18"/>
      <c r="CFR138" s="17"/>
      <c r="CFS138" s="9"/>
      <c r="CFT138" s="9"/>
      <c r="CFU138" s="18"/>
      <c r="CFV138" s="18"/>
      <c r="CFW138" s="18"/>
      <c r="CFX138" s="18"/>
      <c r="CFY138" s="18"/>
      <c r="CFZ138" s="17"/>
      <c r="CGA138" s="9"/>
      <c r="CGB138" s="9"/>
      <c r="CGC138" s="18"/>
      <c r="CGD138" s="18"/>
      <c r="CGE138" s="18"/>
      <c r="CGF138" s="18"/>
      <c r="CGG138" s="18"/>
      <c r="CGH138" s="17"/>
      <c r="CGI138" s="9"/>
      <c r="CGJ138" s="9"/>
      <c r="CGK138" s="18"/>
      <c r="CGL138" s="18"/>
      <c r="CGM138" s="18"/>
      <c r="CGN138" s="18"/>
      <c r="CGO138" s="18"/>
      <c r="CGP138" s="17"/>
      <c r="CGQ138" s="9"/>
      <c r="CGR138" s="9"/>
      <c r="CGS138" s="18"/>
      <c r="CGT138" s="18"/>
      <c r="CGU138" s="18"/>
      <c r="CGV138" s="18"/>
      <c r="CGW138" s="18"/>
      <c r="CGX138" s="17"/>
      <c r="CGY138" s="9"/>
      <c r="CGZ138" s="9"/>
      <c r="CHA138" s="18"/>
      <c r="CHB138" s="18"/>
      <c r="CHC138" s="18"/>
      <c r="CHD138" s="18"/>
      <c r="CHE138" s="18"/>
      <c r="CHF138" s="17"/>
      <c r="CHG138" s="9"/>
      <c r="CHH138" s="9"/>
      <c r="CHI138" s="18"/>
      <c r="CHJ138" s="18"/>
      <c r="CHK138" s="18"/>
      <c r="CHL138" s="18"/>
      <c r="CHM138" s="18"/>
      <c r="CHN138" s="17"/>
      <c r="CHO138" s="9"/>
      <c r="CHP138" s="9"/>
      <c r="CHQ138" s="18"/>
      <c r="CHR138" s="18"/>
      <c r="CHS138" s="18"/>
      <c r="CHT138" s="18"/>
      <c r="CHU138" s="18"/>
      <c r="CHV138" s="17"/>
      <c r="CHW138" s="9"/>
      <c r="CHX138" s="9"/>
      <c r="CHY138" s="18"/>
      <c r="CHZ138" s="18"/>
      <c r="CIA138" s="18"/>
      <c r="CIB138" s="18"/>
      <c r="CIC138" s="18"/>
      <c r="CID138" s="17"/>
      <c r="CIE138" s="9"/>
      <c r="CIF138" s="9"/>
      <c r="CIG138" s="18"/>
      <c r="CIH138" s="18"/>
      <c r="CII138" s="18"/>
      <c r="CIJ138" s="18"/>
      <c r="CIK138" s="18"/>
      <c r="CIL138" s="17"/>
      <c r="CIM138" s="9"/>
      <c r="CIN138" s="9"/>
      <c r="CIO138" s="18"/>
      <c r="CIP138" s="18"/>
      <c r="CIQ138" s="18"/>
      <c r="CIR138" s="18"/>
      <c r="CIS138" s="18"/>
      <c r="CIT138" s="17"/>
      <c r="CIU138" s="9"/>
      <c r="CIV138" s="9"/>
      <c r="CIW138" s="18"/>
      <c r="CIX138" s="18"/>
      <c r="CIY138" s="18"/>
      <c r="CIZ138" s="18"/>
      <c r="CJA138" s="18"/>
      <c r="CJB138" s="17"/>
      <c r="CJC138" s="9"/>
      <c r="CJD138" s="9"/>
      <c r="CJE138" s="18"/>
      <c r="CJF138" s="18"/>
      <c r="CJG138" s="18"/>
      <c r="CJH138" s="18"/>
      <c r="CJI138" s="18"/>
      <c r="CJJ138" s="17"/>
      <c r="CJK138" s="9"/>
      <c r="CJL138" s="9"/>
      <c r="CJM138" s="18"/>
      <c r="CJN138" s="18"/>
      <c r="CJO138" s="18"/>
      <c r="CJP138" s="18"/>
      <c r="CJQ138" s="18"/>
      <c r="CJR138" s="17"/>
      <c r="CJS138" s="9"/>
      <c r="CJT138" s="9"/>
      <c r="CJU138" s="18"/>
      <c r="CJV138" s="18"/>
      <c r="CJW138" s="18"/>
      <c r="CJX138" s="18"/>
      <c r="CJY138" s="18"/>
      <c r="CJZ138" s="17"/>
      <c r="CKA138" s="9"/>
      <c r="CKB138" s="9"/>
      <c r="CKC138" s="18"/>
      <c r="CKD138" s="18"/>
      <c r="CKE138" s="18"/>
      <c r="CKF138" s="18"/>
      <c r="CKG138" s="18"/>
      <c r="CKH138" s="17"/>
      <c r="CKI138" s="9"/>
      <c r="CKJ138" s="9"/>
      <c r="CKK138" s="18"/>
      <c r="CKL138" s="18"/>
      <c r="CKM138" s="18"/>
      <c r="CKN138" s="18"/>
      <c r="CKO138" s="18"/>
      <c r="CKP138" s="17"/>
      <c r="CKQ138" s="9"/>
      <c r="CKR138" s="9"/>
      <c r="CKS138" s="18"/>
      <c r="CKT138" s="18"/>
      <c r="CKU138" s="18"/>
      <c r="CKV138" s="18"/>
      <c r="CKW138" s="18"/>
      <c r="CKX138" s="17"/>
      <c r="CKY138" s="9"/>
      <c r="CKZ138" s="9"/>
      <c r="CLA138" s="18"/>
      <c r="CLB138" s="18"/>
      <c r="CLC138" s="18"/>
      <c r="CLD138" s="18"/>
      <c r="CLE138" s="18"/>
      <c r="CLF138" s="17"/>
      <c r="CLG138" s="9"/>
      <c r="CLH138" s="9"/>
      <c r="CLI138" s="18"/>
      <c r="CLJ138" s="18"/>
      <c r="CLK138" s="18"/>
      <c r="CLL138" s="18"/>
      <c r="CLM138" s="18"/>
      <c r="CLN138" s="17"/>
      <c r="CLO138" s="9"/>
      <c r="CLP138" s="9"/>
      <c r="CLQ138" s="18"/>
      <c r="CLR138" s="18"/>
      <c r="CLS138" s="18"/>
      <c r="CLT138" s="18"/>
      <c r="CLU138" s="18"/>
      <c r="CLV138" s="17"/>
      <c r="CLW138" s="9"/>
      <c r="CLX138" s="9"/>
      <c r="CLY138" s="18"/>
      <c r="CLZ138" s="18"/>
      <c r="CMA138" s="18"/>
      <c r="CMB138" s="18"/>
      <c r="CMC138" s="18"/>
      <c r="CMD138" s="17"/>
      <c r="CME138" s="9"/>
      <c r="CMF138" s="9"/>
      <c r="CMG138" s="18"/>
      <c r="CMH138" s="18"/>
      <c r="CMI138" s="18"/>
      <c r="CMJ138" s="18"/>
      <c r="CMK138" s="18"/>
      <c r="CML138" s="17"/>
      <c r="CMM138" s="9"/>
      <c r="CMN138" s="9"/>
      <c r="CMO138" s="18"/>
      <c r="CMP138" s="18"/>
      <c r="CMQ138" s="18"/>
      <c r="CMR138" s="18"/>
      <c r="CMS138" s="18"/>
      <c r="CMT138" s="17"/>
      <c r="CMU138" s="9"/>
      <c r="CMV138" s="9"/>
      <c r="CMW138" s="18"/>
      <c r="CMX138" s="18"/>
      <c r="CMY138" s="18"/>
      <c r="CMZ138" s="18"/>
      <c r="CNA138" s="18"/>
      <c r="CNB138" s="17"/>
      <c r="CNC138" s="9"/>
      <c r="CND138" s="9"/>
      <c r="CNE138" s="18"/>
      <c r="CNF138" s="18"/>
      <c r="CNG138" s="18"/>
      <c r="CNH138" s="18"/>
      <c r="CNI138" s="18"/>
      <c r="CNJ138" s="17"/>
      <c r="CNK138" s="9"/>
      <c r="CNL138" s="9"/>
      <c r="CNM138" s="18"/>
      <c r="CNN138" s="18"/>
      <c r="CNO138" s="18"/>
      <c r="CNP138" s="18"/>
      <c r="CNQ138" s="18"/>
      <c r="CNR138" s="17"/>
      <c r="CNS138" s="9"/>
      <c r="CNT138" s="9"/>
      <c r="CNU138" s="18"/>
      <c r="CNV138" s="18"/>
      <c r="CNW138" s="18"/>
      <c r="CNX138" s="18"/>
      <c r="CNY138" s="18"/>
      <c r="CNZ138" s="17"/>
      <c r="COA138" s="9"/>
      <c r="COB138" s="9"/>
      <c r="COC138" s="18"/>
      <c r="COD138" s="18"/>
      <c r="COE138" s="18"/>
      <c r="COF138" s="18"/>
      <c r="COG138" s="18"/>
      <c r="COH138" s="17"/>
      <c r="COI138" s="9"/>
      <c r="COJ138" s="9"/>
      <c r="COK138" s="18"/>
      <c r="COL138" s="18"/>
      <c r="COM138" s="18"/>
      <c r="CON138" s="18"/>
      <c r="COO138" s="18"/>
      <c r="COP138" s="17"/>
      <c r="COQ138" s="9"/>
      <c r="COR138" s="9"/>
      <c r="COS138" s="18"/>
      <c r="COT138" s="18"/>
      <c r="COU138" s="18"/>
      <c r="COV138" s="18"/>
      <c r="COW138" s="18"/>
      <c r="COX138" s="17"/>
      <c r="COY138" s="9"/>
      <c r="COZ138" s="9"/>
      <c r="CPA138" s="18"/>
      <c r="CPB138" s="18"/>
      <c r="CPC138" s="18"/>
      <c r="CPD138" s="18"/>
      <c r="CPE138" s="18"/>
      <c r="CPF138" s="17"/>
      <c r="CPG138" s="9"/>
      <c r="CPH138" s="9"/>
      <c r="CPI138" s="18"/>
      <c r="CPJ138" s="18"/>
      <c r="CPK138" s="18"/>
      <c r="CPL138" s="18"/>
      <c r="CPM138" s="18"/>
      <c r="CPN138" s="17"/>
      <c r="CPO138" s="9"/>
      <c r="CPP138" s="9"/>
      <c r="CPQ138" s="18"/>
      <c r="CPR138" s="18"/>
      <c r="CPS138" s="18"/>
      <c r="CPT138" s="18"/>
      <c r="CPU138" s="18"/>
      <c r="CPV138" s="17"/>
      <c r="CPW138" s="9"/>
      <c r="CPX138" s="9"/>
      <c r="CPY138" s="18"/>
      <c r="CPZ138" s="18"/>
      <c r="CQA138" s="18"/>
      <c r="CQB138" s="18"/>
      <c r="CQC138" s="18"/>
      <c r="CQD138" s="17"/>
      <c r="CQE138" s="9"/>
      <c r="CQF138" s="9"/>
      <c r="CQG138" s="18"/>
      <c r="CQH138" s="18"/>
      <c r="CQI138" s="18"/>
      <c r="CQJ138" s="18"/>
      <c r="CQK138" s="18"/>
      <c r="CQL138" s="17"/>
      <c r="CQM138" s="9"/>
      <c r="CQN138" s="9"/>
      <c r="CQO138" s="18"/>
      <c r="CQP138" s="18"/>
      <c r="CQQ138" s="18"/>
      <c r="CQR138" s="18"/>
      <c r="CQS138" s="18"/>
      <c r="CQT138" s="17"/>
      <c r="CQU138" s="9"/>
      <c r="CQV138" s="9"/>
      <c r="CQW138" s="18"/>
      <c r="CQX138" s="18"/>
      <c r="CQY138" s="18"/>
      <c r="CQZ138" s="18"/>
      <c r="CRA138" s="18"/>
      <c r="CRB138" s="17"/>
      <c r="CRC138" s="9"/>
      <c r="CRD138" s="9"/>
      <c r="CRE138" s="18"/>
      <c r="CRF138" s="18"/>
      <c r="CRG138" s="18"/>
      <c r="CRH138" s="18"/>
      <c r="CRI138" s="18"/>
      <c r="CRJ138" s="17"/>
      <c r="CRK138" s="9"/>
      <c r="CRL138" s="9"/>
      <c r="CRM138" s="18"/>
      <c r="CRN138" s="18"/>
      <c r="CRO138" s="18"/>
      <c r="CRP138" s="18"/>
      <c r="CRQ138" s="18"/>
      <c r="CRR138" s="17"/>
      <c r="CRS138" s="9"/>
      <c r="CRT138" s="9"/>
      <c r="CRU138" s="18"/>
      <c r="CRV138" s="18"/>
      <c r="CRW138" s="18"/>
      <c r="CRX138" s="18"/>
      <c r="CRY138" s="18"/>
      <c r="CRZ138" s="17"/>
      <c r="CSA138" s="9"/>
      <c r="CSB138" s="9"/>
      <c r="CSC138" s="18"/>
      <c r="CSD138" s="18"/>
      <c r="CSE138" s="18"/>
      <c r="CSF138" s="18"/>
      <c r="CSG138" s="18"/>
      <c r="CSH138" s="17"/>
      <c r="CSI138" s="9"/>
      <c r="CSJ138" s="9"/>
      <c r="CSK138" s="18"/>
      <c r="CSL138" s="18"/>
      <c r="CSM138" s="18"/>
      <c r="CSN138" s="18"/>
      <c r="CSO138" s="18"/>
      <c r="CSP138" s="17"/>
      <c r="CSQ138" s="9"/>
      <c r="CSR138" s="9"/>
      <c r="CSS138" s="18"/>
      <c r="CST138" s="18"/>
      <c r="CSU138" s="18"/>
      <c r="CSV138" s="18"/>
      <c r="CSW138" s="18"/>
      <c r="CSX138" s="17"/>
      <c r="CSY138" s="9"/>
      <c r="CSZ138" s="9"/>
      <c r="CTA138" s="18"/>
      <c r="CTB138" s="18"/>
      <c r="CTC138" s="18"/>
      <c r="CTD138" s="18"/>
      <c r="CTE138" s="18"/>
      <c r="CTF138" s="17"/>
      <c r="CTG138" s="9"/>
      <c r="CTH138" s="9"/>
      <c r="CTI138" s="18"/>
      <c r="CTJ138" s="18"/>
      <c r="CTK138" s="18"/>
      <c r="CTL138" s="18"/>
      <c r="CTM138" s="18"/>
      <c r="CTN138" s="17"/>
      <c r="CTO138" s="9"/>
      <c r="CTP138" s="9"/>
      <c r="CTQ138" s="18"/>
      <c r="CTR138" s="18"/>
      <c r="CTS138" s="18"/>
      <c r="CTT138" s="18"/>
      <c r="CTU138" s="18"/>
      <c r="CTV138" s="17"/>
      <c r="CTW138" s="9"/>
      <c r="CTX138" s="9"/>
      <c r="CTY138" s="18"/>
      <c r="CTZ138" s="18"/>
      <c r="CUA138" s="18"/>
      <c r="CUB138" s="18"/>
      <c r="CUC138" s="18"/>
      <c r="CUD138" s="17"/>
      <c r="CUE138" s="9"/>
      <c r="CUF138" s="9"/>
      <c r="CUG138" s="18"/>
      <c r="CUH138" s="18"/>
      <c r="CUI138" s="18"/>
      <c r="CUJ138" s="18"/>
      <c r="CUK138" s="18"/>
      <c r="CUL138" s="17"/>
      <c r="CUM138" s="9"/>
      <c r="CUN138" s="9"/>
      <c r="CUO138" s="18"/>
      <c r="CUP138" s="18"/>
      <c r="CUQ138" s="18"/>
      <c r="CUR138" s="18"/>
      <c r="CUS138" s="18"/>
      <c r="CUT138" s="17"/>
      <c r="CUU138" s="9"/>
      <c r="CUV138" s="9"/>
      <c r="CUW138" s="18"/>
      <c r="CUX138" s="18"/>
      <c r="CUY138" s="18"/>
      <c r="CUZ138" s="18"/>
      <c r="CVA138" s="18"/>
      <c r="CVB138" s="17"/>
      <c r="CVC138" s="9"/>
      <c r="CVD138" s="9"/>
      <c r="CVE138" s="18"/>
      <c r="CVF138" s="18"/>
      <c r="CVG138" s="18"/>
      <c r="CVH138" s="18"/>
      <c r="CVI138" s="18"/>
      <c r="CVJ138" s="17"/>
      <c r="CVK138" s="9"/>
      <c r="CVL138" s="9"/>
      <c r="CVM138" s="18"/>
      <c r="CVN138" s="18"/>
      <c r="CVO138" s="18"/>
      <c r="CVP138" s="18"/>
      <c r="CVQ138" s="18"/>
      <c r="CVR138" s="17"/>
      <c r="CVS138" s="9"/>
      <c r="CVT138" s="9"/>
      <c r="CVU138" s="18"/>
      <c r="CVV138" s="18"/>
      <c r="CVW138" s="18"/>
      <c r="CVX138" s="18"/>
      <c r="CVY138" s="18"/>
      <c r="CVZ138" s="17"/>
      <c r="CWA138" s="9"/>
      <c r="CWB138" s="9"/>
      <c r="CWC138" s="18"/>
      <c r="CWD138" s="18"/>
      <c r="CWE138" s="18"/>
      <c r="CWF138" s="18"/>
      <c r="CWG138" s="18"/>
      <c r="CWH138" s="17"/>
      <c r="CWI138" s="9"/>
      <c r="CWJ138" s="9"/>
      <c r="CWK138" s="18"/>
      <c r="CWL138" s="18"/>
      <c r="CWM138" s="18"/>
      <c r="CWN138" s="18"/>
      <c r="CWO138" s="18"/>
      <c r="CWP138" s="17"/>
      <c r="CWQ138" s="9"/>
      <c r="CWR138" s="9"/>
      <c r="CWS138" s="18"/>
      <c r="CWT138" s="18"/>
      <c r="CWU138" s="18"/>
      <c r="CWV138" s="18"/>
      <c r="CWW138" s="18"/>
      <c r="CWX138" s="17"/>
      <c r="CWY138" s="9"/>
      <c r="CWZ138" s="9"/>
      <c r="CXA138" s="18"/>
      <c r="CXB138" s="18"/>
      <c r="CXC138" s="18"/>
      <c r="CXD138" s="18"/>
      <c r="CXE138" s="18"/>
      <c r="CXF138" s="17"/>
      <c r="CXG138" s="9"/>
      <c r="CXH138" s="9"/>
      <c r="CXI138" s="18"/>
      <c r="CXJ138" s="18"/>
      <c r="CXK138" s="18"/>
      <c r="CXL138" s="18"/>
      <c r="CXM138" s="18"/>
      <c r="CXN138" s="17"/>
      <c r="CXO138" s="9"/>
      <c r="CXP138" s="9"/>
      <c r="CXQ138" s="18"/>
      <c r="CXR138" s="18"/>
      <c r="CXS138" s="18"/>
      <c r="CXT138" s="18"/>
      <c r="CXU138" s="18"/>
      <c r="CXV138" s="17"/>
      <c r="CXW138" s="9"/>
      <c r="CXX138" s="9"/>
      <c r="CXY138" s="18"/>
      <c r="CXZ138" s="18"/>
      <c r="CYA138" s="18"/>
      <c r="CYB138" s="18"/>
      <c r="CYC138" s="18"/>
      <c r="CYD138" s="17"/>
      <c r="CYE138" s="9"/>
      <c r="CYF138" s="9"/>
      <c r="CYG138" s="18"/>
      <c r="CYH138" s="18"/>
      <c r="CYI138" s="18"/>
      <c r="CYJ138" s="18"/>
      <c r="CYK138" s="18"/>
      <c r="CYL138" s="17"/>
      <c r="CYM138" s="9"/>
      <c r="CYN138" s="9"/>
      <c r="CYO138" s="18"/>
      <c r="CYP138" s="18"/>
      <c r="CYQ138" s="18"/>
      <c r="CYR138" s="18"/>
      <c r="CYS138" s="18"/>
      <c r="CYT138" s="17"/>
      <c r="CYU138" s="9"/>
      <c r="CYV138" s="9"/>
      <c r="CYW138" s="18"/>
      <c r="CYX138" s="18"/>
      <c r="CYY138" s="18"/>
      <c r="CYZ138" s="18"/>
      <c r="CZA138" s="18"/>
      <c r="CZB138" s="17"/>
      <c r="CZC138" s="9"/>
      <c r="CZD138" s="9"/>
      <c r="CZE138" s="18"/>
      <c r="CZF138" s="18"/>
      <c r="CZG138" s="18"/>
      <c r="CZH138" s="18"/>
      <c r="CZI138" s="18"/>
      <c r="CZJ138" s="17"/>
      <c r="CZK138" s="9"/>
      <c r="CZL138" s="9"/>
      <c r="CZM138" s="18"/>
      <c r="CZN138" s="18"/>
      <c r="CZO138" s="18"/>
      <c r="CZP138" s="18"/>
      <c r="CZQ138" s="18"/>
      <c r="CZR138" s="17"/>
      <c r="CZS138" s="9"/>
      <c r="CZT138" s="9"/>
      <c r="CZU138" s="18"/>
      <c r="CZV138" s="18"/>
      <c r="CZW138" s="18"/>
      <c r="CZX138" s="18"/>
      <c r="CZY138" s="18"/>
      <c r="CZZ138" s="17"/>
      <c r="DAA138" s="9"/>
      <c r="DAB138" s="9"/>
      <c r="DAC138" s="18"/>
      <c r="DAD138" s="18"/>
      <c r="DAE138" s="18"/>
      <c r="DAF138" s="18"/>
      <c r="DAG138" s="18"/>
      <c r="DAH138" s="17"/>
      <c r="DAI138" s="9"/>
      <c r="DAJ138" s="9"/>
      <c r="DAK138" s="18"/>
      <c r="DAL138" s="18"/>
      <c r="DAM138" s="18"/>
      <c r="DAN138" s="18"/>
      <c r="DAO138" s="18"/>
      <c r="DAP138" s="17"/>
      <c r="DAQ138" s="9"/>
      <c r="DAR138" s="9"/>
      <c r="DAS138" s="18"/>
      <c r="DAT138" s="18"/>
      <c r="DAU138" s="18"/>
      <c r="DAV138" s="18"/>
      <c r="DAW138" s="18"/>
      <c r="DAX138" s="17"/>
      <c r="DAY138" s="9"/>
      <c r="DAZ138" s="9"/>
      <c r="DBA138" s="18"/>
      <c r="DBB138" s="18"/>
      <c r="DBC138" s="18"/>
      <c r="DBD138" s="18"/>
      <c r="DBE138" s="18"/>
      <c r="DBF138" s="17"/>
      <c r="DBG138" s="9"/>
      <c r="DBH138" s="9"/>
      <c r="DBI138" s="18"/>
      <c r="DBJ138" s="18"/>
      <c r="DBK138" s="18"/>
      <c r="DBL138" s="18"/>
      <c r="DBM138" s="18"/>
      <c r="DBN138" s="17"/>
      <c r="DBO138" s="9"/>
      <c r="DBP138" s="9"/>
      <c r="DBQ138" s="18"/>
      <c r="DBR138" s="18"/>
      <c r="DBS138" s="18"/>
      <c r="DBT138" s="18"/>
      <c r="DBU138" s="18"/>
      <c r="DBV138" s="17"/>
      <c r="DBW138" s="9"/>
      <c r="DBX138" s="9"/>
      <c r="DBY138" s="18"/>
      <c r="DBZ138" s="18"/>
      <c r="DCA138" s="18"/>
      <c r="DCB138" s="18"/>
      <c r="DCC138" s="18"/>
      <c r="DCD138" s="17"/>
      <c r="DCE138" s="9"/>
      <c r="DCF138" s="9"/>
      <c r="DCG138" s="18"/>
      <c r="DCH138" s="18"/>
      <c r="DCI138" s="18"/>
      <c r="DCJ138" s="18"/>
      <c r="DCK138" s="18"/>
      <c r="DCL138" s="17"/>
      <c r="DCM138" s="9"/>
      <c r="DCN138" s="9"/>
      <c r="DCO138" s="18"/>
      <c r="DCP138" s="18"/>
      <c r="DCQ138" s="18"/>
      <c r="DCR138" s="18"/>
      <c r="DCS138" s="18"/>
      <c r="DCT138" s="17"/>
      <c r="DCU138" s="9"/>
      <c r="DCV138" s="9"/>
      <c r="DCW138" s="18"/>
      <c r="DCX138" s="18"/>
      <c r="DCY138" s="18"/>
      <c r="DCZ138" s="18"/>
      <c r="DDA138" s="18"/>
      <c r="DDB138" s="17"/>
      <c r="DDC138" s="9"/>
      <c r="DDD138" s="9"/>
      <c r="DDE138" s="18"/>
      <c r="DDF138" s="18"/>
      <c r="DDG138" s="18"/>
      <c r="DDH138" s="18"/>
      <c r="DDI138" s="18"/>
      <c r="DDJ138" s="17"/>
      <c r="DDK138" s="9"/>
      <c r="DDL138" s="9"/>
      <c r="DDM138" s="18"/>
      <c r="DDN138" s="18"/>
      <c r="DDO138" s="18"/>
      <c r="DDP138" s="18"/>
      <c r="DDQ138" s="18"/>
      <c r="DDR138" s="17"/>
      <c r="DDS138" s="9"/>
      <c r="DDT138" s="9"/>
      <c r="DDU138" s="18"/>
      <c r="DDV138" s="18"/>
      <c r="DDW138" s="18"/>
      <c r="DDX138" s="18"/>
      <c r="DDY138" s="18"/>
      <c r="DDZ138" s="17"/>
      <c r="DEA138" s="9"/>
      <c r="DEB138" s="9"/>
      <c r="DEC138" s="18"/>
      <c r="DED138" s="18"/>
      <c r="DEE138" s="18"/>
      <c r="DEF138" s="18"/>
      <c r="DEG138" s="18"/>
      <c r="DEH138" s="17"/>
      <c r="DEI138" s="9"/>
      <c r="DEJ138" s="9"/>
      <c r="DEK138" s="18"/>
      <c r="DEL138" s="18"/>
      <c r="DEM138" s="18"/>
      <c r="DEN138" s="18"/>
      <c r="DEO138" s="18"/>
      <c r="DEP138" s="17"/>
      <c r="DEQ138" s="9"/>
      <c r="DER138" s="9"/>
      <c r="DES138" s="18"/>
      <c r="DET138" s="18"/>
      <c r="DEU138" s="18"/>
      <c r="DEV138" s="18"/>
      <c r="DEW138" s="18"/>
      <c r="DEX138" s="17"/>
      <c r="DEY138" s="9"/>
      <c r="DEZ138" s="9"/>
      <c r="DFA138" s="18"/>
      <c r="DFB138" s="18"/>
      <c r="DFC138" s="18"/>
      <c r="DFD138" s="18"/>
      <c r="DFE138" s="18"/>
      <c r="DFF138" s="17"/>
      <c r="DFG138" s="9"/>
      <c r="DFH138" s="9"/>
      <c r="DFI138" s="18"/>
      <c r="DFJ138" s="18"/>
      <c r="DFK138" s="18"/>
      <c r="DFL138" s="18"/>
      <c r="DFM138" s="18"/>
      <c r="DFN138" s="17"/>
      <c r="DFO138" s="9"/>
      <c r="DFP138" s="9"/>
      <c r="DFQ138" s="18"/>
      <c r="DFR138" s="18"/>
      <c r="DFS138" s="18"/>
      <c r="DFT138" s="18"/>
      <c r="DFU138" s="18"/>
      <c r="DFV138" s="17"/>
      <c r="DFW138" s="9"/>
      <c r="DFX138" s="9"/>
      <c r="DFY138" s="18"/>
      <c r="DFZ138" s="18"/>
      <c r="DGA138" s="18"/>
      <c r="DGB138" s="18"/>
      <c r="DGC138" s="18"/>
      <c r="DGD138" s="17"/>
      <c r="DGE138" s="9"/>
      <c r="DGF138" s="9"/>
      <c r="DGG138" s="18"/>
      <c r="DGH138" s="18"/>
      <c r="DGI138" s="18"/>
      <c r="DGJ138" s="18"/>
      <c r="DGK138" s="18"/>
      <c r="DGL138" s="17"/>
      <c r="DGM138" s="9"/>
      <c r="DGN138" s="9"/>
      <c r="DGO138" s="18"/>
      <c r="DGP138" s="18"/>
      <c r="DGQ138" s="18"/>
      <c r="DGR138" s="18"/>
      <c r="DGS138" s="18"/>
      <c r="DGT138" s="17"/>
      <c r="DGU138" s="9"/>
      <c r="DGV138" s="9"/>
      <c r="DGW138" s="18"/>
      <c r="DGX138" s="18"/>
      <c r="DGY138" s="18"/>
      <c r="DGZ138" s="18"/>
      <c r="DHA138" s="18"/>
      <c r="DHB138" s="17"/>
      <c r="DHC138" s="9"/>
      <c r="DHD138" s="9"/>
      <c r="DHE138" s="18"/>
      <c r="DHF138" s="18"/>
      <c r="DHG138" s="18"/>
      <c r="DHH138" s="18"/>
      <c r="DHI138" s="18"/>
      <c r="DHJ138" s="17"/>
      <c r="DHK138" s="9"/>
      <c r="DHL138" s="9"/>
      <c r="DHM138" s="18"/>
      <c r="DHN138" s="18"/>
      <c r="DHO138" s="18"/>
      <c r="DHP138" s="18"/>
      <c r="DHQ138" s="18"/>
      <c r="DHR138" s="17"/>
      <c r="DHS138" s="9"/>
      <c r="DHT138" s="9"/>
      <c r="DHU138" s="18"/>
      <c r="DHV138" s="18"/>
      <c r="DHW138" s="18"/>
      <c r="DHX138" s="18"/>
      <c r="DHY138" s="18"/>
      <c r="DHZ138" s="17"/>
      <c r="DIA138" s="9"/>
      <c r="DIB138" s="9"/>
      <c r="DIC138" s="18"/>
      <c r="DID138" s="18"/>
      <c r="DIE138" s="18"/>
      <c r="DIF138" s="18"/>
      <c r="DIG138" s="18"/>
      <c r="DIH138" s="17"/>
      <c r="DII138" s="9"/>
      <c r="DIJ138" s="9"/>
      <c r="DIK138" s="18"/>
      <c r="DIL138" s="18"/>
      <c r="DIM138" s="18"/>
      <c r="DIN138" s="18"/>
      <c r="DIO138" s="18"/>
      <c r="DIP138" s="17"/>
      <c r="DIQ138" s="9"/>
      <c r="DIR138" s="9"/>
      <c r="DIS138" s="18"/>
      <c r="DIT138" s="18"/>
      <c r="DIU138" s="18"/>
      <c r="DIV138" s="18"/>
      <c r="DIW138" s="18"/>
      <c r="DIX138" s="17"/>
      <c r="DIY138" s="9"/>
      <c r="DIZ138" s="9"/>
      <c r="DJA138" s="18"/>
      <c r="DJB138" s="18"/>
      <c r="DJC138" s="18"/>
      <c r="DJD138" s="18"/>
      <c r="DJE138" s="18"/>
      <c r="DJF138" s="17"/>
      <c r="DJG138" s="9"/>
      <c r="DJH138" s="9"/>
      <c r="DJI138" s="18"/>
      <c r="DJJ138" s="18"/>
      <c r="DJK138" s="18"/>
      <c r="DJL138" s="18"/>
      <c r="DJM138" s="18"/>
      <c r="DJN138" s="17"/>
      <c r="DJO138" s="9"/>
      <c r="DJP138" s="9"/>
      <c r="DJQ138" s="18"/>
      <c r="DJR138" s="18"/>
      <c r="DJS138" s="18"/>
      <c r="DJT138" s="18"/>
      <c r="DJU138" s="18"/>
      <c r="DJV138" s="17"/>
      <c r="DJW138" s="9"/>
      <c r="DJX138" s="9"/>
      <c r="DJY138" s="18"/>
      <c r="DJZ138" s="18"/>
      <c r="DKA138" s="18"/>
      <c r="DKB138" s="18"/>
      <c r="DKC138" s="18"/>
      <c r="DKD138" s="17"/>
      <c r="DKE138" s="9"/>
      <c r="DKF138" s="9"/>
      <c r="DKG138" s="18"/>
      <c r="DKH138" s="18"/>
      <c r="DKI138" s="18"/>
      <c r="DKJ138" s="18"/>
      <c r="DKK138" s="18"/>
      <c r="DKL138" s="17"/>
      <c r="DKM138" s="9"/>
      <c r="DKN138" s="9"/>
      <c r="DKO138" s="18"/>
      <c r="DKP138" s="18"/>
      <c r="DKQ138" s="18"/>
      <c r="DKR138" s="18"/>
      <c r="DKS138" s="18"/>
      <c r="DKT138" s="17"/>
      <c r="DKU138" s="9"/>
      <c r="DKV138" s="9"/>
      <c r="DKW138" s="18"/>
      <c r="DKX138" s="18"/>
      <c r="DKY138" s="18"/>
      <c r="DKZ138" s="18"/>
      <c r="DLA138" s="18"/>
      <c r="DLB138" s="17"/>
      <c r="DLC138" s="9"/>
      <c r="DLD138" s="9"/>
      <c r="DLE138" s="18"/>
      <c r="DLF138" s="18"/>
      <c r="DLG138" s="18"/>
      <c r="DLH138" s="18"/>
      <c r="DLI138" s="18"/>
      <c r="DLJ138" s="17"/>
      <c r="DLK138" s="9"/>
      <c r="DLL138" s="9"/>
      <c r="DLM138" s="18"/>
      <c r="DLN138" s="18"/>
      <c r="DLO138" s="18"/>
      <c r="DLP138" s="18"/>
      <c r="DLQ138" s="18"/>
      <c r="DLR138" s="17"/>
      <c r="DLS138" s="9"/>
      <c r="DLT138" s="9"/>
      <c r="DLU138" s="18"/>
      <c r="DLV138" s="18"/>
      <c r="DLW138" s="18"/>
      <c r="DLX138" s="18"/>
      <c r="DLY138" s="18"/>
      <c r="DLZ138" s="17"/>
      <c r="DMA138" s="9"/>
      <c r="DMB138" s="9"/>
      <c r="DMC138" s="18"/>
      <c r="DMD138" s="18"/>
      <c r="DME138" s="18"/>
      <c r="DMF138" s="18"/>
      <c r="DMG138" s="18"/>
      <c r="DMH138" s="17"/>
      <c r="DMI138" s="9"/>
      <c r="DMJ138" s="9"/>
      <c r="DMK138" s="18"/>
      <c r="DML138" s="18"/>
      <c r="DMM138" s="18"/>
      <c r="DMN138" s="18"/>
      <c r="DMO138" s="18"/>
      <c r="DMP138" s="17"/>
      <c r="DMQ138" s="9"/>
      <c r="DMR138" s="9"/>
      <c r="DMS138" s="18"/>
      <c r="DMT138" s="18"/>
      <c r="DMU138" s="18"/>
      <c r="DMV138" s="18"/>
      <c r="DMW138" s="18"/>
      <c r="DMX138" s="17"/>
      <c r="DMY138" s="9"/>
      <c r="DMZ138" s="9"/>
      <c r="DNA138" s="18"/>
      <c r="DNB138" s="18"/>
      <c r="DNC138" s="18"/>
      <c r="DND138" s="18"/>
      <c r="DNE138" s="18"/>
      <c r="DNF138" s="17"/>
      <c r="DNG138" s="9"/>
      <c r="DNH138" s="9"/>
      <c r="DNI138" s="18"/>
      <c r="DNJ138" s="18"/>
      <c r="DNK138" s="18"/>
      <c r="DNL138" s="18"/>
      <c r="DNM138" s="18"/>
      <c r="DNN138" s="17"/>
      <c r="DNO138" s="9"/>
      <c r="DNP138" s="9"/>
      <c r="DNQ138" s="18"/>
      <c r="DNR138" s="18"/>
      <c r="DNS138" s="18"/>
      <c r="DNT138" s="18"/>
      <c r="DNU138" s="18"/>
      <c r="DNV138" s="17"/>
      <c r="DNW138" s="9"/>
      <c r="DNX138" s="9"/>
      <c r="DNY138" s="18"/>
      <c r="DNZ138" s="18"/>
      <c r="DOA138" s="18"/>
      <c r="DOB138" s="18"/>
      <c r="DOC138" s="18"/>
      <c r="DOD138" s="17"/>
      <c r="DOE138" s="9"/>
      <c r="DOF138" s="9"/>
      <c r="DOG138" s="18"/>
      <c r="DOH138" s="18"/>
      <c r="DOI138" s="18"/>
      <c r="DOJ138" s="18"/>
      <c r="DOK138" s="18"/>
      <c r="DOL138" s="17"/>
      <c r="DOM138" s="9"/>
      <c r="DON138" s="9"/>
      <c r="DOO138" s="18"/>
      <c r="DOP138" s="18"/>
      <c r="DOQ138" s="18"/>
      <c r="DOR138" s="18"/>
      <c r="DOS138" s="18"/>
      <c r="DOT138" s="17"/>
      <c r="DOU138" s="9"/>
      <c r="DOV138" s="9"/>
      <c r="DOW138" s="18"/>
      <c r="DOX138" s="18"/>
      <c r="DOY138" s="18"/>
      <c r="DOZ138" s="18"/>
      <c r="DPA138" s="18"/>
      <c r="DPB138" s="17"/>
      <c r="DPC138" s="9"/>
      <c r="DPD138" s="9"/>
      <c r="DPE138" s="18"/>
      <c r="DPF138" s="18"/>
      <c r="DPG138" s="18"/>
      <c r="DPH138" s="18"/>
      <c r="DPI138" s="18"/>
      <c r="DPJ138" s="17"/>
      <c r="DPK138" s="9"/>
      <c r="DPL138" s="9"/>
      <c r="DPM138" s="18"/>
      <c r="DPN138" s="18"/>
      <c r="DPO138" s="18"/>
      <c r="DPP138" s="18"/>
      <c r="DPQ138" s="18"/>
      <c r="DPR138" s="17"/>
      <c r="DPS138" s="9"/>
      <c r="DPT138" s="9"/>
      <c r="DPU138" s="18"/>
      <c r="DPV138" s="18"/>
      <c r="DPW138" s="18"/>
      <c r="DPX138" s="18"/>
      <c r="DPY138" s="18"/>
      <c r="DPZ138" s="17"/>
      <c r="DQA138" s="9"/>
      <c r="DQB138" s="9"/>
      <c r="DQC138" s="18"/>
      <c r="DQD138" s="18"/>
      <c r="DQE138" s="18"/>
      <c r="DQF138" s="18"/>
      <c r="DQG138" s="18"/>
      <c r="DQH138" s="17"/>
      <c r="DQI138" s="9"/>
      <c r="DQJ138" s="9"/>
      <c r="DQK138" s="18"/>
      <c r="DQL138" s="18"/>
      <c r="DQM138" s="18"/>
      <c r="DQN138" s="18"/>
      <c r="DQO138" s="18"/>
      <c r="DQP138" s="17"/>
      <c r="DQQ138" s="9"/>
      <c r="DQR138" s="9"/>
      <c r="DQS138" s="18"/>
      <c r="DQT138" s="18"/>
      <c r="DQU138" s="18"/>
      <c r="DQV138" s="18"/>
      <c r="DQW138" s="18"/>
      <c r="DQX138" s="17"/>
      <c r="DQY138" s="9"/>
      <c r="DQZ138" s="9"/>
      <c r="DRA138" s="18"/>
      <c r="DRB138" s="18"/>
      <c r="DRC138" s="18"/>
      <c r="DRD138" s="18"/>
      <c r="DRE138" s="18"/>
      <c r="DRF138" s="17"/>
      <c r="DRG138" s="9"/>
      <c r="DRH138" s="9"/>
      <c r="DRI138" s="18"/>
      <c r="DRJ138" s="18"/>
      <c r="DRK138" s="18"/>
      <c r="DRL138" s="18"/>
      <c r="DRM138" s="18"/>
      <c r="DRN138" s="17"/>
      <c r="DRO138" s="9"/>
      <c r="DRP138" s="9"/>
      <c r="DRQ138" s="18"/>
      <c r="DRR138" s="18"/>
      <c r="DRS138" s="18"/>
      <c r="DRT138" s="18"/>
      <c r="DRU138" s="18"/>
      <c r="DRV138" s="17"/>
      <c r="DRW138" s="9"/>
      <c r="DRX138" s="9"/>
      <c r="DRY138" s="18"/>
      <c r="DRZ138" s="18"/>
      <c r="DSA138" s="18"/>
      <c r="DSB138" s="18"/>
      <c r="DSC138" s="18"/>
      <c r="DSD138" s="17"/>
      <c r="DSE138" s="9"/>
      <c r="DSF138" s="9"/>
      <c r="DSG138" s="18"/>
      <c r="DSH138" s="18"/>
      <c r="DSI138" s="18"/>
      <c r="DSJ138" s="18"/>
      <c r="DSK138" s="18"/>
      <c r="DSL138" s="17"/>
      <c r="DSM138" s="9"/>
      <c r="DSN138" s="9"/>
      <c r="DSO138" s="18"/>
      <c r="DSP138" s="18"/>
      <c r="DSQ138" s="18"/>
      <c r="DSR138" s="18"/>
      <c r="DSS138" s="18"/>
      <c r="DST138" s="17"/>
      <c r="DSU138" s="9"/>
      <c r="DSV138" s="9"/>
      <c r="DSW138" s="18"/>
      <c r="DSX138" s="18"/>
      <c r="DSY138" s="18"/>
      <c r="DSZ138" s="18"/>
      <c r="DTA138" s="18"/>
      <c r="DTB138" s="17"/>
      <c r="DTC138" s="9"/>
      <c r="DTD138" s="9"/>
      <c r="DTE138" s="18"/>
      <c r="DTF138" s="18"/>
      <c r="DTG138" s="18"/>
      <c r="DTH138" s="18"/>
      <c r="DTI138" s="18"/>
      <c r="DTJ138" s="17"/>
      <c r="DTK138" s="9"/>
      <c r="DTL138" s="9"/>
      <c r="DTM138" s="18"/>
      <c r="DTN138" s="18"/>
      <c r="DTO138" s="18"/>
      <c r="DTP138" s="18"/>
      <c r="DTQ138" s="18"/>
      <c r="DTR138" s="17"/>
      <c r="DTS138" s="9"/>
      <c r="DTT138" s="9"/>
      <c r="DTU138" s="18"/>
      <c r="DTV138" s="18"/>
      <c r="DTW138" s="18"/>
      <c r="DTX138" s="18"/>
      <c r="DTY138" s="18"/>
      <c r="DTZ138" s="17"/>
      <c r="DUA138" s="9"/>
      <c r="DUB138" s="9"/>
      <c r="DUC138" s="18"/>
      <c r="DUD138" s="18"/>
      <c r="DUE138" s="18"/>
      <c r="DUF138" s="18"/>
      <c r="DUG138" s="18"/>
      <c r="DUH138" s="17"/>
      <c r="DUI138" s="9"/>
      <c r="DUJ138" s="9"/>
      <c r="DUK138" s="18"/>
      <c r="DUL138" s="18"/>
      <c r="DUM138" s="18"/>
      <c r="DUN138" s="18"/>
      <c r="DUO138" s="18"/>
      <c r="DUP138" s="17"/>
      <c r="DUQ138" s="9"/>
      <c r="DUR138" s="9"/>
      <c r="DUS138" s="18"/>
      <c r="DUT138" s="18"/>
      <c r="DUU138" s="18"/>
      <c r="DUV138" s="18"/>
      <c r="DUW138" s="18"/>
      <c r="DUX138" s="17"/>
      <c r="DUY138" s="9"/>
      <c r="DUZ138" s="9"/>
      <c r="DVA138" s="18"/>
      <c r="DVB138" s="18"/>
      <c r="DVC138" s="18"/>
      <c r="DVD138" s="18"/>
      <c r="DVE138" s="18"/>
      <c r="DVF138" s="17"/>
      <c r="DVG138" s="9"/>
      <c r="DVH138" s="9"/>
      <c r="DVI138" s="18"/>
      <c r="DVJ138" s="18"/>
      <c r="DVK138" s="18"/>
      <c r="DVL138" s="18"/>
      <c r="DVM138" s="18"/>
      <c r="DVN138" s="17"/>
      <c r="DVO138" s="9"/>
      <c r="DVP138" s="9"/>
      <c r="DVQ138" s="18"/>
      <c r="DVR138" s="18"/>
      <c r="DVS138" s="18"/>
      <c r="DVT138" s="18"/>
      <c r="DVU138" s="18"/>
      <c r="DVV138" s="17"/>
      <c r="DVW138" s="9"/>
      <c r="DVX138" s="9"/>
      <c r="DVY138" s="18"/>
      <c r="DVZ138" s="18"/>
      <c r="DWA138" s="18"/>
      <c r="DWB138" s="18"/>
      <c r="DWC138" s="18"/>
      <c r="DWD138" s="17"/>
      <c r="DWE138" s="9"/>
      <c r="DWF138" s="9"/>
      <c r="DWG138" s="18"/>
      <c r="DWH138" s="18"/>
      <c r="DWI138" s="18"/>
      <c r="DWJ138" s="18"/>
      <c r="DWK138" s="18"/>
      <c r="DWL138" s="17"/>
      <c r="DWM138" s="9"/>
      <c r="DWN138" s="9"/>
      <c r="DWO138" s="18"/>
      <c r="DWP138" s="18"/>
      <c r="DWQ138" s="18"/>
      <c r="DWR138" s="18"/>
      <c r="DWS138" s="18"/>
      <c r="DWT138" s="17"/>
      <c r="DWU138" s="9"/>
      <c r="DWV138" s="9"/>
      <c r="DWW138" s="18"/>
      <c r="DWX138" s="18"/>
      <c r="DWY138" s="18"/>
      <c r="DWZ138" s="18"/>
      <c r="DXA138" s="18"/>
      <c r="DXB138" s="17"/>
      <c r="DXC138" s="9"/>
      <c r="DXD138" s="9"/>
      <c r="DXE138" s="18"/>
      <c r="DXF138" s="18"/>
      <c r="DXG138" s="18"/>
      <c r="DXH138" s="18"/>
      <c r="DXI138" s="18"/>
      <c r="DXJ138" s="17"/>
      <c r="DXK138" s="9"/>
      <c r="DXL138" s="9"/>
      <c r="DXM138" s="18"/>
      <c r="DXN138" s="18"/>
      <c r="DXO138" s="18"/>
      <c r="DXP138" s="18"/>
      <c r="DXQ138" s="18"/>
      <c r="DXR138" s="17"/>
      <c r="DXS138" s="9"/>
      <c r="DXT138" s="9"/>
      <c r="DXU138" s="18"/>
      <c r="DXV138" s="18"/>
      <c r="DXW138" s="18"/>
      <c r="DXX138" s="18"/>
      <c r="DXY138" s="18"/>
      <c r="DXZ138" s="17"/>
      <c r="DYA138" s="9"/>
      <c r="DYB138" s="9"/>
      <c r="DYC138" s="18"/>
      <c r="DYD138" s="18"/>
      <c r="DYE138" s="18"/>
      <c r="DYF138" s="18"/>
      <c r="DYG138" s="18"/>
      <c r="DYH138" s="17"/>
      <c r="DYI138" s="9"/>
      <c r="DYJ138" s="9"/>
      <c r="DYK138" s="18"/>
      <c r="DYL138" s="18"/>
      <c r="DYM138" s="18"/>
      <c r="DYN138" s="18"/>
      <c r="DYO138" s="18"/>
      <c r="DYP138" s="17"/>
      <c r="DYQ138" s="9"/>
      <c r="DYR138" s="9"/>
      <c r="DYS138" s="18"/>
      <c r="DYT138" s="18"/>
      <c r="DYU138" s="18"/>
      <c r="DYV138" s="18"/>
      <c r="DYW138" s="18"/>
      <c r="DYX138" s="17"/>
      <c r="DYY138" s="9"/>
      <c r="DYZ138" s="9"/>
      <c r="DZA138" s="18"/>
      <c r="DZB138" s="18"/>
      <c r="DZC138" s="18"/>
      <c r="DZD138" s="18"/>
      <c r="DZE138" s="18"/>
      <c r="DZF138" s="17"/>
      <c r="DZG138" s="9"/>
      <c r="DZH138" s="9"/>
      <c r="DZI138" s="18"/>
      <c r="DZJ138" s="18"/>
      <c r="DZK138" s="18"/>
      <c r="DZL138" s="18"/>
      <c r="DZM138" s="18"/>
      <c r="DZN138" s="17"/>
      <c r="DZO138" s="9"/>
      <c r="DZP138" s="9"/>
      <c r="DZQ138" s="18"/>
      <c r="DZR138" s="18"/>
      <c r="DZS138" s="18"/>
      <c r="DZT138" s="18"/>
      <c r="DZU138" s="18"/>
      <c r="DZV138" s="17"/>
      <c r="DZW138" s="9"/>
      <c r="DZX138" s="9"/>
      <c r="DZY138" s="18"/>
      <c r="DZZ138" s="18"/>
      <c r="EAA138" s="18"/>
      <c r="EAB138" s="18"/>
      <c r="EAC138" s="18"/>
      <c r="EAD138" s="17"/>
      <c r="EAE138" s="9"/>
      <c r="EAF138" s="9"/>
      <c r="EAG138" s="18"/>
      <c r="EAH138" s="18"/>
      <c r="EAI138" s="18"/>
      <c r="EAJ138" s="18"/>
      <c r="EAK138" s="18"/>
      <c r="EAL138" s="17"/>
      <c r="EAM138" s="9"/>
      <c r="EAN138" s="9"/>
      <c r="EAO138" s="18"/>
      <c r="EAP138" s="18"/>
      <c r="EAQ138" s="18"/>
      <c r="EAR138" s="18"/>
      <c r="EAS138" s="18"/>
      <c r="EAT138" s="17"/>
      <c r="EAU138" s="9"/>
      <c r="EAV138" s="9"/>
      <c r="EAW138" s="18"/>
      <c r="EAX138" s="18"/>
      <c r="EAY138" s="18"/>
      <c r="EAZ138" s="18"/>
      <c r="EBA138" s="18"/>
      <c r="EBB138" s="17"/>
      <c r="EBC138" s="9"/>
      <c r="EBD138" s="9"/>
      <c r="EBE138" s="18"/>
      <c r="EBF138" s="18"/>
      <c r="EBG138" s="18"/>
      <c r="EBH138" s="18"/>
      <c r="EBI138" s="18"/>
      <c r="EBJ138" s="17"/>
      <c r="EBK138" s="9"/>
      <c r="EBL138" s="9"/>
      <c r="EBM138" s="18"/>
      <c r="EBN138" s="18"/>
      <c r="EBO138" s="18"/>
      <c r="EBP138" s="18"/>
      <c r="EBQ138" s="18"/>
      <c r="EBR138" s="17"/>
      <c r="EBS138" s="9"/>
      <c r="EBT138" s="9"/>
      <c r="EBU138" s="18"/>
      <c r="EBV138" s="18"/>
      <c r="EBW138" s="18"/>
      <c r="EBX138" s="18"/>
      <c r="EBY138" s="18"/>
      <c r="EBZ138" s="17"/>
      <c r="ECA138" s="9"/>
      <c r="ECB138" s="9"/>
      <c r="ECC138" s="18"/>
      <c r="ECD138" s="18"/>
      <c r="ECE138" s="18"/>
      <c r="ECF138" s="18"/>
      <c r="ECG138" s="18"/>
      <c r="ECH138" s="17"/>
      <c r="ECI138" s="9"/>
      <c r="ECJ138" s="9"/>
      <c r="ECK138" s="18"/>
      <c r="ECL138" s="18"/>
      <c r="ECM138" s="18"/>
      <c r="ECN138" s="18"/>
      <c r="ECO138" s="18"/>
      <c r="ECP138" s="17"/>
      <c r="ECQ138" s="9"/>
      <c r="ECR138" s="9"/>
      <c r="ECS138" s="18"/>
      <c r="ECT138" s="18"/>
      <c r="ECU138" s="18"/>
      <c r="ECV138" s="18"/>
      <c r="ECW138" s="18"/>
      <c r="ECX138" s="17"/>
      <c r="ECY138" s="9"/>
      <c r="ECZ138" s="9"/>
      <c r="EDA138" s="18"/>
      <c r="EDB138" s="18"/>
      <c r="EDC138" s="18"/>
      <c r="EDD138" s="18"/>
      <c r="EDE138" s="18"/>
      <c r="EDF138" s="17"/>
      <c r="EDG138" s="9"/>
      <c r="EDH138" s="9"/>
      <c r="EDI138" s="18"/>
      <c r="EDJ138" s="18"/>
      <c r="EDK138" s="18"/>
      <c r="EDL138" s="18"/>
      <c r="EDM138" s="18"/>
      <c r="EDN138" s="17"/>
      <c r="EDO138" s="9"/>
      <c r="EDP138" s="9"/>
      <c r="EDQ138" s="18"/>
      <c r="EDR138" s="18"/>
      <c r="EDS138" s="18"/>
      <c r="EDT138" s="18"/>
      <c r="EDU138" s="18"/>
      <c r="EDV138" s="17"/>
      <c r="EDW138" s="9"/>
      <c r="EDX138" s="9"/>
      <c r="EDY138" s="18"/>
      <c r="EDZ138" s="18"/>
      <c r="EEA138" s="18"/>
      <c r="EEB138" s="18"/>
      <c r="EEC138" s="18"/>
      <c r="EED138" s="17"/>
      <c r="EEE138" s="9"/>
      <c r="EEF138" s="9"/>
      <c r="EEG138" s="18"/>
      <c r="EEH138" s="18"/>
      <c r="EEI138" s="18"/>
      <c r="EEJ138" s="18"/>
      <c r="EEK138" s="18"/>
      <c r="EEL138" s="17"/>
      <c r="EEM138" s="9"/>
      <c r="EEN138" s="9"/>
      <c r="EEO138" s="18"/>
      <c r="EEP138" s="18"/>
      <c r="EEQ138" s="18"/>
      <c r="EER138" s="18"/>
      <c r="EES138" s="18"/>
      <c r="EET138" s="17"/>
      <c r="EEU138" s="9"/>
      <c r="EEV138" s="9"/>
      <c r="EEW138" s="18"/>
      <c r="EEX138" s="18"/>
      <c r="EEY138" s="18"/>
      <c r="EEZ138" s="18"/>
      <c r="EFA138" s="18"/>
      <c r="EFB138" s="17"/>
      <c r="EFC138" s="9"/>
      <c r="EFD138" s="9"/>
      <c r="EFE138" s="18"/>
      <c r="EFF138" s="18"/>
      <c r="EFG138" s="18"/>
      <c r="EFH138" s="18"/>
      <c r="EFI138" s="18"/>
      <c r="EFJ138" s="17"/>
      <c r="EFK138" s="9"/>
      <c r="EFL138" s="9"/>
      <c r="EFM138" s="18"/>
      <c r="EFN138" s="18"/>
      <c r="EFO138" s="18"/>
      <c r="EFP138" s="18"/>
      <c r="EFQ138" s="18"/>
      <c r="EFR138" s="17"/>
      <c r="EFS138" s="9"/>
      <c r="EFT138" s="9"/>
      <c r="EFU138" s="18"/>
      <c r="EFV138" s="18"/>
      <c r="EFW138" s="18"/>
      <c r="EFX138" s="18"/>
      <c r="EFY138" s="18"/>
      <c r="EFZ138" s="17"/>
      <c r="EGA138" s="9"/>
      <c r="EGB138" s="9"/>
      <c r="EGC138" s="18"/>
      <c r="EGD138" s="18"/>
      <c r="EGE138" s="18"/>
      <c r="EGF138" s="18"/>
      <c r="EGG138" s="18"/>
      <c r="EGH138" s="17"/>
      <c r="EGI138" s="9"/>
      <c r="EGJ138" s="9"/>
      <c r="EGK138" s="18"/>
      <c r="EGL138" s="18"/>
      <c r="EGM138" s="18"/>
      <c r="EGN138" s="18"/>
      <c r="EGO138" s="18"/>
      <c r="EGP138" s="17"/>
      <c r="EGQ138" s="9"/>
      <c r="EGR138" s="9"/>
      <c r="EGS138" s="18"/>
      <c r="EGT138" s="18"/>
      <c r="EGU138" s="18"/>
      <c r="EGV138" s="18"/>
      <c r="EGW138" s="18"/>
      <c r="EGX138" s="17"/>
      <c r="EGY138" s="9"/>
      <c r="EGZ138" s="9"/>
      <c r="EHA138" s="18"/>
      <c r="EHB138" s="18"/>
      <c r="EHC138" s="18"/>
      <c r="EHD138" s="18"/>
      <c r="EHE138" s="18"/>
      <c r="EHF138" s="17"/>
      <c r="EHG138" s="9"/>
      <c r="EHH138" s="9"/>
      <c r="EHI138" s="18"/>
      <c r="EHJ138" s="18"/>
      <c r="EHK138" s="18"/>
      <c r="EHL138" s="18"/>
      <c r="EHM138" s="18"/>
      <c r="EHN138" s="17"/>
      <c r="EHO138" s="9"/>
      <c r="EHP138" s="9"/>
      <c r="EHQ138" s="18"/>
      <c r="EHR138" s="18"/>
      <c r="EHS138" s="18"/>
      <c r="EHT138" s="18"/>
      <c r="EHU138" s="18"/>
      <c r="EHV138" s="17"/>
      <c r="EHW138" s="9"/>
      <c r="EHX138" s="9"/>
      <c r="EHY138" s="18"/>
      <c r="EHZ138" s="18"/>
      <c r="EIA138" s="18"/>
      <c r="EIB138" s="18"/>
      <c r="EIC138" s="18"/>
      <c r="EID138" s="17"/>
      <c r="EIE138" s="9"/>
      <c r="EIF138" s="9"/>
      <c r="EIG138" s="18"/>
      <c r="EIH138" s="18"/>
      <c r="EII138" s="18"/>
      <c r="EIJ138" s="18"/>
      <c r="EIK138" s="18"/>
      <c r="EIL138" s="17"/>
      <c r="EIM138" s="9"/>
      <c r="EIN138" s="9"/>
      <c r="EIO138" s="18"/>
      <c r="EIP138" s="18"/>
      <c r="EIQ138" s="18"/>
      <c r="EIR138" s="18"/>
      <c r="EIS138" s="18"/>
      <c r="EIT138" s="17"/>
      <c r="EIU138" s="9"/>
      <c r="EIV138" s="9"/>
      <c r="EIW138" s="18"/>
      <c r="EIX138" s="18"/>
      <c r="EIY138" s="18"/>
      <c r="EIZ138" s="18"/>
      <c r="EJA138" s="18"/>
      <c r="EJB138" s="17"/>
      <c r="EJC138" s="9"/>
      <c r="EJD138" s="9"/>
      <c r="EJE138" s="18"/>
      <c r="EJF138" s="18"/>
      <c r="EJG138" s="18"/>
      <c r="EJH138" s="18"/>
      <c r="EJI138" s="18"/>
      <c r="EJJ138" s="17"/>
      <c r="EJK138" s="9"/>
      <c r="EJL138" s="9"/>
      <c r="EJM138" s="18"/>
      <c r="EJN138" s="18"/>
      <c r="EJO138" s="18"/>
      <c r="EJP138" s="18"/>
      <c r="EJQ138" s="18"/>
      <c r="EJR138" s="17"/>
      <c r="EJS138" s="9"/>
      <c r="EJT138" s="9"/>
      <c r="EJU138" s="18"/>
      <c r="EJV138" s="18"/>
      <c r="EJW138" s="18"/>
      <c r="EJX138" s="18"/>
      <c r="EJY138" s="18"/>
      <c r="EJZ138" s="17"/>
      <c r="EKA138" s="9"/>
      <c r="EKB138" s="9"/>
      <c r="EKC138" s="18"/>
      <c r="EKD138" s="18"/>
      <c r="EKE138" s="18"/>
      <c r="EKF138" s="18"/>
      <c r="EKG138" s="18"/>
      <c r="EKH138" s="17"/>
      <c r="EKI138" s="9"/>
      <c r="EKJ138" s="9"/>
      <c r="EKK138" s="18"/>
      <c r="EKL138" s="18"/>
      <c r="EKM138" s="18"/>
      <c r="EKN138" s="18"/>
      <c r="EKO138" s="18"/>
      <c r="EKP138" s="17"/>
      <c r="EKQ138" s="9"/>
      <c r="EKR138" s="9"/>
      <c r="EKS138" s="18"/>
      <c r="EKT138" s="18"/>
      <c r="EKU138" s="18"/>
      <c r="EKV138" s="18"/>
      <c r="EKW138" s="18"/>
      <c r="EKX138" s="17"/>
      <c r="EKY138" s="9"/>
      <c r="EKZ138" s="9"/>
      <c r="ELA138" s="18"/>
      <c r="ELB138" s="18"/>
      <c r="ELC138" s="18"/>
      <c r="ELD138" s="18"/>
      <c r="ELE138" s="18"/>
      <c r="ELF138" s="17"/>
      <c r="ELG138" s="9"/>
      <c r="ELH138" s="9"/>
      <c r="ELI138" s="18"/>
      <c r="ELJ138" s="18"/>
      <c r="ELK138" s="18"/>
      <c r="ELL138" s="18"/>
      <c r="ELM138" s="18"/>
      <c r="ELN138" s="17"/>
      <c r="ELO138" s="9"/>
      <c r="ELP138" s="9"/>
      <c r="ELQ138" s="18"/>
      <c r="ELR138" s="18"/>
      <c r="ELS138" s="18"/>
      <c r="ELT138" s="18"/>
      <c r="ELU138" s="18"/>
      <c r="ELV138" s="17"/>
      <c r="ELW138" s="9"/>
      <c r="ELX138" s="9"/>
      <c r="ELY138" s="18"/>
      <c r="ELZ138" s="18"/>
      <c r="EMA138" s="18"/>
      <c r="EMB138" s="18"/>
      <c r="EMC138" s="18"/>
      <c r="EMD138" s="17"/>
      <c r="EME138" s="9"/>
      <c r="EMF138" s="9"/>
      <c r="EMG138" s="18"/>
      <c r="EMH138" s="18"/>
      <c r="EMI138" s="18"/>
      <c r="EMJ138" s="18"/>
      <c r="EMK138" s="18"/>
      <c r="EML138" s="17"/>
      <c r="EMM138" s="9"/>
      <c r="EMN138" s="9"/>
      <c r="EMO138" s="18"/>
      <c r="EMP138" s="18"/>
      <c r="EMQ138" s="18"/>
      <c r="EMR138" s="18"/>
      <c r="EMS138" s="18"/>
      <c r="EMT138" s="17"/>
      <c r="EMU138" s="9"/>
      <c r="EMV138" s="9"/>
      <c r="EMW138" s="18"/>
      <c r="EMX138" s="18"/>
      <c r="EMY138" s="18"/>
      <c r="EMZ138" s="18"/>
      <c r="ENA138" s="18"/>
      <c r="ENB138" s="17"/>
      <c r="ENC138" s="9"/>
      <c r="END138" s="9"/>
      <c r="ENE138" s="18"/>
      <c r="ENF138" s="18"/>
      <c r="ENG138" s="18"/>
      <c r="ENH138" s="18"/>
      <c r="ENI138" s="18"/>
      <c r="ENJ138" s="17"/>
      <c r="ENK138" s="9"/>
      <c r="ENL138" s="9"/>
      <c r="ENM138" s="18"/>
      <c r="ENN138" s="18"/>
      <c r="ENO138" s="18"/>
      <c r="ENP138" s="18"/>
      <c r="ENQ138" s="18"/>
      <c r="ENR138" s="17"/>
      <c r="ENS138" s="9"/>
      <c r="ENT138" s="9"/>
      <c r="ENU138" s="18"/>
      <c r="ENV138" s="18"/>
      <c r="ENW138" s="18"/>
      <c r="ENX138" s="18"/>
      <c r="ENY138" s="18"/>
      <c r="ENZ138" s="17"/>
      <c r="EOA138" s="9"/>
      <c r="EOB138" s="9"/>
      <c r="EOC138" s="18"/>
      <c r="EOD138" s="18"/>
      <c r="EOE138" s="18"/>
      <c r="EOF138" s="18"/>
      <c r="EOG138" s="18"/>
      <c r="EOH138" s="17"/>
      <c r="EOI138" s="9"/>
      <c r="EOJ138" s="9"/>
      <c r="EOK138" s="18"/>
      <c r="EOL138" s="18"/>
      <c r="EOM138" s="18"/>
      <c r="EON138" s="18"/>
      <c r="EOO138" s="18"/>
      <c r="EOP138" s="17"/>
      <c r="EOQ138" s="9"/>
      <c r="EOR138" s="9"/>
      <c r="EOS138" s="18"/>
      <c r="EOT138" s="18"/>
      <c r="EOU138" s="18"/>
      <c r="EOV138" s="18"/>
      <c r="EOW138" s="18"/>
      <c r="EOX138" s="17"/>
      <c r="EOY138" s="9"/>
      <c r="EOZ138" s="9"/>
      <c r="EPA138" s="18"/>
      <c r="EPB138" s="18"/>
      <c r="EPC138" s="18"/>
      <c r="EPD138" s="18"/>
      <c r="EPE138" s="18"/>
      <c r="EPF138" s="17"/>
      <c r="EPG138" s="9"/>
      <c r="EPH138" s="9"/>
      <c r="EPI138" s="18"/>
      <c r="EPJ138" s="18"/>
      <c r="EPK138" s="18"/>
      <c r="EPL138" s="18"/>
      <c r="EPM138" s="18"/>
      <c r="EPN138" s="17"/>
      <c r="EPO138" s="9"/>
      <c r="EPP138" s="9"/>
      <c r="EPQ138" s="18"/>
      <c r="EPR138" s="18"/>
      <c r="EPS138" s="18"/>
      <c r="EPT138" s="18"/>
      <c r="EPU138" s="18"/>
      <c r="EPV138" s="17"/>
      <c r="EPW138" s="9"/>
      <c r="EPX138" s="9"/>
      <c r="EPY138" s="18"/>
      <c r="EPZ138" s="18"/>
      <c r="EQA138" s="18"/>
      <c r="EQB138" s="18"/>
      <c r="EQC138" s="18"/>
      <c r="EQD138" s="17"/>
      <c r="EQE138" s="9"/>
      <c r="EQF138" s="9"/>
      <c r="EQG138" s="18"/>
      <c r="EQH138" s="18"/>
      <c r="EQI138" s="18"/>
      <c r="EQJ138" s="18"/>
      <c r="EQK138" s="18"/>
      <c r="EQL138" s="17"/>
      <c r="EQM138" s="9"/>
      <c r="EQN138" s="9"/>
      <c r="EQO138" s="18"/>
      <c r="EQP138" s="18"/>
      <c r="EQQ138" s="18"/>
      <c r="EQR138" s="18"/>
      <c r="EQS138" s="18"/>
      <c r="EQT138" s="17"/>
      <c r="EQU138" s="9"/>
      <c r="EQV138" s="9"/>
      <c r="EQW138" s="18"/>
      <c r="EQX138" s="18"/>
      <c r="EQY138" s="18"/>
      <c r="EQZ138" s="18"/>
      <c r="ERA138" s="18"/>
      <c r="ERB138" s="17"/>
      <c r="ERC138" s="9"/>
      <c r="ERD138" s="9"/>
      <c r="ERE138" s="18"/>
      <c r="ERF138" s="18"/>
      <c r="ERG138" s="18"/>
      <c r="ERH138" s="18"/>
      <c r="ERI138" s="18"/>
      <c r="ERJ138" s="17"/>
      <c r="ERK138" s="9"/>
      <c r="ERL138" s="9"/>
      <c r="ERM138" s="18"/>
      <c r="ERN138" s="18"/>
      <c r="ERO138" s="18"/>
      <c r="ERP138" s="18"/>
      <c r="ERQ138" s="18"/>
      <c r="ERR138" s="17"/>
      <c r="ERS138" s="9"/>
      <c r="ERT138" s="9"/>
      <c r="ERU138" s="18"/>
      <c r="ERV138" s="18"/>
      <c r="ERW138" s="18"/>
      <c r="ERX138" s="18"/>
      <c r="ERY138" s="18"/>
      <c r="ERZ138" s="17"/>
      <c r="ESA138" s="9"/>
      <c r="ESB138" s="9"/>
      <c r="ESC138" s="18"/>
      <c r="ESD138" s="18"/>
      <c r="ESE138" s="18"/>
      <c r="ESF138" s="18"/>
      <c r="ESG138" s="18"/>
      <c r="ESH138" s="17"/>
      <c r="ESI138" s="9"/>
      <c r="ESJ138" s="9"/>
      <c r="ESK138" s="18"/>
      <c r="ESL138" s="18"/>
      <c r="ESM138" s="18"/>
      <c r="ESN138" s="18"/>
      <c r="ESO138" s="18"/>
      <c r="ESP138" s="17"/>
      <c r="ESQ138" s="9"/>
      <c r="ESR138" s="9"/>
      <c r="ESS138" s="18"/>
      <c r="EST138" s="18"/>
      <c r="ESU138" s="18"/>
      <c r="ESV138" s="18"/>
      <c r="ESW138" s="18"/>
      <c r="ESX138" s="17"/>
      <c r="ESY138" s="9"/>
      <c r="ESZ138" s="9"/>
      <c r="ETA138" s="18"/>
      <c r="ETB138" s="18"/>
      <c r="ETC138" s="18"/>
      <c r="ETD138" s="18"/>
      <c r="ETE138" s="18"/>
      <c r="ETF138" s="17"/>
      <c r="ETG138" s="9"/>
      <c r="ETH138" s="9"/>
      <c r="ETI138" s="18"/>
      <c r="ETJ138" s="18"/>
      <c r="ETK138" s="18"/>
      <c r="ETL138" s="18"/>
      <c r="ETM138" s="18"/>
      <c r="ETN138" s="17"/>
      <c r="ETO138" s="9"/>
      <c r="ETP138" s="9"/>
      <c r="ETQ138" s="18"/>
      <c r="ETR138" s="18"/>
      <c r="ETS138" s="18"/>
      <c r="ETT138" s="18"/>
      <c r="ETU138" s="18"/>
      <c r="ETV138" s="17"/>
      <c r="ETW138" s="9"/>
      <c r="ETX138" s="9"/>
      <c r="ETY138" s="18"/>
      <c r="ETZ138" s="18"/>
      <c r="EUA138" s="18"/>
      <c r="EUB138" s="18"/>
      <c r="EUC138" s="18"/>
      <c r="EUD138" s="17"/>
      <c r="EUE138" s="9"/>
      <c r="EUF138" s="9"/>
      <c r="EUG138" s="18"/>
      <c r="EUH138" s="18"/>
      <c r="EUI138" s="18"/>
      <c r="EUJ138" s="18"/>
      <c r="EUK138" s="18"/>
      <c r="EUL138" s="17"/>
      <c r="EUM138" s="9"/>
      <c r="EUN138" s="9"/>
      <c r="EUO138" s="18"/>
      <c r="EUP138" s="18"/>
      <c r="EUQ138" s="18"/>
      <c r="EUR138" s="18"/>
      <c r="EUS138" s="18"/>
      <c r="EUT138" s="17"/>
      <c r="EUU138" s="9"/>
      <c r="EUV138" s="9"/>
      <c r="EUW138" s="18"/>
      <c r="EUX138" s="18"/>
      <c r="EUY138" s="18"/>
      <c r="EUZ138" s="18"/>
      <c r="EVA138" s="18"/>
      <c r="EVB138" s="17"/>
      <c r="EVC138" s="9"/>
      <c r="EVD138" s="9"/>
      <c r="EVE138" s="18"/>
      <c r="EVF138" s="18"/>
      <c r="EVG138" s="18"/>
      <c r="EVH138" s="18"/>
      <c r="EVI138" s="18"/>
      <c r="EVJ138" s="17"/>
      <c r="EVK138" s="9"/>
      <c r="EVL138" s="9"/>
      <c r="EVM138" s="18"/>
      <c r="EVN138" s="18"/>
      <c r="EVO138" s="18"/>
      <c r="EVP138" s="18"/>
      <c r="EVQ138" s="18"/>
      <c r="EVR138" s="17"/>
      <c r="EVS138" s="9"/>
      <c r="EVT138" s="9"/>
      <c r="EVU138" s="18"/>
      <c r="EVV138" s="18"/>
      <c r="EVW138" s="18"/>
      <c r="EVX138" s="18"/>
      <c r="EVY138" s="18"/>
      <c r="EVZ138" s="17"/>
      <c r="EWA138" s="9"/>
      <c r="EWB138" s="9"/>
      <c r="EWC138" s="18"/>
      <c r="EWD138" s="18"/>
      <c r="EWE138" s="18"/>
      <c r="EWF138" s="18"/>
      <c r="EWG138" s="18"/>
      <c r="EWH138" s="17"/>
      <c r="EWI138" s="9"/>
      <c r="EWJ138" s="9"/>
      <c r="EWK138" s="18"/>
      <c r="EWL138" s="18"/>
      <c r="EWM138" s="18"/>
      <c r="EWN138" s="18"/>
      <c r="EWO138" s="18"/>
      <c r="EWP138" s="17"/>
      <c r="EWQ138" s="9"/>
      <c r="EWR138" s="9"/>
      <c r="EWS138" s="18"/>
      <c r="EWT138" s="18"/>
      <c r="EWU138" s="18"/>
      <c r="EWV138" s="18"/>
      <c r="EWW138" s="18"/>
      <c r="EWX138" s="17"/>
      <c r="EWY138" s="9"/>
      <c r="EWZ138" s="9"/>
      <c r="EXA138" s="18"/>
      <c r="EXB138" s="18"/>
      <c r="EXC138" s="18"/>
      <c r="EXD138" s="18"/>
      <c r="EXE138" s="18"/>
      <c r="EXF138" s="17"/>
      <c r="EXG138" s="9"/>
      <c r="EXH138" s="9"/>
      <c r="EXI138" s="18"/>
      <c r="EXJ138" s="18"/>
      <c r="EXK138" s="18"/>
      <c r="EXL138" s="18"/>
      <c r="EXM138" s="18"/>
      <c r="EXN138" s="17"/>
      <c r="EXO138" s="9"/>
      <c r="EXP138" s="9"/>
      <c r="EXQ138" s="18"/>
      <c r="EXR138" s="18"/>
      <c r="EXS138" s="18"/>
      <c r="EXT138" s="18"/>
      <c r="EXU138" s="18"/>
      <c r="EXV138" s="17"/>
      <c r="EXW138" s="9"/>
      <c r="EXX138" s="9"/>
      <c r="EXY138" s="18"/>
      <c r="EXZ138" s="18"/>
      <c r="EYA138" s="18"/>
      <c r="EYB138" s="18"/>
      <c r="EYC138" s="18"/>
      <c r="EYD138" s="17"/>
      <c r="EYE138" s="9"/>
      <c r="EYF138" s="9"/>
      <c r="EYG138" s="18"/>
      <c r="EYH138" s="18"/>
      <c r="EYI138" s="18"/>
      <c r="EYJ138" s="18"/>
      <c r="EYK138" s="18"/>
      <c r="EYL138" s="17"/>
      <c r="EYM138" s="9"/>
      <c r="EYN138" s="9"/>
      <c r="EYO138" s="18"/>
      <c r="EYP138" s="18"/>
      <c r="EYQ138" s="18"/>
      <c r="EYR138" s="18"/>
      <c r="EYS138" s="18"/>
      <c r="EYT138" s="17"/>
      <c r="EYU138" s="9"/>
      <c r="EYV138" s="9"/>
      <c r="EYW138" s="18"/>
      <c r="EYX138" s="18"/>
      <c r="EYY138" s="18"/>
      <c r="EYZ138" s="18"/>
      <c r="EZA138" s="18"/>
      <c r="EZB138" s="17"/>
      <c r="EZC138" s="9"/>
      <c r="EZD138" s="9"/>
      <c r="EZE138" s="18"/>
      <c r="EZF138" s="18"/>
      <c r="EZG138" s="18"/>
      <c r="EZH138" s="18"/>
      <c r="EZI138" s="18"/>
      <c r="EZJ138" s="17"/>
      <c r="EZK138" s="9"/>
      <c r="EZL138" s="9"/>
      <c r="EZM138" s="18"/>
      <c r="EZN138" s="18"/>
      <c r="EZO138" s="18"/>
      <c r="EZP138" s="18"/>
      <c r="EZQ138" s="18"/>
      <c r="EZR138" s="17"/>
      <c r="EZS138" s="9"/>
      <c r="EZT138" s="9"/>
      <c r="EZU138" s="18"/>
      <c r="EZV138" s="18"/>
      <c r="EZW138" s="18"/>
      <c r="EZX138" s="18"/>
      <c r="EZY138" s="18"/>
      <c r="EZZ138" s="17"/>
      <c r="FAA138" s="9"/>
      <c r="FAB138" s="9"/>
      <c r="FAC138" s="18"/>
      <c r="FAD138" s="18"/>
      <c r="FAE138" s="18"/>
      <c r="FAF138" s="18"/>
      <c r="FAG138" s="18"/>
      <c r="FAH138" s="17"/>
      <c r="FAI138" s="9"/>
      <c r="FAJ138" s="9"/>
      <c r="FAK138" s="18"/>
      <c r="FAL138" s="18"/>
      <c r="FAM138" s="18"/>
      <c r="FAN138" s="18"/>
      <c r="FAO138" s="18"/>
      <c r="FAP138" s="17"/>
      <c r="FAQ138" s="9"/>
      <c r="FAR138" s="9"/>
      <c r="FAS138" s="18"/>
      <c r="FAT138" s="18"/>
      <c r="FAU138" s="18"/>
      <c r="FAV138" s="18"/>
      <c r="FAW138" s="18"/>
      <c r="FAX138" s="17"/>
      <c r="FAY138" s="9"/>
      <c r="FAZ138" s="9"/>
      <c r="FBA138" s="18"/>
      <c r="FBB138" s="18"/>
      <c r="FBC138" s="18"/>
      <c r="FBD138" s="18"/>
      <c r="FBE138" s="18"/>
      <c r="FBF138" s="17"/>
      <c r="FBG138" s="9"/>
      <c r="FBH138" s="9"/>
      <c r="FBI138" s="18"/>
      <c r="FBJ138" s="18"/>
      <c r="FBK138" s="18"/>
      <c r="FBL138" s="18"/>
      <c r="FBM138" s="18"/>
      <c r="FBN138" s="17"/>
      <c r="FBO138" s="9"/>
      <c r="FBP138" s="9"/>
      <c r="FBQ138" s="18"/>
      <c r="FBR138" s="18"/>
      <c r="FBS138" s="18"/>
      <c r="FBT138" s="18"/>
      <c r="FBU138" s="18"/>
      <c r="FBV138" s="17"/>
      <c r="FBW138" s="9"/>
      <c r="FBX138" s="9"/>
      <c r="FBY138" s="18"/>
      <c r="FBZ138" s="18"/>
      <c r="FCA138" s="18"/>
      <c r="FCB138" s="18"/>
      <c r="FCC138" s="18"/>
      <c r="FCD138" s="17"/>
      <c r="FCE138" s="9"/>
      <c r="FCF138" s="9"/>
      <c r="FCG138" s="18"/>
      <c r="FCH138" s="18"/>
      <c r="FCI138" s="18"/>
      <c r="FCJ138" s="18"/>
      <c r="FCK138" s="18"/>
      <c r="FCL138" s="17"/>
      <c r="FCM138" s="9"/>
      <c r="FCN138" s="9"/>
      <c r="FCO138" s="18"/>
      <c r="FCP138" s="18"/>
      <c r="FCQ138" s="18"/>
      <c r="FCR138" s="18"/>
      <c r="FCS138" s="18"/>
      <c r="FCT138" s="17"/>
      <c r="FCU138" s="9"/>
      <c r="FCV138" s="9"/>
      <c r="FCW138" s="18"/>
      <c r="FCX138" s="18"/>
      <c r="FCY138" s="18"/>
      <c r="FCZ138" s="18"/>
      <c r="FDA138" s="18"/>
      <c r="FDB138" s="17"/>
      <c r="FDC138" s="9"/>
      <c r="FDD138" s="9"/>
      <c r="FDE138" s="18"/>
      <c r="FDF138" s="18"/>
      <c r="FDG138" s="18"/>
      <c r="FDH138" s="18"/>
      <c r="FDI138" s="18"/>
      <c r="FDJ138" s="17"/>
      <c r="FDK138" s="9"/>
      <c r="FDL138" s="9"/>
      <c r="FDM138" s="18"/>
      <c r="FDN138" s="18"/>
      <c r="FDO138" s="18"/>
      <c r="FDP138" s="18"/>
      <c r="FDQ138" s="18"/>
      <c r="FDR138" s="17"/>
      <c r="FDS138" s="9"/>
      <c r="FDT138" s="9"/>
      <c r="FDU138" s="18"/>
      <c r="FDV138" s="18"/>
      <c r="FDW138" s="18"/>
      <c r="FDX138" s="18"/>
      <c r="FDY138" s="18"/>
      <c r="FDZ138" s="17"/>
      <c r="FEA138" s="9"/>
      <c r="FEB138" s="9"/>
      <c r="FEC138" s="18"/>
      <c r="FED138" s="18"/>
      <c r="FEE138" s="18"/>
      <c r="FEF138" s="18"/>
      <c r="FEG138" s="18"/>
      <c r="FEH138" s="17"/>
      <c r="FEI138" s="9"/>
      <c r="FEJ138" s="9"/>
      <c r="FEK138" s="18"/>
      <c r="FEL138" s="18"/>
      <c r="FEM138" s="18"/>
      <c r="FEN138" s="18"/>
      <c r="FEO138" s="18"/>
      <c r="FEP138" s="17"/>
      <c r="FEQ138" s="9"/>
      <c r="FER138" s="9"/>
      <c r="FES138" s="18"/>
      <c r="FET138" s="18"/>
      <c r="FEU138" s="18"/>
      <c r="FEV138" s="18"/>
      <c r="FEW138" s="18"/>
      <c r="FEX138" s="17"/>
      <c r="FEY138" s="9"/>
      <c r="FEZ138" s="9"/>
      <c r="FFA138" s="18"/>
      <c r="FFB138" s="18"/>
      <c r="FFC138" s="18"/>
      <c r="FFD138" s="18"/>
      <c r="FFE138" s="18"/>
      <c r="FFF138" s="17"/>
      <c r="FFG138" s="9"/>
      <c r="FFH138" s="9"/>
      <c r="FFI138" s="18"/>
      <c r="FFJ138" s="18"/>
      <c r="FFK138" s="18"/>
      <c r="FFL138" s="18"/>
      <c r="FFM138" s="18"/>
      <c r="FFN138" s="17"/>
      <c r="FFO138" s="9"/>
      <c r="FFP138" s="9"/>
      <c r="FFQ138" s="18"/>
      <c r="FFR138" s="18"/>
      <c r="FFS138" s="18"/>
      <c r="FFT138" s="18"/>
      <c r="FFU138" s="18"/>
      <c r="FFV138" s="17"/>
      <c r="FFW138" s="9"/>
      <c r="FFX138" s="9"/>
      <c r="FFY138" s="18"/>
      <c r="FFZ138" s="18"/>
      <c r="FGA138" s="18"/>
      <c r="FGB138" s="18"/>
      <c r="FGC138" s="18"/>
      <c r="FGD138" s="17"/>
      <c r="FGE138" s="9"/>
      <c r="FGF138" s="9"/>
      <c r="FGG138" s="18"/>
      <c r="FGH138" s="18"/>
      <c r="FGI138" s="18"/>
      <c r="FGJ138" s="18"/>
      <c r="FGK138" s="18"/>
      <c r="FGL138" s="17"/>
      <c r="FGM138" s="9"/>
      <c r="FGN138" s="9"/>
      <c r="FGO138" s="18"/>
      <c r="FGP138" s="18"/>
      <c r="FGQ138" s="18"/>
      <c r="FGR138" s="18"/>
      <c r="FGS138" s="18"/>
      <c r="FGT138" s="17"/>
      <c r="FGU138" s="9"/>
      <c r="FGV138" s="9"/>
      <c r="FGW138" s="18"/>
      <c r="FGX138" s="18"/>
      <c r="FGY138" s="18"/>
      <c r="FGZ138" s="18"/>
      <c r="FHA138" s="18"/>
      <c r="FHB138" s="17"/>
      <c r="FHC138" s="9"/>
      <c r="FHD138" s="9"/>
      <c r="FHE138" s="18"/>
      <c r="FHF138" s="18"/>
      <c r="FHG138" s="18"/>
      <c r="FHH138" s="18"/>
      <c r="FHI138" s="18"/>
      <c r="FHJ138" s="17"/>
      <c r="FHK138" s="9"/>
      <c r="FHL138" s="9"/>
      <c r="FHM138" s="18"/>
      <c r="FHN138" s="18"/>
      <c r="FHO138" s="18"/>
      <c r="FHP138" s="18"/>
      <c r="FHQ138" s="18"/>
      <c r="FHR138" s="17"/>
      <c r="FHS138" s="9"/>
      <c r="FHT138" s="9"/>
      <c r="FHU138" s="18"/>
      <c r="FHV138" s="18"/>
      <c r="FHW138" s="18"/>
      <c r="FHX138" s="18"/>
      <c r="FHY138" s="18"/>
      <c r="FHZ138" s="17"/>
      <c r="FIA138" s="9"/>
      <c r="FIB138" s="9"/>
      <c r="FIC138" s="18"/>
      <c r="FID138" s="18"/>
      <c r="FIE138" s="18"/>
      <c r="FIF138" s="18"/>
      <c r="FIG138" s="18"/>
      <c r="FIH138" s="17"/>
      <c r="FII138" s="9"/>
      <c r="FIJ138" s="9"/>
      <c r="FIK138" s="18"/>
      <c r="FIL138" s="18"/>
      <c r="FIM138" s="18"/>
      <c r="FIN138" s="18"/>
      <c r="FIO138" s="18"/>
      <c r="FIP138" s="17"/>
      <c r="FIQ138" s="9"/>
      <c r="FIR138" s="9"/>
      <c r="FIS138" s="18"/>
      <c r="FIT138" s="18"/>
      <c r="FIU138" s="18"/>
      <c r="FIV138" s="18"/>
      <c r="FIW138" s="18"/>
      <c r="FIX138" s="17"/>
      <c r="FIY138" s="9"/>
      <c r="FIZ138" s="9"/>
      <c r="FJA138" s="18"/>
      <c r="FJB138" s="18"/>
      <c r="FJC138" s="18"/>
      <c r="FJD138" s="18"/>
      <c r="FJE138" s="18"/>
      <c r="FJF138" s="17"/>
      <c r="FJG138" s="9"/>
      <c r="FJH138" s="9"/>
      <c r="FJI138" s="18"/>
      <c r="FJJ138" s="18"/>
      <c r="FJK138" s="18"/>
      <c r="FJL138" s="18"/>
      <c r="FJM138" s="18"/>
      <c r="FJN138" s="17"/>
      <c r="FJO138" s="9"/>
      <c r="FJP138" s="9"/>
      <c r="FJQ138" s="18"/>
      <c r="FJR138" s="18"/>
      <c r="FJS138" s="18"/>
      <c r="FJT138" s="18"/>
      <c r="FJU138" s="18"/>
      <c r="FJV138" s="17"/>
      <c r="FJW138" s="9"/>
      <c r="FJX138" s="9"/>
      <c r="FJY138" s="18"/>
      <c r="FJZ138" s="18"/>
      <c r="FKA138" s="18"/>
      <c r="FKB138" s="18"/>
      <c r="FKC138" s="18"/>
      <c r="FKD138" s="17"/>
      <c r="FKE138" s="9"/>
      <c r="FKF138" s="9"/>
      <c r="FKG138" s="18"/>
      <c r="FKH138" s="18"/>
      <c r="FKI138" s="18"/>
      <c r="FKJ138" s="18"/>
      <c r="FKK138" s="18"/>
      <c r="FKL138" s="17"/>
      <c r="FKM138" s="9"/>
      <c r="FKN138" s="9"/>
      <c r="FKO138" s="18"/>
      <c r="FKP138" s="18"/>
      <c r="FKQ138" s="18"/>
      <c r="FKR138" s="18"/>
      <c r="FKS138" s="18"/>
      <c r="FKT138" s="17"/>
      <c r="FKU138" s="9"/>
      <c r="FKV138" s="9"/>
      <c r="FKW138" s="18"/>
      <c r="FKX138" s="18"/>
      <c r="FKY138" s="18"/>
      <c r="FKZ138" s="18"/>
      <c r="FLA138" s="18"/>
      <c r="FLB138" s="17"/>
      <c r="FLC138" s="9"/>
      <c r="FLD138" s="9"/>
      <c r="FLE138" s="18"/>
      <c r="FLF138" s="18"/>
      <c r="FLG138" s="18"/>
      <c r="FLH138" s="18"/>
      <c r="FLI138" s="18"/>
      <c r="FLJ138" s="17"/>
      <c r="FLK138" s="9"/>
      <c r="FLL138" s="9"/>
      <c r="FLM138" s="18"/>
      <c r="FLN138" s="18"/>
      <c r="FLO138" s="18"/>
      <c r="FLP138" s="18"/>
      <c r="FLQ138" s="18"/>
      <c r="FLR138" s="17"/>
      <c r="FLS138" s="9"/>
      <c r="FLT138" s="9"/>
      <c r="FLU138" s="18"/>
      <c r="FLV138" s="18"/>
      <c r="FLW138" s="18"/>
      <c r="FLX138" s="18"/>
      <c r="FLY138" s="18"/>
      <c r="FLZ138" s="17"/>
      <c r="FMA138" s="9"/>
      <c r="FMB138" s="9"/>
      <c r="FMC138" s="18"/>
      <c r="FMD138" s="18"/>
      <c r="FME138" s="18"/>
      <c r="FMF138" s="18"/>
      <c r="FMG138" s="18"/>
      <c r="FMH138" s="17"/>
      <c r="FMI138" s="9"/>
      <c r="FMJ138" s="9"/>
      <c r="FMK138" s="18"/>
      <c r="FML138" s="18"/>
      <c r="FMM138" s="18"/>
      <c r="FMN138" s="18"/>
      <c r="FMO138" s="18"/>
      <c r="FMP138" s="17"/>
      <c r="FMQ138" s="9"/>
      <c r="FMR138" s="9"/>
      <c r="FMS138" s="18"/>
      <c r="FMT138" s="18"/>
      <c r="FMU138" s="18"/>
      <c r="FMV138" s="18"/>
      <c r="FMW138" s="18"/>
      <c r="FMX138" s="17"/>
      <c r="FMY138" s="9"/>
      <c r="FMZ138" s="9"/>
      <c r="FNA138" s="18"/>
      <c r="FNB138" s="18"/>
      <c r="FNC138" s="18"/>
      <c r="FND138" s="18"/>
      <c r="FNE138" s="18"/>
      <c r="FNF138" s="17"/>
      <c r="FNG138" s="9"/>
      <c r="FNH138" s="9"/>
      <c r="FNI138" s="18"/>
      <c r="FNJ138" s="18"/>
      <c r="FNK138" s="18"/>
      <c r="FNL138" s="18"/>
      <c r="FNM138" s="18"/>
      <c r="FNN138" s="17"/>
      <c r="FNO138" s="9"/>
      <c r="FNP138" s="9"/>
      <c r="FNQ138" s="18"/>
      <c r="FNR138" s="18"/>
      <c r="FNS138" s="18"/>
      <c r="FNT138" s="18"/>
      <c r="FNU138" s="18"/>
      <c r="FNV138" s="17"/>
      <c r="FNW138" s="9"/>
      <c r="FNX138" s="9"/>
      <c r="FNY138" s="18"/>
      <c r="FNZ138" s="18"/>
      <c r="FOA138" s="18"/>
      <c r="FOB138" s="18"/>
      <c r="FOC138" s="18"/>
      <c r="FOD138" s="17"/>
      <c r="FOE138" s="9"/>
      <c r="FOF138" s="9"/>
      <c r="FOG138" s="18"/>
      <c r="FOH138" s="18"/>
      <c r="FOI138" s="18"/>
      <c r="FOJ138" s="18"/>
      <c r="FOK138" s="18"/>
      <c r="FOL138" s="17"/>
      <c r="FOM138" s="9"/>
      <c r="FON138" s="9"/>
      <c r="FOO138" s="18"/>
      <c r="FOP138" s="18"/>
      <c r="FOQ138" s="18"/>
      <c r="FOR138" s="18"/>
      <c r="FOS138" s="18"/>
      <c r="FOT138" s="17"/>
      <c r="FOU138" s="9"/>
      <c r="FOV138" s="9"/>
      <c r="FOW138" s="18"/>
      <c r="FOX138" s="18"/>
      <c r="FOY138" s="18"/>
      <c r="FOZ138" s="18"/>
      <c r="FPA138" s="18"/>
      <c r="FPB138" s="17"/>
      <c r="FPC138" s="9"/>
      <c r="FPD138" s="9"/>
      <c r="FPE138" s="18"/>
      <c r="FPF138" s="18"/>
      <c r="FPG138" s="18"/>
      <c r="FPH138" s="18"/>
      <c r="FPI138" s="18"/>
      <c r="FPJ138" s="17"/>
      <c r="FPK138" s="9"/>
      <c r="FPL138" s="9"/>
      <c r="FPM138" s="18"/>
      <c r="FPN138" s="18"/>
      <c r="FPO138" s="18"/>
      <c r="FPP138" s="18"/>
      <c r="FPQ138" s="18"/>
      <c r="FPR138" s="17"/>
      <c r="FPS138" s="9"/>
      <c r="FPT138" s="9"/>
      <c r="FPU138" s="18"/>
      <c r="FPV138" s="18"/>
      <c r="FPW138" s="18"/>
      <c r="FPX138" s="18"/>
      <c r="FPY138" s="18"/>
      <c r="FPZ138" s="17"/>
      <c r="FQA138" s="9"/>
      <c r="FQB138" s="9"/>
      <c r="FQC138" s="18"/>
      <c r="FQD138" s="18"/>
      <c r="FQE138" s="18"/>
      <c r="FQF138" s="18"/>
      <c r="FQG138" s="18"/>
      <c r="FQH138" s="17"/>
      <c r="FQI138" s="9"/>
      <c r="FQJ138" s="9"/>
      <c r="FQK138" s="18"/>
      <c r="FQL138" s="18"/>
      <c r="FQM138" s="18"/>
      <c r="FQN138" s="18"/>
      <c r="FQO138" s="18"/>
      <c r="FQP138" s="17"/>
      <c r="FQQ138" s="9"/>
      <c r="FQR138" s="9"/>
      <c r="FQS138" s="18"/>
      <c r="FQT138" s="18"/>
      <c r="FQU138" s="18"/>
      <c r="FQV138" s="18"/>
      <c r="FQW138" s="18"/>
      <c r="FQX138" s="17"/>
      <c r="FQY138" s="9"/>
      <c r="FQZ138" s="9"/>
      <c r="FRA138" s="18"/>
      <c r="FRB138" s="18"/>
      <c r="FRC138" s="18"/>
      <c r="FRD138" s="18"/>
      <c r="FRE138" s="18"/>
      <c r="FRF138" s="17"/>
      <c r="FRG138" s="9"/>
      <c r="FRH138" s="9"/>
      <c r="FRI138" s="18"/>
      <c r="FRJ138" s="18"/>
      <c r="FRK138" s="18"/>
      <c r="FRL138" s="18"/>
      <c r="FRM138" s="18"/>
      <c r="FRN138" s="17"/>
      <c r="FRO138" s="9"/>
      <c r="FRP138" s="9"/>
      <c r="FRQ138" s="18"/>
      <c r="FRR138" s="18"/>
      <c r="FRS138" s="18"/>
      <c r="FRT138" s="18"/>
      <c r="FRU138" s="18"/>
      <c r="FRV138" s="17"/>
      <c r="FRW138" s="9"/>
      <c r="FRX138" s="9"/>
      <c r="FRY138" s="18"/>
      <c r="FRZ138" s="18"/>
      <c r="FSA138" s="18"/>
      <c r="FSB138" s="18"/>
      <c r="FSC138" s="18"/>
      <c r="FSD138" s="17"/>
      <c r="FSE138" s="9"/>
      <c r="FSF138" s="9"/>
      <c r="FSG138" s="18"/>
      <c r="FSH138" s="18"/>
      <c r="FSI138" s="18"/>
      <c r="FSJ138" s="18"/>
      <c r="FSK138" s="18"/>
      <c r="FSL138" s="17"/>
      <c r="FSM138" s="9"/>
      <c r="FSN138" s="9"/>
      <c r="FSO138" s="18"/>
      <c r="FSP138" s="18"/>
      <c r="FSQ138" s="18"/>
      <c r="FSR138" s="18"/>
      <c r="FSS138" s="18"/>
      <c r="FST138" s="17"/>
      <c r="FSU138" s="9"/>
      <c r="FSV138" s="9"/>
      <c r="FSW138" s="18"/>
      <c r="FSX138" s="18"/>
      <c r="FSY138" s="18"/>
      <c r="FSZ138" s="18"/>
      <c r="FTA138" s="18"/>
      <c r="FTB138" s="17"/>
      <c r="FTC138" s="9"/>
      <c r="FTD138" s="9"/>
      <c r="FTE138" s="18"/>
      <c r="FTF138" s="18"/>
      <c r="FTG138" s="18"/>
      <c r="FTH138" s="18"/>
      <c r="FTI138" s="18"/>
      <c r="FTJ138" s="17"/>
      <c r="FTK138" s="9"/>
      <c r="FTL138" s="9"/>
      <c r="FTM138" s="18"/>
      <c r="FTN138" s="18"/>
      <c r="FTO138" s="18"/>
      <c r="FTP138" s="18"/>
      <c r="FTQ138" s="18"/>
      <c r="FTR138" s="17"/>
      <c r="FTS138" s="9"/>
      <c r="FTT138" s="9"/>
      <c r="FTU138" s="18"/>
      <c r="FTV138" s="18"/>
      <c r="FTW138" s="18"/>
      <c r="FTX138" s="18"/>
      <c r="FTY138" s="18"/>
      <c r="FTZ138" s="17"/>
      <c r="FUA138" s="9"/>
      <c r="FUB138" s="9"/>
      <c r="FUC138" s="18"/>
      <c r="FUD138" s="18"/>
      <c r="FUE138" s="18"/>
      <c r="FUF138" s="18"/>
      <c r="FUG138" s="18"/>
      <c r="FUH138" s="17"/>
      <c r="FUI138" s="9"/>
      <c r="FUJ138" s="9"/>
      <c r="FUK138" s="18"/>
      <c r="FUL138" s="18"/>
      <c r="FUM138" s="18"/>
      <c r="FUN138" s="18"/>
      <c r="FUO138" s="18"/>
      <c r="FUP138" s="17"/>
      <c r="FUQ138" s="9"/>
      <c r="FUR138" s="9"/>
      <c r="FUS138" s="18"/>
      <c r="FUT138" s="18"/>
      <c r="FUU138" s="18"/>
      <c r="FUV138" s="18"/>
      <c r="FUW138" s="18"/>
      <c r="FUX138" s="17"/>
      <c r="FUY138" s="9"/>
      <c r="FUZ138" s="9"/>
      <c r="FVA138" s="18"/>
      <c r="FVB138" s="18"/>
      <c r="FVC138" s="18"/>
      <c r="FVD138" s="18"/>
      <c r="FVE138" s="18"/>
      <c r="FVF138" s="17"/>
      <c r="FVG138" s="9"/>
      <c r="FVH138" s="9"/>
      <c r="FVI138" s="18"/>
      <c r="FVJ138" s="18"/>
      <c r="FVK138" s="18"/>
      <c r="FVL138" s="18"/>
      <c r="FVM138" s="18"/>
      <c r="FVN138" s="17"/>
      <c r="FVO138" s="9"/>
      <c r="FVP138" s="9"/>
      <c r="FVQ138" s="18"/>
      <c r="FVR138" s="18"/>
      <c r="FVS138" s="18"/>
      <c r="FVT138" s="18"/>
      <c r="FVU138" s="18"/>
      <c r="FVV138" s="17"/>
      <c r="FVW138" s="9"/>
      <c r="FVX138" s="9"/>
      <c r="FVY138" s="18"/>
      <c r="FVZ138" s="18"/>
      <c r="FWA138" s="18"/>
      <c r="FWB138" s="18"/>
      <c r="FWC138" s="18"/>
      <c r="FWD138" s="17"/>
      <c r="FWE138" s="9"/>
      <c r="FWF138" s="9"/>
      <c r="FWG138" s="18"/>
      <c r="FWH138" s="18"/>
      <c r="FWI138" s="18"/>
      <c r="FWJ138" s="18"/>
      <c r="FWK138" s="18"/>
      <c r="FWL138" s="17"/>
      <c r="FWM138" s="9"/>
      <c r="FWN138" s="9"/>
      <c r="FWO138" s="18"/>
      <c r="FWP138" s="18"/>
      <c r="FWQ138" s="18"/>
      <c r="FWR138" s="18"/>
      <c r="FWS138" s="18"/>
      <c r="FWT138" s="17"/>
      <c r="FWU138" s="9"/>
      <c r="FWV138" s="9"/>
      <c r="FWW138" s="18"/>
      <c r="FWX138" s="18"/>
      <c r="FWY138" s="18"/>
      <c r="FWZ138" s="18"/>
      <c r="FXA138" s="18"/>
      <c r="FXB138" s="17"/>
      <c r="FXC138" s="9"/>
      <c r="FXD138" s="9"/>
      <c r="FXE138" s="18"/>
      <c r="FXF138" s="18"/>
      <c r="FXG138" s="18"/>
      <c r="FXH138" s="18"/>
      <c r="FXI138" s="18"/>
      <c r="FXJ138" s="17"/>
      <c r="FXK138" s="9"/>
      <c r="FXL138" s="9"/>
      <c r="FXM138" s="18"/>
      <c r="FXN138" s="18"/>
      <c r="FXO138" s="18"/>
      <c r="FXP138" s="18"/>
      <c r="FXQ138" s="18"/>
      <c r="FXR138" s="17"/>
      <c r="FXS138" s="9"/>
      <c r="FXT138" s="9"/>
      <c r="FXU138" s="18"/>
      <c r="FXV138" s="18"/>
      <c r="FXW138" s="18"/>
      <c r="FXX138" s="18"/>
      <c r="FXY138" s="18"/>
      <c r="FXZ138" s="17"/>
      <c r="FYA138" s="9"/>
      <c r="FYB138" s="9"/>
      <c r="FYC138" s="18"/>
      <c r="FYD138" s="18"/>
      <c r="FYE138" s="18"/>
      <c r="FYF138" s="18"/>
      <c r="FYG138" s="18"/>
      <c r="FYH138" s="17"/>
      <c r="FYI138" s="9"/>
      <c r="FYJ138" s="9"/>
      <c r="FYK138" s="18"/>
      <c r="FYL138" s="18"/>
      <c r="FYM138" s="18"/>
      <c r="FYN138" s="18"/>
      <c r="FYO138" s="18"/>
      <c r="FYP138" s="17"/>
      <c r="FYQ138" s="9"/>
      <c r="FYR138" s="9"/>
      <c r="FYS138" s="18"/>
      <c r="FYT138" s="18"/>
      <c r="FYU138" s="18"/>
      <c r="FYV138" s="18"/>
      <c r="FYW138" s="18"/>
      <c r="FYX138" s="17"/>
      <c r="FYY138" s="9"/>
      <c r="FYZ138" s="9"/>
      <c r="FZA138" s="18"/>
      <c r="FZB138" s="18"/>
      <c r="FZC138" s="18"/>
      <c r="FZD138" s="18"/>
      <c r="FZE138" s="18"/>
      <c r="FZF138" s="17"/>
      <c r="FZG138" s="9"/>
      <c r="FZH138" s="9"/>
      <c r="FZI138" s="18"/>
      <c r="FZJ138" s="18"/>
      <c r="FZK138" s="18"/>
      <c r="FZL138" s="18"/>
      <c r="FZM138" s="18"/>
      <c r="FZN138" s="17"/>
      <c r="FZO138" s="9"/>
      <c r="FZP138" s="9"/>
      <c r="FZQ138" s="18"/>
      <c r="FZR138" s="18"/>
      <c r="FZS138" s="18"/>
      <c r="FZT138" s="18"/>
      <c r="FZU138" s="18"/>
      <c r="FZV138" s="17"/>
      <c r="FZW138" s="9"/>
      <c r="FZX138" s="9"/>
      <c r="FZY138" s="18"/>
      <c r="FZZ138" s="18"/>
      <c r="GAA138" s="18"/>
      <c r="GAB138" s="18"/>
      <c r="GAC138" s="18"/>
      <c r="GAD138" s="17"/>
      <c r="GAE138" s="9"/>
      <c r="GAF138" s="9"/>
      <c r="GAG138" s="18"/>
      <c r="GAH138" s="18"/>
      <c r="GAI138" s="18"/>
      <c r="GAJ138" s="18"/>
      <c r="GAK138" s="18"/>
      <c r="GAL138" s="17"/>
      <c r="GAM138" s="9"/>
      <c r="GAN138" s="9"/>
      <c r="GAO138" s="18"/>
      <c r="GAP138" s="18"/>
      <c r="GAQ138" s="18"/>
      <c r="GAR138" s="18"/>
      <c r="GAS138" s="18"/>
      <c r="GAT138" s="17"/>
      <c r="GAU138" s="9"/>
      <c r="GAV138" s="9"/>
      <c r="GAW138" s="18"/>
      <c r="GAX138" s="18"/>
      <c r="GAY138" s="18"/>
      <c r="GAZ138" s="18"/>
      <c r="GBA138" s="18"/>
      <c r="GBB138" s="17"/>
      <c r="GBC138" s="9"/>
      <c r="GBD138" s="9"/>
      <c r="GBE138" s="18"/>
      <c r="GBF138" s="18"/>
      <c r="GBG138" s="18"/>
      <c r="GBH138" s="18"/>
      <c r="GBI138" s="18"/>
      <c r="GBJ138" s="17"/>
      <c r="GBK138" s="9"/>
      <c r="GBL138" s="9"/>
      <c r="GBM138" s="18"/>
      <c r="GBN138" s="18"/>
      <c r="GBO138" s="18"/>
      <c r="GBP138" s="18"/>
      <c r="GBQ138" s="18"/>
      <c r="GBR138" s="17"/>
      <c r="GBS138" s="9"/>
      <c r="GBT138" s="9"/>
      <c r="GBU138" s="18"/>
      <c r="GBV138" s="18"/>
      <c r="GBW138" s="18"/>
      <c r="GBX138" s="18"/>
      <c r="GBY138" s="18"/>
      <c r="GBZ138" s="17"/>
      <c r="GCA138" s="9"/>
      <c r="GCB138" s="9"/>
      <c r="GCC138" s="18"/>
      <c r="GCD138" s="18"/>
      <c r="GCE138" s="18"/>
      <c r="GCF138" s="18"/>
      <c r="GCG138" s="18"/>
      <c r="GCH138" s="17"/>
      <c r="GCI138" s="9"/>
      <c r="GCJ138" s="9"/>
      <c r="GCK138" s="18"/>
      <c r="GCL138" s="18"/>
      <c r="GCM138" s="18"/>
      <c r="GCN138" s="18"/>
      <c r="GCO138" s="18"/>
      <c r="GCP138" s="17"/>
      <c r="GCQ138" s="9"/>
      <c r="GCR138" s="9"/>
      <c r="GCS138" s="18"/>
      <c r="GCT138" s="18"/>
      <c r="GCU138" s="18"/>
      <c r="GCV138" s="18"/>
      <c r="GCW138" s="18"/>
      <c r="GCX138" s="17"/>
      <c r="GCY138" s="9"/>
      <c r="GCZ138" s="9"/>
      <c r="GDA138" s="18"/>
      <c r="GDB138" s="18"/>
      <c r="GDC138" s="18"/>
      <c r="GDD138" s="18"/>
      <c r="GDE138" s="18"/>
      <c r="GDF138" s="17"/>
      <c r="GDG138" s="9"/>
      <c r="GDH138" s="9"/>
      <c r="GDI138" s="18"/>
      <c r="GDJ138" s="18"/>
      <c r="GDK138" s="18"/>
      <c r="GDL138" s="18"/>
      <c r="GDM138" s="18"/>
      <c r="GDN138" s="17"/>
      <c r="GDO138" s="9"/>
      <c r="GDP138" s="9"/>
      <c r="GDQ138" s="18"/>
      <c r="GDR138" s="18"/>
      <c r="GDS138" s="18"/>
      <c r="GDT138" s="18"/>
      <c r="GDU138" s="18"/>
      <c r="GDV138" s="17"/>
      <c r="GDW138" s="9"/>
      <c r="GDX138" s="9"/>
      <c r="GDY138" s="18"/>
      <c r="GDZ138" s="18"/>
      <c r="GEA138" s="18"/>
      <c r="GEB138" s="18"/>
      <c r="GEC138" s="18"/>
      <c r="GED138" s="17"/>
      <c r="GEE138" s="9"/>
      <c r="GEF138" s="9"/>
      <c r="GEG138" s="18"/>
      <c r="GEH138" s="18"/>
      <c r="GEI138" s="18"/>
      <c r="GEJ138" s="18"/>
      <c r="GEK138" s="18"/>
      <c r="GEL138" s="17"/>
      <c r="GEM138" s="9"/>
      <c r="GEN138" s="9"/>
      <c r="GEO138" s="18"/>
      <c r="GEP138" s="18"/>
      <c r="GEQ138" s="18"/>
      <c r="GER138" s="18"/>
      <c r="GES138" s="18"/>
      <c r="GET138" s="17"/>
      <c r="GEU138" s="9"/>
      <c r="GEV138" s="9"/>
      <c r="GEW138" s="18"/>
      <c r="GEX138" s="18"/>
      <c r="GEY138" s="18"/>
      <c r="GEZ138" s="18"/>
      <c r="GFA138" s="18"/>
      <c r="GFB138" s="17"/>
      <c r="GFC138" s="9"/>
      <c r="GFD138" s="9"/>
      <c r="GFE138" s="18"/>
      <c r="GFF138" s="18"/>
      <c r="GFG138" s="18"/>
      <c r="GFH138" s="18"/>
      <c r="GFI138" s="18"/>
      <c r="GFJ138" s="17"/>
      <c r="GFK138" s="9"/>
      <c r="GFL138" s="9"/>
      <c r="GFM138" s="18"/>
      <c r="GFN138" s="18"/>
      <c r="GFO138" s="18"/>
      <c r="GFP138" s="18"/>
      <c r="GFQ138" s="18"/>
      <c r="GFR138" s="17"/>
      <c r="GFS138" s="9"/>
      <c r="GFT138" s="9"/>
      <c r="GFU138" s="18"/>
      <c r="GFV138" s="18"/>
      <c r="GFW138" s="18"/>
      <c r="GFX138" s="18"/>
      <c r="GFY138" s="18"/>
      <c r="GFZ138" s="17"/>
      <c r="GGA138" s="9"/>
      <c r="GGB138" s="9"/>
      <c r="GGC138" s="18"/>
      <c r="GGD138" s="18"/>
      <c r="GGE138" s="18"/>
      <c r="GGF138" s="18"/>
      <c r="GGG138" s="18"/>
      <c r="GGH138" s="17"/>
      <c r="GGI138" s="9"/>
      <c r="GGJ138" s="9"/>
      <c r="GGK138" s="18"/>
      <c r="GGL138" s="18"/>
      <c r="GGM138" s="18"/>
      <c r="GGN138" s="18"/>
      <c r="GGO138" s="18"/>
      <c r="GGP138" s="17"/>
      <c r="GGQ138" s="9"/>
      <c r="GGR138" s="9"/>
      <c r="GGS138" s="18"/>
      <c r="GGT138" s="18"/>
      <c r="GGU138" s="18"/>
      <c r="GGV138" s="18"/>
      <c r="GGW138" s="18"/>
      <c r="GGX138" s="17"/>
      <c r="GGY138" s="9"/>
      <c r="GGZ138" s="9"/>
      <c r="GHA138" s="18"/>
      <c r="GHB138" s="18"/>
      <c r="GHC138" s="18"/>
      <c r="GHD138" s="18"/>
      <c r="GHE138" s="18"/>
      <c r="GHF138" s="17"/>
      <c r="GHG138" s="9"/>
      <c r="GHH138" s="9"/>
      <c r="GHI138" s="18"/>
      <c r="GHJ138" s="18"/>
      <c r="GHK138" s="18"/>
      <c r="GHL138" s="18"/>
      <c r="GHM138" s="18"/>
      <c r="GHN138" s="17"/>
      <c r="GHO138" s="9"/>
      <c r="GHP138" s="9"/>
      <c r="GHQ138" s="18"/>
      <c r="GHR138" s="18"/>
      <c r="GHS138" s="18"/>
      <c r="GHT138" s="18"/>
      <c r="GHU138" s="18"/>
      <c r="GHV138" s="17"/>
      <c r="GHW138" s="9"/>
      <c r="GHX138" s="9"/>
      <c r="GHY138" s="18"/>
      <c r="GHZ138" s="18"/>
      <c r="GIA138" s="18"/>
      <c r="GIB138" s="18"/>
      <c r="GIC138" s="18"/>
      <c r="GID138" s="17"/>
      <c r="GIE138" s="9"/>
      <c r="GIF138" s="9"/>
      <c r="GIG138" s="18"/>
      <c r="GIH138" s="18"/>
      <c r="GII138" s="18"/>
      <c r="GIJ138" s="18"/>
      <c r="GIK138" s="18"/>
      <c r="GIL138" s="17"/>
      <c r="GIM138" s="9"/>
      <c r="GIN138" s="9"/>
      <c r="GIO138" s="18"/>
      <c r="GIP138" s="18"/>
      <c r="GIQ138" s="18"/>
      <c r="GIR138" s="18"/>
      <c r="GIS138" s="18"/>
      <c r="GIT138" s="17"/>
      <c r="GIU138" s="9"/>
      <c r="GIV138" s="9"/>
      <c r="GIW138" s="18"/>
      <c r="GIX138" s="18"/>
      <c r="GIY138" s="18"/>
      <c r="GIZ138" s="18"/>
      <c r="GJA138" s="18"/>
      <c r="GJB138" s="17"/>
      <c r="GJC138" s="9"/>
      <c r="GJD138" s="9"/>
      <c r="GJE138" s="18"/>
      <c r="GJF138" s="18"/>
      <c r="GJG138" s="18"/>
      <c r="GJH138" s="18"/>
      <c r="GJI138" s="18"/>
      <c r="GJJ138" s="17"/>
      <c r="GJK138" s="9"/>
      <c r="GJL138" s="9"/>
      <c r="GJM138" s="18"/>
      <c r="GJN138" s="18"/>
      <c r="GJO138" s="18"/>
      <c r="GJP138" s="18"/>
      <c r="GJQ138" s="18"/>
      <c r="GJR138" s="17"/>
      <c r="GJS138" s="9"/>
      <c r="GJT138" s="9"/>
      <c r="GJU138" s="18"/>
      <c r="GJV138" s="18"/>
      <c r="GJW138" s="18"/>
      <c r="GJX138" s="18"/>
      <c r="GJY138" s="18"/>
      <c r="GJZ138" s="17"/>
      <c r="GKA138" s="9"/>
      <c r="GKB138" s="9"/>
      <c r="GKC138" s="18"/>
      <c r="GKD138" s="18"/>
      <c r="GKE138" s="18"/>
      <c r="GKF138" s="18"/>
      <c r="GKG138" s="18"/>
      <c r="GKH138" s="17"/>
      <c r="GKI138" s="9"/>
      <c r="GKJ138" s="9"/>
      <c r="GKK138" s="18"/>
      <c r="GKL138" s="18"/>
      <c r="GKM138" s="18"/>
      <c r="GKN138" s="18"/>
      <c r="GKO138" s="18"/>
      <c r="GKP138" s="17"/>
      <c r="GKQ138" s="9"/>
      <c r="GKR138" s="9"/>
      <c r="GKS138" s="18"/>
      <c r="GKT138" s="18"/>
      <c r="GKU138" s="18"/>
      <c r="GKV138" s="18"/>
      <c r="GKW138" s="18"/>
      <c r="GKX138" s="17"/>
      <c r="GKY138" s="9"/>
      <c r="GKZ138" s="9"/>
      <c r="GLA138" s="18"/>
      <c r="GLB138" s="18"/>
      <c r="GLC138" s="18"/>
      <c r="GLD138" s="18"/>
      <c r="GLE138" s="18"/>
      <c r="GLF138" s="17"/>
      <c r="GLG138" s="9"/>
      <c r="GLH138" s="9"/>
      <c r="GLI138" s="18"/>
      <c r="GLJ138" s="18"/>
      <c r="GLK138" s="18"/>
      <c r="GLL138" s="18"/>
      <c r="GLM138" s="18"/>
      <c r="GLN138" s="17"/>
      <c r="GLO138" s="9"/>
      <c r="GLP138" s="9"/>
      <c r="GLQ138" s="18"/>
      <c r="GLR138" s="18"/>
      <c r="GLS138" s="18"/>
      <c r="GLT138" s="18"/>
      <c r="GLU138" s="18"/>
      <c r="GLV138" s="17"/>
      <c r="GLW138" s="9"/>
      <c r="GLX138" s="9"/>
      <c r="GLY138" s="18"/>
      <c r="GLZ138" s="18"/>
      <c r="GMA138" s="18"/>
      <c r="GMB138" s="18"/>
      <c r="GMC138" s="18"/>
      <c r="GMD138" s="17"/>
      <c r="GME138" s="9"/>
      <c r="GMF138" s="9"/>
      <c r="GMG138" s="18"/>
      <c r="GMH138" s="18"/>
      <c r="GMI138" s="18"/>
      <c r="GMJ138" s="18"/>
      <c r="GMK138" s="18"/>
      <c r="GML138" s="17"/>
      <c r="GMM138" s="9"/>
      <c r="GMN138" s="9"/>
      <c r="GMO138" s="18"/>
      <c r="GMP138" s="18"/>
      <c r="GMQ138" s="18"/>
      <c r="GMR138" s="18"/>
      <c r="GMS138" s="18"/>
      <c r="GMT138" s="17"/>
      <c r="GMU138" s="9"/>
      <c r="GMV138" s="9"/>
      <c r="GMW138" s="18"/>
      <c r="GMX138" s="18"/>
      <c r="GMY138" s="18"/>
      <c r="GMZ138" s="18"/>
      <c r="GNA138" s="18"/>
      <c r="GNB138" s="17"/>
      <c r="GNC138" s="9"/>
      <c r="GND138" s="9"/>
      <c r="GNE138" s="18"/>
      <c r="GNF138" s="18"/>
      <c r="GNG138" s="18"/>
      <c r="GNH138" s="18"/>
      <c r="GNI138" s="18"/>
      <c r="GNJ138" s="17"/>
      <c r="GNK138" s="9"/>
      <c r="GNL138" s="9"/>
      <c r="GNM138" s="18"/>
      <c r="GNN138" s="18"/>
      <c r="GNO138" s="18"/>
      <c r="GNP138" s="18"/>
      <c r="GNQ138" s="18"/>
      <c r="GNR138" s="17"/>
      <c r="GNS138" s="9"/>
      <c r="GNT138" s="9"/>
      <c r="GNU138" s="18"/>
      <c r="GNV138" s="18"/>
      <c r="GNW138" s="18"/>
      <c r="GNX138" s="18"/>
      <c r="GNY138" s="18"/>
      <c r="GNZ138" s="17"/>
      <c r="GOA138" s="9"/>
      <c r="GOB138" s="9"/>
      <c r="GOC138" s="18"/>
      <c r="GOD138" s="18"/>
      <c r="GOE138" s="18"/>
      <c r="GOF138" s="18"/>
      <c r="GOG138" s="18"/>
      <c r="GOH138" s="17"/>
      <c r="GOI138" s="9"/>
      <c r="GOJ138" s="9"/>
      <c r="GOK138" s="18"/>
      <c r="GOL138" s="18"/>
      <c r="GOM138" s="18"/>
      <c r="GON138" s="18"/>
      <c r="GOO138" s="18"/>
      <c r="GOP138" s="17"/>
      <c r="GOQ138" s="9"/>
      <c r="GOR138" s="9"/>
      <c r="GOS138" s="18"/>
      <c r="GOT138" s="18"/>
      <c r="GOU138" s="18"/>
      <c r="GOV138" s="18"/>
      <c r="GOW138" s="18"/>
      <c r="GOX138" s="17"/>
      <c r="GOY138" s="9"/>
      <c r="GOZ138" s="9"/>
      <c r="GPA138" s="18"/>
      <c r="GPB138" s="18"/>
      <c r="GPC138" s="18"/>
      <c r="GPD138" s="18"/>
      <c r="GPE138" s="18"/>
      <c r="GPF138" s="17"/>
      <c r="GPG138" s="9"/>
      <c r="GPH138" s="9"/>
      <c r="GPI138" s="18"/>
      <c r="GPJ138" s="18"/>
      <c r="GPK138" s="18"/>
      <c r="GPL138" s="18"/>
      <c r="GPM138" s="18"/>
      <c r="GPN138" s="17"/>
      <c r="GPO138" s="9"/>
      <c r="GPP138" s="9"/>
      <c r="GPQ138" s="18"/>
      <c r="GPR138" s="18"/>
      <c r="GPS138" s="18"/>
      <c r="GPT138" s="18"/>
      <c r="GPU138" s="18"/>
      <c r="GPV138" s="17"/>
      <c r="GPW138" s="9"/>
      <c r="GPX138" s="9"/>
      <c r="GPY138" s="18"/>
      <c r="GPZ138" s="18"/>
      <c r="GQA138" s="18"/>
      <c r="GQB138" s="18"/>
      <c r="GQC138" s="18"/>
      <c r="GQD138" s="17"/>
      <c r="GQE138" s="9"/>
      <c r="GQF138" s="9"/>
      <c r="GQG138" s="18"/>
      <c r="GQH138" s="18"/>
      <c r="GQI138" s="18"/>
      <c r="GQJ138" s="18"/>
      <c r="GQK138" s="18"/>
      <c r="GQL138" s="17"/>
      <c r="GQM138" s="9"/>
      <c r="GQN138" s="9"/>
      <c r="GQO138" s="18"/>
      <c r="GQP138" s="18"/>
      <c r="GQQ138" s="18"/>
      <c r="GQR138" s="18"/>
      <c r="GQS138" s="18"/>
      <c r="GQT138" s="17"/>
      <c r="GQU138" s="9"/>
      <c r="GQV138" s="9"/>
      <c r="GQW138" s="18"/>
      <c r="GQX138" s="18"/>
      <c r="GQY138" s="18"/>
      <c r="GQZ138" s="18"/>
      <c r="GRA138" s="18"/>
      <c r="GRB138" s="17"/>
      <c r="GRC138" s="9"/>
      <c r="GRD138" s="9"/>
      <c r="GRE138" s="18"/>
      <c r="GRF138" s="18"/>
      <c r="GRG138" s="18"/>
      <c r="GRH138" s="18"/>
      <c r="GRI138" s="18"/>
      <c r="GRJ138" s="17"/>
      <c r="GRK138" s="9"/>
      <c r="GRL138" s="9"/>
      <c r="GRM138" s="18"/>
      <c r="GRN138" s="18"/>
      <c r="GRO138" s="18"/>
      <c r="GRP138" s="18"/>
      <c r="GRQ138" s="18"/>
      <c r="GRR138" s="17"/>
      <c r="GRS138" s="9"/>
      <c r="GRT138" s="9"/>
      <c r="GRU138" s="18"/>
      <c r="GRV138" s="18"/>
      <c r="GRW138" s="18"/>
      <c r="GRX138" s="18"/>
      <c r="GRY138" s="18"/>
      <c r="GRZ138" s="17"/>
      <c r="GSA138" s="9"/>
      <c r="GSB138" s="9"/>
      <c r="GSC138" s="18"/>
      <c r="GSD138" s="18"/>
      <c r="GSE138" s="18"/>
      <c r="GSF138" s="18"/>
      <c r="GSG138" s="18"/>
      <c r="GSH138" s="17"/>
      <c r="GSI138" s="9"/>
      <c r="GSJ138" s="9"/>
      <c r="GSK138" s="18"/>
      <c r="GSL138" s="18"/>
      <c r="GSM138" s="18"/>
      <c r="GSN138" s="18"/>
      <c r="GSO138" s="18"/>
      <c r="GSP138" s="17"/>
      <c r="GSQ138" s="9"/>
      <c r="GSR138" s="9"/>
      <c r="GSS138" s="18"/>
      <c r="GST138" s="18"/>
      <c r="GSU138" s="18"/>
      <c r="GSV138" s="18"/>
      <c r="GSW138" s="18"/>
      <c r="GSX138" s="17"/>
      <c r="GSY138" s="9"/>
      <c r="GSZ138" s="9"/>
      <c r="GTA138" s="18"/>
      <c r="GTB138" s="18"/>
      <c r="GTC138" s="18"/>
      <c r="GTD138" s="18"/>
      <c r="GTE138" s="18"/>
      <c r="GTF138" s="17"/>
      <c r="GTG138" s="9"/>
      <c r="GTH138" s="9"/>
      <c r="GTI138" s="18"/>
      <c r="GTJ138" s="18"/>
      <c r="GTK138" s="18"/>
      <c r="GTL138" s="18"/>
      <c r="GTM138" s="18"/>
      <c r="GTN138" s="17"/>
      <c r="GTO138" s="9"/>
      <c r="GTP138" s="9"/>
      <c r="GTQ138" s="18"/>
      <c r="GTR138" s="18"/>
      <c r="GTS138" s="18"/>
      <c r="GTT138" s="18"/>
      <c r="GTU138" s="18"/>
      <c r="GTV138" s="17"/>
      <c r="GTW138" s="9"/>
      <c r="GTX138" s="9"/>
      <c r="GTY138" s="18"/>
      <c r="GTZ138" s="18"/>
      <c r="GUA138" s="18"/>
      <c r="GUB138" s="18"/>
      <c r="GUC138" s="18"/>
      <c r="GUD138" s="17"/>
      <c r="GUE138" s="9"/>
      <c r="GUF138" s="9"/>
      <c r="GUG138" s="18"/>
      <c r="GUH138" s="18"/>
      <c r="GUI138" s="18"/>
      <c r="GUJ138" s="18"/>
      <c r="GUK138" s="18"/>
      <c r="GUL138" s="17"/>
      <c r="GUM138" s="9"/>
      <c r="GUN138" s="9"/>
      <c r="GUO138" s="18"/>
      <c r="GUP138" s="18"/>
      <c r="GUQ138" s="18"/>
      <c r="GUR138" s="18"/>
      <c r="GUS138" s="18"/>
      <c r="GUT138" s="17"/>
      <c r="GUU138" s="9"/>
      <c r="GUV138" s="9"/>
      <c r="GUW138" s="18"/>
      <c r="GUX138" s="18"/>
      <c r="GUY138" s="18"/>
      <c r="GUZ138" s="18"/>
      <c r="GVA138" s="18"/>
      <c r="GVB138" s="17"/>
      <c r="GVC138" s="9"/>
      <c r="GVD138" s="9"/>
      <c r="GVE138" s="18"/>
      <c r="GVF138" s="18"/>
      <c r="GVG138" s="18"/>
      <c r="GVH138" s="18"/>
      <c r="GVI138" s="18"/>
      <c r="GVJ138" s="17"/>
      <c r="GVK138" s="9"/>
      <c r="GVL138" s="9"/>
      <c r="GVM138" s="18"/>
      <c r="GVN138" s="18"/>
      <c r="GVO138" s="18"/>
      <c r="GVP138" s="18"/>
      <c r="GVQ138" s="18"/>
      <c r="GVR138" s="17"/>
      <c r="GVS138" s="9"/>
      <c r="GVT138" s="9"/>
      <c r="GVU138" s="18"/>
      <c r="GVV138" s="18"/>
      <c r="GVW138" s="18"/>
      <c r="GVX138" s="18"/>
      <c r="GVY138" s="18"/>
      <c r="GVZ138" s="17"/>
      <c r="GWA138" s="9"/>
      <c r="GWB138" s="9"/>
      <c r="GWC138" s="18"/>
      <c r="GWD138" s="18"/>
      <c r="GWE138" s="18"/>
      <c r="GWF138" s="18"/>
      <c r="GWG138" s="18"/>
      <c r="GWH138" s="17"/>
      <c r="GWI138" s="9"/>
      <c r="GWJ138" s="9"/>
      <c r="GWK138" s="18"/>
      <c r="GWL138" s="18"/>
      <c r="GWM138" s="18"/>
      <c r="GWN138" s="18"/>
      <c r="GWO138" s="18"/>
      <c r="GWP138" s="17"/>
      <c r="GWQ138" s="9"/>
      <c r="GWR138" s="9"/>
      <c r="GWS138" s="18"/>
      <c r="GWT138" s="18"/>
      <c r="GWU138" s="18"/>
      <c r="GWV138" s="18"/>
      <c r="GWW138" s="18"/>
      <c r="GWX138" s="17"/>
      <c r="GWY138" s="9"/>
      <c r="GWZ138" s="9"/>
      <c r="GXA138" s="18"/>
      <c r="GXB138" s="18"/>
      <c r="GXC138" s="18"/>
      <c r="GXD138" s="18"/>
      <c r="GXE138" s="18"/>
      <c r="GXF138" s="17"/>
      <c r="GXG138" s="9"/>
      <c r="GXH138" s="9"/>
      <c r="GXI138" s="18"/>
      <c r="GXJ138" s="18"/>
      <c r="GXK138" s="18"/>
      <c r="GXL138" s="18"/>
      <c r="GXM138" s="18"/>
      <c r="GXN138" s="17"/>
      <c r="GXO138" s="9"/>
      <c r="GXP138" s="9"/>
      <c r="GXQ138" s="18"/>
      <c r="GXR138" s="18"/>
      <c r="GXS138" s="18"/>
      <c r="GXT138" s="18"/>
      <c r="GXU138" s="18"/>
      <c r="GXV138" s="17"/>
      <c r="GXW138" s="9"/>
      <c r="GXX138" s="9"/>
      <c r="GXY138" s="18"/>
      <c r="GXZ138" s="18"/>
      <c r="GYA138" s="18"/>
      <c r="GYB138" s="18"/>
      <c r="GYC138" s="18"/>
      <c r="GYD138" s="17"/>
      <c r="GYE138" s="9"/>
      <c r="GYF138" s="9"/>
      <c r="GYG138" s="18"/>
      <c r="GYH138" s="18"/>
      <c r="GYI138" s="18"/>
      <c r="GYJ138" s="18"/>
      <c r="GYK138" s="18"/>
      <c r="GYL138" s="17"/>
      <c r="GYM138" s="9"/>
      <c r="GYN138" s="9"/>
      <c r="GYO138" s="18"/>
      <c r="GYP138" s="18"/>
      <c r="GYQ138" s="18"/>
      <c r="GYR138" s="18"/>
      <c r="GYS138" s="18"/>
      <c r="GYT138" s="17"/>
      <c r="GYU138" s="9"/>
      <c r="GYV138" s="9"/>
      <c r="GYW138" s="18"/>
      <c r="GYX138" s="18"/>
      <c r="GYY138" s="18"/>
      <c r="GYZ138" s="18"/>
      <c r="GZA138" s="18"/>
      <c r="GZB138" s="17"/>
      <c r="GZC138" s="9"/>
      <c r="GZD138" s="9"/>
      <c r="GZE138" s="18"/>
      <c r="GZF138" s="18"/>
      <c r="GZG138" s="18"/>
      <c r="GZH138" s="18"/>
      <c r="GZI138" s="18"/>
      <c r="GZJ138" s="17"/>
      <c r="GZK138" s="9"/>
      <c r="GZL138" s="9"/>
      <c r="GZM138" s="18"/>
      <c r="GZN138" s="18"/>
      <c r="GZO138" s="18"/>
      <c r="GZP138" s="18"/>
      <c r="GZQ138" s="18"/>
      <c r="GZR138" s="17"/>
      <c r="GZS138" s="9"/>
      <c r="GZT138" s="9"/>
      <c r="GZU138" s="18"/>
      <c r="GZV138" s="18"/>
      <c r="GZW138" s="18"/>
      <c r="GZX138" s="18"/>
      <c r="GZY138" s="18"/>
      <c r="GZZ138" s="17"/>
      <c r="HAA138" s="9"/>
      <c r="HAB138" s="9"/>
      <c r="HAC138" s="18"/>
      <c r="HAD138" s="18"/>
      <c r="HAE138" s="18"/>
      <c r="HAF138" s="18"/>
      <c r="HAG138" s="18"/>
      <c r="HAH138" s="17"/>
      <c r="HAI138" s="9"/>
      <c r="HAJ138" s="9"/>
      <c r="HAK138" s="18"/>
      <c r="HAL138" s="18"/>
      <c r="HAM138" s="18"/>
      <c r="HAN138" s="18"/>
      <c r="HAO138" s="18"/>
      <c r="HAP138" s="17"/>
      <c r="HAQ138" s="9"/>
      <c r="HAR138" s="9"/>
      <c r="HAS138" s="18"/>
      <c r="HAT138" s="18"/>
      <c r="HAU138" s="18"/>
      <c r="HAV138" s="18"/>
      <c r="HAW138" s="18"/>
      <c r="HAX138" s="17"/>
      <c r="HAY138" s="9"/>
      <c r="HAZ138" s="9"/>
      <c r="HBA138" s="18"/>
      <c r="HBB138" s="18"/>
      <c r="HBC138" s="18"/>
      <c r="HBD138" s="18"/>
      <c r="HBE138" s="18"/>
      <c r="HBF138" s="17"/>
      <c r="HBG138" s="9"/>
      <c r="HBH138" s="9"/>
      <c r="HBI138" s="18"/>
      <c r="HBJ138" s="18"/>
      <c r="HBK138" s="18"/>
      <c r="HBL138" s="18"/>
      <c r="HBM138" s="18"/>
      <c r="HBN138" s="17"/>
      <c r="HBO138" s="9"/>
      <c r="HBP138" s="9"/>
      <c r="HBQ138" s="18"/>
      <c r="HBR138" s="18"/>
      <c r="HBS138" s="18"/>
      <c r="HBT138" s="18"/>
      <c r="HBU138" s="18"/>
      <c r="HBV138" s="17"/>
      <c r="HBW138" s="9"/>
      <c r="HBX138" s="9"/>
      <c r="HBY138" s="18"/>
      <c r="HBZ138" s="18"/>
      <c r="HCA138" s="18"/>
      <c r="HCB138" s="18"/>
      <c r="HCC138" s="18"/>
      <c r="HCD138" s="17"/>
      <c r="HCE138" s="9"/>
      <c r="HCF138" s="9"/>
      <c r="HCG138" s="18"/>
      <c r="HCH138" s="18"/>
      <c r="HCI138" s="18"/>
      <c r="HCJ138" s="18"/>
      <c r="HCK138" s="18"/>
      <c r="HCL138" s="17"/>
      <c r="HCM138" s="9"/>
      <c r="HCN138" s="9"/>
      <c r="HCO138" s="18"/>
      <c r="HCP138" s="18"/>
      <c r="HCQ138" s="18"/>
      <c r="HCR138" s="18"/>
      <c r="HCS138" s="18"/>
      <c r="HCT138" s="17"/>
      <c r="HCU138" s="9"/>
      <c r="HCV138" s="9"/>
      <c r="HCW138" s="18"/>
      <c r="HCX138" s="18"/>
      <c r="HCY138" s="18"/>
      <c r="HCZ138" s="18"/>
      <c r="HDA138" s="18"/>
      <c r="HDB138" s="17"/>
      <c r="HDC138" s="9"/>
      <c r="HDD138" s="9"/>
      <c r="HDE138" s="18"/>
      <c r="HDF138" s="18"/>
      <c r="HDG138" s="18"/>
      <c r="HDH138" s="18"/>
      <c r="HDI138" s="18"/>
      <c r="HDJ138" s="17"/>
      <c r="HDK138" s="9"/>
      <c r="HDL138" s="9"/>
      <c r="HDM138" s="18"/>
      <c r="HDN138" s="18"/>
      <c r="HDO138" s="18"/>
      <c r="HDP138" s="18"/>
      <c r="HDQ138" s="18"/>
      <c r="HDR138" s="17"/>
      <c r="HDS138" s="9"/>
      <c r="HDT138" s="9"/>
      <c r="HDU138" s="18"/>
      <c r="HDV138" s="18"/>
      <c r="HDW138" s="18"/>
      <c r="HDX138" s="18"/>
      <c r="HDY138" s="18"/>
      <c r="HDZ138" s="17"/>
      <c r="HEA138" s="9"/>
      <c r="HEB138" s="9"/>
      <c r="HEC138" s="18"/>
      <c r="HED138" s="18"/>
      <c r="HEE138" s="18"/>
      <c r="HEF138" s="18"/>
      <c r="HEG138" s="18"/>
      <c r="HEH138" s="17"/>
      <c r="HEI138" s="9"/>
      <c r="HEJ138" s="9"/>
      <c r="HEK138" s="18"/>
      <c r="HEL138" s="18"/>
      <c r="HEM138" s="18"/>
      <c r="HEN138" s="18"/>
      <c r="HEO138" s="18"/>
      <c r="HEP138" s="17"/>
      <c r="HEQ138" s="9"/>
      <c r="HER138" s="9"/>
      <c r="HES138" s="18"/>
      <c r="HET138" s="18"/>
      <c r="HEU138" s="18"/>
      <c r="HEV138" s="18"/>
      <c r="HEW138" s="18"/>
      <c r="HEX138" s="17"/>
      <c r="HEY138" s="9"/>
      <c r="HEZ138" s="9"/>
      <c r="HFA138" s="18"/>
      <c r="HFB138" s="18"/>
      <c r="HFC138" s="18"/>
      <c r="HFD138" s="18"/>
      <c r="HFE138" s="18"/>
      <c r="HFF138" s="17"/>
      <c r="HFG138" s="9"/>
      <c r="HFH138" s="9"/>
      <c r="HFI138" s="18"/>
      <c r="HFJ138" s="18"/>
      <c r="HFK138" s="18"/>
      <c r="HFL138" s="18"/>
      <c r="HFM138" s="18"/>
      <c r="HFN138" s="17"/>
      <c r="HFO138" s="9"/>
      <c r="HFP138" s="9"/>
      <c r="HFQ138" s="18"/>
      <c r="HFR138" s="18"/>
      <c r="HFS138" s="18"/>
      <c r="HFT138" s="18"/>
      <c r="HFU138" s="18"/>
      <c r="HFV138" s="17"/>
      <c r="HFW138" s="9"/>
      <c r="HFX138" s="9"/>
      <c r="HFY138" s="18"/>
      <c r="HFZ138" s="18"/>
      <c r="HGA138" s="18"/>
      <c r="HGB138" s="18"/>
      <c r="HGC138" s="18"/>
      <c r="HGD138" s="17"/>
      <c r="HGE138" s="9"/>
      <c r="HGF138" s="9"/>
      <c r="HGG138" s="18"/>
      <c r="HGH138" s="18"/>
      <c r="HGI138" s="18"/>
      <c r="HGJ138" s="18"/>
      <c r="HGK138" s="18"/>
      <c r="HGL138" s="17"/>
      <c r="HGM138" s="9"/>
      <c r="HGN138" s="9"/>
      <c r="HGO138" s="18"/>
      <c r="HGP138" s="18"/>
      <c r="HGQ138" s="18"/>
      <c r="HGR138" s="18"/>
      <c r="HGS138" s="18"/>
      <c r="HGT138" s="17"/>
      <c r="HGU138" s="9"/>
      <c r="HGV138" s="9"/>
      <c r="HGW138" s="18"/>
      <c r="HGX138" s="18"/>
      <c r="HGY138" s="18"/>
      <c r="HGZ138" s="18"/>
      <c r="HHA138" s="18"/>
      <c r="HHB138" s="17"/>
      <c r="HHC138" s="9"/>
      <c r="HHD138" s="9"/>
      <c r="HHE138" s="18"/>
      <c r="HHF138" s="18"/>
      <c r="HHG138" s="18"/>
      <c r="HHH138" s="18"/>
      <c r="HHI138" s="18"/>
      <c r="HHJ138" s="17"/>
      <c r="HHK138" s="9"/>
      <c r="HHL138" s="9"/>
      <c r="HHM138" s="18"/>
      <c r="HHN138" s="18"/>
      <c r="HHO138" s="18"/>
      <c r="HHP138" s="18"/>
      <c r="HHQ138" s="18"/>
      <c r="HHR138" s="17"/>
      <c r="HHS138" s="9"/>
      <c r="HHT138" s="9"/>
      <c r="HHU138" s="18"/>
      <c r="HHV138" s="18"/>
      <c r="HHW138" s="18"/>
      <c r="HHX138" s="18"/>
      <c r="HHY138" s="18"/>
      <c r="HHZ138" s="17"/>
      <c r="HIA138" s="9"/>
      <c r="HIB138" s="9"/>
      <c r="HIC138" s="18"/>
      <c r="HID138" s="18"/>
      <c r="HIE138" s="18"/>
      <c r="HIF138" s="18"/>
      <c r="HIG138" s="18"/>
      <c r="HIH138" s="17"/>
      <c r="HII138" s="9"/>
      <c r="HIJ138" s="9"/>
      <c r="HIK138" s="18"/>
      <c r="HIL138" s="18"/>
      <c r="HIM138" s="18"/>
      <c r="HIN138" s="18"/>
      <c r="HIO138" s="18"/>
      <c r="HIP138" s="17"/>
      <c r="HIQ138" s="9"/>
      <c r="HIR138" s="9"/>
      <c r="HIS138" s="18"/>
      <c r="HIT138" s="18"/>
      <c r="HIU138" s="18"/>
      <c r="HIV138" s="18"/>
      <c r="HIW138" s="18"/>
      <c r="HIX138" s="17"/>
      <c r="HIY138" s="9"/>
      <c r="HIZ138" s="9"/>
      <c r="HJA138" s="18"/>
      <c r="HJB138" s="18"/>
      <c r="HJC138" s="18"/>
      <c r="HJD138" s="18"/>
      <c r="HJE138" s="18"/>
      <c r="HJF138" s="17"/>
      <c r="HJG138" s="9"/>
      <c r="HJH138" s="9"/>
      <c r="HJI138" s="18"/>
      <c r="HJJ138" s="18"/>
      <c r="HJK138" s="18"/>
      <c r="HJL138" s="18"/>
      <c r="HJM138" s="18"/>
      <c r="HJN138" s="17"/>
      <c r="HJO138" s="9"/>
      <c r="HJP138" s="9"/>
      <c r="HJQ138" s="18"/>
      <c r="HJR138" s="18"/>
      <c r="HJS138" s="18"/>
      <c r="HJT138" s="18"/>
      <c r="HJU138" s="18"/>
      <c r="HJV138" s="17"/>
      <c r="HJW138" s="9"/>
      <c r="HJX138" s="9"/>
      <c r="HJY138" s="18"/>
      <c r="HJZ138" s="18"/>
      <c r="HKA138" s="18"/>
      <c r="HKB138" s="18"/>
      <c r="HKC138" s="18"/>
      <c r="HKD138" s="17"/>
      <c r="HKE138" s="9"/>
      <c r="HKF138" s="9"/>
      <c r="HKG138" s="18"/>
      <c r="HKH138" s="18"/>
      <c r="HKI138" s="18"/>
      <c r="HKJ138" s="18"/>
      <c r="HKK138" s="18"/>
      <c r="HKL138" s="17"/>
      <c r="HKM138" s="9"/>
      <c r="HKN138" s="9"/>
      <c r="HKO138" s="18"/>
      <c r="HKP138" s="18"/>
      <c r="HKQ138" s="18"/>
      <c r="HKR138" s="18"/>
      <c r="HKS138" s="18"/>
      <c r="HKT138" s="17"/>
      <c r="HKU138" s="9"/>
      <c r="HKV138" s="9"/>
      <c r="HKW138" s="18"/>
      <c r="HKX138" s="18"/>
      <c r="HKY138" s="18"/>
      <c r="HKZ138" s="18"/>
      <c r="HLA138" s="18"/>
      <c r="HLB138" s="17"/>
      <c r="HLC138" s="9"/>
      <c r="HLD138" s="9"/>
      <c r="HLE138" s="18"/>
      <c r="HLF138" s="18"/>
      <c r="HLG138" s="18"/>
      <c r="HLH138" s="18"/>
      <c r="HLI138" s="18"/>
      <c r="HLJ138" s="17"/>
      <c r="HLK138" s="9"/>
      <c r="HLL138" s="9"/>
      <c r="HLM138" s="18"/>
      <c r="HLN138" s="18"/>
      <c r="HLO138" s="18"/>
      <c r="HLP138" s="18"/>
      <c r="HLQ138" s="18"/>
      <c r="HLR138" s="17"/>
      <c r="HLS138" s="9"/>
      <c r="HLT138" s="9"/>
      <c r="HLU138" s="18"/>
      <c r="HLV138" s="18"/>
      <c r="HLW138" s="18"/>
      <c r="HLX138" s="18"/>
      <c r="HLY138" s="18"/>
      <c r="HLZ138" s="17"/>
      <c r="HMA138" s="9"/>
      <c r="HMB138" s="9"/>
      <c r="HMC138" s="18"/>
      <c r="HMD138" s="18"/>
      <c r="HME138" s="18"/>
      <c r="HMF138" s="18"/>
      <c r="HMG138" s="18"/>
      <c r="HMH138" s="17"/>
      <c r="HMI138" s="9"/>
      <c r="HMJ138" s="9"/>
      <c r="HMK138" s="18"/>
      <c r="HML138" s="18"/>
      <c r="HMM138" s="18"/>
      <c r="HMN138" s="18"/>
      <c r="HMO138" s="18"/>
      <c r="HMP138" s="17"/>
      <c r="HMQ138" s="9"/>
      <c r="HMR138" s="9"/>
      <c r="HMS138" s="18"/>
      <c r="HMT138" s="18"/>
      <c r="HMU138" s="18"/>
      <c r="HMV138" s="18"/>
      <c r="HMW138" s="18"/>
      <c r="HMX138" s="17"/>
      <c r="HMY138" s="9"/>
      <c r="HMZ138" s="9"/>
      <c r="HNA138" s="18"/>
      <c r="HNB138" s="18"/>
      <c r="HNC138" s="18"/>
      <c r="HND138" s="18"/>
      <c r="HNE138" s="18"/>
      <c r="HNF138" s="17"/>
      <c r="HNG138" s="9"/>
      <c r="HNH138" s="9"/>
      <c r="HNI138" s="18"/>
      <c r="HNJ138" s="18"/>
      <c r="HNK138" s="18"/>
      <c r="HNL138" s="18"/>
      <c r="HNM138" s="18"/>
      <c r="HNN138" s="17"/>
      <c r="HNO138" s="9"/>
      <c r="HNP138" s="9"/>
      <c r="HNQ138" s="18"/>
      <c r="HNR138" s="18"/>
      <c r="HNS138" s="18"/>
      <c r="HNT138" s="18"/>
      <c r="HNU138" s="18"/>
      <c r="HNV138" s="17"/>
      <c r="HNW138" s="9"/>
      <c r="HNX138" s="9"/>
      <c r="HNY138" s="18"/>
      <c r="HNZ138" s="18"/>
      <c r="HOA138" s="18"/>
      <c r="HOB138" s="18"/>
      <c r="HOC138" s="18"/>
      <c r="HOD138" s="17"/>
      <c r="HOE138" s="9"/>
      <c r="HOF138" s="9"/>
      <c r="HOG138" s="18"/>
      <c r="HOH138" s="18"/>
      <c r="HOI138" s="18"/>
      <c r="HOJ138" s="18"/>
      <c r="HOK138" s="18"/>
      <c r="HOL138" s="17"/>
      <c r="HOM138" s="9"/>
      <c r="HON138" s="9"/>
      <c r="HOO138" s="18"/>
      <c r="HOP138" s="18"/>
      <c r="HOQ138" s="18"/>
      <c r="HOR138" s="18"/>
      <c r="HOS138" s="18"/>
      <c r="HOT138" s="17"/>
      <c r="HOU138" s="9"/>
      <c r="HOV138" s="9"/>
      <c r="HOW138" s="18"/>
      <c r="HOX138" s="18"/>
      <c r="HOY138" s="18"/>
      <c r="HOZ138" s="18"/>
      <c r="HPA138" s="18"/>
      <c r="HPB138" s="17"/>
      <c r="HPC138" s="9"/>
      <c r="HPD138" s="9"/>
      <c r="HPE138" s="18"/>
      <c r="HPF138" s="18"/>
      <c r="HPG138" s="18"/>
      <c r="HPH138" s="18"/>
      <c r="HPI138" s="18"/>
      <c r="HPJ138" s="17"/>
      <c r="HPK138" s="9"/>
      <c r="HPL138" s="9"/>
      <c r="HPM138" s="18"/>
      <c r="HPN138" s="18"/>
      <c r="HPO138" s="18"/>
      <c r="HPP138" s="18"/>
      <c r="HPQ138" s="18"/>
      <c r="HPR138" s="17"/>
      <c r="HPS138" s="9"/>
      <c r="HPT138" s="9"/>
      <c r="HPU138" s="18"/>
      <c r="HPV138" s="18"/>
      <c r="HPW138" s="18"/>
      <c r="HPX138" s="18"/>
      <c r="HPY138" s="18"/>
      <c r="HPZ138" s="17"/>
      <c r="HQA138" s="9"/>
      <c r="HQB138" s="9"/>
      <c r="HQC138" s="18"/>
      <c r="HQD138" s="18"/>
      <c r="HQE138" s="18"/>
      <c r="HQF138" s="18"/>
      <c r="HQG138" s="18"/>
      <c r="HQH138" s="17"/>
      <c r="HQI138" s="9"/>
      <c r="HQJ138" s="9"/>
      <c r="HQK138" s="18"/>
      <c r="HQL138" s="18"/>
      <c r="HQM138" s="18"/>
      <c r="HQN138" s="18"/>
      <c r="HQO138" s="18"/>
      <c r="HQP138" s="17"/>
      <c r="HQQ138" s="9"/>
      <c r="HQR138" s="9"/>
      <c r="HQS138" s="18"/>
      <c r="HQT138" s="18"/>
      <c r="HQU138" s="18"/>
      <c r="HQV138" s="18"/>
      <c r="HQW138" s="18"/>
      <c r="HQX138" s="17"/>
      <c r="HQY138" s="9"/>
      <c r="HQZ138" s="9"/>
      <c r="HRA138" s="18"/>
      <c r="HRB138" s="18"/>
      <c r="HRC138" s="18"/>
      <c r="HRD138" s="18"/>
      <c r="HRE138" s="18"/>
      <c r="HRF138" s="17"/>
      <c r="HRG138" s="9"/>
      <c r="HRH138" s="9"/>
      <c r="HRI138" s="18"/>
      <c r="HRJ138" s="18"/>
      <c r="HRK138" s="18"/>
      <c r="HRL138" s="18"/>
      <c r="HRM138" s="18"/>
      <c r="HRN138" s="17"/>
      <c r="HRO138" s="9"/>
      <c r="HRP138" s="9"/>
      <c r="HRQ138" s="18"/>
      <c r="HRR138" s="18"/>
      <c r="HRS138" s="18"/>
      <c r="HRT138" s="18"/>
      <c r="HRU138" s="18"/>
      <c r="HRV138" s="17"/>
      <c r="HRW138" s="9"/>
      <c r="HRX138" s="9"/>
      <c r="HRY138" s="18"/>
      <c r="HRZ138" s="18"/>
      <c r="HSA138" s="18"/>
      <c r="HSB138" s="18"/>
      <c r="HSC138" s="18"/>
      <c r="HSD138" s="17"/>
      <c r="HSE138" s="9"/>
      <c r="HSF138" s="9"/>
      <c r="HSG138" s="18"/>
      <c r="HSH138" s="18"/>
      <c r="HSI138" s="18"/>
      <c r="HSJ138" s="18"/>
      <c r="HSK138" s="18"/>
      <c r="HSL138" s="17"/>
      <c r="HSM138" s="9"/>
      <c r="HSN138" s="9"/>
      <c r="HSO138" s="18"/>
      <c r="HSP138" s="18"/>
      <c r="HSQ138" s="18"/>
      <c r="HSR138" s="18"/>
      <c r="HSS138" s="18"/>
      <c r="HST138" s="17"/>
      <c r="HSU138" s="9"/>
      <c r="HSV138" s="9"/>
      <c r="HSW138" s="18"/>
      <c r="HSX138" s="18"/>
      <c r="HSY138" s="18"/>
      <c r="HSZ138" s="18"/>
      <c r="HTA138" s="18"/>
      <c r="HTB138" s="17"/>
      <c r="HTC138" s="9"/>
      <c r="HTD138" s="9"/>
      <c r="HTE138" s="18"/>
      <c r="HTF138" s="18"/>
      <c r="HTG138" s="18"/>
      <c r="HTH138" s="18"/>
      <c r="HTI138" s="18"/>
      <c r="HTJ138" s="17"/>
      <c r="HTK138" s="9"/>
      <c r="HTL138" s="9"/>
      <c r="HTM138" s="18"/>
      <c r="HTN138" s="18"/>
      <c r="HTO138" s="18"/>
      <c r="HTP138" s="18"/>
      <c r="HTQ138" s="18"/>
      <c r="HTR138" s="17"/>
      <c r="HTS138" s="9"/>
      <c r="HTT138" s="9"/>
      <c r="HTU138" s="18"/>
      <c r="HTV138" s="18"/>
      <c r="HTW138" s="18"/>
      <c r="HTX138" s="18"/>
      <c r="HTY138" s="18"/>
      <c r="HTZ138" s="17"/>
      <c r="HUA138" s="9"/>
      <c r="HUB138" s="9"/>
      <c r="HUC138" s="18"/>
      <c r="HUD138" s="18"/>
      <c r="HUE138" s="18"/>
      <c r="HUF138" s="18"/>
      <c r="HUG138" s="18"/>
      <c r="HUH138" s="17"/>
      <c r="HUI138" s="9"/>
      <c r="HUJ138" s="9"/>
      <c r="HUK138" s="18"/>
      <c r="HUL138" s="18"/>
      <c r="HUM138" s="18"/>
      <c r="HUN138" s="18"/>
      <c r="HUO138" s="18"/>
      <c r="HUP138" s="17"/>
      <c r="HUQ138" s="9"/>
      <c r="HUR138" s="9"/>
      <c r="HUS138" s="18"/>
      <c r="HUT138" s="18"/>
      <c r="HUU138" s="18"/>
      <c r="HUV138" s="18"/>
      <c r="HUW138" s="18"/>
      <c r="HUX138" s="17"/>
      <c r="HUY138" s="9"/>
      <c r="HUZ138" s="9"/>
      <c r="HVA138" s="18"/>
      <c r="HVB138" s="18"/>
      <c r="HVC138" s="18"/>
      <c r="HVD138" s="18"/>
      <c r="HVE138" s="18"/>
      <c r="HVF138" s="17"/>
      <c r="HVG138" s="9"/>
      <c r="HVH138" s="9"/>
      <c r="HVI138" s="18"/>
      <c r="HVJ138" s="18"/>
      <c r="HVK138" s="18"/>
      <c r="HVL138" s="18"/>
      <c r="HVM138" s="18"/>
      <c r="HVN138" s="17"/>
      <c r="HVO138" s="9"/>
      <c r="HVP138" s="9"/>
      <c r="HVQ138" s="18"/>
      <c r="HVR138" s="18"/>
      <c r="HVS138" s="18"/>
      <c r="HVT138" s="18"/>
      <c r="HVU138" s="18"/>
      <c r="HVV138" s="17"/>
      <c r="HVW138" s="9"/>
      <c r="HVX138" s="9"/>
      <c r="HVY138" s="18"/>
      <c r="HVZ138" s="18"/>
      <c r="HWA138" s="18"/>
      <c r="HWB138" s="18"/>
      <c r="HWC138" s="18"/>
      <c r="HWD138" s="17"/>
      <c r="HWE138" s="9"/>
      <c r="HWF138" s="9"/>
      <c r="HWG138" s="18"/>
      <c r="HWH138" s="18"/>
      <c r="HWI138" s="18"/>
      <c r="HWJ138" s="18"/>
      <c r="HWK138" s="18"/>
      <c r="HWL138" s="17"/>
      <c r="HWM138" s="9"/>
      <c r="HWN138" s="9"/>
      <c r="HWO138" s="18"/>
      <c r="HWP138" s="18"/>
      <c r="HWQ138" s="18"/>
      <c r="HWR138" s="18"/>
      <c r="HWS138" s="18"/>
      <c r="HWT138" s="17"/>
      <c r="HWU138" s="9"/>
      <c r="HWV138" s="9"/>
      <c r="HWW138" s="18"/>
      <c r="HWX138" s="18"/>
      <c r="HWY138" s="18"/>
      <c r="HWZ138" s="18"/>
      <c r="HXA138" s="18"/>
      <c r="HXB138" s="17"/>
      <c r="HXC138" s="9"/>
      <c r="HXD138" s="9"/>
      <c r="HXE138" s="18"/>
      <c r="HXF138" s="18"/>
      <c r="HXG138" s="18"/>
      <c r="HXH138" s="18"/>
      <c r="HXI138" s="18"/>
      <c r="HXJ138" s="17"/>
      <c r="HXK138" s="9"/>
      <c r="HXL138" s="9"/>
      <c r="HXM138" s="18"/>
      <c r="HXN138" s="18"/>
      <c r="HXO138" s="18"/>
      <c r="HXP138" s="18"/>
      <c r="HXQ138" s="18"/>
      <c r="HXR138" s="17"/>
      <c r="HXS138" s="9"/>
      <c r="HXT138" s="9"/>
      <c r="HXU138" s="18"/>
      <c r="HXV138" s="18"/>
      <c r="HXW138" s="18"/>
      <c r="HXX138" s="18"/>
      <c r="HXY138" s="18"/>
      <c r="HXZ138" s="17"/>
      <c r="HYA138" s="9"/>
      <c r="HYB138" s="9"/>
      <c r="HYC138" s="18"/>
      <c r="HYD138" s="18"/>
      <c r="HYE138" s="18"/>
      <c r="HYF138" s="18"/>
      <c r="HYG138" s="18"/>
      <c r="HYH138" s="17"/>
      <c r="HYI138" s="9"/>
      <c r="HYJ138" s="9"/>
      <c r="HYK138" s="18"/>
      <c r="HYL138" s="18"/>
      <c r="HYM138" s="18"/>
      <c r="HYN138" s="18"/>
      <c r="HYO138" s="18"/>
      <c r="HYP138" s="17"/>
      <c r="HYQ138" s="9"/>
      <c r="HYR138" s="9"/>
      <c r="HYS138" s="18"/>
      <c r="HYT138" s="18"/>
      <c r="HYU138" s="18"/>
      <c r="HYV138" s="18"/>
      <c r="HYW138" s="18"/>
      <c r="HYX138" s="17"/>
      <c r="HYY138" s="9"/>
      <c r="HYZ138" s="9"/>
      <c r="HZA138" s="18"/>
      <c r="HZB138" s="18"/>
      <c r="HZC138" s="18"/>
      <c r="HZD138" s="18"/>
      <c r="HZE138" s="18"/>
      <c r="HZF138" s="17"/>
      <c r="HZG138" s="9"/>
      <c r="HZH138" s="9"/>
      <c r="HZI138" s="18"/>
      <c r="HZJ138" s="18"/>
      <c r="HZK138" s="18"/>
      <c r="HZL138" s="18"/>
      <c r="HZM138" s="18"/>
      <c r="HZN138" s="17"/>
      <c r="HZO138" s="9"/>
      <c r="HZP138" s="9"/>
      <c r="HZQ138" s="18"/>
      <c r="HZR138" s="18"/>
      <c r="HZS138" s="18"/>
      <c r="HZT138" s="18"/>
      <c r="HZU138" s="18"/>
      <c r="HZV138" s="17"/>
      <c r="HZW138" s="9"/>
      <c r="HZX138" s="9"/>
      <c r="HZY138" s="18"/>
      <c r="HZZ138" s="18"/>
      <c r="IAA138" s="18"/>
      <c r="IAB138" s="18"/>
      <c r="IAC138" s="18"/>
      <c r="IAD138" s="17"/>
      <c r="IAE138" s="9"/>
      <c r="IAF138" s="9"/>
      <c r="IAG138" s="18"/>
      <c r="IAH138" s="18"/>
      <c r="IAI138" s="18"/>
      <c r="IAJ138" s="18"/>
      <c r="IAK138" s="18"/>
      <c r="IAL138" s="17"/>
      <c r="IAM138" s="9"/>
      <c r="IAN138" s="9"/>
      <c r="IAO138" s="18"/>
      <c r="IAP138" s="18"/>
      <c r="IAQ138" s="18"/>
      <c r="IAR138" s="18"/>
      <c r="IAS138" s="18"/>
      <c r="IAT138" s="17"/>
      <c r="IAU138" s="9"/>
      <c r="IAV138" s="9"/>
      <c r="IAW138" s="18"/>
      <c r="IAX138" s="18"/>
      <c r="IAY138" s="18"/>
      <c r="IAZ138" s="18"/>
      <c r="IBA138" s="18"/>
      <c r="IBB138" s="17"/>
      <c r="IBC138" s="9"/>
      <c r="IBD138" s="9"/>
      <c r="IBE138" s="18"/>
      <c r="IBF138" s="18"/>
      <c r="IBG138" s="18"/>
      <c r="IBH138" s="18"/>
      <c r="IBI138" s="18"/>
      <c r="IBJ138" s="17"/>
      <c r="IBK138" s="9"/>
      <c r="IBL138" s="9"/>
      <c r="IBM138" s="18"/>
      <c r="IBN138" s="18"/>
      <c r="IBO138" s="18"/>
      <c r="IBP138" s="18"/>
      <c r="IBQ138" s="18"/>
      <c r="IBR138" s="17"/>
      <c r="IBS138" s="9"/>
      <c r="IBT138" s="9"/>
      <c r="IBU138" s="18"/>
      <c r="IBV138" s="18"/>
      <c r="IBW138" s="18"/>
      <c r="IBX138" s="18"/>
      <c r="IBY138" s="18"/>
      <c r="IBZ138" s="17"/>
      <c r="ICA138" s="9"/>
      <c r="ICB138" s="9"/>
      <c r="ICC138" s="18"/>
      <c r="ICD138" s="18"/>
      <c r="ICE138" s="18"/>
      <c r="ICF138" s="18"/>
      <c r="ICG138" s="18"/>
      <c r="ICH138" s="17"/>
      <c r="ICI138" s="9"/>
      <c r="ICJ138" s="9"/>
      <c r="ICK138" s="18"/>
      <c r="ICL138" s="18"/>
      <c r="ICM138" s="18"/>
      <c r="ICN138" s="18"/>
      <c r="ICO138" s="18"/>
      <c r="ICP138" s="17"/>
      <c r="ICQ138" s="9"/>
      <c r="ICR138" s="9"/>
      <c r="ICS138" s="18"/>
      <c r="ICT138" s="18"/>
      <c r="ICU138" s="18"/>
      <c r="ICV138" s="18"/>
      <c r="ICW138" s="18"/>
      <c r="ICX138" s="17"/>
      <c r="ICY138" s="9"/>
      <c r="ICZ138" s="9"/>
      <c r="IDA138" s="18"/>
      <c r="IDB138" s="18"/>
      <c r="IDC138" s="18"/>
      <c r="IDD138" s="18"/>
      <c r="IDE138" s="18"/>
      <c r="IDF138" s="17"/>
      <c r="IDG138" s="9"/>
      <c r="IDH138" s="9"/>
      <c r="IDI138" s="18"/>
      <c r="IDJ138" s="18"/>
      <c r="IDK138" s="18"/>
      <c r="IDL138" s="18"/>
      <c r="IDM138" s="18"/>
      <c r="IDN138" s="17"/>
      <c r="IDO138" s="9"/>
      <c r="IDP138" s="9"/>
      <c r="IDQ138" s="18"/>
      <c r="IDR138" s="18"/>
      <c r="IDS138" s="18"/>
      <c r="IDT138" s="18"/>
      <c r="IDU138" s="18"/>
      <c r="IDV138" s="17"/>
      <c r="IDW138" s="9"/>
      <c r="IDX138" s="9"/>
      <c r="IDY138" s="18"/>
      <c r="IDZ138" s="18"/>
      <c r="IEA138" s="18"/>
      <c r="IEB138" s="18"/>
      <c r="IEC138" s="18"/>
      <c r="IED138" s="17"/>
      <c r="IEE138" s="9"/>
      <c r="IEF138" s="9"/>
      <c r="IEG138" s="18"/>
      <c r="IEH138" s="18"/>
      <c r="IEI138" s="18"/>
      <c r="IEJ138" s="18"/>
      <c r="IEK138" s="18"/>
      <c r="IEL138" s="17"/>
      <c r="IEM138" s="9"/>
      <c r="IEN138" s="9"/>
      <c r="IEO138" s="18"/>
      <c r="IEP138" s="18"/>
      <c r="IEQ138" s="18"/>
      <c r="IER138" s="18"/>
      <c r="IES138" s="18"/>
      <c r="IET138" s="17"/>
      <c r="IEU138" s="9"/>
      <c r="IEV138" s="9"/>
      <c r="IEW138" s="18"/>
      <c r="IEX138" s="18"/>
      <c r="IEY138" s="18"/>
      <c r="IEZ138" s="18"/>
      <c r="IFA138" s="18"/>
      <c r="IFB138" s="17"/>
      <c r="IFC138" s="9"/>
      <c r="IFD138" s="9"/>
      <c r="IFE138" s="18"/>
      <c r="IFF138" s="18"/>
      <c r="IFG138" s="18"/>
      <c r="IFH138" s="18"/>
      <c r="IFI138" s="18"/>
      <c r="IFJ138" s="17"/>
      <c r="IFK138" s="9"/>
      <c r="IFL138" s="9"/>
      <c r="IFM138" s="18"/>
      <c r="IFN138" s="18"/>
      <c r="IFO138" s="18"/>
      <c r="IFP138" s="18"/>
      <c r="IFQ138" s="18"/>
      <c r="IFR138" s="17"/>
      <c r="IFS138" s="9"/>
      <c r="IFT138" s="9"/>
      <c r="IFU138" s="18"/>
      <c r="IFV138" s="18"/>
      <c r="IFW138" s="18"/>
      <c r="IFX138" s="18"/>
      <c r="IFY138" s="18"/>
      <c r="IFZ138" s="17"/>
      <c r="IGA138" s="9"/>
      <c r="IGB138" s="9"/>
      <c r="IGC138" s="18"/>
      <c r="IGD138" s="18"/>
      <c r="IGE138" s="18"/>
      <c r="IGF138" s="18"/>
      <c r="IGG138" s="18"/>
      <c r="IGH138" s="17"/>
      <c r="IGI138" s="9"/>
      <c r="IGJ138" s="9"/>
      <c r="IGK138" s="18"/>
      <c r="IGL138" s="18"/>
      <c r="IGM138" s="18"/>
      <c r="IGN138" s="18"/>
      <c r="IGO138" s="18"/>
      <c r="IGP138" s="17"/>
      <c r="IGQ138" s="9"/>
      <c r="IGR138" s="9"/>
      <c r="IGS138" s="18"/>
      <c r="IGT138" s="18"/>
      <c r="IGU138" s="18"/>
      <c r="IGV138" s="18"/>
      <c r="IGW138" s="18"/>
      <c r="IGX138" s="17"/>
      <c r="IGY138" s="9"/>
      <c r="IGZ138" s="9"/>
      <c r="IHA138" s="18"/>
      <c r="IHB138" s="18"/>
      <c r="IHC138" s="18"/>
      <c r="IHD138" s="18"/>
      <c r="IHE138" s="18"/>
      <c r="IHF138" s="17"/>
      <c r="IHG138" s="9"/>
      <c r="IHH138" s="9"/>
      <c r="IHI138" s="18"/>
      <c r="IHJ138" s="18"/>
      <c r="IHK138" s="18"/>
      <c r="IHL138" s="18"/>
      <c r="IHM138" s="18"/>
      <c r="IHN138" s="17"/>
      <c r="IHO138" s="9"/>
      <c r="IHP138" s="9"/>
      <c r="IHQ138" s="18"/>
      <c r="IHR138" s="18"/>
      <c r="IHS138" s="18"/>
      <c r="IHT138" s="18"/>
      <c r="IHU138" s="18"/>
      <c r="IHV138" s="17"/>
      <c r="IHW138" s="9"/>
      <c r="IHX138" s="9"/>
      <c r="IHY138" s="18"/>
      <c r="IHZ138" s="18"/>
      <c r="IIA138" s="18"/>
      <c r="IIB138" s="18"/>
      <c r="IIC138" s="18"/>
      <c r="IID138" s="17"/>
      <c r="IIE138" s="9"/>
      <c r="IIF138" s="9"/>
      <c r="IIG138" s="18"/>
      <c r="IIH138" s="18"/>
      <c r="III138" s="18"/>
      <c r="IIJ138" s="18"/>
      <c r="IIK138" s="18"/>
      <c r="IIL138" s="17"/>
      <c r="IIM138" s="9"/>
      <c r="IIN138" s="9"/>
      <c r="IIO138" s="18"/>
      <c r="IIP138" s="18"/>
      <c r="IIQ138" s="18"/>
      <c r="IIR138" s="18"/>
      <c r="IIS138" s="18"/>
      <c r="IIT138" s="17"/>
      <c r="IIU138" s="9"/>
      <c r="IIV138" s="9"/>
      <c r="IIW138" s="18"/>
      <c r="IIX138" s="18"/>
      <c r="IIY138" s="18"/>
      <c r="IIZ138" s="18"/>
      <c r="IJA138" s="18"/>
      <c r="IJB138" s="17"/>
      <c r="IJC138" s="9"/>
      <c r="IJD138" s="9"/>
      <c r="IJE138" s="18"/>
      <c r="IJF138" s="18"/>
      <c r="IJG138" s="18"/>
      <c r="IJH138" s="18"/>
      <c r="IJI138" s="18"/>
      <c r="IJJ138" s="17"/>
      <c r="IJK138" s="9"/>
      <c r="IJL138" s="9"/>
      <c r="IJM138" s="18"/>
      <c r="IJN138" s="18"/>
      <c r="IJO138" s="18"/>
      <c r="IJP138" s="18"/>
      <c r="IJQ138" s="18"/>
      <c r="IJR138" s="17"/>
      <c r="IJS138" s="9"/>
      <c r="IJT138" s="9"/>
      <c r="IJU138" s="18"/>
      <c r="IJV138" s="18"/>
      <c r="IJW138" s="18"/>
      <c r="IJX138" s="18"/>
      <c r="IJY138" s="18"/>
      <c r="IJZ138" s="17"/>
      <c r="IKA138" s="9"/>
      <c r="IKB138" s="9"/>
      <c r="IKC138" s="18"/>
      <c r="IKD138" s="18"/>
      <c r="IKE138" s="18"/>
      <c r="IKF138" s="18"/>
      <c r="IKG138" s="18"/>
      <c r="IKH138" s="17"/>
      <c r="IKI138" s="9"/>
      <c r="IKJ138" s="9"/>
      <c r="IKK138" s="18"/>
      <c r="IKL138" s="18"/>
      <c r="IKM138" s="18"/>
      <c r="IKN138" s="18"/>
      <c r="IKO138" s="18"/>
      <c r="IKP138" s="17"/>
      <c r="IKQ138" s="9"/>
      <c r="IKR138" s="9"/>
      <c r="IKS138" s="18"/>
      <c r="IKT138" s="18"/>
      <c r="IKU138" s="18"/>
      <c r="IKV138" s="18"/>
      <c r="IKW138" s="18"/>
      <c r="IKX138" s="17"/>
      <c r="IKY138" s="9"/>
      <c r="IKZ138" s="9"/>
      <c r="ILA138" s="18"/>
      <c r="ILB138" s="18"/>
      <c r="ILC138" s="18"/>
      <c r="ILD138" s="18"/>
      <c r="ILE138" s="18"/>
      <c r="ILF138" s="17"/>
      <c r="ILG138" s="9"/>
      <c r="ILH138" s="9"/>
      <c r="ILI138" s="18"/>
      <c r="ILJ138" s="18"/>
      <c r="ILK138" s="18"/>
      <c r="ILL138" s="18"/>
      <c r="ILM138" s="18"/>
      <c r="ILN138" s="17"/>
      <c r="ILO138" s="9"/>
      <c r="ILP138" s="9"/>
      <c r="ILQ138" s="18"/>
      <c r="ILR138" s="18"/>
      <c r="ILS138" s="18"/>
      <c r="ILT138" s="18"/>
      <c r="ILU138" s="18"/>
      <c r="ILV138" s="17"/>
      <c r="ILW138" s="9"/>
      <c r="ILX138" s="9"/>
      <c r="ILY138" s="18"/>
      <c r="ILZ138" s="18"/>
      <c r="IMA138" s="18"/>
      <c r="IMB138" s="18"/>
      <c r="IMC138" s="18"/>
      <c r="IMD138" s="17"/>
      <c r="IME138" s="9"/>
      <c r="IMF138" s="9"/>
      <c r="IMG138" s="18"/>
      <c r="IMH138" s="18"/>
      <c r="IMI138" s="18"/>
      <c r="IMJ138" s="18"/>
      <c r="IMK138" s="18"/>
      <c r="IML138" s="17"/>
      <c r="IMM138" s="9"/>
      <c r="IMN138" s="9"/>
      <c r="IMO138" s="18"/>
      <c r="IMP138" s="18"/>
      <c r="IMQ138" s="18"/>
      <c r="IMR138" s="18"/>
      <c r="IMS138" s="18"/>
      <c r="IMT138" s="17"/>
      <c r="IMU138" s="9"/>
      <c r="IMV138" s="9"/>
      <c r="IMW138" s="18"/>
      <c r="IMX138" s="18"/>
      <c r="IMY138" s="18"/>
      <c r="IMZ138" s="18"/>
      <c r="INA138" s="18"/>
      <c r="INB138" s="17"/>
      <c r="INC138" s="9"/>
      <c r="IND138" s="9"/>
      <c r="INE138" s="18"/>
      <c r="INF138" s="18"/>
      <c r="ING138" s="18"/>
      <c r="INH138" s="18"/>
      <c r="INI138" s="18"/>
      <c r="INJ138" s="17"/>
      <c r="INK138" s="9"/>
      <c r="INL138" s="9"/>
      <c r="INM138" s="18"/>
      <c r="INN138" s="18"/>
      <c r="INO138" s="18"/>
      <c r="INP138" s="18"/>
      <c r="INQ138" s="18"/>
      <c r="INR138" s="17"/>
      <c r="INS138" s="9"/>
      <c r="INT138" s="9"/>
      <c r="INU138" s="18"/>
      <c r="INV138" s="18"/>
      <c r="INW138" s="18"/>
      <c r="INX138" s="18"/>
      <c r="INY138" s="18"/>
      <c r="INZ138" s="17"/>
      <c r="IOA138" s="9"/>
      <c r="IOB138" s="9"/>
      <c r="IOC138" s="18"/>
      <c r="IOD138" s="18"/>
      <c r="IOE138" s="18"/>
      <c r="IOF138" s="18"/>
      <c r="IOG138" s="18"/>
      <c r="IOH138" s="17"/>
      <c r="IOI138" s="9"/>
      <c r="IOJ138" s="9"/>
      <c r="IOK138" s="18"/>
      <c r="IOL138" s="18"/>
      <c r="IOM138" s="18"/>
      <c r="ION138" s="18"/>
      <c r="IOO138" s="18"/>
      <c r="IOP138" s="17"/>
      <c r="IOQ138" s="9"/>
      <c r="IOR138" s="9"/>
      <c r="IOS138" s="18"/>
      <c r="IOT138" s="18"/>
      <c r="IOU138" s="18"/>
      <c r="IOV138" s="18"/>
      <c r="IOW138" s="18"/>
      <c r="IOX138" s="17"/>
      <c r="IOY138" s="9"/>
      <c r="IOZ138" s="9"/>
      <c r="IPA138" s="18"/>
      <c r="IPB138" s="18"/>
      <c r="IPC138" s="18"/>
      <c r="IPD138" s="18"/>
      <c r="IPE138" s="18"/>
      <c r="IPF138" s="17"/>
      <c r="IPG138" s="9"/>
      <c r="IPH138" s="9"/>
      <c r="IPI138" s="18"/>
      <c r="IPJ138" s="18"/>
      <c r="IPK138" s="18"/>
      <c r="IPL138" s="18"/>
      <c r="IPM138" s="18"/>
      <c r="IPN138" s="17"/>
      <c r="IPO138" s="9"/>
      <c r="IPP138" s="9"/>
      <c r="IPQ138" s="18"/>
      <c r="IPR138" s="18"/>
      <c r="IPS138" s="18"/>
      <c r="IPT138" s="18"/>
      <c r="IPU138" s="18"/>
      <c r="IPV138" s="17"/>
      <c r="IPW138" s="9"/>
      <c r="IPX138" s="9"/>
      <c r="IPY138" s="18"/>
      <c r="IPZ138" s="18"/>
      <c r="IQA138" s="18"/>
      <c r="IQB138" s="18"/>
      <c r="IQC138" s="18"/>
      <c r="IQD138" s="17"/>
      <c r="IQE138" s="9"/>
      <c r="IQF138" s="9"/>
      <c r="IQG138" s="18"/>
      <c r="IQH138" s="18"/>
      <c r="IQI138" s="18"/>
      <c r="IQJ138" s="18"/>
      <c r="IQK138" s="18"/>
      <c r="IQL138" s="17"/>
      <c r="IQM138" s="9"/>
      <c r="IQN138" s="9"/>
      <c r="IQO138" s="18"/>
      <c r="IQP138" s="18"/>
      <c r="IQQ138" s="18"/>
      <c r="IQR138" s="18"/>
      <c r="IQS138" s="18"/>
      <c r="IQT138" s="17"/>
      <c r="IQU138" s="9"/>
      <c r="IQV138" s="9"/>
      <c r="IQW138" s="18"/>
      <c r="IQX138" s="18"/>
      <c r="IQY138" s="18"/>
      <c r="IQZ138" s="18"/>
      <c r="IRA138" s="18"/>
      <c r="IRB138" s="17"/>
      <c r="IRC138" s="9"/>
      <c r="IRD138" s="9"/>
      <c r="IRE138" s="18"/>
      <c r="IRF138" s="18"/>
      <c r="IRG138" s="18"/>
      <c r="IRH138" s="18"/>
      <c r="IRI138" s="18"/>
      <c r="IRJ138" s="17"/>
      <c r="IRK138" s="9"/>
      <c r="IRL138" s="9"/>
      <c r="IRM138" s="18"/>
      <c r="IRN138" s="18"/>
      <c r="IRO138" s="18"/>
      <c r="IRP138" s="18"/>
      <c r="IRQ138" s="18"/>
      <c r="IRR138" s="17"/>
      <c r="IRS138" s="9"/>
      <c r="IRT138" s="9"/>
      <c r="IRU138" s="18"/>
      <c r="IRV138" s="18"/>
      <c r="IRW138" s="18"/>
      <c r="IRX138" s="18"/>
      <c r="IRY138" s="18"/>
      <c r="IRZ138" s="17"/>
      <c r="ISA138" s="9"/>
      <c r="ISB138" s="9"/>
      <c r="ISC138" s="18"/>
      <c r="ISD138" s="18"/>
      <c r="ISE138" s="18"/>
      <c r="ISF138" s="18"/>
      <c r="ISG138" s="18"/>
      <c r="ISH138" s="17"/>
      <c r="ISI138" s="9"/>
      <c r="ISJ138" s="9"/>
      <c r="ISK138" s="18"/>
      <c r="ISL138" s="18"/>
      <c r="ISM138" s="18"/>
      <c r="ISN138" s="18"/>
      <c r="ISO138" s="18"/>
      <c r="ISP138" s="17"/>
      <c r="ISQ138" s="9"/>
      <c r="ISR138" s="9"/>
      <c r="ISS138" s="18"/>
      <c r="IST138" s="18"/>
      <c r="ISU138" s="18"/>
      <c r="ISV138" s="18"/>
      <c r="ISW138" s="18"/>
      <c r="ISX138" s="17"/>
      <c r="ISY138" s="9"/>
      <c r="ISZ138" s="9"/>
      <c r="ITA138" s="18"/>
      <c r="ITB138" s="18"/>
      <c r="ITC138" s="18"/>
      <c r="ITD138" s="18"/>
      <c r="ITE138" s="18"/>
      <c r="ITF138" s="17"/>
      <c r="ITG138" s="9"/>
      <c r="ITH138" s="9"/>
      <c r="ITI138" s="18"/>
      <c r="ITJ138" s="18"/>
      <c r="ITK138" s="18"/>
      <c r="ITL138" s="18"/>
      <c r="ITM138" s="18"/>
      <c r="ITN138" s="17"/>
      <c r="ITO138" s="9"/>
      <c r="ITP138" s="9"/>
      <c r="ITQ138" s="18"/>
      <c r="ITR138" s="18"/>
      <c r="ITS138" s="18"/>
      <c r="ITT138" s="18"/>
      <c r="ITU138" s="18"/>
      <c r="ITV138" s="17"/>
      <c r="ITW138" s="9"/>
      <c r="ITX138" s="9"/>
      <c r="ITY138" s="18"/>
      <c r="ITZ138" s="18"/>
      <c r="IUA138" s="18"/>
      <c r="IUB138" s="18"/>
      <c r="IUC138" s="18"/>
      <c r="IUD138" s="17"/>
      <c r="IUE138" s="9"/>
      <c r="IUF138" s="9"/>
      <c r="IUG138" s="18"/>
      <c r="IUH138" s="18"/>
      <c r="IUI138" s="18"/>
      <c r="IUJ138" s="18"/>
      <c r="IUK138" s="18"/>
      <c r="IUL138" s="17"/>
      <c r="IUM138" s="9"/>
      <c r="IUN138" s="9"/>
      <c r="IUO138" s="18"/>
      <c r="IUP138" s="18"/>
      <c r="IUQ138" s="18"/>
      <c r="IUR138" s="18"/>
      <c r="IUS138" s="18"/>
      <c r="IUT138" s="17"/>
      <c r="IUU138" s="9"/>
      <c r="IUV138" s="9"/>
      <c r="IUW138" s="18"/>
      <c r="IUX138" s="18"/>
      <c r="IUY138" s="18"/>
      <c r="IUZ138" s="18"/>
      <c r="IVA138" s="18"/>
      <c r="IVB138" s="17"/>
      <c r="IVC138" s="9"/>
      <c r="IVD138" s="9"/>
      <c r="IVE138" s="18"/>
      <c r="IVF138" s="18"/>
      <c r="IVG138" s="18"/>
      <c r="IVH138" s="18"/>
      <c r="IVI138" s="18"/>
      <c r="IVJ138" s="17"/>
      <c r="IVK138" s="9"/>
      <c r="IVL138" s="9"/>
      <c r="IVM138" s="18"/>
      <c r="IVN138" s="18"/>
      <c r="IVO138" s="18"/>
      <c r="IVP138" s="18"/>
      <c r="IVQ138" s="18"/>
      <c r="IVR138" s="17"/>
      <c r="IVS138" s="9"/>
      <c r="IVT138" s="9"/>
      <c r="IVU138" s="18"/>
      <c r="IVV138" s="18"/>
      <c r="IVW138" s="18"/>
      <c r="IVX138" s="18"/>
      <c r="IVY138" s="18"/>
      <c r="IVZ138" s="17"/>
      <c r="IWA138" s="9"/>
      <c r="IWB138" s="9"/>
      <c r="IWC138" s="18"/>
      <c r="IWD138" s="18"/>
      <c r="IWE138" s="18"/>
      <c r="IWF138" s="18"/>
      <c r="IWG138" s="18"/>
      <c r="IWH138" s="17"/>
      <c r="IWI138" s="9"/>
      <c r="IWJ138" s="9"/>
      <c r="IWK138" s="18"/>
      <c r="IWL138" s="18"/>
      <c r="IWM138" s="18"/>
      <c r="IWN138" s="18"/>
      <c r="IWO138" s="18"/>
      <c r="IWP138" s="17"/>
      <c r="IWQ138" s="9"/>
      <c r="IWR138" s="9"/>
      <c r="IWS138" s="18"/>
      <c r="IWT138" s="18"/>
      <c r="IWU138" s="18"/>
      <c r="IWV138" s="18"/>
      <c r="IWW138" s="18"/>
      <c r="IWX138" s="17"/>
      <c r="IWY138" s="9"/>
      <c r="IWZ138" s="9"/>
      <c r="IXA138" s="18"/>
      <c r="IXB138" s="18"/>
      <c r="IXC138" s="18"/>
      <c r="IXD138" s="18"/>
      <c r="IXE138" s="18"/>
      <c r="IXF138" s="17"/>
      <c r="IXG138" s="9"/>
      <c r="IXH138" s="9"/>
      <c r="IXI138" s="18"/>
      <c r="IXJ138" s="18"/>
      <c r="IXK138" s="18"/>
      <c r="IXL138" s="18"/>
      <c r="IXM138" s="18"/>
      <c r="IXN138" s="17"/>
      <c r="IXO138" s="9"/>
      <c r="IXP138" s="9"/>
      <c r="IXQ138" s="18"/>
      <c r="IXR138" s="18"/>
      <c r="IXS138" s="18"/>
      <c r="IXT138" s="18"/>
      <c r="IXU138" s="18"/>
      <c r="IXV138" s="17"/>
      <c r="IXW138" s="9"/>
      <c r="IXX138" s="9"/>
      <c r="IXY138" s="18"/>
      <c r="IXZ138" s="18"/>
      <c r="IYA138" s="18"/>
      <c r="IYB138" s="18"/>
      <c r="IYC138" s="18"/>
      <c r="IYD138" s="17"/>
      <c r="IYE138" s="9"/>
      <c r="IYF138" s="9"/>
      <c r="IYG138" s="18"/>
      <c r="IYH138" s="18"/>
      <c r="IYI138" s="18"/>
      <c r="IYJ138" s="18"/>
      <c r="IYK138" s="18"/>
      <c r="IYL138" s="17"/>
      <c r="IYM138" s="9"/>
      <c r="IYN138" s="9"/>
      <c r="IYO138" s="18"/>
      <c r="IYP138" s="18"/>
      <c r="IYQ138" s="18"/>
      <c r="IYR138" s="18"/>
      <c r="IYS138" s="18"/>
      <c r="IYT138" s="17"/>
      <c r="IYU138" s="9"/>
      <c r="IYV138" s="9"/>
      <c r="IYW138" s="18"/>
      <c r="IYX138" s="18"/>
      <c r="IYY138" s="18"/>
      <c r="IYZ138" s="18"/>
      <c r="IZA138" s="18"/>
      <c r="IZB138" s="17"/>
      <c r="IZC138" s="9"/>
      <c r="IZD138" s="9"/>
      <c r="IZE138" s="18"/>
      <c r="IZF138" s="18"/>
      <c r="IZG138" s="18"/>
      <c r="IZH138" s="18"/>
      <c r="IZI138" s="18"/>
      <c r="IZJ138" s="17"/>
      <c r="IZK138" s="9"/>
      <c r="IZL138" s="9"/>
      <c r="IZM138" s="18"/>
      <c r="IZN138" s="18"/>
      <c r="IZO138" s="18"/>
      <c r="IZP138" s="18"/>
      <c r="IZQ138" s="18"/>
      <c r="IZR138" s="17"/>
      <c r="IZS138" s="9"/>
      <c r="IZT138" s="9"/>
      <c r="IZU138" s="18"/>
      <c r="IZV138" s="18"/>
      <c r="IZW138" s="18"/>
      <c r="IZX138" s="18"/>
      <c r="IZY138" s="18"/>
      <c r="IZZ138" s="17"/>
      <c r="JAA138" s="9"/>
      <c r="JAB138" s="9"/>
      <c r="JAC138" s="18"/>
      <c r="JAD138" s="18"/>
      <c r="JAE138" s="18"/>
      <c r="JAF138" s="18"/>
      <c r="JAG138" s="18"/>
      <c r="JAH138" s="17"/>
      <c r="JAI138" s="9"/>
      <c r="JAJ138" s="9"/>
      <c r="JAK138" s="18"/>
      <c r="JAL138" s="18"/>
      <c r="JAM138" s="18"/>
      <c r="JAN138" s="18"/>
      <c r="JAO138" s="18"/>
      <c r="JAP138" s="17"/>
      <c r="JAQ138" s="9"/>
      <c r="JAR138" s="9"/>
      <c r="JAS138" s="18"/>
      <c r="JAT138" s="18"/>
      <c r="JAU138" s="18"/>
      <c r="JAV138" s="18"/>
      <c r="JAW138" s="18"/>
      <c r="JAX138" s="17"/>
      <c r="JAY138" s="9"/>
      <c r="JAZ138" s="9"/>
      <c r="JBA138" s="18"/>
      <c r="JBB138" s="18"/>
      <c r="JBC138" s="18"/>
      <c r="JBD138" s="18"/>
      <c r="JBE138" s="18"/>
      <c r="JBF138" s="17"/>
      <c r="JBG138" s="9"/>
      <c r="JBH138" s="9"/>
      <c r="JBI138" s="18"/>
      <c r="JBJ138" s="18"/>
      <c r="JBK138" s="18"/>
      <c r="JBL138" s="18"/>
      <c r="JBM138" s="18"/>
      <c r="JBN138" s="17"/>
      <c r="JBO138" s="9"/>
      <c r="JBP138" s="9"/>
      <c r="JBQ138" s="18"/>
      <c r="JBR138" s="18"/>
      <c r="JBS138" s="18"/>
      <c r="JBT138" s="18"/>
      <c r="JBU138" s="18"/>
      <c r="JBV138" s="17"/>
      <c r="JBW138" s="9"/>
      <c r="JBX138" s="9"/>
      <c r="JBY138" s="18"/>
      <c r="JBZ138" s="18"/>
      <c r="JCA138" s="18"/>
      <c r="JCB138" s="18"/>
      <c r="JCC138" s="18"/>
      <c r="JCD138" s="17"/>
      <c r="JCE138" s="9"/>
      <c r="JCF138" s="9"/>
      <c r="JCG138" s="18"/>
      <c r="JCH138" s="18"/>
      <c r="JCI138" s="18"/>
      <c r="JCJ138" s="18"/>
      <c r="JCK138" s="18"/>
      <c r="JCL138" s="17"/>
      <c r="JCM138" s="9"/>
      <c r="JCN138" s="9"/>
      <c r="JCO138" s="18"/>
      <c r="JCP138" s="18"/>
      <c r="JCQ138" s="18"/>
      <c r="JCR138" s="18"/>
      <c r="JCS138" s="18"/>
      <c r="JCT138" s="17"/>
      <c r="JCU138" s="9"/>
      <c r="JCV138" s="9"/>
      <c r="JCW138" s="18"/>
      <c r="JCX138" s="18"/>
      <c r="JCY138" s="18"/>
      <c r="JCZ138" s="18"/>
      <c r="JDA138" s="18"/>
      <c r="JDB138" s="17"/>
      <c r="JDC138" s="9"/>
      <c r="JDD138" s="9"/>
      <c r="JDE138" s="18"/>
      <c r="JDF138" s="18"/>
      <c r="JDG138" s="18"/>
      <c r="JDH138" s="18"/>
      <c r="JDI138" s="18"/>
      <c r="JDJ138" s="17"/>
      <c r="JDK138" s="9"/>
      <c r="JDL138" s="9"/>
      <c r="JDM138" s="18"/>
      <c r="JDN138" s="18"/>
      <c r="JDO138" s="18"/>
      <c r="JDP138" s="18"/>
      <c r="JDQ138" s="18"/>
      <c r="JDR138" s="17"/>
      <c r="JDS138" s="9"/>
      <c r="JDT138" s="9"/>
      <c r="JDU138" s="18"/>
      <c r="JDV138" s="18"/>
      <c r="JDW138" s="18"/>
      <c r="JDX138" s="18"/>
      <c r="JDY138" s="18"/>
      <c r="JDZ138" s="17"/>
      <c r="JEA138" s="9"/>
      <c r="JEB138" s="9"/>
      <c r="JEC138" s="18"/>
      <c r="JED138" s="18"/>
      <c r="JEE138" s="18"/>
      <c r="JEF138" s="18"/>
      <c r="JEG138" s="18"/>
      <c r="JEH138" s="17"/>
      <c r="JEI138" s="9"/>
      <c r="JEJ138" s="9"/>
      <c r="JEK138" s="18"/>
      <c r="JEL138" s="18"/>
      <c r="JEM138" s="18"/>
      <c r="JEN138" s="18"/>
      <c r="JEO138" s="18"/>
      <c r="JEP138" s="17"/>
      <c r="JEQ138" s="9"/>
      <c r="JER138" s="9"/>
      <c r="JES138" s="18"/>
      <c r="JET138" s="18"/>
      <c r="JEU138" s="18"/>
      <c r="JEV138" s="18"/>
      <c r="JEW138" s="18"/>
      <c r="JEX138" s="17"/>
      <c r="JEY138" s="9"/>
      <c r="JEZ138" s="9"/>
      <c r="JFA138" s="18"/>
      <c r="JFB138" s="18"/>
      <c r="JFC138" s="18"/>
      <c r="JFD138" s="18"/>
      <c r="JFE138" s="18"/>
      <c r="JFF138" s="17"/>
      <c r="JFG138" s="9"/>
      <c r="JFH138" s="9"/>
      <c r="JFI138" s="18"/>
      <c r="JFJ138" s="18"/>
      <c r="JFK138" s="18"/>
      <c r="JFL138" s="18"/>
      <c r="JFM138" s="18"/>
      <c r="JFN138" s="17"/>
      <c r="JFO138" s="9"/>
      <c r="JFP138" s="9"/>
      <c r="JFQ138" s="18"/>
      <c r="JFR138" s="18"/>
      <c r="JFS138" s="18"/>
      <c r="JFT138" s="18"/>
      <c r="JFU138" s="18"/>
      <c r="JFV138" s="17"/>
      <c r="JFW138" s="9"/>
      <c r="JFX138" s="9"/>
      <c r="JFY138" s="18"/>
      <c r="JFZ138" s="18"/>
      <c r="JGA138" s="18"/>
      <c r="JGB138" s="18"/>
      <c r="JGC138" s="18"/>
      <c r="JGD138" s="17"/>
      <c r="JGE138" s="9"/>
      <c r="JGF138" s="9"/>
      <c r="JGG138" s="18"/>
      <c r="JGH138" s="18"/>
      <c r="JGI138" s="18"/>
      <c r="JGJ138" s="18"/>
      <c r="JGK138" s="18"/>
      <c r="JGL138" s="17"/>
      <c r="JGM138" s="9"/>
      <c r="JGN138" s="9"/>
      <c r="JGO138" s="18"/>
      <c r="JGP138" s="18"/>
      <c r="JGQ138" s="18"/>
      <c r="JGR138" s="18"/>
      <c r="JGS138" s="18"/>
      <c r="JGT138" s="17"/>
      <c r="JGU138" s="9"/>
      <c r="JGV138" s="9"/>
      <c r="JGW138" s="18"/>
      <c r="JGX138" s="18"/>
      <c r="JGY138" s="18"/>
      <c r="JGZ138" s="18"/>
      <c r="JHA138" s="18"/>
      <c r="JHB138" s="17"/>
      <c r="JHC138" s="9"/>
      <c r="JHD138" s="9"/>
      <c r="JHE138" s="18"/>
      <c r="JHF138" s="18"/>
      <c r="JHG138" s="18"/>
      <c r="JHH138" s="18"/>
      <c r="JHI138" s="18"/>
      <c r="JHJ138" s="17"/>
      <c r="JHK138" s="9"/>
      <c r="JHL138" s="9"/>
      <c r="JHM138" s="18"/>
      <c r="JHN138" s="18"/>
      <c r="JHO138" s="18"/>
      <c r="JHP138" s="18"/>
      <c r="JHQ138" s="18"/>
      <c r="JHR138" s="17"/>
      <c r="JHS138" s="9"/>
      <c r="JHT138" s="9"/>
      <c r="JHU138" s="18"/>
      <c r="JHV138" s="18"/>
      <c r="JHW138" s="18"/>
      <c r="JHX138" s="18"/>
      <c r="JHY138" s="18"/>
      <c r="JHZ138" s="17"/>
      <c r="JIA138" s="9"/>
      <c r="JIB138" s="9"/>
      <c r="JIC138" s="18"/>
      <c r="JID138" s="18"/>
      <c r="JIE138" s="18"/>
      <c r="JIF138" s="18"/>
      <c r="JIG138" s="18"/>
      <c r="JIH138" s="17"/>
      <c r="JII138" s="9"/>
      <c r="JIJ138" s="9"/>
      <c r="JIK138" s="18"/>
      <c r="JIL138" s="18"/>
      <c r="JIM138" s="18"/>
      <c r="JIN138" s="18"/>
      <c r="JIO138" s="18"/>
      <c r="JIP138" s="17"/>
      <c r="JIQ138" s="9"/>
      <c r="JIR138" s="9"/>
      <c r="JIS138" s="18"/>
      <c r="JIT138" s="18"/>
      <c r="JIU138" s="18"/>
      <c r="JIV138" s="18"/>
      <c r="JIW138" s="18"/>
      <c r="JIX138" s="17"/>
      <c r="JIY138" s="9"/>
      <c r="JIZ138" s="9"/>
      <c r="JJA138" s="18"/>
      <c r="JJB138" s="18"/>
      <c r="JJC138" s="18"/>
      <c r="JJD138" s="18"/>
      <c r="JJE138" s="18"/>
      <c r="JJF138" s="17"/>
      <c r="JJG138" s="9"/>
      <c r="JJH138" s="9"/>
      <c r="JJI138" s="18"/>
      <c r="JJJ138" s="18"/>
      <c r="JJK138" s="18"/>
      <c r="JJL138" s="18"/>
      <c r="JJM138" s="18"/>
      <c r="JJN138" s="17"/>
      <c r="JJO138" s="9"/>
      <c r="JJP138" s="9"/>
      <c r="JJQ138" s="18"/>
      <c r="JJR138" s="18"/>
      <c r="JJS138" s="18"/>
      <c r="JJT138" s="18"/>
      <c r="JJU138" s="18"/>
      <c r="JJV138" s="17"/>
      <c r="JJW138" s="9"/>
      <c r="JJX138" s="9"/>
      <c r="JJY138" s="18"/>
      <c r="JJZ138" s="18"/>
      <c r="JKA138" s="18"/>
      <c r="JKB138" s="18"/>
      <c r="JKC138" s="18"/>
      <c r="JKD138" s="17"/>
      <c r="JKE138" s="9"/>
      <c r="JKF138" s="9"/>
      <c r="JKG138" s="18"/>
      <c r="JKH138" s="18"/>
      <c r="JKI138" s="18"/>
      <c r="JKJ138" s="18"/>
      <c r="JKK138" s="18"/>
      <c r="JKL138" s="17"/>
      <c r="JKM138" s="9"/>
      <c r="JKN138" s="9"/>
      <c r="JKO138" s="18"/>
      <c r="JKP138" s="18"/>
      <c r="JKQ138" s="18"/>
      <c r="JKR138" s="18"/>
      <c r="JKS138" s="18"/>
      <c r="JKT138" s="17"/>
      <c r="JKU138" s="9"/>
      <c r="JKV138" s="9"/>
      <c r="JKW138" s="18"/>
      <c r="JKX138" s="18"/>
      <c r="JKY138" s="18"/>
      <c r="JKZ138" s="18"/>
      <c r="JLA138" s="18"/>
      <c r="JLB138" s="17"/>
      <c r="JLC138" s="9"/>
      <c r="JLD138" s="9"/>
      <c r="JLE138" s="18"/>
      <c r="JLF138" s="18"/>
      <c r="JLG138" s="18"/>
      <c r="JLH138" s="18"/>
      <c r="JLI138" s="18"/>
      <c r="JLJ138" s="17"/>
      <c r="JLK138" s="9"/>
      <c r="JLL138" s="9"/>
      <c r="JLM138" s="18"/>
      <c r="JLN138" s="18"/>
      <c r="JLO138" s="18"/>
      <c r="JLP138" s="18"/>
      <c r="JLQ138" s="18"/>
      <c r="JLR138" s="17"/>
      <c r="JLS138" s="9"/>
      <c r="JLT138" s="9"/>
      <c r="JLU138" s="18"/>
      <c r="JLV138" s="18"/>
      <c r="JLW138" s="18"/>
      <c r="JLX138" s="18"/>
      <c r="JLY138" s="18"/>
      <c r="JLZ138" s="17"/>
      <c r="JMA138" s="9"/>
      <c r="JMB138" s="9"/>
      <c r="JMC138" s="18"/>
      <c r="JMD138" s="18"/>
      <c r="JME138" s="18"/>
      <c r="JMF138" s="18"/>
      <c r="JMG138" s="18"/>
      <c r="JMH138" s="17"/>
      <c r="JMI138" s="9"/>
      <c r="JMJ138" s="9"/>
      <c r="JMK138" s="18"/>
      <c r="JML138" s="18"/>
      <c r="JMM138" s="18"/>
      <c r="JMN138" s="18"/>
      <c r="JMO138" s="18"/>
      <c r="JMP138" s="17"/>
      <c r="JMQ138" s="9"/>
      <c r="JMR138" s="9"/>
      <c r="JMS138" s="18"/>
      <c r="JMT138" s="18"/>
      <c r="JMU138" s="18"/>
      <c r="JMV138" s="18"/>
      <c r="JMW138" s="18"/>
      <c r="JMX138" s="17"/>
      <c r="JMY138" s="9"/>
      <c r="JMZ138" s="9"/>
      <c r="JNA138" s="18"/>
      <c r="JNB138" s="18"/>
      <c r="JNC138" s="18"/>
      <c r="JND138" s="18"/>
      <c r="JNE138" s="18"/>
      <c r="JNF138" s="17"/>
      <c r="JNG138" s="9"/>
      <c r="JNH138" s="9"/>
      <c r="JNI138" s="18"/>
      <c r="JNJ138" s="18"/>
      <c r="JNK138" s="18"/>
      <c r="JNL138" s="18"/>
      <c r="JNM138" s="18"/>
      <c r="JNN138" s="17"/>
      <c r="JNO138" s="9"/>
      <c r="JNP138" s="9"/>
      <c r="JNQ138" s="18"/>
      <c r="JNR138" s="18"/>
      <c r="JNS138" s="18"/>
      <c r="JNT138" s="18"/>
      <c r="JNU138" s="18"/>
      <c r="JNV138" s="17"/>
      <c r="JNW138" s="9"/>
      <c r="JNX138" s="9"/>
      <c r="JNY138" s="18"/>
      <c r="JNZ138" s="18"/>
      <c r="JOA138" s="18"/>
      <c r="JOB138" s="18"/>
      <c r="JOC138" s="18"/>
      <c r="JOD138" s="17"/>
      <c r="JOE138" s="9"/>
      <c r="JOF138" s="9"/>
      <c r="JOG138" s="18"/>
      <c r="JOH138" s="18"/>
      <c r="JOI138" s="18"/>
      <c r="JOJ138" s="18"/>
      <c r="JOK138" s="18"/>
      <c r="JOL138" s="17"/>
      <c r="JOM138" s="9"/>
      <c r="JON138" s="9"/>
      <c r="JOO138" s="18"/>
      <c r="JOP138" s="18"/>
      <c r="JOQ138" s="18"/>
      <c r="JOR138" s="18"/>
      <c r="JOS138" s="18"/>
      <c r="JOT138" s="17"/>
      <c r="JOU138" s="9"/>
      <c r="JOV138" s="9"/>
      <c r="JOW138" s="18"/>
      <c r="JOX138" s="18"/>
      <c r="JOY138" s="18"/>
      <c r="JOZ138" s="18"/>
      <c r="JPA138" s="18"/>
      <c r="JPB138" s="17"/>
      <c r="JPC138" s="9"/>
      <c r="JPD138" s="9"/>
      <c r="JPE138" s="18"/>
      <c r="JPF138" s="18"/>
      <c r="JPG138" s="18"/>
      <c r="JPH138" s="18"/>
      <c r="JPI138" s="18"/>
      <c r="JPJ138" s="17"/>
      <c r="JPK138" s="9"/>
      <c r="JPL138" s="9"/>
      <c r="JPM138" s="18"/>
      <c r="JPN138" s="18"/>
      <c r="JPO138" s="18"/>
      <c r="JPP138" s="18"/>
      <c r="JPQ138" s="18"/>
      <c r="JPR138" s="17"/>
      <c r="JPS138" s="9"/>
      <c r="JPT138" s="9"/>
      <c r="JPU138" s="18"/>
      <c r="JPV138" s="18"/>
      <c r="JPW138" s="18"/>
      <c r="JPX138" s="18"/>
      <c r="JPY138" s="18"/>
      <c r="JPZ138" s="17"/>
      <c r="JQA138" s="9"/>
      <c r="JQB138" s="9"/>
      <c r="JQC138" s="18"/>
      <c r="JQD138" s="18"/>
      <c r="JQE138" s="18"/>
      <c r="JQF138" s="18"/>
      <c r="JQG138" s="18"/>
      <c r="JQH138" s="17"/>
      <c r="JQI138" s="9"/>
      <c r="JQJ138" s="9"/>
      <c r="JQK138" s="18"/>
      <c r="JQL138" s="18"/>
      <c r="JQM138" s="18"/>
      <c r="JQN138" s="18"/>
      <c r="JQO138" s="18"/>
      <c r="JQP138" s="17"/>
      <c r="JQQ138" s="9"/>
      <c r="JQR138" s="9"/>
      <c r="JQS138" s="18"/>
      <c r="JQT138" s="18"/>
      <c r="JQU138" s="18"/>
      <c r="JQV138" s="18"/>
      <c r="JQW138" s="18"/>
      <c r="JQX138" s="17"/>
      <c r="JQY138" s="9"/>
      <c r="JQZ138" s="9"/>
      <c r="JRA138" s="18"/>
      <c r="JRB138" s="18"/>
      <c r="JRC138" s="18"/>
      <c r="JRD138" s="18"/>
      <c r="JRE138" s="18"/>
      <c r="JRF138" s="17"/>
      <c r="JRG138" s="9"/>
      <c r="JRH138" s="9"/>
      <c r="JRI138" s="18"/>
      <c r="JRJ138" s="18"/>
      <c r="JRK138" s="18"/>
      <c r="JRL138" s="18"/>
      <c r="JRM138" s="18"/>
      <c r="JRN138" s="17"/>
      <c r="JRO138" s="9"/>
      <c r="JRP138" s="9"/>
      <c r="JRQ138" s="18"/>
      <c r="JRR138" s="18"/>
      <c r="JRS138" s="18"/>
      <c r="JRT138" s="18"/>
      <c r="JRU138" s="18"/>
      <c r="JRV138" s="17"/>
      <c r="JRW138" s="9"/>
      <c r="JRX138" s="9"/>
      <c r="JRY138" s="18"/>
      <c r="JRZ138" s="18"/>
      <c r="JSA138" s="18"/>
      <c r="JSB138" s="18"/>
      <c r="JSC138" s="18"/>
      <c r="JSD138" s="17"/>
      <c r="JSE138" s="9"/>
      <c r="JSF138" s="9"/>
      <c r="JSG138" s="18"/>
      <c r="JSH138" s="18"/>
      <c r="JSI138" s="18"/>
      <c r="JSJ138" s="18"/>
      <c r="JSK138" s="18"/>
      <c r="JSL138" s="17"/>
      <c r="JSM138" s="9"/>
      <c r="JSN138" s="9"/>
      <c r="JSO138" s="18"/>
      <c r="JSP138" s="18"/>
      <c r="JSQ138" s="18"/>
      <c r="JSR138" s="18"/>
      <c r="JSS138" s="18"/>
      <c r="JST138" s="17"/>
      <c r="JSU138" s="9"/>
      <c r="JSV138" s="9"/>
      <c r="JSW138" s="18"/>
      <c r="JSX138" s="18"/>
      <c r="JSY138" s="18"/>
      <c r="JSZ138" s="18"/>
      <c r="JTA138" s="18"/>
      <c r="JTB138" s="17"/>
      <c r="JTC138" s="9"/>
      <c r="JTD138" s="9"/>
      <c r="JTE138" s="18"/>
      <c r="JTF138" s="18"/>
      <c r="JTG138" s="18"/>
      <c r="JTH138" s="18"/>
      <c r="JTI138" s="18"/>
      <c r="JTJ138" s="17"/>
      <c r="JTK138" s="9"/>
      <c r="JTL138" s="9"/>
      <c r="JTM138" s="18"/>
      <c r="JTN138" s="18"/>
      <c r="JTO138" s="18"/>
      <c r="JTP138" s="18"/>
      <c r="JTQ138" s="18"/>
      <c r="JTR138" s="17"/>
      <c r="JTS138" s="9"/>
      <c r="JTT138" s="9"/>
      <c r="JTU138" s="18"/>
      <c r="JTV138" s="18"/>
      <c r="JTW138" s="18"/>
      <c r="JTX138" s="18"/>
      <c r="JTY138" s="18"/>
      <c r="JTZ138" s="17"/>
      <c r="JUA138" s="9"/>
      <c r="JUB138" s="9"/>
      <c r="JUC138" s="18"/>
      <c r="JUD138" s="18"/>
      <c r="JUE138" s="18"/>
      <c r="JUF138" s="18"/>
      <c r="JUG138" s="18"/>
      <c r="JUH138" s="17"/>
      <c r="JUI138" s="9"/>
      <c r="JUJ138" s="9"/>
      <c r="JUK138" s="18"/>
      <c r="JUL138" s="18"/>
      <c r="JUM138" s="18"/>
      <c r="JUN138" s="18"/>
      <c r="JUO138" s="18"/>
      <c r="JUP138" s="17"/>
      <c r="JUQ138" s="9"/>
      <c r="JUR138" s="9"/>
      <c r="JUS138" s="18"/>
      <c r="JUT138" s="18"/>
      <c r="JUU138" s="18"/>
      <c r="JUV138" s="18"/>
      <c r="JUW138" s="18"/>
      <c r="JUX138" s="17"/>
      <c r="JUY138" s="9"/>
      <c r="JUZ138" s="9"/>
      <c r="JVA138" s="18"/>
      <c r="JVB138" s="18"/>
      <c r="JVC138" s="18"/>
      <c r="JVD138" s="18"/>
      <c r="JVE138" s="18"/>
      <c r="JVF138" s="17"/>
      <c r="JVG138" s="9"/>
      <c r="JVH138" s="9"/>
      <c r="JVI138" s="18"/>
      <c r="JVJ138" s="18"/>
      <c r="JVK138" s="18"/>
      <c r="JVL138" s="18"/>
      <c r="JVM138" s="18"/>
      <c r="JVN138" s="17"/>
      <c r="JVO138" s="9"/>
      <c r="JVP138" s="9"/>
      <c r="JVQ138" s="18"/>
      <c r="JVR138" s="18"/>
      <c r="JVS138" s="18"/>
      <c r="JVT138" s="18"/>
      <c r="JVU138" s="18"/>
      <c r="JVV138" s="17"/>
      <c r="JVW138" s="9"/>
      <c r="JVX138" s="9"/>
      <c r="JVY138" s="18"/>
      <c r="JVZ138" s="18"/>
      <c r="JWA138" s="18"/>
      <c r="JWB138" s="18"/>
      <c r="JWC138" s="18"/>
      <c r="JWD138" s="17"/>
      <c r="JWE138" s="9"/>
      <c r="JWF138" s="9"/>
      <c r="JWG138" s="18"/>
      <c r="JWH138" s="18"/>
      <c r="JWI138" s="18"/>
      <c r="JWJ138" s="18"/>
      <c r="JWK138" s="18"/>
      <c r="JWL138" s="17"/>
      <c r="JWM138" s="9"/>
      <c r="JWN138" s="9"/>
      <c r="JWO138" s="18"/>
      <c r="JWP138" s="18"/>
      <c r="JWQ138" s="18"/>
      <c r="JWR138" s="18"/>
      <c r="JWS138" s="18"/>
      <c r="JWT138" s="17"/>
      <c r="JWU138" s="9"/>
      <c r="JWV138" s="9"/>
      <c r="JWW138" s="18"/>
      <c r="JWX138" s="18"/>
      <c r="JWY138" s="18"/>
      <c r="JWZ138" s="18"/>
      <c r="JXA138" s="18"/>
      <c r="JXB138" s="17"/>
      <c r="JXC138" s="9"/>
      <c r="JXD138" s="9"/>
      <c r="JXE138" s="18"/>
      <c r="JXF138" s="18"/>
      <c r="JXG138" s="18"/>
      <c r="JXH138" s="18"/>
      <c r="JXI138" s="18"/>
      <c r="JXJ138" s="17"/>
      <c r="JXK138" s="9"/>
      <c r="JXL138" s="9"/>
      <c r="JXM138" s="18"/>
      <c r="JXN138" s="18"/>
      <c r="JXO138" s="18"/>
      <c r="JXP138" s="18"/>
      <c r="JXQ138" s="18"/>
      <c r="JXR138" s="17"/>
      <c r="JXS138" s="9"/>
      <c r="JXT138" s="9"/>
      <c r="JXU138" s="18"/>
      <c r="JXV138" s="18"/>
      <c r="JXW138" s="18"/>
      <c r="JXX138" s="18"/>
      <c r="JXY138" s="18"/>
      <c r="JXZ138" s="17"/>
      <c r="JYA138" s="9"/>
      <c r="JYB138" s="9"/>
      <c r="JYC138" s="18"/>
      <c r="JYD138" s="18"/>
      <c r="JYE138" s="18"/>
      <c r="JYF138" s="18"/>
      <c r="JYG138" s="18"/>
      <c r="JYH138" s="17"/>
      <c r="JYI138" s="9"/>
      <c r="JYJ138" s="9"/>
      <c r="JYK138" s="18"/>
      <c r="JYL138" s="18"/>
      <c r="JYM138" s="18"/>
      <c r="JYN138" s="18"/>
      <c r="JYO138" s="18"/>
      <c r="JYP138" s="17"/>
      <c r="JYQ138" s="9"/>
      <c r="JYR138" s="9"/>
      <c r="JYS138" s="18"/>
      <c r="JYT138" s="18"/>
      <c r="JYU138" s="18"/>
      <c r="JYV138" s="18"/>
      <c r="JYW138" s="18"/>
      <c r="JYX138" s="17"/>
      <c r="JYY138" s="9"/>
      <c r="JYZ138" s="9"/>
      <c r="JZA138" s="18"/>
      <c r="JZB138" s="18"/>
      <c r="JZC138" s="18"/>
      <c r="JZD138" s="18"/>
      <c r="JZE138" s="18"/>
      <c r="JZF138" s="17"/>
      <c r="JZG138" s="9"/>
      <c r="JZH138" s="9"/>
      <c r="JZI138" s="18"/>
      <c r="JZJ138" s="18"/>
      <c r="JZK138" s="18"/>
      <c r="JZL138" s="18"/>
      <c r="JZM138" s="18"/>
      <c r="JZN138" s="17"/>
      <c r="JZO138" s="9"/>
      <c r="JZP138" s="9"/>
      <c r="JZQ138" s="18"/>
      <c r="JZR138" s="18"/>
      <c r="JZS138" s="18"/>
      <c r="JZT138" s="18"/>
      <c r="JZU138" s="18"/>
      <c r="JZV138" s="17"/>
      <c r="JZW138" s="9"/>
      <c r="JZX138" s="9"/>
      <c r="JZY138" s="18"/>
      <c r="JZZ138" s="18"/>
      <c r="KAA138" s="18"/>
      <c r="KAB138" s="18"/>
      <c r="KAC138" s="18"/>
      <c r="KAD138" s="17"/>
      <c r="KAE138" s="9"/>
      <c r="KAF138" s="9"/>
      <c r="KAG138" s="18"/>
      <c r="KAH138" s="18"/>
      <c r="KAI138" s="18"/>
      <c r="KAJ138" s="18"/>
      <c r="KAK138" s="18"/>
      <c r="KAL138" s="17"/>
      <c r="KAM138" s="9"/>
      <c r="KAN138" s="9"/>
      <c r="KAO138" s="18"/>
      <c r="KAP138" s="18"/>
      <c r="KAQ138" s="18"/>
      <c r="KAR138" s="18"/>
      <c r="KAS138" s="18"/>
      <c r="KAT138" s="17"/>
      <c r="KAU138" s="9"/>
      <c r="KAV138" s="9"/>
      <c r="KAW138" s="18"/>
      <c r="KAX138" s="18"/>
      <c r="KAY138" s="18"/>
      <c r="KAZ138" s="18"/>
      <c r="KBA138" s="18"/>
      <c r="KBB138" s="17"/>
      <c r="KBC138" s="9"/>
      <c r="KBD138" s="9"/>
      <c r="KBE138" s="18"/>
      <c r="KBF138" s="18"/>
      <c r="KBG138" s="18"/>
      <c r="KBH138" s="18"/>
      <c r="KBI138" s="18"/>
      <c r="KBJ138" s="17"/>
      <c r="KBK138" s="9"/>
      <c r="KBL138" s="9"/>
      <c r="KBM138" s="18"/>
      <c r="KBN138" s="18"/>
      <c r="KBO138" s="18"/>
      <c r="KBP138" s="18"/>
      <c r="KBQ138" s="18"/>
      <c r="KBR138" s="17"/>
      <c r="KBS138" s="9"/>
      <c r="KBT138" s="9"/>
      <c r="KBU138" s="18"/>
      <c r="KBV138" s="18"/>
      <c r="KBW138" s="18"/>
      <c r="KBX138" s="18"/>
      <c r="KBY138" s="18"/>
      <c r="KBZ138" s="17"/>
      <c r="KCA138" s="9"/>
      <c r="KCB138" s="9"/>
      <c r="KCC138" s="18"/>
      <c r="KCD138" s="18"/>
      <c r="KCE138" s="18"/>
      <c r="KCF138" s="18"/>
      <c r="KCG138" s="18"/>
      <c r="KCH138" s="17"/>
      <c r="KCI138" s="9"/>
      <c r="KCJ138" s="9"/>
      <c r="KCK138" s="18"/>
      <c r="KCL138" s="18"/>
      <c r="KCM138" s="18"/>
      <c r="KCN138" s="18"/>
      <c r="KCO138" s="18"/>
      <c r="KCP138" s="17"/>
      <c r="KCQ138" s="9"/>
      <c r="KCR138" s="9"/>
      <c r="KCS138" s="18"/>
      <c r="KCT138" s="18"/>
      <c r="KCU138" s="18"/>
      <c r="KCV138" s="18"/>
      <c r="KCW138" s="18"/>
      <c r="KCX138" s="17"/>
      <c r="KCY138" s="9"/>
      <c r="KCZ138" s="9"/>
      <c r="KDA138" s="18"/>
      <c r="KDB138" s="18"/>
      <c r="KDC138" s="18"/>
      <c r="KDD138" s="18"/>
      <c r="KDE138" s="18"/>
      <c r="KDF138" s="17"/>
      <c r="KDG138" s="9"/>
      <c r="KDH138" s="9"/>
      <c r="KDI138" s="18"/>
      <c r="KDJ138" s="18"/>
      <c r="KDK138" s="18"/>
      <c r="KDL138" s="18"/>
      <c r="KDM138" s="18"/>
      <c r="KDN138" s="17"/>
      <c r="KDO138" s="9"/>
      <c r="KDP138" s="9"/>
      <c r="KDQ138" s="18"/>
      <c r="KDR138" s="18"/>
      <c r="KDS138" s="18"/>
      <c r="KDT138" s="18"/>
      <c r="KDU138" s="18"/>
      <c r="KDV138" s="17"/>
      <c r="KDW138" s="9"/>
      <c r="KDX138" s="9"/>
      <c r="KDY138" s="18"/>
      <c r="KDZ138" s="18"/>
      <c r="KEA138" s="18"/>
      <c r="KEB138" s="18"/>
      <c r="KEC138" s="18"/>
      <c r="KED138" s="17"/>
      <c r="KEE138" s="9"/>
      <c r="KEF138" s="9"/>
      <c r="KEG138" s="18"/>
      <c r="KEH138" s="18"/>
      <c r="KEI138" s="18"/>
      <c r="KEJ138" s="18"/>
      <c r="KEK138" s="18"/>
      <c r="KEL138" s="17"/>
      <c r="KEM138" s="9"/>
      <c r="KEN138" s="9"/>
      <c r="KEO138" s="18"/>
      <c r="KEP138" s="18"/>
      <c r="KEQ138" s="18"/>
      <c r="KER138" s="18"/>
      <c r="KES138" s="18"/>
      <c r="KET138" s="17"/>
      <c r="KEU138" s="9"/>
      <c r="KEV138" s="9"/>
      <c r="KEW138" s="18"/>
      <c r="KEX138" s="18"/>
      <c r="KEY138" s="18"/>
      <c r="KEZ138" s="18"/>
      <c r="KFA138" s="18"/>
      <c r="KFB138" s="17"/>
      <c r="KFC138" s="9"/>
      <c r="KFD138" s="9"/>
      <c r="KFE138" s="18"/>
      <c r="KFF138" s="18"/>
      <c r="KFG138" s="18"/>
      <c r="KFH138" s="18"/>
      <c r="KFI138" s="18"/>
      <c r="KFJ138" s="17"/>
      <c r="KFK138" s="9"/>
      <c r="KFL138" s="9"/>
      <c r="KFM138" s="18"/>
      <c r="KFN138" s="18"/>
      <c r="KFO138" s="18"/>
      <c r="KFP138" s="18"/>
      <c r="KFQ138" s="18"/>
      <c r="KFR138" s="17"/>
      <c r="KFS138" s="9"/>
      <c r="KFT138" s="9"/>
      <c r="KFU138" s="18"/>
      <c r="KFV138" s="18"/>
      <c r="KFW138" s="18"/>
      <c r="KFX138" s="18"/>
      <c r="KFY138" s="18"/>
      <c r="KFZ138" s="17"/>
      <c r="KGA138" s="9"/>
      <c r="KGB138" s="9"/>
      <c r="KGC138" s="18"/>
      <c r="KGD138" s="18"/>
      <c r="KGE138" s="18"/>
      <c r="KGF138" s="18"/>
      <c r="KGG138" s="18"/>
      <c r="KGH138" s="17"/>
      <c r="KGI138" s="9"/>
      <c r="KGJ138" s="9"/>
      <c r="KGK138" s="18"/>
      <c r="KGL138" s="18"/>
      <c r="KGM138" s="18"/>
      <c r="KGN138" s="18"/>
      <c r="KGO138" s="18"/>
      <c r="KGP138" s="17"/>
      <c r="KGQ138" s="9"/>
      <c r="KGR138" s="9"/>
      <c r="KGS138" s="18"/>
      <c r="KGT138" s="18"/>
      <c r="KGU138" s="18"/>
      <c r="KGV138" s="18"/>
      <c r="KGW138" s="18"/>
      <c r="KGX138" s="17"/>
      <c r="KGY138" s="9"/>
      <c r="KGZ138" s="9"/>
      <c r="KHA138" s="18"/>
      <c r="KHB138" s="18"/>
      <c r="KHC138" s="18"/>
      <c r="KHD138" s="18"/>
      <c r="KHE138" s="18"/>
      <c r="KHF138" s="17"/>
      <c r="KHG138" s="9"/>
      <c r="KHH138" s="9"/>
      <c r="KHI138" s="18"/>
      <c r="KHJ138" s="18"/>
      <c r="KHK138" s="18"/>
      <c r="KHL138" s="18"/>
      <c r="KHM138" s="18"/>
      <c r="KHN138" s="17"/>
      <c r="KHO138" s="9"/>
      <c r="KHP138" s="9"/>
      <c r="KHQ138" s="18"/>
      <c r="KHR138" s="18"/>
      <c r="KHS138" s="18"/>
      <c r="KHT138" s="18"/>
      <c r="KHU138" s="18"/>
      <c r="KHV138" s="17"/>
      <c r="KHW138" s="9"/>
      <c r="KHX138" s="9"/>
      <c r="KHY138" s="18"/>
      <c r="KHZ138" s="18"/>
      <c r="KIA138" s="18"/>
      <c r="KIB138" s="18"/>
      <c r="KIC138" s="18"/>
      <c r="KID138" s="17"/>
      <c r="KIE138" s="9"/>
      <c r="KIF138" s="9"/>
      <c r="KIG138" s="18"/>
      <c r="KIH138" s="18"/>
      <c r="KII138" s="18"/>
      <c r="KIJ138" s="18"/>
      <c r="KIK138" s="18"/>
      <c r="KIL138" s="17"/>
      <c r="KIM138" s="9"/>
      <c r="KIN138" s="9"/>
      <c r="KIO138" s="18"/>
      <c r="KIP138" s="18"/>
      <c r="KIQ138" s="18"/>
      <c r="KIR138" s="18"/>
      <c r="KIS138" s="18"/>
      <c r="KIT138" s="17"/>
      <c r="KIU138" s="9"/>
      <c r="KIV138" s="9"/>
      <c r="KIW138" s="18"/>
      <c r="KIX138" s="18"/>
      <c r="KIY138" s="18"/>
      <c r="KIZ138" s="18"/>
      <c r="KJA138" s="18"/>
      <c r="KJB138" s="17"/>
      <c r="KJC138" s="9"/>
      <c r="KJD138" s="9"/>
      <c r="KJE138" s="18"/>
      <c r="KJF138" s="18"/>
      <c r="KJG138" s="18"/>
      <c r="KJH138" s="18"/>
      <c r="KJI138" s="18"/>
      <c r="KJJ138" s="17"/>
      <c r="KJK138" s="9"/>
      <c r="KJL138" s="9"/>
      <c r="KJM138" s="18"/>
      <c r="KJN138" s="18"/>
      <c r="KJO138" s="18"/>
      <c r="KJP138" s="18"/>
      <c r="KJQ138" s="18"/>
      <c r="KJR138" s="17"/>
      <c r="KJS138" s="9"/>
      <c r="KJT138" s="9"/>
      <c r="KJU138" s="18"/>
      <c r="KJV138" s="18"/>
      <c r="KJW138" s="18"/>
      <c r="KJX138" s="18"/>
      <c r="KJY138" s="18"/>
      <c r="KJZ138" s="17"/>
      <c r="KKA138" s="9"/>
      <c r="KKB138" s="9"/>
      <c r="KKC138" s="18"/>
      <c r="KKD138" s="18"/>
      <c r="KKE138" s="18"/>
      <c r="KKF138" s="18"/>
      <c r="KKG138" s="18"/>
      <c r="KKH138" s="17"/>
      <c r="KKI138" s="9"/>
      <c r="KKJ138" s="9"/>
      <c r="KKK138" s="18"/>
      <c r="KKL138" s="18"/>
      <c r="KKM138" s="18"/>
      <c r="KKN138" s="18"/>
      <c r="KKO138" s="18"/>
      <c r="KKP138" s="17"/>
      <c r="KKQ138" s="9"/>
      <c r="KKR138" s="9"/>
      <c r="KKS138" s="18"/>
      <c r="KKT138" s="18"/>
      <c r="KKU138" s="18"/>
      <c r="KKV138" s="18"/>
      <c r="KKW138" s="18"/>
      <c r="KKX138" s="17"/>
      <c r="KKY138" s="9"/>
      <c r="KKZ138" s="9"/>
      <c r="KLA138" s="18"/>
      <c r="KLB138" s="18"/>
      <c r="KLC138" s="18"/>
      <c r="KLD138" s="18"/>
      <c r="KLE138" s="18"/>
      <c r="KLF138" s="17"/>
      <c r="KLG138" s="9"/>
      <c r="KLH138" s="9"/>
      <c r="KLI138" s="18"/>
      <c r="KLJ138" s="18"/>
      <c r="KLK138" s="18"/>
      <c r="KLL138" s="18"/>
      <c r="KLM138" s="18"/>
      <c r="KLN138" s="17"/>
      <c r="KLO138" s="9"/>
      <c r="KLP138" s="9"/>
      <c r="KLQ138" s="18"/>
      <c r="KLR138" s="18"/>
      <c r="KLS138" s="18"/>
      <c r="KLT138" s="18"/>
      <c r="KLU138" s="18"/>
      <c r="KLV138" s="17"/>
      <c r="KLW138" s="9"/>
      <c r="KLX138" s="9"/>
      <c r="KLY138" s="18"/>
      <c r="KLZ138" s="18"/>
      <c r="KMA138" s="18"/>
      <c r="KMB138" s="18"/>
      <c r="KMC138" s="18"/>
      <c r="KMD138" s="17"/>
      <c r="KME138" s="9"/>
      <c r="KMF138" s="9"/>
      <c r="KMG138" s="18"/>
      <c r="KMH138" s="18"/>
      <c r="KMI138" s="18"/>
      <c r="KMJ138" s="18"/>
      <c r="KMK138" s="18"/>
      <c r="KML138" s="17"/>
      <c r="KMM138" s="9"/>
      <c r="KMN138" s="9"/>
      <c r="KMO138" s="18"/>
      <c r="KMP138" s="18"/>
      <c r="KMQ138" s="18"/>
      <c r="KMR138" s="18"/>
      <c r="KMS138" s="18"/>
      <c r="KMT138" s="17"/>
      <c r="KMU138" s="9"/>
      <c r="KMV138" s="9"/>
      <c r="KMW138" s="18"/>
      <c r="KMX138" s="18"/>
      <c r="KMY138" s="18"/>
      <c r="KMZ138" s="18"/>
      <c r="KNA138" s="18"/>
      <c r="KNB138" s="17"/>
      <c r="KNC138" s="9"/>
      <c r="KND138" s="9"/>
      <c r="KNE138" s="18"/>
      <c r="KNF138" s="18"/>
      <c r="KNG138" s="18"/>
      <c r="KNH138" s="18"/>
      <c r="KNI138" s="18"/>
      <c r="KNJ138" s="17"/>
      <c r="KNK138" s="9"/>
      <c r="KNL138" s="9"/>
      <c r="KNM138" s="18"/>
      <c r="KNN138" s="18"/>
      <c r="KNO138" s="18"/>
      <c r="KNP138" s="18"/>
      <c r="KNQ138" s="18"/>
      <c r="KNR138" s="17"/>
      <c r="KNS138" s="9"/>
      <c r="KNT138" s="9"/>
      <c r="KNU138" s="18"/>
      <c r="KNV138" s="18"/>
      <c r="KNW138" s="18"/>
      <c r="KNX138" s="18"/>
      <c r="KNY138" s="18"/>
      <c r="KNZ138" s="17"/>
      <c r="KOA138" s="9"/>
      <c r="KOB138" s="9"/>
      <c r="KOC138" s="18"/>
      <c r="KOD138" s="18"/>
      <c r="KOE138" s="18"/>
      <c r="KOF138" s="18"/>
      <c r="KOG138" s="18"/>
      <c r="KOH138" s="17"/>
      <c r="KOI138" s="9"/>
      <c r="KOJ138" s="9"/>
      <c r="KOK138" s="18"/>
      <c r="KOL138" s="18"/>
      <c r="KOM138" s="18"/>
      <c r="KON138" s="18"/>
      <c r="KOO138" s="18"/>
      <c r="KOP138" s="17"/>
      <c r="KOQ138" s="9"/>
      <c r="KOR138" s="9"/>
      <c r="KOS138" s="18"/>
      <c r="KOT138" s="18"/>
      <c r="KOU138" s="18"/>
      <c r="KOV138" s="18"/>
      <c r="KOW138" s="18"/>
      <c r="KOX138" s="17"/>
      <c r="KOY138" s="9"/>
      <c r="KOZ138" s="9"/>
      <c r="KPA138" s="18"/>
      <c r="KPB138" s="18"/>
      <c r="KPC138" s="18"/>
      <c r="KPD138" s="18"/>
      <c r="KPE138" s="18"/>
      <c r="KPF138" s="17"/>
      <c r="KPG138" s="9"/>
      <c r="KPH138" s="9"/>
      <c r="KPI138" s="18"/>
      <c r="KPJ138" s="18"/>
      <c r="KPK138" s="18"/>
      <c r="KPL138" s="18"/>
      <c r="KPM138" s="18"/>
      <c r="KPN138" s="17"/>
      <c r="KPO138" s="9"/>
      <c r="KPP138" s="9"/>
      <c r="KPQ138" s="18"/>
      <c r="KPR138" s="18"/>
      <c r="KPS138" s="18"/>
      <c r="KPT138" s="18"/>
      <c r="KPU138" s="18"/>
      <c r="KPV138" s="17"/>
      <c r="KPW138" s="9"/>
      <c r="KPX138" s="9"/>
      <c r="KPY138" s="18"/>
      <c r="KPZ138" s="18"/>
      <c r="KQA138" s="18"/>
      <c r="KQB138" s="18"/>
      <c r="KQC138" s="18"/>
      <c r="KQD138" s="17"/>
      <c r="KQE138" s="9"/>
      <c r="KQF138" s="9"/>
      <c r="KQG138" s="18"/>
      <c r="KQH138" s="18"/>
      <c r="KQI138" s="18"/>
      <c r="KQJ138" s="18"/>
      <c r="KQK138" s="18"/>
      <c r="KQL138" s="17"/>
      <c r="KQM138" s="9"/>
      <c r="KQN138" s="9"/>
      <c r="KQO138" s="18"/>
      <c r="KQP138" s="18"/>
      <c r="KQQ138" s="18"/>
      <c r="KQR138" s="18"/>
      <c r="KQS138" s="18"/>
      <c r="KQT138" s="17"/>
      <c r="KQU138" s="9"/>
      <c r="KQV138" s="9"/>
      <c r="KQW138" s="18"/>
      <c r="KQX138" s="18"/>
      <c r="KQY138" s="18"/>
      <c r="KQZ138" s="18"/>
      <c r="KRA138" s="18"/>
      <c r="KRB138" s="17"/>
      <c r="KRC138" s="9"/>
      <c r="KRD138" s="9"/>
      <c r="KRE138" s="18"/>
      <c r="KRF138" s="18"/>
      <c r="KRG138" s="18"/>
      <c r="KRH138" s="18"/>
      <c r="KRI138" s="18"/>
      <c r="KRJ138" s="17"/>
      <c r="KRK138" s="9"/>
      <c r="KRL138" s="9"/>
      <c r="KRM138" s="18"/>
      <c r="KRN138" s="18"/>
      <c r="KRO138" s="18"/>
      <c r="KRP138" s="18"/>
      <c r="KRQ138" s="18"/>
      <c r="KRR138" s="17"/>
      <c r="KRS138" s="9"/>
      <c r="KRT138" s="9"/>
      <c r="KRU138" s="18"/>
      <c r="KRV138" s="18"/>
      <c r="KRW138" s="18"/>
      <c r="KRX138" s="18"/>
      <c r="KRY138" s="18"/>
      <c r="KRZ138" s="17"/>
      <c r="KSA138" s="9"/>
      <c r="KSB138" s="9"/>
      <c r="KSC138" s="18"/>
      <c r="KSD138" s="18"/>
      <c r="KSE138" s="18"/>
      <c r="KSF138" s="18"/>
      <c r="KSG138" s="18"/>
      <c r="KSH138" s="17"/>
      <c r="KSI138" s="9"/>
      <c r="KSJ138" s="9"/>
      <c r="KSK138" s="18"/>
      <c r="KSL138" s="18"/>
      <c r="KSM138" s="18"/>
      <c r="KSN138" s="18"/>
      <c r="KSO138" s="18"/>
      <c r="KSP138" s="17"/>
      <c r="KSQ138" s="9"/>
      <c r="KSR138" s="9"/>
      <c r="KSS138" s="18"/>
      <c r="KST138" s="18"/>
      <c r="KSU138" s="18"/>
      <c r="KSV138" s="18"/>
      <c r="KSW138" s="18"/>
      <c r="KSX138" s="17"/>
      <c r="KSY138" s="9"/>
      <c r="KSZ138" s="9"/>
      <c r="KTA138" s="18"/>
      <c r="KTB138" s="18"/>
      <c r="KTC138" s="18"/>
      <c r="KTD138" s="18"/>
      <c r="KTE138" s="18"/>
      <c r="KTF138" s="17"/>
      <c r="KTG138" s="9"/>
      <c r="KTH138" s="9"/>
      <c r="KTI138" s="18"/>
      <c r="KTJ138" s="18"/>
      <c r="KTK138" s="18"/>
      <c r="KTL138" s="18"/>
      <c r="KTM138" s="18"/>
      <c r="KTN138" s="17"/>
      <c r="KTO138" s="9"/>
      <c r="KTP138" s="9"/>
      <c r="KTQ138" s="18"/>
      <c r="KTR138" s="18"/>
      <c r="KTS138" s="18"/>
      <c r="KTT138" s="18"/>
      <c r="KTU138" s="18"/>
      <c r="KTV138" s="17"/>
      <c r="KTW138" s="9"/>
      <c r="KTX138" s="9"/>
      <c r="KTY138" s="18"/>
      <c r="KTZ138" s="18"/>
      <c r="KUA138" s="18"/>
      <c r="KUB138" s="18"/>
      <c r="KUC138" s="18"/>
      <c r="KUD138" s="17"/>
      <c r="KUE138" s="9"/>
      <c r="KUF138" s="9"/>
      <c r="KUG138" s="18"/>
      <c r="KUH138" s="18"/>
      <c r="KUI138" s="18"/>
      <c r="KUJ138" s="18"/>
      <c r="KUK138" s="18"/>
      <c r="KUL138" s="17"/>
      <c r="KUM138" s="9"/>
      <c r="KUN138" s="9"/>
      <c r="KUO138" s="18"/>
      <c r="KUP138" s="18"/>
      <c r="KUQ138" s="18"/>
      <c r="KUR138" s="18"/>
      <c r="KUS138" s="18"/>
      <c r="KUT138" s="17"/>
      <c r="KUU138" s="9"/>
      <c r="KUV138" s="9"/>
      <c r="KUW138" s="18"/>
      <c r="KUX138" s="18"/>
      <c r="KUY138" s="18"/>
      <c r="KUZ138" s="18"/>
      <c r="KVA138" s="18"/>
      <c r="KVB138" s="17"/>
      <c r="KVC138" s="9"/>
      <c r="KVD138" s="9"/>
      <c r="KVE138" s="18"/>
      <c r="KVF138" s="18"/>
      <c r="KVG138" s="18"/>
      <c r="KVH138" s="18"/>
      <c r="KVI138" s="18"/>
      <c r="KVJ138" s="17"/>
      <c r="KVK138" s="9"/>
      <c r="KVL138" s="9"/>
      <c r="KVM138" s="18"/>
      <c r="KVN138" s="18"/>
      <c r="KVO138" s="18"/>
      <c r="KVP138" s="18"/>
      <c r="KVQ138" s="18"/>
      <c r="KVR138" s="17"/>
      <c r="KVS138" s="9"/>
      <c r="KVT138" s="9"/>
      <c r="KVU138" s="18"/>
      <c r="KVV138" s="18"/>
      <c r="KVW138" s="18"/>
      <c r="KVX138" s="18"/>
      <c r="KVY138" s="18"/>
      <c r="KVZ138" s="17"/>
      <c r="KWA138" s="9"/>
      <c r="KWB138" s="9"/>
      <c r="KWC138" s="18"/>
      <c r="KWD138" s="18"/>
      <c r="KWE138" s="18"/>
      <c r="KWF138" s="18"/>
      <c r="KWG138" s="18"/>
      <c r="KWH138" s="17"/>
      <c r="KWI138" s="9"/>
      <c r="KWJ138" s="9"/>
      <c r="KWK138" s="18"/>
      <c r="KWL138" s="18"/>
      <c r="KWM138" s="18"/>
      <c r="KWN138" s="18"/>
      <c r="KWO138" s="18"/>
      <c r="KWP138" s="17"/>
      <c r="KWQ138" s="9"/>
      <c r="KWR138" s="9"/>
      <c r="KWS138" s="18"/>
      <c r="KWT138" s="18"/>
      <c r="KWU138" s="18"/>
      <c r="KWV138" s="18"/>
      <c r="KWW138" s="18"/>
      <c r="KWX138" s="17"/>
      <c r="KWY138" s="9"/>
      <c r="KWZ138" s="9"/>
      <c r="KXA138" s="18"/>
      <c r="KXB138" s="18"/>
      <c r="KXC138" s="18"/>
      <c r="KXD138" s="18"/>
      <c r="KXE138" s="18"/>
      <c r="KXF138" s="17"/>
      <c r="KXG138" s="9"/>
      <c r="KXH138" s="9"/>
      <c r="KXI138" s="18"/>
      <c r="KXJ138" s="18"/>
      <c r="KXK138" s="18"/>
      <c r="KXL138" s="18"/>
      <c r="KXM138" s="18"/>
      <c r="KXN138" s="17"/>
      <c r="KXO138" s="9"/>
      <c r="KXP138" s="9"/>
      <c r="KXQ138" s="18"/>
      <c r="KXR138" s="18"/>
      <c r="KXS138" s="18"/>
      <c r="KXT138" s="18"/>
      <c r="KXU138" s="18"/>
      <c r="KXV138" s="17"/>
      <c r="KXW138" s="9"/>
      <c r="KXX138" s="9"/>
      <c r="KXY138" s="18"/>
      <c r="KXZ138" s="18"/>
      <c r="KYA138" s="18"/>
      <c r="KYB138" s="18"/>
      <c r="KYC138" s="18"/>
      <c r="KYD138" s="17"/>
      <c r="KYE138" s="9"/>
      <c r="KYF138" s="9"/>
      <c r="KYG138" s="18"/>
      <c r="KYH138" s="18"/>
      <c r="KYI138" s="18"/>
      <c r="KYJ138" s="18"/>
      <c r="KYK138" s="18"/>
      <c r="KYL138" s="17"/>
      <c r="KYM138" s="9"/>
      <c r="KYN138" s="9"/>
      <c r="KYO138" s="18"/>
      <c r="KYP138" s="18"/>
      <c r="KYQ138" s="18"/>
      <c r="KYR138" s="18"/>
      <c r="KYS138" s="18"/>
      <c r="KYT138" s="17"/>
      <c r="KYU138" s="9"/>
      <c r="KYV138" s="9"/>
      <c r="KYW138" s="18"/>
      <c r="KYX138" s="18"/>
      <c r="KYY138" s="18"/>
      <c r="KYZ138" s="18"/>
      <c r="KZA138" s="18"/>
      <c r="KZB138" s="17"/>
      <c r="KZC138" s="9"/>
      <c r="KZD138" s="9"/>
      <c r="KZE138" s="18"/>
      <c r="KZF138" s="18"/>
      <c r="KZG138" s="18"/>
      <c r="KZH138" s="18"/>
      <c r="KZI138" s="18"/>
      <c r="KZJ138" s="17"/>
      <c r="KZK138" s="9"/>
      <c r="KZL138" s="9"/>
      <c r="KZM138" s="18"/>
      <c r="KZN138" s="18"/>
      <c r="KZO138" s="18"/>
      <c r="KZP138" s="18"/>
      <c r="KZQ138" s="18"/>
      <c r="KZR138" s="17"/>
      <c r="KZS138" s="9"/>
      <c r="KZT138" s="9"/>
      <c r="KZU138" s="18"/>
      <c r="KZV138" s="18"/>
      <c r="KZW138" s="18"/>
      <c r="KZX138" s="18"/>
      <c r="KZY138" s="18"/>
      <c r="KZZ138" s="17"/>
      <c r="LAA138" s="9"/>
      <c r="LAB138" s="9"/>
      <c r="LAC138" s="18"/>
      <c r="LAD138" s="18"/>
      <c r="LAE138" s="18"/>
      <c r="LAF138" s="18"/>
      <c r="LAG138" s="18"/>
      <c r="LAH138" s="17"/>
      <c r="LAI138" s="9"/>
      <c r="LAJ138" s="9"/>
      <c r="LAK138" s="18"/>
      <c r="LAL138" s="18"/>
      <c r="LAM138" s="18"/>
      <c r="LAN138" s="18"/>
      <c r="LAO138" s="18"/>
      <c r="LAP138" s="17"/>
      <c r="LAQ138" s="9"/>
      <c r="LAR138" s="9"/>
      <c r="LAS138" s="18"/>
      <c r="LAT138" s="18"/>
      <c r="LAU138" s="18"/>
      <c r="LAV138" s="18"/>
      <c r="LAW138" s="18"/>
      <c r="LAX138" s="17"/>
      <c r="LAY138" s="9"/>
      <c r="LAZ138" s="9"/>
      <c r="LBA138" s="18"/>
      <c r="LBB138" s="18"/>
      <c r="LBC138" s="18"/>
      <c r="LBD138" s="18"/>
      <c r="LBE138" s="18"/>
      <c r="LBF138" s="17"/>
      <c r="LBG138" s="9"/>
      <c r="LBH138" s="9"/>
      <c r="LBI138" s="18"/>
      <c r="LBJ138" s="18"/>
      <c r="LBK138" s="18"/>
      <c r="LBL138" s="18"/>
      <c r="LBM138" s="18"/>
      <c r="LBN138" s="17"/>
      <c r="LBO138" s="9"/>
      <c r="LBP138" s="9"/>
      <c r="LBQ138" s="18"/>
      <c r="LBR138" s="18"/>
      <c r="LBS138" s="18"/>
      <c r="LBT138" s="18"/>
      <c r="LBU138" s="18"/>
      <c r="LBV138" s="17"/>
      <c r="LBW138" s="9"/>
      <c r="LBX138" s="9"/>
      <c r="LBY138" s="18"/>
      <c r="LBZ138" s="18"/>
      <c r="LCA138" s="18"/>
      <c r="LCB138" s="18"/>
      <c r="LCC138" s="18"/>
      <c r="LCD138" s="17"/>
      <c r="LCE138" s="9"/>
      <c r="LCF138" s="9"/>
      <c r="LCG138" s="18"/>
      <c r="LCH138" s="18"/>
      <c r="LCI138" s="18"/>
      <c r="LCJ138" s="18"/>
      <c r="LCK138" s="18"/>
      <c r="LCL138" s="17"/>
      <c r="LCM138" s="9"/>
      <c r="LCN138" s="9"/>
      <c r="LCO138" s="18"/>
      <c r="LCP138" s="18"/>
      <c r="LCQ138" s="18"/>
      <c r="LCR138" s="18"/>
      <c r="LCS138" s="18"/>
      <c r="LCT138" s="17"/>
      <c r="LCU138" s="9"/>
      <c r="LCV138" s="9"/>
      <c r="LCW138" s="18"/>
      <c r="LCX138" s="18"/>
      <c r="LCY138" s="18"/>
      <c r="LCZ138" s="18"/>
      <c r="LDA138" s="18"/>
      <c r="LDB138" s="17"/>
      <c r="LDC138" s="9"/>
      <c r="LDD138" s="9"/>
      <c r="LDE138" s="18"/>
      <c r="LDF138" s="18"/>
      <c r="LDG138" s="18"/>
      <c r="LDH138" s="18"/>
      <c r="LDI138" s="18"/>
      <c r="LDJ138" s="17"/>
      <c r="LDK138" s="9"/>
      <c r="LDL138" s="9"/>
      <c r="LDM138" s="18"/>
      <c r="LDN138" s="18"/>
      <c r="LDO138" s="18"/>
      <c r="LDP138" s="18"/>
      <c r="LDQ138" s="18"/>
      <c r="LDR138" s="17"/>
      <c r="LDS138" s="9"/>
      <c r="LDT138" s="9"/>
      <c r="LDU138" s="18"/>
      <c r="LDV138" s="18"/>
      <c r="LDW138" s="18"/>
      <c r="LDX138" s="18"/>
      <c r="LDY138" s="18"/>
      <c r="LDZ138" s="17"/>
      <c r="LEA138" s="9"/>
      <c r="LEB138" s="9"/>
      <c r="LEC138" s="18"/>
      <c r="LED138" s="18"/>
      <c r="LEE138" s="18"/>
      <c r="LEF138" s="18"/>
      <c r="LEG138" s="18"/>
      <c r="LEH138" s="17"/>
      <c r="LEI138" s="9"/>
      <c r="LEJ138" s="9"/>
      <c r="LEK138" s="18"/>
      <c r="LEL138" s="18"/>
      <c r="LEM138" s="18"/>
      <c r="LEN138" s="18"/>
      <c r="LEO138" s="18"/>
      <c r="LEP138" s="17"/>
      <c r="LEQ138" s="9"/>
      <c r="LER138" s="9"/>
      <c r="LES138" s="18"/>
      <c r="LET138" s="18"/>
      <c r="LEU138" s="18"/>
      <c r="LEV138" s="18"/>
      <c r="LEW138" s="18"/>
      <c r="LEX138" s="17"/>
      <c r="LEY138" s="9"/>
      <c r="LEZ138" s="9"/>
      <c r="LFA138" s="18"/>
      <c r="LFB138" s="18"/>
      <c r="LFC138" s="18"/>
      <c r="LFD138" s="18"/>
      <c r="LFE138" s="18"/>
      <c r="LFF138" s="17"/>
      <c r="LFG138" s="9"/>
      <c r="LFH138" s="9"/>
      <c r="LFI138" s="18"/>
      <c r="LFJ138" s="18"/>
      <c r="LFK138" s="18"/>
      <c r="LFL138" s="18"/>
      <c r="LFM138" s="18"/>
      <c r="LFN138" s="17"/>
      <c r="LFO138" s="9"/>
      <c r="LFP138" s="9"/>
      <c r="LFQ138" s="18"/>
      <c r="LFR138" s="18"/>
      <c r="LFS138" s="18"/>
      <c r="LFT138" s="18"/>
      <c r="LFU138" s="18"/>
      <c r="LFV138" s="17"/>
      <c r="LFW138" s="9"/>
      <c r="LFX138" s="9"/>
      <c r="LFY138" s="18"/>
      <c r="LFZ138" s="18"/>
      <c r="LGA138" s="18"/>
      <c r="LGB138" s="18"/>
      <c r="LGC138" s="18"/>
      <c r="LGD138" s="17"/>
      <c r="LGE138" s="9"/>
      <c r="LGF138" s="9"/>
      <c r="LGG138" s="18"/>
      <c r="LGH138" s="18"/>
      <c r="LGI138" s="18"/>
      <c r="LGJ138" s="18"/>
      <c r="LGK138" s="18"/>
      <c r="LGL138" s="17"/>
      <c r="LGM138" s="9"/>
      <c r="LGN138" s="9"/>
      <c r="LGO138" s="18"/>
      <c r="LGP138" s="18"/>
      <c r="LGQ138" s="18"/>
      <c r="LGR138" s="18"/>
      <c r="LGS138" s="18"/>
      <c r="LGT138" s="17"/>
      <c r="LGU138" s="9"/>
      <c r="LGV138" s="9"/>
      <c r="LGW138" s="18"/>
      <c r="LGX138" s="18"/>
      <c r="LGY138" s="18"/>
      <c r="LGZ138" s="18"/>
      <c r="LHA138" s="18"/>
      <c r="LHB138" s="17"/>
      <c r="LHC138" s="9"/>
      <c r="LHD138" s="9"/>
      <c r="LHE138" s="18"/>
      <c r="LHF138" s="18"/>
      <c r="LHG138" s="18"/>
      <c r="LHH138" s="18"/>
      <c r="LHI138" s="18"/>
      <c r="LHJ138" s="17"/>
      <c r="LHK138" s="9"/>
      <c r="LHL138" s="9"/>
      <c r="LHM138" s="18"/>
      <c r="LHN138" s="18"/>
      <c r="LHO138" s="18"/>
      <c r="LHP138" s="18"/>
      <c r="LHQ138" s="18"/>
      <c r="LHR138" s="17"/>
      <c r="LHS138" s="9"/>
      <c r="LHT138" s="9"/>
      <c r="LHU138" s="18"/>
      <c r="LHV138" s="18"/>
      <c r="LHW138" s="18"/>
      <c r="LHX138" s="18"/>
      <c r="LHY138" s="18"/>
      <c r="LHZ138" s="17"/>
      <c r="LIA138" s="9"/>
      <c r="LIB138" s="9"/>
      <c r="LIC138" s="18"/>
      <c r="LID138" s="18"/>
      <c r="LIE138" s="18"/>
      <c r="LIF138" s="18"/>
      <c r="LIG138" s="18"/>
      <c r="LIH138" s="17"/>
      <c r="LII138" s="9"/>
      <c r="LIJ138" s="9"/>
      <c r="LIK138" s="18"/>
      <c r="LIL138" s="18"/>
      <c r="LIM138" s="18"/>
      <c r="LIN138" s="18"/>
      <c r="LIO138" s="18"/>
      <c r="LIP138" s="17"/>
      <c r="LIQ138" s="9"/>
      <c r="LIR138" s="9"/>
      <c r="LIS138" s="18"/>
      <c r="LIT138" s="18"/>
      <c r="LIU138" s="18"/>
      <c r="LIV138" s="18"/>
      <c r="LIW138" s="18"/>
      <c r="LIX138" s="17"/>
      <c r="LIY138" s="9"/>
      <c r="LIZ138" s="9"/>
      <c r="LJA138" s="18"/>
      <c r="LJB138" s="18"/>
      <c r="LJC138" s="18"/>
      <c r="LJD138" s="18"/>
      <c r="LJE138" s="18"/>
      <c r="LJF138" s="17"/>
      <c r="LJG138" s="9"/>
      <c r="LJH138" s="9"/>
      <c r="LJI138" s="18"/>
      <c r="LJJ138" s="18"/>
      <c r="LJK138" s="18"/>
      <c r="LJL138" s="18"/>
      <c r="LJM138" s="18"/>
      <c r="LJN138" s="17"/>
      <c r="LJO138" s="9"/>
      <c r="LJP138" s="9"/>
      <c r="LJQ138" s="18"/>
      <c r="LJR138" s="18"/>
      <c r="LJS138" s="18"/>
      <c r="LJT138" s="18"/>
      <c r="LJU138" s="18"/>
      <c r="LJV138" s="17"/>
      <c r="LJW138" s="9"/>
      <c r="LJX138" s="9"/>
      <c r="LJY138" s="18"/>
      <c r="LJZ138" s="18"/>
      <c r="LKA138" s="18"/>
      <c r="LKB138" s="18"/>
      <c r="LKC138" s="18"/>
      <c r="LKD138" s="17"/>
      <c r="LKE138" s="9"/>
      <c r="LKF138" s="9"/>
      <c r="LKG138" s="18"/>
      <c r="LKH138" s="18"/>
      <c r="LKI138" s="18"/>
      <c r="LKJ138" s="18"/>
      <c r="LKK138" s="18"/>
      <c r="LKL138" s="17"/>
      <c r="LKM138" s="9"/>
      <c r="LKN138" s="9"/>
      <c r="LKO138" s="18"/>
      <c r="LKP138" s="18"/>
      <c r="LKQ138" s="18"/>
      <c r="LKR138" s="18"/>
      <c r="LKS138" s="18"/>
      <c r="LKT138" s="17"/>
      <c r="LKU138" s="9"/>
      <c r="LKV138" s="9"/>
      <c r="LKW138" s="18"/>
      <c r="LKX138" s="18"/>
      <c r="LKY138" s="18"/>
      <c r="LKZ138" s="18"/>
      <c r="LLA138" s="18"/>
      <c r="LLB138" s="17"/>
      <c r="LLC138" s="9"/>
      <c r="LLD138" s="9"/>
      <c r="LLE138" s="18"/>
      <c r="LLF138" s="18"/>
      <c r="LLG138" s="18"/>
      <c r="LLH138" s="18"/>
      <c r="LLI138" s="18"/>
      <c r="LLJ138" s="17"/>
      <c r="LLK138" s="9"/>
      <c r="LLL138" s="9"/>
      <c r="LLM138" s="18"/>
      <c r="LLN138" s="18"/>
      <c r="LLO138" s="18"/>
      <c r="LLP138" s="18"/>
      <c r="LLQ138" s="18"/>
      <c r="LLR138" s="17"/>
      <c r="LLS138" s="9"/>
      <c r="LLT138" s="9"/>
      <c r="LLU138" s="18"/>
      <c r="LLV138" s="18"/>
      <c r="LLW138" s="18"/>
      <c r="LLX138" s="18"/>
      <c r="LLY138" s="18"/>
      <c r="LLZ138" s="17"/>
      <c r="LMA138" s="9"/>
      <c r="LMB138" s="9"/>
      <c r="LMC138" s="18"/>
      <c r="LMD138" s="18"/>
      <c r="LME138" s="18"/>
      <c r="LMF138" s="18"/>
      <c r="LMG138" s="18"/>
      <c r="LMH138" s="17"/>
      <c r="LMI138" s="9"/>
      <c r="LMJ138" s="9"/>
      <c r="LMK138" s="18"/>
      <c r="LML138" s="18"/>
      <c r="LMM138" s="18"/>
      <c r="LMN138" s="18"/>
      <c r="LMO138" s="18"/>
      <c r="LMP138" s="17"/>
      <c r="LMQ138" s="9"/>
      <c r="LMR138" s="9"/>
      <c r="LMS138" s="18"/>
      <c r="LMT138" s="18"/>
      <c r="LMU138" s="18"/>
      <c r="LMV138" s="18"/>
      <c r="LMW138" s="18"/>
      <c r="LMX138" s="17"/>
      <c r="LMY138" s="9"/>
      <c r="LMZ138" s="9"/>
      <c r="LNA138" s="18"/>
      <c r="LNB138" s="18"/>
      <c r="LNC138" s="18"/>
      <c r="LND138" s="18"/>
      <c r="LNE138" s="18"/>
      <c r="LNF138" s="17"/>
      <c r="LNG138" s="9"/>
      <c r="LNH138" s="9"/>
      <c r="LNI138" s="18"/>
      <c r="LNJ138" s="18"/>
      <c r="LNK138" s="18"/>
      <c r="LNL138" s="18"/>
      <c r="LNM138" s="18"/>
      <c r="LNN138" s="17"/>
      <c r="LNO138" s="9"/>
      <c r="LNP138" s="9"/>
      <c r="LNQ138" s="18"/>
      <c r="LNR138" s="18"/>
      <c r="LNS138" s="18"/>
      <c r="LNT138" s="18"/>
      <c r="LNU138" s="18"/>
      <c r="LNV138" s="17"/>
      <c r="LNW138" s="9"/>
      <c r="LNX138" s="9"/>
      <c r="LNY138" s="18"/>
      <c r="LNZ138" s="18"/>
      <c r="LOA138" s="18"/>
      <c r="LOB138" s="18"/>
      <c r="LOC138" s="18"/>
      <c r="LOD138" s="17"/>
      <c r="LOE138" s="9"/>
      <c r="LOF138" s="9"/>
      <c r="LOG138" s="18"/>
      <c r="LOH138" s="18"/>
      <c r="LOI138" s="18"/>
      <c r="LOJ138" s="18"/>
      <c r="LOK138" s="18"/>
      <c r="LOL138" s="17"/>
      <c r="LOM138" s="9"/>
      <c r="LON138" s="9"/>
      <c r="LOO138" s="18"/>
      <c r="LOP138" s="18"/>
      <c r="LOQ138" s="18"/>
      <c r="LOR138" s="18"/>
      <c r="LOS138" s="18"/>
      <c r="LOT138" s="17"/>
      <c r="LOU138" s="9"/>
      <c r="LOV138" s="9"/>
      <c r="LOW138" s="18"/>
      <c r="LOX138" s="18"/>
      <c r="LOY138" s="18"/>
      <c r="LOZ138" s="18"/>
      <c r="LPA138" s="18"/>
      <c r="LPB138" s="17"/>
      <c r="LPC138" s="9"/>
      <c r="LPD138" s="9"/>
      <c r="LPE138" s="18"/>
      <c r="LPF138" s="18"/>
      <c r="LPG138" s="18"/>
      <c r="LPH138" s="18"/>
      <c r="LPI138" s="18"/>
      <c r="LPJ138" s="17"/>
      <c r="LPK138" s="9"/>
      <c r="LPL138" s="9"/>
      <c r="LPM138" s="18"/>
      <c r="LPN138" s="18"/>
      <c r="LPO138" s="18"/>
      <c r="LPP138" s="18"/>
      <c r="LPQ138" s="18"/>
      <c r="LPR138" s="17"/>
      <c r="LPS138" s="9"/>
      <c r="LPT138" s="9"/>
      <c r="LPU138" s="18"/>
      <c r="LPV138" s="18"/>
      <c r="LPW138" s="18"/>
      <c r="LPX138" s="18"/>
      <c r="LPY138" s="18"/>
      <c r="LPZ138" s="17"/>
      <c r="LQA138" s="9"/>
      <c r="LQB138" s="9"/>
      <c r="LQC138" s="18"/>
      <c r="LQD138" s="18"/>
      <c r="LQE138" s="18"/>
      <c r="LQF138" s="18"/>
      <c r="LQG138" s="18"/>
      <c r="LQH138" s="17"/>
      <c r="LQI138" s="9"/>
      <c r="LQJ138" s="9"/>
      <c r="LQK138" s="18"/>
      <c r="LQL138" s="18"/>
      <c r="LQM138" s="18"/>
      <c r="LQN138" s="18"/>
      <c r="LQO138" s="18"/>
      <c r="LQP138" s="17"/>
      <c r="LQQ138" s="9"/>
      <c r="LQR138" s="9"/>
      <c r="LQS138" s="18"/>
      <c r="LQT138" s="18"/>
      <c r="LQU138" s="18"/>
      <c r="LQV138" s="18"/>
      <c r="LQW138" s="18"/>
      <c r="LQX138" s="17"/>
      <c r="LQY138" s="9"/>
      <c r="LQZ138" s="9"/>
      <c r="LRA138" s="18"/>
      <c r="LRB138" s="18"/>
      <c r="LRC138" s="18"/>
      <c r="LRD138" s="18"/>
      <c r="LRE138" s="18"/>
      <c r="LRF138" s="17"/>
      <c r="LRG138" s="9"/>
      <c r="LRH138" s="9"/>
      <c r="LRI138" s="18"/>
      <c r="LRJ138" s="18"/>
      <c r="LRK138" s="18"/>
      <c r="LRL138" s="18"/>
      <c r="LRM138" s="18"/>
      <c r="LRN138" s="17"/>
      <c r="LRO138" s="9"/>
      <c r="LRP138" s="9"/>
      <c r="LRQ138" s="18"/>
      <c r="LRR138" s="18"/>
      <c r="LRS138" s="18"/>
      <c r="LRT138" s="18"/>
      <c r="LRU138" s="18"/>
      <c r="LRV138" s="17"/>
      <c r="LRW138" s="9"/>
      <c r="LRX138" s="9"/>
      <c r="LRY138" s="18"/>
      <c r="LRZ138" s="18"/>
      <c r="LSA138" s="18"/>
      <c r="LSB138" s="18"/>
      <c r="LSC138" s="18"/>
      <c r="LSD138" s="17"/>
      <c r="LSE138" s="9"/>
      <c r="LSF138" s="9"/>
      <c r="LSG138" s="18"/>
      <c r="LSH138" s="18"/>
      <c r="LSI138" s="18"/>
      <c r="LSJ138" s="18"/>
      <c r="LSK138" s="18"/>
      <c r="LSL138" s="17"/>
      <c r="LSM138" s="9"/>
      <c r="LSN138" s="9"/>
      <c r="LSO138" s="18"/>
      <c r="LSP138" s="18"/>
      <c r="LSQ138" s="18"/>
      <c r="LSR138" s="18"/>
      <c r="LSS138" s="18"/>
      <c r="LST138" s="17"/>
      <c r="LSU138" s="9"/>
      <c r="LSV138" s="9"/>
      <c r="LSW138" s="18"/>
      <c r="LSX138" s="18"/>
      <c r="LSY138" s="18"/>
      <c r="LSZ138" s="18"/>
      <c r="LTA138" s="18"/>
      <c r="LTB138" s="17"/>
      <c r="LTC138" s="9"/>
      <c r="LTD138" s="9"/>
      <c r="LTE138" s="18"/>
      <c r="LTF138" s="18"/>
      <c r="LTG138" s="18"/>
      <c r="LTH138" s="18"/>
      <c r="LTI138" s="18"/>
      <c r="LTJ138" s="17"/>
      <c r="LTK138" s="9"/>
      <c r="LTL138" s="9"/>
      <c r="LTM138" s="18"/>
      <c r="LTN138" s="18"/>
      <c r="LTO138" s="18"/>
      <c r="LTP138" s="18"/>
      <c r="LTQ138" s="18"/>
      <c r="LTR138" s="17"/>
      <c r="LTS138" s="9"/>
      <c r="LTT138" s="9"/>
      <c r="LTU138" s="18"/>
      <c r="LTV138" s="18"/>
      <c r="LTW138" s="18"/>
      <c r="LTX138" s="18"/>
      <c r="LTY138" s="18"/>
      <c r="LTZ138" s="17"/>
      <c r="LUA138" s="9"/>
      <c r="LUB138" s="9"/>
      <c r="LUC138" s="18"/>
      <c r="LUD138" s="18"/>
      <c r="LUE138" s="18"/>
      <c r="LUF138" s="18"/>
      <c r="LUG138" s="18"/>
      <c r="LUH138" s="17"/>
      <c r="LUI138" s="9"/>
      <c r="LUJ138" s="9"/>
      <c r="LUK138" s="18"/>
      <c r="LUL138" s="18"/>
      <c r="LUM138" s="18"/>
      <c r="LUN138" s="18"/>
      <c r="LUO138" s="18"/>
      <c r="LUP138" s="17"/>
      <c r="LUQ138" s="9"/>
      <c r="LUR138" s="9"/>
      <c r="LUS138" s="18"/>
      <c r="LUT138" s="18"/>
      <c r="LUU138" s="18"/>
      <c r="LUV138" s="18"/>
      <c r="LUW138" s="18"/>
      <c r="LUX138" s="17"/>
      <c r="LUY138" s="9"/>
      <c r="LUZ138" s="9"/>
      <c r="LVA138" s="18"/>
      <c r="LVB138" s="18"/>
      <c r="LVC138" s="18"/>
      <c r="LVD138" s="18"/>
      <c r="LVE138" s="18"/>
      <c r="LVF138" s="17"/>
      <c r="LVG138" s="9"/>
      <c r="LVH138" s="9"/>
      <c r="LVI138" s="18"/>
      <c r="LVJ138" s="18"/>
      <c r="LVK138" s="18"/>
      <c r="LVL138" s="18"/>
      <c r="LVM138" s="18"/>
      <c r="LVN138" s="17"/>
      <c r="LVO138" s="9"/>
      <c r="LVP138" s="9"/>
      <c r="LVQ138" s="18"/>
      <c r="LVR138" s="18"/>
      <c r="LVS138" s="18"/>
      <c r="LVT138" s="18"/>
      <c r="LVU138" s="18"/>
      <c r="LVV138" s="17"/>
      <c r="LVW138" s="9"/>
      <c r="LVX138" s="9"/>
      <c r="LVY138" s="18"/>
      <c r="LVZ138" s="18"/>
      <c r="LWA138" s="18"/>
      <c r="LWB138" s="18"/>
      <c r="LWC138" s="18"/>
      <c r="LWD138" s="17"/>
      <c r="LWE138" s="9"/>
      <c r="LWF138" s="9"/>
      <c r="LWG138" s="18"/>
      <c r="LWH138" s="18"/>
      <c r="LWI138" s="18"/>
      <c r="LWJ138" s="18"/>
      <c r="LWK138" s="18"/>
      <c r="LWL138" s="17"/>
      <c r="LWM138" s="9"/>
      <c r="LWN138" s="9"/>
      <c r="LWO138" s="18"/>
      <c r="LWP138" s="18"/>
      <c r="LWQ138" s="18"/>
      <c r="LWR138" s="18"/>
      <c r="LWS138" s="18"/>
      <c r="LWT138" s="17"/>
      <c r="LWU138" s="9"/>
      <c r="LWV138" s="9"/>
      <c r="LWW138" s="18"/>
      <c r="LWX138" s="18"/>
      <c r="LWY138" s="18"/>
      <c r="LWZ138" s="18"/>
      <c r="LXA138" s="18"/>
      <c r="LXB138" s="17"/>
      <c r="LXC138" s="9"/>
      <c r="LXD138" s="9"/>
      <c r="LXE138" s="18"/>
      <c r="LXF138" s="18"/>
      <c r="LXG138" s="18"/>
      <c r="LXH138" s="18"/>
      <c r="LXI138" s="18"/>
      <c r="LXJ138" s="17"/>
      <c r="LXK138" s="9"/>
      <c r="LXL138" s="9"/>
      <c r="LXM138" s="18"/>
      <c r="LXN138" s="18"/>
      <c r="LXO138" s="18"/>
      <c r="LXP138" s="18"/>
      <c r="LXQ138" s="18"/>
      <c r="LXR138" s="17"/>
      <c r="LXS138" s="9"/>
      <c r="LXT138" s="9"/>
      <c r="LXU138" s="18"/>
      <c r="LXV138" s="18"/>
      <c r="LXW138" s="18"/>
      <c r="LXX138" s="18"/>
      <c r="LXY138" s="18"/>
      <c r="LXZ138" s="17"/>
      <c r="LYA138" s="9"/>
      <c r="LYB138" s="9"/>
      <c r="LYC138" s="18"/>
      <c r="LYD138" s="18"/>
      <c r="LYE138" s="18"/>
      <c r="LYF138" s="18"/>
      <c r="LYG138" s="18"/>
      <c r="LYH138" s="17"/>
      <c r="LYI138" s="9"/>
      <c r="LYJ138" s="9"/>
      <c r="LYK138" s="18"/>
      <c r="LYL138" s="18"/>
      <c r="LYM138" s="18"/>
      <c r="LYN138" s="18"/>
      <c r="LYO138" s="18"/>
      <c r="LYP138" s="17"/>
      <c r="LYQ138" s="9"/>
      <c r="LYR138" s="9"/>
      <c r="LYS138" s="18"/>
      <c r="LYT138" s="18"/>
      <c r="LYU138" s="18"/>
      <c r="LYV138" s="18"/>
      <c r="LYW138" s="18"/>
      <c r="LYX138" s="17"/>
      <c r="LYY138" s="9"/>
      <c r="LYZ138" s="9"/>
      <c r="LZA138" s="18"/>
      <c r="LZB138" s="18"/>
      <c r="LZC138" s="18"/>
      <c r="LZD138" s="18"/>
      <c r="LZE138" s="18"/>
      <c r="LZF138" s="17"/>
      <c r="LZG138" s="9"/>
      <c r="LZH138" s="9"/>
      <c r="LZI138" s="18"/>
      <c r="LZJ138" s="18"/>
      <c r="LZK138" s="18"/>
      <c r="LZL138" s="18"/>
      <c r="LZM138" s="18"/>
      <c r="LZN138" s="17"/>
      <c r="LZO138" s="9"/>
      <c r="LZP138" s="9"/>
      <c r="LZQ138" s="18"/>
      <c r="LZR138" s="18"/>
      <c r="LZS138" s="18"/>
      <c r="LZT138" s="18"/>
      <c r="LZU138" s="18"/>
      <c r="LZV138" s="17"/>
      <c r="LZW138" s="9"/>
      <c r="LZX138" s="9"/>
      <c r="LZY138" s="18"/>
      <c r="LZZ138" s="18"/>
      <c r="MAA138" s="18"/>
      <c r="MAB138" s="18"/>
      <c r="MAC138" s="18"/>
      <c r="MAD138" s="17"/>
      <c r="MAE138" s="9"/>
      <c r="MAF138" s="9"/>
      <c r="MAG138" s="18"/>
      <c r="MAH138" s="18"/>
      <c r="MAI138" s="18"/>
      <c r="MAJ138" s="18"/>
      <c r="MAK138" s="18"/>
      <c r="MAL138" s="17"/>
      <c r="MAM138" s="9"/>
      <c r="MAN138" s="9"/>
      <c r="MAO138" s="18"/>
      <c r="MAP138" s="18"/>
      <c r="MAQ138" s="18"/>
      <c r="MAR138" s="18"/>
      <c r="MAS138" s="18"/>
      <c r="MAT138" s="17"/>
      <c r="MAU138" s="9"/>
      <c r="MAV138" s="9"/>
      <c r="MAW138" s="18"/>
      <c r="MAX138" s="18"/>
      <c r="MAY138" s="18"/>
      <c r="MAZ138" s="18"/>
      <c r="MBA138" s="18"/>
      <c r="MBB138" s="17"/>
      <c r="MBC138" s="9"/>
      <c r="MBD138" s="9"/>
      <c r="MBE138" s="18"/>
      <c r="MBF138" s="18"/>
      <c r="MBG138" s="18"/>
      <c r="MBH138" s="18"/>
      <c r="MBI138" s="18"/>
      <c r="MBJ138" s="17"/>
      <c r="MBK138" s="9"/>
      <c r="MBL138" s="9"/>
      <c r="MBM138" s="18"/>
      <c r="MBN138" s="18"/>
      <c r="MBO138" s="18"/>
      <c r="MBP138" s="18"/>
      <c r="MBQ138" s="18"/>
      <c r="MBR138" s="17"/>
      <c r="MBS138" s="9"/>
      <c r="MBT138" s="9"/>
      <c r="MBU138" s="18"/>
      <c r="MBV138" s="18"/>
      <c r="MBW138" s="18"/>
      <c r="MBX138" s="18"/>
      <c r="MBY138" s="18"/>
      <c r="MBZ138" s="17"/>
      <c r="MCA138" s="9"/>
      <c r="MCB138" s="9"/>
      <c r="MCC138" s="18"/>
      <c r="MCD138" s="18"/>
      <c r="MCE138" s="18"/>
      <c r="MCF138" s="18"/>
      <c r="MCG138" s="18"/>
      <c r="MCH138" s="17"/>
      <c r="MCI138" s="9"/>
      <c r="MCJ138" s="9"/>
      <c r="MCK138" s="18"/>
      <c r="MCL138" s="18"/>
      <c r="MCM138" s="18"/>
      <c r="MCN138" s="18"/>
      <c r="MCO138" s="18"/>
      <c r="MCP138" s="17"/>
      <c r="MCQ138" s="9"/>
      <c r="MCR138" s="9"/>
      <c r="MCS138" s="18"/>
      <c r="MCT138" s="18"/>
      <c r="MCU138" s="18"/>
      <c r="MCV138" s="18"/>
      <c r="MCW138" s="18"/>
      <c r="MCX138" s="17"/>
      <c r="MCY138" s="9"/>
      <c r="MCZ138" s="9"/>
      <c r="MDA138" s="18"/>
      <c r="MDB138" s="18"/>
      <c r="MDC138" s="18"/>
      <c r="MDD138" s="18"/>
      <c r="MDE138" s="18"/>
      <c r="MDF138" s="17"/>
      <c r="MDG138" s="9"/>
      <c r="MDH138" s="9"/>
      <c r="MDI138" s="18"/>
      <c r="MDJ138" s="18"/>
      <c r="MDK138" s="18"/>
      <c r="MDL138" s="18"/>
      <c r="MDM138" s="18"/>
      <c r="MDN138" s="17"/>
      <c r="MDO138" s="9"/>
      <c r="MDP138" s="9"/>
      <c r="MDQ138" s="18"/>
      <c r="MDR138" s="18"/>
      <c r="MDS138" s="18"/>
      <c r="MDT138" s="18"/>
      <c r="MDU138" s="18"/>
      <c r="MDV138" s="17"/>
      <c r="MDW138" s="9"/>
      <c r="MDX138" s="9"/>
      <c r="MDY138" s="18"/>
      <c r="MDZ138" s="18"/>
      <c r="MEA138" s="18"/>
      <c r="MEB138" s="18"/>
      <c r="MEC138" s="18"/>
      <c r="MED138" s="17"/>
      <c r="MEE138" s="9"/>
      <c r="MEF138" s="9"/>
      <c r="MEG138" s="18"/>
      <c r="MEH138" s="18"/>
      <c r="MEI138" s="18"/>
      <c r="MEJ138" s="18"/>
      <c r="MEK138" s="18"/>
      <c r="MEL138" s="17"/>
      <c r="MEM138" s="9"/>
      <c r="MEN138" s="9"/>
      <c r="MEO138" s="18"/>
      <c r="MEP138" s="18"/>
      <c r="MEQ138" s="18"/>
      <c r="MER138" s="18"/>
      <c r="MES138" s="18"/>
      <c r="MET138" s="17"/>
      <c r="MEU138" s="9"/>
      <c r="MEV138" s="9"/>
      <c r="MEW138" s="18"/>
      <c r="MEX138" s="18"/>
      <c r="MEY138" s="18"/>
      <c r="MEZ138" s="18"/>
      <c r="MFA138" s="18"/>
      <c r="MFB138" s="17"/>
      <c r="MFC138" s="9"/>
      <c r="MFD138" s="9"/>
      <c r="MFE138" s="18"/>
      <c r="MFF138" s="18"/>
      <c r="MFG138" s="18"/>
      <c r="MFH138" s="18"/>
      <c r="MFI138" s="18"/>
      <c r="MFJ138" s="17"/>
      <c r="MFK138" s="9"/>
      <c r="MFL138" s="9"/>
      <c r="MFM138" s="18"/>
      <c r="MFN138" s="18"/>
      <c r="MFO138" s="18"/>
      <c r="MFP138" s="18"/>
      <c r="MFQ138" s="18"/>
      <c r="MFR138" s="17"/>
      <c r="MFS138" s="9"/>
      <c r="MFT138" s="9"/>
      <c r="MFU138" s="18"/>
      <c r="MFV138" s="18"/>
      <c r="MFW138" s="18"/>
      <c r="MFX138" s="18"/>
      <c r="MFY138" s="18"/>
      <c r="MFZ138" s="17"/>
      <c r="MGA138" s="9"/>
      <c r="MGB138" s="9"/>
      <c r="MGC138" s="18"/>
      <c r="MGD138" s="18"/>
      <c r="MGE138" s="18"/>
      <c r="MGF138" s="18"/>
      <c r="MGG138" s="18"/>
      <c r="MGH138" s="17"/>
      <c r="MGI138" s="9"/>
      <c r="MGJ138" s="9"/>
      <c r="MGK138" s="18"/>
      <c r="MGL138" s="18"/>
      <c r="MGM138" s="18"/>
      <c r="MGN138" s="18"/>
      <c r="MGO138" s="18"/>
      <c r="MGP138" s="17"/>
      <c r="MGQ138" s="9"/>
      <c r="MGR138" s="9"/>
      <c r="MGS138" s="18"/>
      <c r="MGT138" s="18"/>
      <c r="MGU138" s="18"/>
      <c r="MGV138" s="18"/>
      <c r="MGW138" s="18"/>
      <c r="MGX138" s="17"/>
      <c r="MGY138" s="9"/>
      <c r="MGZ138" s="9"/>
      <c r="MHA138" s="18"/>
      <c r="MHB138" s="18"/>
      <c r="MHC138" s="18"/>
      <c r="MHD138" s="18"/>
      <c r="MHE138" s="18"/>
      <c r="MHF138" s="17"/>
      <c r="MHG138" s="9"/>
      <c r="MHH138" s="9"/>
      <c r="MHI138" s="18"/>
      <c r="MHJ138" s="18"/>
      <c r="MHK138" s="18"/>
      <c r="MHL138" s="18"/>
      <c r="MHM138" s="18"/>
      <c r="MHN138" s="17"/>
      <c r="MHO138" s="9"/>
      <c r="MHP138" s="9"/>
      <c r="MHQ138" s="18"/>
      <c r="MHR138" s="18"/>
      <c r="MHS138" s="18"/>
      <c r="MHT138" s="18"/>
      <c r="MHU138" s="18"/>
      <c r="MHV138" s="17"/>
      <c r="MHW138" s="9"/>
      <c r="MHX138" s="9"/>
      <c r="MHY138" s="18"/>
      <c r="MHZ138" s="18"/>
      <c r="MIA138" s="18"/>
      <c r="MIB138" s="18"/>
      <c r="MIC138" s="18"/>
      <c r="MID138" s="17"/>
      <c r="MIE138" s="9"/>
      <c r="MIF138" s="9"/>
      <c r="MIG138" s="18"/>
      <c r="MIH138" s="18"/>
      <c r="MII138" s="18"/>
      <c r="MIJ138" s="18"/>
      <c r="MIK138" s="18"/>
      <c r="MIL138" s="17"/>
      <c r="MIM138" s="9"/>
      <c r="MIN138" s="9"/>
      <c r="MIO138" s="18"/>
      <c r="MIP138" s="18"/>
      <c r="MIQ138" s="18"/>
      <c r="MIR138" s="18"/>
      <c r="MIS138" s="18"/>
      <c r="MIT138" s="17"/>
      <c r="MIU138" s="9"/>
      <c r="MIV138" s="9"/>
      <c r="MIW138" s="18"/>
      <c r="MIX138" s="18"/>
      <c r="MIY138" s="18"/>
      <c r="MIZ138" s="18"/>
      <c r="MJA138" s="18"/>
      <c r="MJB138" s="17"/>
      <c r="MJC138" s="9"/>
      <c r="MJD138" s="9"/>
      <c r="MJE138" s="18"/>
      <c r="MJF138" s="18"/>
      <c r="MJG138" s="18"/>
      <c r="MJH138" s="18"/>
      <c r="MJI138" s="18"/>
      <c r="MJJ138" s="17"/>
      <c r="MJK138" s="9"/>
      <c r="MJL138" s="9"/>
      <c r="MJM138" s="18"/>
      <c r="MJN138" s="18"/>
      <c r="MJO138" s="18"/>
      <c r="MJP138" s="18"/>
      <c r="MJQ138" s="18"/>
      <c r="MJR138" s="17"/>
      <c r="MJS138" s="9"/>
      <c r="MJT138" s="9"/>
      <c r="MJU138" s="18"/>
      <c r="MJV138" s="18"/>
      <c r="MJW138" s="18"/>
      <c r="MJX138" s="18"/>
      <c r="MJY138" s="18"/>
      <c r="MJZ138" s="17"/>
      <c r="MKA138" s="9"/>
      <c r="MKB138" s="9"/>
      <c r="MKC138" s="18"/>
      <c r="MKD138" s="18"/>
      <c r="MKE138" s="18"/>
      <c r="MKF138" s="18"/>
      <c r="MKG138" s="18"/>
      <c r="MKH138" s="17"/>
      <c r="MKI138" s="9"/>
      <c r="MKJ138" s="9"/>
      <c r="MKK138" s="18"/>
      <c r="MKL138" s="18"/>
      <c r="MKM138" s="18"/>
      <c r="MKN138" s="18"/>
      <c r="MKO138" s="18"/>
      <c r="MKP138" s="17"/>
      <c r="MKQ138" s="9"/>
      <c r="MKR138" s="9"/>
      <c r="MKS138" s="18"/>
      <c r="MKT138" s="18"/>
      <c r="MKU138" s="18"/>
      <c r="MKV138" s="18"/>
      <c r="MKW138" s="18"/>
      <c r="MKX138" s="17"/>
      <c r="MKY138" s="9"/>
      <c r="MKZ138" s="9"/>
      <c r="MLA138" s="18"/>
      <c r="MLB138" s="18"/>
      <c r="MLC138" s="18"/>
      <c r="MLD138" s="18"/>
      <c r="MLE138" s="18"/>
      <c r="MLF138" s="17"/>
      <c r="MLG138" s="9"/>
      <c r="MLH138" s="9"/>
      <c r="MLI138" s="18"/>
      <c r="MLJ138" s="18"/>
      <c r="MLK138" s="18"/>
      <c r="MLL138" s="18"/>
      <c r="MLM138" s="18"/>
      <c r="MLN138" s="17"/>
      <c r="MLO138" s="9"/>
      <c r="MLP138" s="9"/>
      <c r="MLQ138" s="18"/>
      <c r="MLR138" s="18"/>
      <c r="MLS138" s="18"/>
      <c r="MLT138" s="18"/>
      <c r="MLU138" s="18"/>
      <c r="MLV138" s="17"/>
      <c r="MLW138" s="9"/>
      <c r="MLX138" s="9"/>
      <c r="MLY138" s="18"/>
      <c r="MLZ138" s="18"/>
      <c r="MMA138" s="18"/>
      <c r="MMB138" s="18"/>
      <c r="MMC138" s="18"/>
      <c r="MMD138" s="17"/>
      <c r="MME138" s="9"/>
      <c r="MMF138" s="9"/>
      <c r="MMG138" s="18"/>
      <c r="MMH138" s="18"/>
      <c r="MMI138" s="18"/>
      <c r="MMJ138" s="18"/>
      <c r="MMK138" s="18"/>
      <c r="MML138" s="17"/>
      <c r="MMM138" s="9"/>
      <c r="MMN138" s="9"/>
      <c r="MMO138" s="18"/>
      <c r="MMP138" s="18"/>
      <c r="MMQ138" s="18"/>
      <c r="MMR138" s="18"/>
      <c r="MMS138" s="18"/>
      <c r="MMT138" s="17"/>
      <c r="MMU138" s="9"/>
      <c r="MMV138" s="9"/>
      <c r="MMW138" s="18"/>
      <c r="MMX138" s="18"/>
      <c r="MMY138" s="18"/>
      <c r="MMZ138" s="18"/>
      <c r="MNA138" s="18"/>
      <c r="MNB138" s="17"/>
      <c r="MNC138" s="9"/>
      <c r="MND138" s="9"/>
      <c r="MNE138" s="18"/>
      <c r="MNF138" s="18"/>
      <c r="MNG138" s="18"/>
      <c r="MNH138" s="18"/>
      <c r="MNI138" s="18"/>
      <c r="MNJ138" s="17"/>
      <c r="MNK138" s="9"/>
      <c r="MNL138" s="9"/>
      <c r="MNM138" s="18"/>
      <c r="MNN138" s="18"/>
      <c r="MNO138" s="18"/>
      <c r="MNP138" s="18"/>
      <c r="MNQ138" s="18"/>
      <c r="MNR138" s="17"/>
      <c r="MNS138" s="9"/>
      <c r="MNT138" s="9"/>
      <c r="MNU138" s="18"/>
      <c r="MNV138" s="18"/>
      <c r="MNW138" s="18"/>
      <c r="MNX138" s="18"/>
      <c r="MNY138" s="18"/>
      <c r="MNZ138" s="17"/>
      <c r="MOA138" s="9"/>
      <c r="MOB138" s="9"/>
      <c r="MOC138" s="18"/>
      <c r="MOD138" s="18"/>
      <c r="MOE138" s="18"/>
      <c r="MOF138" s="18"/>
      <c r="MOG138" s="18"/>
      <c r="MOH138" s="17"/>
      <c r="MOI138" s="9"/>
      <c r="MOJ138" s="9"/>
      <c r="MOK138" s="18"/>
      <c r="MOL138" s="18"/>
      <c r="MOM138" s="18"/>
      <c r="MON138" s="18"/>
      <c r="MOO138" s="18"/>
      <c r="MOP138" s="17"/>
      <c r="MOQ138" s="9"/>
      <c r="MOR138" s="9"/>
      <c r="MOS138" s="18"/>
      <c r="MOT138" s="18"/>
      <c r="MOU138" s="18"/>
      <c r="MOV138" s="18"/>
      <c r="MOW138" s="18"/>
      <c r="MOX138" s="17"/>
      <c r="MOY138" s="9"/>
      <c r="MOZ138" s="9"/>
      <c r="MPA138" s="18"/>
      <c r="MPB138" s="18"/>
      <c r="MPC138" s="18"/>
      <c r="MPD138" s="18"/>
      <c r="MPE138" s="18"/>
      <c r="MPF138" s="17"/>
      <c r="MPG138" s="9"/>
      <c r="MPH138" s="9"/>
      <c r="MPI138" s="18"/>
      <c r="MPJ138" s="18"/>
      <c r="MPK138" s="18"/>
      <c r="MPL138" s="18"/>
      <c r="MPM138" s="18"/>
      <c r="MPN138" s="17"/>
      <c r="MPO138" s="9"/>
      <c r="MPP138" s="9"/>
      <c r="MPQ138" s="18"/>
      <c r="MPR138" s="18"/>
      <c r="MPS138" s="18"/>
      <c r="MPT138" s="18"/>
      <c r="MPU138" s="18"/>
      <c r="MPV138" s="17"/>
      <c r="MPW138" s="9"/>
      <c r="MPX138" s="9"/>
      <c r="MPY138" s="18"/>
      <c r="MPZ138" s="18"/>
      <c r="MQA138" s="18"/>
      <c r="MQB138" s="18"/>
      <c r="MQC138" s="18"/>
      <c r="MQD138" s="17"/>
      <c r="MQE138" s="9"/>
      <c r="MQF138" s="9"/>
      <c r="MQG138" s="18"/>
      <c r="MQH138" s="18"/>
      <c r="MQI138" s="18"/>
      <c r="MQJ138" s="18"/>
      <c r="MQK138" s="18"/>
      <c r="MQL138" s="17"/>
      <c r="MQM138" s="9"/>
      <c r="MQN138" s="9"/>
      <c r="MQO138" s="18"/>
      <c r="MQP138" s="18"/>
      <c r="MQQ138" s="18"/>
      <c r="MQR138" s="18"/>
      <c r="MQS138" s="18"/>
      <c r="MQT138" s="17"/>
      <c r="MQU138" s="9"/>
      <c r="MQV138" s="9"/>
      <c r="MQW138" s="18"/>
      <c r="MQX138" s="18"/>
      <c r="MQY138" s="18"/>
      <c r="MQZ138" s="18"/>
      <c r="MRA138" s="18"/>
      <c r="MRB138" s="17"/>
      <c r="MRC138" s="9"/>
      <c r="MRD138" s="9"/>
      <c r="MRE138" s="18"/>
      <c r="MRF138" s="18"/>
      <c r="MRG138" s="18"/>
      <c r="MRH138" s="18"/>
      <c r="MRI138" s="18"/>
      <c r="MRJ138" s="17"/>
      <c r="MRK138" s="9"/>
      <c r="MRL138" s="9"/>
      <c r="MRM138" s="18"/>
      <c r="MRN138" s="18"/>
      <c r="MRO138" s="18"/>
      <c r="MRP138" s="18"/>
      <c r="MRQ138" s="18"/>
      <c r="MRR138" s="17"/>
      <c r="MRS138" s="9"/>
      <c r="MRT138" s="9"/>
      <c r="MRU138" s="18"/>
      <c r="MRV138" s="18"/>
      <c r="MRW138" s="18"/>
      <c r="MRX138" s="18"/>
      <c r="MRY138" s="18"/>
      <c r="MRZ138" s="17"/>
      <c r="MSA138" s="9"/>
      <c r="MSB138" s="9"/>
      <c r="MSC138" s="18"/>
      <c r="MSD138" s="18"/>
      <c r="MSE138" s="18"/>
      <c r="MSF138" s="18"/>
      <c r="MSG138" s="18"/>
      <c r="MSH138" s="17"/>
      <c r="MSI138" s="9"/>
      <c r="MSJ138" s="9"/>
      <c r="MSK138" s="18"/>
      <c r="MSL138" s="18"/>
      <c r="MSM138" s="18"/>
      <c r="MSN138" s="18"/>
      <c r="MSO138" s="18"/>
      <c r="MSP138" s="17"/>
      <c r="MSQ138" s="9"/>
      <c r="MSR138" s="9"/>
      <c r="MSS138" s="18"/>
      <c r="MST138" s="18"/>
      <c r="MSU138" s="18"/>
      <c r="MSV138" s="18"/>
      <c r="MSW138" s="18"/>
      <c r="MSX138" s="17"/>
      <c r="MSY138" s="9"/>
      <c r="MSZ138" s="9"/>
      <c r="MTA138" s="18"/>
      <c r="MTB138" s="18"/>
      <c r="MTC138" s="18"/>
      <c r="MTD138" s="18"/>
      <c r="MTE138" s="18"/>
      <c r="MTF138" s="17"/>
      <c r="MTG138" s="9"/>
      <c r="MTH138" s="9"/>
      <c r="MTI138" s="18"/>
      <c r="MTJ138" s="18"/>
      <c r="MTK138" s="18"/>
      <c r="MTL138" s="18"/>
      <c r="MTM138" s="18"/>
      <c r="MTN138" s="17"/>
      <c r="MTO138" s="9"/>
      <c r="MTP138" s="9"/>
      <c r="MTQ138" s="18"/>
      <c r="MTR138" s="18"/>
      <c r="MTS138" s="18"/>
      <c r="MTT138" s="18"/>
      <c r="MTU138" s="18"/>
      <c r="MTV138" s="17"/>
      <c r="MTW138" s="9"/>
      <c r="MTX138" s="9"/>
      <c r="MTY138" s="18"/>
      <c r="MTZ138" s="18"/>
      <c r="MUA138" s="18"/>
      <c r="MUB138" s="18"/>
      <c r="MUC138" s="18"/>
      <c r="MUD138" s="17"/>
      <c r="MUE138" s="9"/>
      <c r="MUF138" s="9"/>
      <c r="MUG138" s="18"/>
      <c r="MUH138" s="18"/>
      <c r="MUI138" s="18"/>
      <c r="MUJ138" s="18"/>
      <c r="MUK138" s="18"/>
      <c r="MUL138" s="17"/>
      <c r="MUM138" s="9"/>
      <c r="MUN138" s="9"/>
      <c r="MUO138" s="18"/>
      <c r="MUP138" s="18"/>
      <c r="MUQ138" s="18"/>
      <c r="MUR138" s="18"/>
      <c r="MUS138" s="18"/>
      <c r="MUT138" s="17"/>
      <c r="MUU138" s="9"/>
      <c r="MUV138" s="9"/>
      <c r="MUW138" s="18"/>
      <c r="MUX138" s="18"/>
      <c r="MUY138" s="18"/>
      <c r="MUZ138" s="18"/>
      <c r="MVA138" s="18"/>
      <c r="MVB138" s="17"/>
      <c r="MVC138" s="9"/>
      <c r="MVD138" s="9"/>
      <c r="MVE138" s="18"/>
      <c r="MVF138" s="18"/>
      <c r="MVG138" s="18"/>
      <c r="MVH138" s="18"/>
      <c r="MVI138" s="18"/>
      <c r="MVJ138" s="17"/>
      <c r="MVK138" s="9"/>
      <c r="MVL138" s="9"/>
      <c r="MVM138" s="18"/>
      <c r="MVN138" s="18"/>
      <c r="MVO138" s="18"/>
      <c r="MVP138" s="18"/>
      <c r="MVQ138" s="18"/>
      <c r="MVR138" s="17"/>
      <c r="MVS138" s="9"/>
      <c r="MVT138" s="9"/>
      <c r="MVU138" s="18"/>
      <c r="MVV138" s="18"/>
      <c r="MVW138" s="18"/>
      <c r="MVX138" s="18"/>
      <c r="MVY138" s="18"/>
      <c r="MVZ138" s="17"/>
      <c r="MWA138" s="9"/>
      <c r="MWB138" s="9"/>
      <c r="MWC138" s="18"/>
      <c r="MWD138" s="18"/>
      <c r="MWE138" s="18"/>
      <c r="MWF138" s="18"/>
      <c r="MWG138" s="18"/>
      <c r="MWH138" s="17"/>
      <c r="MWI138" s="9"/>
      <c r="MWJ138" s="9"/>
      <c r="MWK138" s="18"/>
      <c r="MWL138" s="18"/>
      <c r="MWM138" s="18"/>
      <c r="MWN138" s="18"/>
      <c r="MWO138" s="18"/>
      <c r="MWP138" s="17"/>
      <c r="MWQ138" s="9"/>
      <c r="MWR138" s="9"/>
      <c r="MWS138" s="18"/>
      <c r="MWT138" s="18"/>
      <c r="MWU138" s="18"/>
      <c r="MWV138" s="18"/>
      <c r="MWW138" s="18"/>
      <c r="MWX138" s="17"/>
      <c r="MWY138" s="9"/>
      <c r="MWZ138" s="9"/>
      <c r="MXA138" s="18"/>
      <c r="MXB138" s="18"/>
      <c r="MXC138" s="18"/>
      <c r="MXD138" s="18"/>
      <c r="MXE138" s="18"/>
      <c r="MXF138" s="17"/>
      <c r="MXG138" s="9"/>
      <c r="MXH138" s="9"/>
      <c r="MXI138" s="18"/>
      <c r="MXJ138" s="18"/>
      <c r="MXK138" s="18"/>
      <c r="MXL138" s="18"/>
      <c r="MXM138" s="18"/>
      <c r="MXN138" s="17"/>
      <c r="MXO138" s="9"/>
      <c r="MXP138" s="9"/>
      <c r="MXQ138" s="18"/>
      <c r="MXR138" s="18"/>
      <c r="MXS138" s="18"/>
      <c r="MXT138" s="18"/>
      <c r="MXU138" s="18"/>
      <c r="MXV138" s="17"/>
      <c r="MXW138" s="9"/>
      <c r="MXX138" s="9"/>
      <c r="MXY138" s="18"/>
      <c r="MXZ138" s="18"/>
      <c r="MYA138" s="18"/>
      <c r="MYB138" s="18"/>
      <c r="MYC138" s="18"/>
      <c r="MYD138" s="17"/>
      <c r="MYE138" s="9"/>
      <c r="MYF138" s="9"/>
      <c r="MYG138" s="18"/>
      <c r="MYH138" s="18"/>
      <c r="MYI138" s="18"/>
      <c r="MYJ138" s="18"/>
      <c r="MYK138" s="18"/>
      <c r="MYL138" s="17"/>
      <c r="MYM138" s="9"/>
      <c r="MYN138" s="9"/>
      <c r="MYO138" s="18"/>
      <c r="MYP138" s="18"/>
      <c r="MYQ138" s="18"/>
      <c r="MYR138" s="18"/>
      <c r="MYS138" s="18"/>
      <c r="MYT138" s="17"/>
      <c r="MYU138" s="9"/>
      <c r="MYV138" s="9"/>
      <c r="MYW138" s="18"/>
      <c r="MYX138" s="18"/>
      <c r="MYY138" s="18"/>
      <c r="MYZ138" s="18"/>
      <c r="MZA138" s="18"/>
      <c r="MZB138" s="17"/>
      <c r="MZC138" s="9"/>
      <c r="MZD138" s="9"/>
      <c r="MZE138" s="18"/>
      <c r="MZF138" s="18"/>
      <c r="MZG138" s="18"/>
      <c r="MZH138" s="18"/>
      <c r="MZI138" s="18"/>
      <c r="MZJ138" s="17"/>
      <c r="MZK138" s="9"/>
      <c r="MZL138" s="9"/>
      <c r="MZM138" s="18"/>
      <c r="MZN138" s="18"/>
      <c r="MZO138" s="18"/>
      <c r="MZP138" s="18"/>
      <c r="MZQ138" s="18"/>
      <c r="MZR138" s="17"/>
      <c r="MZS138" s="9"/>
      <c r="MZT138" s="9"/>
      <c r="MZU138" s="18"/>
      <c r="MZV138" s="18"/>
      <c r="MZW138" s="18"/>
      <c r="MZX138" s="18"/>
      <c r="MZY138" s="18"/>
      <c r="MZZ138" s="17"/>
      <c r="NAA138" s="9"/>
      <c r="NAB138" s="9"/>
      <c r="NAC138" s="18"/>
      <c r="NAD138" s="18"/>
      <c r="NAE138" s="18"/>
      <c r="NAF138" s="18"/>
      <c r="NAG138" s="18"/>
      <c r="NAH138" s="17"/>
      <c r="NAI138" s="9"/>
      <c r="NAJ138" s="9"/>
      <c r="NAK138" s="18"/>
      <c r="NAL138" s="18"/>
      <c r="NAM138" s="18"/>
      <c r="NAN138" s="18"/>
      <c r="NAO138" s="18"/>
      <c r="NAP138" s="17"/>
      <c r="NAQ138" s="9"/>
      <c r="NAR138" s="9"/>
      <c r="NAS138" s="18"/>
      <c r="NAT138" s="18"/>
      <c r="NAU138" s="18"/>
      <c r="NAV138" s="18"/>
      <c r="NAW138" s="18"/>
      <c r="NAX138" s="17"/>
      <c r="NAY138" s="9"/>
      <c r="NAZ138" s="9"/>
      <c r="NBA138" s="18"/>
      <c r="NBB138" s="18"/>
      <c r="NBC138" s="18"/>
      <c r="NBD138" s="18"/>
      <c r="NBE138" s="18"/>
      <c r="NBF138" s="17"/>
      <c r="NBG138" s="9"/>
      <c r="NBH138" s="9"/>
      <c r="NBI138" s="18"/>
      <c r="NBJ138" s="18"/>
      <c r="NBK138" s="18"/>
      <c r="NBL138" s="18"/>
      <c r="NBM138" s="18"/>
      <c r="NBN138" s="17"/>
      <c r="NBO138" s="9"/>
      <c r="NBP138" s="9"/>
      <c r="NBQ138" s="18"/>
      <c r="NBR138" s="18"/>
      <c r="NBS138" s="18"/>
      <c r="NBT138" s="18"/>
      <c r="NBU138" s="18"/>
      <c r="NBV138" s="17"/>
      <c r="NBW138" s="9"/>
      <c r="NBX138" s="9"/>
      <c r="NBY138" s="18"/>
      <c r="NBZ138" s="18"/>
      <c r="NCA138" s="18"/>
      <c r="NCB138" s="18"/>
      <c r="NCC138" s="18"/>
      <c r="NCD138" s="17"/>
      <c r="NCE138" s="9"/>
      <c r="NCF138" s="9"/>
      <c r="NCG138" s="18"/>
      <c r="NCH138" s="18"/>
      <c r="NCI138" s="18"/>
      <c r="NCJ138" s="18"/>
      <c r="NCK138" s="18"/>
      <c r="NCL138" s="17"/>
      <c r="NCM138" s="9"/>
      <c r="NCN138" s="9"/>
      <c r="NCO138" s="18"/>
      <c r="NCP138" s="18"/>
      <c r="NCQ138" s="18"/>
      <c r="NCR138" s="18"/>
      <c r="NCS138" s="18"/>
      <c r="NCT138" s="17"/>
      <c r="NCU138" s="9"/>
      <c r="NCV138" s="9"/>
      <c r="NCW138" s="18"/>
      <c r="NCX138" s="18"/>
      <c r="NCY138" s="18"/>
      <c r="NCZ138" s="18"/>
      <c r="NDA138" s="18"/>
      <c r="NDB138" s="17"/>
      <c r="NDC138" s="9"/>
      <c r="NDD138" s="9"/>
      <c r="NDE138" s="18"/>
      <c r="NDF138" s="18"/>
      <c r="NDG138" s="18"/>
      <c r="NDH138" s="18"/>
      <c r="NDI138" s="18"/>
      <c r="NDJ138" s="17"/>
      <c r="NDK138" s="9"/>
      <c r="NDL138" s="9"/>
      <c r="NDM138" s="18"/>
      <c r="NDN138" s="18"/>
      <c r="NDO138" s="18"/>
      <c r="NDP138" s="18"/>
      <c r="NDQ138" s="18"/>
      <c r="NDR138" s="17"/>
      <c r="NDS138" s="9"/>
      <c r="NDT138" s="9"/>
      <c r="NDU138" s="18"/>
      <c r="NDV138" s="18"/>
      <c r="NDW138" s="18"/>
      <c r="NDX138" s="18"/>
      <c r="NDY138" s="18"/>
      <c r="NDZ138" s="17"/>
      <c r="NEA138" s="9"/>
      <c r="NEB138" s="9"/>
      <c r="NEC138" s="18"/>
      <c r="NED138" s="18"/>
      <c r="NEE138" s="18"/>
      <c r="NEF138" s="18"/>
      <c r="NEG138" s="18"/>
      <c r="NEH138" s="17"/>
      <c r="NEI138" s="9"/>
      <c r="NEJ138" s="9"/>
      <c r="NEK138" s="18"/>
      <c r="NEL138" s="18"/>
      <c r="NEM138" s="18"/>
      <c r="NEN138" s="18"/>
      <c r="NEO138" s="18"/>
      <c r="NEP138" s="17"/>
      <c r="NEQ138" s="9"/>
      <c r="NER138" s="9"/>
      <c r="NES138" s="18"/>
      <c r="NET138" s="18"/>
      <c r="NEU138" s="18"/>
      <c r="NEV138" s="18"/>
      <c r="NEW138" s="18"/>
      <c r="NEX138" s="17"/>
      <c r="NEY138" s="9"/>
      <c r="NEZ138" s="9"/>
      <c r="NFA138" s="18"/>
      <c r="NFB138" s="18"/>
      <c r="NFC138" s="18"/>
      <c r="NFD138" s="18"/>
      <c r="NFE138" s="18"/>
      <c r="NFF138" s="17"/>
      <c r="NFG138" s="9"/>
      <c r="NFH138" s="9"/>
      <c r="NFI138" s="18"/>
      <c r="NFJ138" s="18"/>
      <c r="NFK138" s="18"/>
      <c r="NFL138" s="18"/>
      <c r="NFM138" s="18"/>
      <c r="NFN138" s="17"/>
      <c r="NFO138" s="9"/>
      <c r="NFP138" s="9"/>
      <c r="NFQ138" s="18"/>
      <c r="NFR138" s="18"/>
      <c r="NFS138" s="18"/>
      <c r="NFT138" s="18"/>
      <c r="NFU138" s="18"/>
      <c r="NFV138" s="17"/>
      <c r="NFW138" s="9"/>
      <c r="NFX138" s="9"/>
      <c r="NFY138" s="18"/>
      <c r="NFZ138" s="18"/>
      <c r="NGA138" s="18"/>
      <c r="NGB138" s="18"/>
      <c r="NGC138" s="18"/>
      <c r="NGD138" s="17"/>
      <c r="NGE138" s="9"/>
      <c r="NGF138" s="9"/>
      <c r="NGG138" s="18"/>
      <c r="NGH138" s="18"/>
      <c r="NGI138" s="18"/>
      <c r="NGJ138" s="18"/>
      <c r="NGK138" s="18"/>
      <c r="NGL138" s="17"/>
      <c r="NGM138" s="9"/>
      <c r="NGN138" s="9"/>
      <c r="NGO138" s="18"/>
      <c r="NGP138" s="18"/>
      <c r="NGQ138" s="18"/>
      <c r="NGR138" s="18"/>
      <c r="NGS138" s="18"/>
      <c r="NGT138" s="17"/>
      <c r="NGU138" s="9"/>
      <c r="NGV138" s="9"/>
      <c r="NGW138" s="18"/>
      <c r="NGX138" s="18"/>
      <c r="NGY138" s="18"/>
      <c r="NGZ138" s="18"/>
      <c r="NHA138" s="18"/>
      <c r="NHB138" s="17"/>
      <c r="NHC138" s="9"/>
      <c r="NHD138" s="9"/>
      <c r="NHE138" s="18"/>
      <c r="NHF138" s="18"/>
      <c r="NHG138" s="18"/>
      <c r="NHH138" s="18"/>
      <c r="NHI138" s="18"/>
      <c r="NHJ138" s="17"/>
      <c r="NHK138" s="9"/>
      <c r="NHL138" s="9"/>
      <c r="NHM138" s="18"/>
      <c r="NHN138" s="18"/>
      <c r="NHO138" s="18"/>
      <c r="NHP138" s="18"/>
      <c r="NHQ138" s="18"/>
      <c r="NHR138" s="17"/>
      <c r="NHS138" s="9"/>
      <c r="NHT138" s="9"/>
      <c r="NHU138" s="18"/>
      <c r="NHV138" s="18"/>
      <c r="NHW138" s="18"/>
      <c r="NHX138" s="18"/>
      <c r="NHY138" s="18"/>
      <c r="NHZ138" s="17"/>
      <c r="NIA138" s="9"/>
      <c r="NIB138" s="9"/>
      <c r="NIC138" s="18"/>
      <c r="NID138" s="18"/>
      <c r="NIE138" s="18"/>
      <c r="NIF138" s="18"/>
      <c r="NIG138" s="18"/>
      <c r="NIH138" s="17"/>
      <c r="NII138" s="9"/>
      <c r="NIJ138" s="9"/>
      <c r="NIK138" s="18"/>
      <c r="NIL138" s="18"/>
      <c r="NIM138" s="18"/>
      <c r="NIN138" s="18"/>
      <c r="NIO138" s="18"/>
      <c r="NIP138" s="17"/>
      <c r="NIQ138" s="9"/>
      <c r="NIR138" s="9"/>
      <c r="NIS138" s="18"/>
      <c r="NIT138" s="18"/>
      <c r="NIU138" s="18"/>
      <c r="NIV138" s="18"/>
      <c r="NIW138" s="18"/>
      <c r="NIX138" s="17"/>
      <c r="NIY138" s="9"/>
      <c r="NIZ138" s="9"/>
      <c r="NJA138" s="18"/>
      <c r="NJB138" s="18"/>
      <c r="NJC138" s="18"/>
      <c r="NJD138" s="18"/>
      <c r="NJE138" s="18"/>
      <c r="NJF138" s="17"/>
      <c r="NJG138" s="9"/>
      <c r="NJH138" s="9"/>
      <c r="NJI138" s="18"/>
      <c r="NJJ138" s="18"/>
      <c r="NJK138" s="18"/>
      <c r="NJL138" s="18"/>
      <c r="NJM138" s="18"/>
      <c r="NJN138" s="17"/>
      <c r="NJO138" s="9"/>
      <c r="NJP138" s="9"/>
      <c r="NJQ138" s="18"/>
      <c r="NJR138" s="18"/>
      <c r="NJS138" s="18"/>
      <c r="NJT138" s="18"/>
      <c r="NJU138" s="18"/>
      <c r="NJV138" s="17"/>
      <c r="NJW138" s="9"/>
      <c r="NJX138" s="9"/>
      <c r="NJY138" s="18"/>
      <c r="NJZ138" s="18"/>
      <c r="NKA138" s="18"/>
      <c r="NKB138" s="18"/>
      <c r="NKC138" s="18"/>
      <c r="NKD138" s="17"/>
      <c r="NKE138" s="9"/>
      <c r="NKF138" s="9"/>
      <c r="NKG138" s="18"/>
      <c r="NKH138" s="18"/>
      <c r="NKI138" s="18"/>
      <c r="NKJ138" s="18"/>
      <c r="NKK138" s="18"/>
      <c r="NKL138" s="17"/>
      <c r="NKM138" s="9"/>
      <c r="NKN138" s="9"/>
      <c r="NKO138" s="18"/>
      <c r="NKP138" s="18"/>
      <c r="NKQ138" s="18"/>
      <c r="NKR138" s="18"/>
      <c r="NKS138" s="18"/>
      <c r="NKT138" s="17"/>
      <c r="NKU138" s="9"/>
      <c r="NKV138" s="9"/>
      <c r="NKW138" s="18"/>
      <c r="NKX138" s="18"/>
      <c r="NKY138" s="18"/>
      <c r="NKZ138" s="18"/>
      <c r="NLA138" s="18"/>
      <c r="NLB138" s="17"/>
      <c r="NLC138" s="9"/>
      <c r="NLD138" s="9"/>
      <c r="NLE138" s="18"/>
      <c r="NLF138" s="18"/>
      <c r="NLG138" s="18"/>
      <c r="NLH138" s="18"/>
      <c r="NLI138" s="18"/>
      <c r="NLJ138" s="17"/>
      <c r="NLK138" s="9"/>
      <c r="NLL138" s="9"/>
      <c r="NLM138" s="18"/>
      <c r="NLN138" s="18"/>
      <c r="NLO138" s="18"/>
      <c r="NLP138" s="18"/>
      <c r="NLQ138" s="18"/>
      <c r="NLR138" s="17"/>
      <c r="NLS138" s="9"/>
      <c r="NLT138" s="9"/>
      <c r="NLU138" s="18"/>
      <c r="NLV138" s="18"/>
      <c r="NLW138" s="18"/>
      <c r="NLX138" s="18"/>
      <c r="NLY138" s="18"/>
      <c r="NLZ138" s="17"/>
      <c r="NMA138" s="9"/>
      <c r="NMB138" s="9"/>
      <c r="NMC138" s="18"/>
      <c r="NMD138" s="18"/>
      <c r="NME138" s="18"/>
      <c r="NMF138" s="18"/>
      <c r="NMG138" s="18"/>
      <c r="NMH138" s="17"/>
      <c r="NMI138" s="9"/>
      <c r="NMJ138" s="9"/>
      <c r="NMK138" s="18"/>
      <c r="NML138" s="18"/>
      <c r="NMM138" s="18"/>
      <c r="NMN138" s="18"/>
      <c r="NMO138" s="18"/>
      <c r="NMP138" s="17"/>
      <c r="NMQ138" s="9"/>
      <c r="NMR138" s="9"/>
      <c r="NMS138" s="18"/>
      <c r="NMT138" s="18"/>
      <c r="NMU138" s="18"/>
      <c r="NMV138" s="18"/>
      <c r="NMW138" s="18"/>
      <c r="NMX138" s="17"/>
      <c r="NMY138" s="9"/>
      <c r="NMZ138" s="9"/>
      <c r="NNA138" s="18"/>
      <c r="NNB138" s="18"/>
      <c r="NNC138" s="18"/>
      <c r="NND138" s="18"/>
      <c r="NNE138" s="18"/>
      <c r="NNF138" s="17"/>
      <c r="NNG138" s="9"/>
      <c r="NNH138" s="9"/>
      <c r="NNI138" s="18"/>
      <c r="NNJ138" s="18"/>
      <c r="NNK138" s="18"/>
      <c r="NNL138" s="18"/>
      <c r="NNM138" s="18"/>
      <c r="NNN138" s="17"/>
      <c r="NNO138" s="9"/>
      <c r="NNP138" s="9"/>
      <c r="NNQ138" s="18"/>
      <c r="NNR138" s="18"/>
      <c r="NNS138" s="18"/>
      <c r="NNT138" s="18"/>
      <c r="NNU138" s="18"/>
      <c r="NNV138" s="17"/>
      <c r="NNW138" s="9"/>
      <c r="NNX138" s="9"/>
      <c r="NNY138" s="18"/>
      <c r="NNZ138" s="18"/>
      <c r="NOA138" s="18"/>
      <c r="NOB138" s="18"/>
      <c r="NOC138" s="18"/>
      <c r="NOD138" s="17"/>
      <c r="NOE138" s="9"/>
      <c r="NOF138" s="9"/>
      <c r="NOG138" s="18"/>
      <c r="NOH138" s="18"/>
      <c r="NOI138" s="18"/>
      <c r="NOJ138" s="18"/>
      <c r="NOK138" s="18"/>
      <c r="NOL138" s="17"/>
      <c r="NOM138" s="9"/>
      <c r="NON138" s="9"/>
      <c r="NOO138" s="18"/>
      <c r="NOP138" s="18"/>
      <c r="NOQ138" s="18"/>
      <c r="NOR138" s="18"/>
      <c r="NOS138" s="18"/>
      <c r="NOT138" s="17"/>
      <c r="NOU138" s="9"/>
      <c r="NOV138" s="9"/>
      <c r="NOW138" s="18"/>
      <c r="NOX138" s="18"/>
      <c r="NOY138" s="18"/>
      <c r="NOZ138" s="18"/>
      <c r="NPA138" s="18"/>
      <c r="NPB138" s="17"/>
      <c r="NPC138" s="9"/>
      <c r="NPD138" s="9"/>
      <c r="NPE138" s="18"/>
      <c r="NPF138" s="18"/>
      <c r="NPG138" s="18"/>
      <c r="NPH138" s="18"/>
      <c r="NPI138" s="18"/>
      <c r="NPJ138" s="17"/>
      <c r="NPK138" s="9"/>
      <c r="NPL138" s="9"/>
      <c r="NPM138" s="18"/>
      <c r="NPN138" s="18"/>
      <c r="NPO138" s="18"/>
      <c r="NPP138" s="18"/>
      <c r="NPQ138" s="18"/>
      <c r="NPR138" s="17"/>
      <c r="NPS138" s="9"/>
      <c r="NPT138" s="9"/>
      <c r="NPU138" s="18"/>
      <c r="NPV138" s="18"/>
      <c r="NPW138" s="18"/>
      <c r="NPX138" s="18"/>
      <c r="NPY138" s="18"/>
      <c r="NPZ138" s="17"/>
      <c r="NQA138" s="9"/>
      <c r="NQB138" s="9"/>
      <c r="NQC138" s="18"/>
      <c r="NQD138" s="18"/>
      <c r="NQE138" s="18"/>
      <c r="NQF138" s="18"/>
      <c r="NQG138" s="18"/>
      <c r="NQH138" s="17"/>
      <c r="NQI138" s="9"/>
      <c r="NQJ138" s="9"/>
      <c r="NQK138" s="18"/>
      <c r="NQL138" s="18"/>
      <c r="NQM138" s="18"/>
      <c r="NQN138" s="18"/>
      <c r="NQO138" s="18"/>
      <c r="NQP138" s="17"/>
      <c r="NQQ138" s="9"/>
      <c r="NQR138" s="9"/>
      <c r="NQS138" s="18"/>
      <c r="NQT138" s="18"/>
      <c r="NQU138" s="18"/>
      <c r="NQV138" s="18"/>
      <c r="NQW138" s="18"/>
      <c r="NQX138" s="17"/>
      <c r="NQY138" s="9"/>
      <c r="NQZ138" s="9"/>
      <c r="NRA138" s="18"/>
      <c r="NRB138" s="18"/>
      <c r="NRC138" s="18"/>
      <c r="NRD138" s="18"/>
      <c r="NRE138" s="18"/>
      <c r="NRF138" s="17"/>
      <c r="NRG138" s="9"/>
      <c r="NRH138" s="9"/>
      <c r="NRI138" s="18"/>
      <c r="NRJ138" s="18"/>
      <c r="NRK138" s="18"/>
      <c r="NRL138" s="18"/>
      <c r="NRM138" s="18"/>
      <c r="NRN138" s="17"/>
      <c r="NRO138" s="9"/>
      <c r="NRP138" s="9"/>
      <c r="NRQ138" s="18"/>
      <c r="NRR138" s="18"/>
      <c r="NRS138" s="18"/>
      <c r="NRT138" s="18"/>
      <c r="NRU138" s="18"/>
      <c r="NRV138" s="17"/>
      <c r="NRW138" s="9"/>
      <c r="NRX138" s="9"/>
      <c r="NRY138" s="18"/>
      <c r="NRZ138" s="18"/>
      <c r="NSA138" s="18"/>
      <c r="NSB138" s="18"/>
      <c r="NSC138" s="18"/>
      <c r="NSD138" s="17"/>
      <c r="NSE138" s="9"/>
      <c r="NSF138" s="9"/>
      <c r="NSG138" s="18"/>
      <c r="NSH138" s="18"/>
      <c r="NSI138" s="18"/>
      <c r="NSJ138" s="18"/>
      <c r="NSK138" s="18"/>
      <c r="NSL138" s="17"/>
      <c r="NSM138" s="9"/>
      <c r="NSN138" s="9"/>
      <c r="NSO138" s="18"/>
      <c r="NSP138" s="18"/>
      <c r="NSQ138" s="18"/>
      <c r="NSR138" s="18"/>
      <c r="NSS138" s="18"/>
      <c r="NST138" s="17"/>
      <c r="NSU138" s="9"/>
      <c r="NSV138" s="9"/>
      <c r="NSW138" s="18"/>
      <c r="NSX138" s="18"/>
      <c r="NSY138" s="18"/>
      <c r="NSZ138" s="18"/>
      <c r="NTA138" s="18"/>
      <c r="NTB138" s="17"/>
      <c r="NTC138" s="9"/>
      <c r="NTD138" s="9"/>
      <c r="NTE138" s="18"/>
      <c r="NTF138" s="18"/>
      <c r="NTG138" s="18"/>
      <c r="NTH138" s="18"/>
      <c r="NTI138" s="18"/>
      <c r="NTJ138" s="17"/>
      <c r="NTK138" s="9"/>
      <c r="NTL138" s="9"/>
      <c r="NTM138" s="18"/>
      <c r="NTN138" s="18"/>
      <c r="NTO138" s="18"/>
      <c r="NTP138" s="18"/>
      <c r="NTQ138" s="18"/>
      <c r="NTR138" s="17"/>
      <c r="NTS138" s="9"/>
      <c r="NTT138" s="9"/>
      <c r="NTU138" s="18"/>
      <c r="NTV138" s="18"/>
      <c r="NTW138" s="18"/>
      <c r="NTX138" s="18"/>
      <c r="NTY138" s="18"/>
      <c r="NTZ138" s="17"/>
      <c r="NUA138" s="9"/>
      <c r="NUB138" s="9"/>
      <c r="NUC138" s="18"/>
      <c r="NUD138" s="18"/>
      <c r="NUE138" s="18"/>
      <c r="NUF138" s="18"/>
      <c r="NUG138" s="18"/>
      <c r="NUH138" s="17"/>
      <c r="NUI138" s="9"/>
      <c r="NUJ138" s="9"/>
      <c r="NUK138" s="18"/>
      <c r="NUL138" s="18"/>
      <c r="NUM138" s="18"/>
      <c r="NUN138" s="18"/>
      <c r="NUO138" s="18"/>
      <c r="NUP138" s="17"/>
      <c r="NUQ138" s="9"/>
      <c r="NUR138" s="9"/>
      <c r="NUS138" s="18"/>
      <c r="NUT138" s="18"/>
      <c r="NUU138" s="18"/>
      <c r="NUV138" s="18"/>
      <c r="NUW138" s="18"/>
      <c r="NUX138" s="17"/>
      <c r="NUY138" s="9"/>
      <c r="NUZ138" s="9"/>
      <c r="NVA138" s="18"/>
      <c r="NVB138" s="18"/>
      <c r="NVC138" s="18"/>
      <c r="NVD138" s="18"/>
      <c r="NVE138" s="18"/>
      <c r="NVF138" s="17"/>
      <c r="NVG138" s="9"/>
      <c r="NVH138" s="9"/>
      <c r="NVI138" s="18"/>
      <c r="NVJ138" s="18"/>
      <c r="NVK138" s="18"/>
      <c r="NVL138" s="18"/>
      <c r="NVM138" s="18"/>
      <c r="NVN138" s="17"/>
      <c r="NVO138" s="9"/>
      <c r="NVP138" s="9"/>
      <c r="NVQ138" s="18"/>
      <c r="NVR138" s="18"/>
      <c r="NVS138" s="18"/>
      <c r="NVT138" s="18"/>
      <c r="NVU138" s="18"/>
      <c r="NVV138" s="17"/>
      <c r="NVW138" s="9"/>
      <c r="NVX138" s="9"/>
      <c r="NVY138" s="18"/>
      <c r="NVZ138" s="18"/>
      <c r="NWA138" s="18"/>
      <c r="NWB138" s="18"/>
      <c r="NWC138" s="18"/>
      <c r="NWD138" s="17"/>
      <c r="NWE138" s="9"/>
      <c r="NWF138" s="9"/>
      <c r="NWG138" s="18"/>
      <c r="NWH138" s="18"/>
      <c r="NWI138" s="18"/>
      <c r="NWJ138" s="18"/>
      <c r="NWK138" s="18"/>
      <c r="NWL138" s="17"/>
      <c r="NWM138" s="9"/>
      <c r="NWN138" s="9"/>
      <c r="NWO138" s="18"/>
      <c r="NWP138" s="18"/>
      <c r="NWQ138" s="18"/>
      <c r="NWR138" s="18"/>
      <c r="NWS138" s="18"/>
      <c r="NWT138" s="17"/>
      <c r="NWU138" s="9"/>
      <c r="NWV138" s="9"/>
      <c r="NWW138" s="18"/>
      <c r="NWX138" s="18"/>
      <c r="NWY138" s="18"/>
      <c r="NWZ138" s="18"/>
      <c r="NXA138" s="18"/>
      <c r="NXB138" s="17"/>
      <c r="NXC138" s="9"/>
      <c r="NXD138" s="9"/>
      <c r="NXE138" s="18"/>
      <c r="NXF138" s="18"/>
      <c r="NXG138" s="18"/>
      <c r="NXH138" s="18"/>
      <c r="NXI138" s="18"/>
      <c r="NXJ138" s="17"/>
      <c r="NXK138" s="9"/>
      <c r="NXL138" s="9"/>
      <c r="NXM138" s="18"/>
      <c r="NXN138" s="18"/>
      <c r="NXO138" s="18"/>
      <c r="NXP138" s="18"/>
      <c r="NXQ138" s="18"/>
      <c r="NXR138" s="17"/>
      <c r="NXS138" s="9"/>
      <c r="NXT138" s="9"/>
      <c r="NXU138" s="18"/>
      <c r="NXV138" s="18"/>
      <c r="NXW138" s="18"/>
      <c r="NXX138" s="18"/>
      <c r="NXY138" s="18"/>
      <c r="NXZ138" s="17"/>
      <c r="NYA138" s="9"/>
      <c r="NYB138" s="9"/>
      <c r="NYC138" s="18"/>
      <c r="NYD138" s="18"/>
      <c r="NYE138" s="18"/>
      <c r="NYF138" s="18"/>
      <c r="NYG138" s="18"/>
      <c r="NYH138" s="17"/>
      <c r="NYI138" s="9"/>
      <c r="NYJ138" s="9"/>
      <c r="NYK138" s="18"/>
      <c r="NYL138" s="18"/>
      <c r="NYM138" s="18"/>
      <c r="NYN138" s="18"/>
      <c r="NYO138" s="18"/>
      <c r="NYP138" s="17"/>
      <c r="NYQ138" s="9"/>
      <c r="NYR138" s="9"/>
      <c r="NYS138" s="18"/>
      <c r="NYT138" s="18"/>
      <c r="NYU138" s="18"/>
      <c r="NYV138" s="18"/>
      <c r="NYW138" s="18"/>
      <c r="NYX138" s="17"/>
      <c r="NYY138" s="9"/>
      <c r="NYZ138" s="9"/>
      <c r="NZA138" s="18"/>
      <c r="NZB138" s="18"/>
      <c r="NZC138" s="18"/>
      <c r="NZD138" s="18"/>
      <c r="NZE138" s="18"/>
      <c r="NZF138" s="17"/>
      <c r="NZG138" s="9"/>
      <c r="NZH138" s="9"/>
      <c r="NZI138" s="18"/>
      <c r="NZJ138" s="18"/>
      <c r="NZK138" s="18"/>
      <c r="NZL138" s="18"/>
      <c r="NZM138" s="18"/>
      <c r="NZN138" s="17"/>
      <c r="NZO138" s="9"/>
      <c r="NZP138" s="9"/>
      <c r="NZQ138" s="18"/>
      <c r="NZR138" s="18"/>
      <c r="NZS138" s="18"/>
      <c r="NZT138" s="18"/>
      <c r="NZU138" s="18"/>
      <c r="NZV138" s="17"/>
      <c r="NZW138" s="9"/>
      <c r="NZX138" s="9"/>
      <c r="NZY138" s="18"/>
      <c r="NZZ138" s="18"/>
      <c r="OAA138" s="18"/>
      <c r="OAB138" s="18"/>
      <c r="OAC138" s="18"/>
      <c r="OAD138" s="17"/>
      <c r="OAE138" s="9"/>
      <c r="OAF138" s="9"/>
      <c r="OAG138" s="18"/>
      <c r="OAH138" s="18"/>
      <c r="OAI138" s="18"/>
      <c r="OAJ138" s="18"/>
      <c r="OAK138" s="18"/>
      <c r="OAL138" s="17"/>
      <c r="OAM138" s="9"/>
      <c r="OAN138" s="9"/>
      <c r="OAO138" s="18"/>
      <c r="OAP138" s="18"/>
      <c r="OAQ138" s="18"/>
      <c r="OAR138" s="18"/>
      <c r="OAS138" s="18"/>
      <c r="OAT138" s="17"/>
      <c r="OAU138" s="9"/>
      <c r="OAV138" s="9"/>
      <c r="OAW138" s="18"/>
      <c r="OAX138" s="18"/>
      <c r="OAY138" s="18"/>
      <c r="OAZ138" s="18"/>
      <c r="OBA138" s="18"/>
      <c r="OBB138" s="17"/>
      <c r="OBC138" s="9"/>
      <c r="OBD138" s="9"/>
      <c r="OBE138" s="18"/>
      <c r="OBF138" s="18"/>
      <c r="OBG138" s="18"/>
      <c r="OBH138" s="18"/>
      <c r="OBI138" s="18"/>
      <c r="OBJ138" s="17"/>
      <c r="OBK138" s="9"/>
      <c r="OBL138" s="9"/>
      <c r="OBM138" s="18"/>
      <c r="OBN138" s="18"/>
      <c r="OBO138" s="18"/>
      <c r="OBP138" s="18"/>
      <c r="OBQ138" s="18"/>
      <c r="OBR138" s="17"/>
      <c r="OBS138" s="9"/>
      <c r="OBT138" s="9"/>
      <c r="OBU138" s="18"/>
      <c r="OBV138" s="18"/>
      <c r="OBW138" s="18"/>
      <c r="OBX138" s="18"/>
      <c r="OBY138" s="18"/>
      <c r="OBZ138" s="17"/>
      <c r="OCA138" s="9"/>
      <c r="OCB138" s="9"/>
      <c r="OCC138" s="18"/>
      <c r="OCD138" s="18"/>
      <c r="OCE138" s="18"/>
      <c r="OCF138" s="18"/>
      <c r="OCG138" s="18"/>
      <c r="OCH138" s="17"/>
      <c r="OCI138" s="9"/>
      <c r="OCJ138" s="9"/>
      <c r="OCK138" s="18"/>
      <c r="OCL138" s="18"/>
      <c r="OCM138" s="18"/>
      <c r="OCN138" s="18"/>
      <c r="OCO138" s="18"/>
      <c r="OCP138" s="17"/>
      <c r="OCQ138" s="9"/>
      <c r="OCR138" s="9"/>
      <c r="OCS138" s="18"/>
      <c r="OCT138" s="18"/>
      <c r="OCU138" s="18"/>
      <c r="OCV138" s="18"/>
      <c r="OCW138" s="18"/>
      <c r="OCX138" s="17"/>
      <c r="OCY138" s="9"/>
      <c r="OCZ138" s="9"/>
      <c r="ODA138" s="18"/>
      <c r="ODB138" s="18"/>
      <c r="ODC138" s="18"/>
      <c r="ODD138" s="18"/>
      <c r="ODE138" s="18"/>
      <c r="ODF138" s="17"/>
      <c r="ODG138" s="9"/>
      <c r="ODH138" s="9"/>
      <c r="ODI138" s="18"/>
      <c r="ODJ138" s="18"/>
      <c r="ODK138" s="18"/>
      <c r="ODL138" s="18"/>
      <c r="ODM138" s="18"/>
      <c r="ODN138" s="17"/>
      <c r="ODO138" s="9"/>
      <c r="ODP138" s="9"/>
      <c r="ODQ138" s="18"/>
      <c r="ODR138" s="18"/>
      <c r="ODS138" s="18"/>
      <c r="ODT138" s="18"/>
      <c r="ODU138" s="18"/>
      <c r="ODV138" s="17"/>
      <c r="ODW138" s="9"/>
      <c r="ODX138" s="9"/>
      <c r="ODY138" s="18"/>
      <c r="ODZ138" s="18"/>
      <c r="OEA138" s="18"/>
      <c r="OEB138" s="18"/>
      <c r="OEC138" s="18"/>
      <c r="OED138" s="17"/>
      <c r="OEE138" s="9"/>
      <c r="OEF138" s="9"/>
      <c r="OEG138" s="18"/>
      <c r="OEH138" s="18"/>
      <c r="OEI138" s="18"/>
      <c r="OEJ138" s="18"/>
      <c r="OEK138" s="18"/>
      <c r="OEL138" s="17"/>
      <c r="OEM138" s="9"/>
      <c r="OEN138" s="9"/>
      <c r="OEO138" s="18"/>
      <c r="OEP138" s="18"/>
      <c r="OEQ138" s="18"/>
      <c r="OER138" s="18"/>
      <c r="OES138" s="18"/>
      <c r="OET138" s="17"/>
      <c r="OEU138" s="9"/>
      <c r="OEV138" s="9"/>
      <c r="OEW138" s="18"/>
      <c r="OEX138" s="18"/>
      <c r="OEY138" s="18"/>
      <c r="OEZ138" s="18"/>
      <c r="OFA138" s="18"/>
      <c r="OFB138" s="17"/>
      <c r="OFC138" s="9"/>
      <c r="OFD138" s="9"/>
      <c r="OFE138" s="18"/>
      <c r="OFF138" s="18"/>
      <c r="OFG138" s="18"/>
      <c r="OFH138" s="18"/>
      <c r="OFI138" s="18"/>
      <c r="OFJ138" s="17"/>
      <c r="OFK138" s="9"/>
      <c r="OFL138" s="9"/>
      <c r="OFM138" s="18"/>
      <c r="OFN138" s="18"/>
      <c r="OFO138" s="18"/>
      <c r="OFP138" s="18"/>
      <c r="OFQ138" s="18"/>
      <c r="OFR138" s="17"/>
      <c r="OFS138" s="9"/>
      <c r="OFT138" s="9"/>
      <c r="OFU138" s="18"/>
      <c r="OFV138" s="18"/>
      <c r="OFW138" s="18"/>
      <c r="OFX138" s="18"/>
      <c r="OFY138" s="18"/>
      <c r="OFZ138" s="17"/>
      <c r="OGA138" s="9"/>
      <c r="OGB138" s="9"/>
      <c r="OGC138" s="18"/>
      <c r="OGD138" s="18"/>
      <c r="OGE138" s="18"/>
      <c r="OGF138" s="18"/>
      <c r="OGG138" s="18"/>
      <c r="OGH138" s="17"/>
      <c r="OGI138" s="9"/>
      <c r="OGJ138" s="9"/>
      <c r="OGK138" s="18"/>
      <c r="OGL138" s="18"/>
      <c r="OGM138" s="18"/>
      <c r="OGN138" s="18"/>
      <c r="OGO138" s="18"/>
      <c r="OGP138" s="17"/>
      <c r="OGQ138" s="9"/>
      <c r="OGR138" s="9"/>
      <c r="OGS138" s="18"/>
      <c r="OGT138" s="18"/>
      <c r="OGU138" s="18"/>
      <c r="OGV138" s="18"/>
      <c r="OGW138" s="18"/>
      <c r="OGX138" s="17"/>
      <c r="OGY138" s="9"/>
      <c r="OGZ138" s="9"/>
      <c r="OHA138" s="18"/>
      <c r="OHB138" s="18"/>
      <c r="OHC138" s="18"/>
      <c r="OHD138" s="18"/>
      <c r="OHE138" s="18"/>
      <c r="OHF138" s="17"/>
      <c r="OHG138" s="9"/>
      <c r="OHH138" s="9"/>
      <c r="OHI138" s="18"/>
      <c r="OHJ138" s="18"/>
      <c r="OHK138" s="18"/>
      <c r="OHL138" s="18"/>
      <c r="OHM138" s="18"/>
      <c r="OHN138" s="17"/>
      <c r="OHO138" s="9"/>
      <c r="OHP138" s="9"/>
      <c r="OHQ138" s="18"/>
      <c r="OHR138" s="18"/>
      <c r="OHS138" s="18"/>
      <c r="OHT138" s="18"/>
      <c r="OHU138" s="18"/>
      <c r="OHV138" s="17"/>
      <c r="OHW138" s="9"/>
      <c r="OHX138" s="9"/>
      <c r="OHY138" s="18"/>
      <c r="OHZ138" s="18"/>
      <c r="OIA138" s="18"/>
      <c r="OIB138" s="18"/>
      <c r="OIC138" s="18"/>
      <c r="OID138" s="17"/>
      <c r="OIE138" s="9"/>
      <c r="OIF138" s="9"/>
      <c r="OIG138" s="18"/>
      <c r="OIH138" s="18"/>
      <c r="OII138" s="18"/>
      <c r="OIJ138" s="18"/>
      <c r="OIK138" s="18"/>
      <c r="OIL138" s="17"/>
      <c r="OIM138" s="9"/>
      <c r="OIN138" s="9"/>
      <c r="OIO138" s="18"/>
      <c r="OIP138" s="18"/>
      <c r="OIQ138" s="18"/>
      <c r="OIR138" s="18"/>
      <c r="OIS138" s="18"/>
      <c r="OIT138" s="17"/>
      <c r="OIU138" s="9"/>
      <c r="OIV138" s="9"/>
      <c r="OIW138" s="18"/>
      <c r="OIX138" s="18"/>
      <c r="OIY138" s="18"/>
      <c r="OIZ138" s="18"/>
      <c r="OJA138" s="18"/>
      <c r="OJB138" s="17"/>
      <c r="OJC138" s="9"/>
      <c r="OJD138" s="9"/>
      <c r="OJE138" s="18"/>
      <c r="OJF138" s="18"/>
      <c r="OJG138" s="18"/>
      <c r="OJH138" s="18"/>
      <c r="OJI138" s="18"/>
      <c r="OJJ138" s="17"/>
      <c r="OJK138" s="9"/>
      <c r="OJL138" s="9"/>
      <c r="OJM138" s="18"/>
      <c r="OJN138" s="18"/>
      <c r="OJO138" s="18"/>
      <c r="OJP138" s="18"/>
      <c r="OJQ138" s="18"/>
      <c r="OJR138" s="17"/>
      <c r="OJS138" s="9"/>
      <c r="OJT138" s="9"/>
      <c r="OJU138" s="18"/>
      <c r="OJV138" s="18"/>
      <c r="OJW138" s="18"/>
      <c r="OJX138" s="18"/>
      <c r="OJY138" s="18"/>
      <c r="OJZ138" s="17"/>
      <c r="OKA138" s="9"/>
      <c r="OKB138" s="9"/>
      <c r="OKC138" s="18"/>
      <c r="OKD138" s="18"/>
      <c r="OKE138" s="18"/>
      <c r="OKF138" s="18"/>
      <c r="OKG138" s="18"/>
      <c r="OKH138" s="17"/>
      <c r="OKI138" s="9"/>
      <c r="OKJ138" s="9"/>
      <c r="OKK138" s="18"/>
      <c r="OKL138" s="18"/>
      <c r="OKM138" s="18"/>
      <c r="OKN138" s="18"/>
      <c r="OKO138" s="18"/>
      <c r="OKP138" s="17"/>
      <c r="OKQ138" s="9"/>
      <c r="OKR138" s="9"/>
      <c r="OKS138" s="18"/>
      <c r="OKT138" s="18"/>
      <c r="OKU138" s="18"/>
      <c r="OKV138" s="18"/>
      <c r="OKW138" s="18"/>
      <c r="OKX138" s="17"/>
      <c r="OKY138" s="9"/>
      <c r="OKZ138" s="9"/>
      <c r="OLA138" s="18"/>
      <c r="OLB138" s="18"/>
      <c r="OLC138" s="18"/>
      <c r="OLD138" s="18"/>
      <c r="OLE138" s="18"/>
      <c r="OLF138" s="17"/>
      <c r="OLG138" s="9"/>
      <c r="OLH138" s="9"/>
      <c r="OLI138" s="18"/>
      <c r="OLJ138" s="18"/>
      <c r="OLK138" s="18"/>
      <c r="OLL138" s="18"/>
      <c r="OLM138" s="18"/>
      <c r="OLN138" s="17"/>
      <c r="OLO138" s="9"/>
      <c r="OLP138" s="9"/>
      <c r="OLQ138" s="18"/>
      <c r="OLR138" s="18"/>
      <c r="OLS138" s="18"/>
      <c r="OLT138" s="18"/>
      <c r="OLU138" s="18"/>
      <c r="OLV138" s="17"/>
      <c r="OLW138" s="9"/>
      <c r="OLX138" s="9"/>
      <c r="OLY138" s="18"/>
      <c r="OLZ138" s="18"/>
      <c r="OMA138" s="18"/>
      <c r="OMB138" s="18"/>
      <c r="OMC138" s="18"/>
      <c r="OMD138" s="17"/>
      <c r="OME138" s="9"/>
      <c r="OMF138" s="9"/>
      <c r="OMG138" s="18"/>
      <c r="OMH138" s="18"/>
      <c r="OMI138" s="18"/>
      <c r="OMJ138" s="18"/>
      <c r="OMK138" s="18"/>
      <c r="OML138" s="17"/>
      <c r="OMM138" s="9"/>
      <c r="OMN138" s="9"/>
      <c r="OMO138" s="18"/>
      <c r="OMP138" s="18"/>
      <c r="OMQ138" s="18"/>
      <c r="OMR138" s="18"/>
      <c r="OMS138" s="18"/>
      <c r="OMT138" s="17"/>
      <c r="OMU138" s="9"/>
      <c r="OMV138" s="9"/>
      <c r="OMW138" s="18"/>
      <c r="OMX138" s="18"/>
      <c r="OMY138" s="18"/>
      <c r="OMZ138" s="18"/>
      <c r="ONA138" s="18"/>
      <c r="ONB138" s="17"/>
      <c r="ONC138" s="9"/>
      <c r="OND138" s="9"/>
      <c r="ONE138" s="18"/>
      <c r="ONF138" s="18"/>
      <c r="ONG138" s="18"/>
      <c r="ONH138" s="18"/>
      <c r="ONI138" s="18"/>
      <c r="ONJ138" s="17"/>
      <c r="ONK138" s="9"/>
      <c r="ONL138" s="9"/>
      <c r="ONM138" s="18"/>
      <c r="ONN138" s="18"/>
      <c r="ONO138" s="18"/>
      <c r="ONP138" s="18"/>
      <c r="ONQ138" s="18"/>
      <c r="ONR138" s="17"/>
      <c r="ONS138" s="9"/>
      <c r="ONT138" s="9"/>
      <c r="ONU138" s="18"/>
      <c r="ONV138" s="18"/>
      <c r="ONW138" s="18"/>
      <c r="ONX138" s="18"/>
      <c r="ONY138" s="18"/>
      <c r="ONZ138" s="17"/>
      <c r="OOA138" s="9"/>
      <c r="OOB138" s="9"/>
      <c r="OOC138" s="18"/>
      <c r="OOD138" s="18"/>
      <c r="OOE138" s="18"/>
      <c r="OOF138" s="18"/>
      <c r="OOG138" s="18"/>
      <c r="OOH138" s="17"/>
      <c r="OOI138" s="9"/>
      <c r="OOJ138" s="9"/>
      <c r="OOK138" s="18"/>
      <c r="OOL138" s="18"/>
      <c r="OOM138" s="18"/>
      <c r="OON138" s="18"/>
      <c r="OOO138" s="18"/>
      <c r="OOP138" s="17"/>
      <c r="OOQ138" s="9"/>
      <c r="OOR138" s="9"/>
      <c r="OOS138" s="18"/>
      <c r="OOT138" s="18"/>
      <c r="OOU138" s="18"/>
      <c r="OOV138" s="18"/>
      <c r="OOW138" s="18"/>
      <c r="OOX138" s="17"/>
      <c r="OOY138" s="9"/>
      <c r="OOZ138" s="9"/>
      <c r="OPA138" s="18"/>
      <c r="OPB138" s="18"/>
      <c r="OPC138" s="18"/>
      <c r="OPD138" s="18"/>
      <c r="OPE138" s="18"/>
      <c r="OPF138" s="17"/>
      <c r="OPG138" s="9"/>
      <c r="OPH138" s="9"/>
      <c r="OPI138" s="18"/>
      <c r="OPJ138" s="18"/>
      <c r="OPK138" s="18"/>
      <c r="OPL138" s="18"/>
      <c r="OPM138" s="18"/>
      <c r="OPN138" s="17"/>
      <c r="OPO138" s="9"/>
      <c r="OPP138" s="9"/>
      <c r="OPQ138" s="18"/>
      <c r="OPR138" s="18"/>
      <c r="OPS138" s="18"/>
      <c r="OPT138" s="18"/>
      <c r="OPU138" s="18"/>
      <c r="OPV138" s="17"/>
      <c r="OPW138" s="9"/>
      <c r="OPX138" s="9"/>
      <c r="OPY138" s="18"/>
      <c r="OPZ138" s="18"/>
      <c r="OQA138" s="18"/>
      <c r="OQB138" s="18"/>
      <c r="OQC138" s="18"/>
      <c r="OQD138" s="17"/>
      <c r="OQE138" s="9"/>
      <c r="OQF138" s="9"/>
      <c r="OQG138" s="18"/>
      <c r="OQH138" s="18"/>
      <c r="OQI138" s="18"/>
      <c r="OQJ138" s="18"/>
      <c r="OQK138" s="18"/>
      <c r="OQL138" s="17"/>
      <c r="OQM138" s="9"/>
      <c r="OQN138" s="9"/>
      <c r="OQO138" s="18"/>
      <c r="OQP138" s="18"/>
      <c r="OQQ138" s="18"/>
      <c r="OQR138" s="18"/>
      <c r="OQS138" s="18"/>
      <c r="OQT138" s="17"/>
      <c r="OQU138" s="9"/>
      <c r="OQV138" s="9"/>
      <c r="OQW138" s="18"/>
      <c r="OQX138" s="18"/>
      <c r="OQY138" s="18"/>
      <c r="OQZ138" s="18"/>
      <c r="ORA138" s="18"/>
      <c r="ORB138" s="17"/>
      <c r="ORC138" s="9"/>
      <c r="ORD138" s="9"/>
      <c r="ORE138" s="18"/>
      <c r="ORF138" s="18"/>
      <c r="ORG138" s="18"/>
      <c r="ORH138" s="18"/>
      <c r="ORI138" s="18"/>
      <c r="ORJ138" s="17"/>
      <c r="ORK138" s="9"/>
      <c r="ORL138" s="9"/>
      <c r="ORM138" s="18"/>
      <c r="ORN138" s="18"/>
      <c r="ORO138" s="18"/>
      <c r="ORP138" s="18"/>
      <c r="ORQ138" s="18"/>
      <c r="ORR138" s="17"/>
      <c r="ORS138" s="9"/>
      <c r="ORT138" s="9"/>
      <c r="ORU138" s="18"/>
      <c r="ORV138" s="18"/>
      <c r="ORW138" s="18"/>
      <c r="ORX138" s="18"/>
      <c r="ORY138" s="18"/>
      <c r="ORZ138" s="17"/>
      <c r="OSA138" s="9"/>
      <c r="OSB138" s="9"/>
      <c r="OSC138" s="18"/>
      <c r="OSD138" s="18"/>
      <c r="OSE138" s="18"/>
      <c r="OSF138" s="18"/>
      <c r="OSG138" s="18"/>
      <c r="OSH138" s="17"/>
      <c r="OSI138" s="9"/>
      <c r="OSJ138" s="9"/>
      <c r="OSK138" s="18"/>
      <c r="OSL138" s="18"/>
      <c r="OSM138" s="18"/>
      <c r="OSN138" s="18"/>
      <c r="OSO138" s="18"/>
      <c r="OSP138" s="17"/>
      <c r="OSQ138" s="9"/>
      <c r="OSR138" s="9"/>
      <c r="OSS138" s="18"/>
      <c r="OST138" s="18"/>
      <c r="OSU138" s="18"/>
      <c r="OSV138" s="18"/>
      <c r="OSW138" s="18"/>
      <c r="OSX138" s="17"/>
      <c r="OSY138" s="9"/>
      <c r="OSZ138" s="9"/>
      <c r="OTA138" s="18"/>
      <c r="OTB138" s="18"/>
      <c r="OTC138" s="18"/>
      <c r="OTD138" s="18"/>
      <c r="OTE138" s="18"/>
      <c r="OTF138" s="17"/>
      <c r="OTG138" s="9"/>
      <c r="OTH138" s="9"/>
      <c r="OTI138" s="18"/>
      <c r="OTJ138" s="18"/>
      <c r="OTK138" s="18"/>
      <c r="OTL138" s="18"/>
      <c r="OTM138" s="18"/>
      <c r="OTN138" s="17"/>
      <c r="OTO138" s="9"/>
      <c r="OTP138" s="9"/>
      <c r="OTQ138" s="18"/>
      <c r="OTR138" s="18"/>
      <c r="OTS138" s="18"/>
      <c r="OTT138" s="18"/>
      <c r="OTU138" s="18"/>
      <c r="OTV138" s="17"/>
      <c r="OTW138" s="9"/>
      <c r="OTX138" s="9"/>
      <c r="OTY138" s="18"/>
      <c r="OTZ138" s="18"/>
      <c r="OUA138" s="18"/>
      <c r="OUB138" s="18"/>
      <c r="OUC138" s="18"/>
      <c r="OUD138" s="17"/>
      <c r="OUE138" s="9"/>
      <c r="OUF138" s="9"/>
      <c r="OUG138" s="18"/>
      <c r="OUH138" s="18"/>
      <c r="OUI138" s="18"/>
      <c r="OUJ138" s="18"/>
      <c r="OUK138" s="18"/>
      <c r="OUL138" s="17"/>
      <c r="OUM138" s="9"/>
      <c r="OUN138" s="9"/>
      <c r="OUO138" s="18"/>
      <c r="OUP138" s="18"/>
      <c r="OUQ138" s="18"/>
      <c r="OUR138" s="18"/>
      <c r="OUS138" s="18"/>
      <c r="OUT138" s="17"/>
      <c r="OUU138" s="9"/>
      <c r="OUV138" s="9"/>
      <c r="OUW138" s="18"/>
      <c r="OUX138" s="18"/>
      <c r="OUY138" s="18"/>
      <c r="OUZ138" s="18"/>
      <c r="OVA138" s="18"/>
      <c r="OVB138" s="17"/>
      <c r="OVC138" s="9"/>
      <c r="OVD138" s="9"/>
      <c r="OVE138" s="18"/>
      <c r="OVF138" s="18"/>
      <c r="OVG138" s="18"/>
      <c r="OVH138" s="18"/>
      <c r="OVI138" s="18"/>
      <c r="OVJ138" s="17"/>
      <c r="OVK138" s="9"/>
      <c r="OVL138" s="9"/>
      <c r="OVM138" s="18"/>
      <c r="OVN138" s="18"/>
      <c r="OVO138" s="18"/>
      <c r="OVP138" s="18"/>
      <c r="OVQ138" s="18"/>
      <c r="OVR138" s="17"/>
      <c r="OVS138" s="9"/>
      <c r="OVT138" s="9"/>
      <c r="OVU138" s="18"/>
      <c r="OVV138" s="18"/>
      <c r="OVW138" s="18"/>
      <c r="OVX138" s="18"/>
      <c r="OVY138" s="18"/>
      <c r="OVZ138" s="17"/>
      <c r="OWA138" s="9"/>
      <c r="OWB138" s="9"/>
      <c r="OWC138" s="18"/>
      <c r="OWD138" s="18"/>
      <c r="OWE138" s="18"/>
      <c r="OWF138" s="18"/>
      <c r="OWG138" s="18"/>
      <c r="OWH138" s="17"/>
      <c r="OWI138" s="9"/>
      <c r="OWJ138" s="9"/>
      <c r="OWK138" s="18"/>
      <c r="OWL138" s="18"/>
      <c r="OWM138" s="18"/>
      <c r="OWN138" s="18"/>
      <c r="OWO138" s="18"/>
      <c r="OWP138" s="17"/>
      <c r="OWQ138" s="9"/>
      <c r="OWR138" s="9"/>
      <c r="OWS138" s="18"/>
      <c r="OWT138" s="18"/>
      <c r="OWU138" s="18"/>
      <c r="OWV138" s="18"/>
      <c r="OWW138" s="18"/>
      <c r="OWX138" s="17"/>
      <c r="OWY138" s="9"/>
      <c r="OWZ138" s="9"/>
      <c r="OXA138" s="18"/>
      <c r="OXB138" s="18"/>
      <c r="OXC138" s="18"/>
      <c r="OXD138" s="18"/>
      <c r="OXE138" s="18"/>
      <c r="OXF138" s="17"/>
      <c r="OXG138" s="9"/>
      <c r="OXH138" s="9"/>
      <c r="OXI138" s="18"/>
      <c r="OXJ138" s="18"/>
      <c r="OXK138" s="18"/>
      <c r="OXL138" s="18"/>
      <c r="OXM138" s="18"/>
      <c r="OXN138" s="17"/>
      <c r="OXO138" s="9"/>
      <c r="OXP138" s="9"/>
      <c r="OXQ138" s="18"/>
      <c r="OXR138" s="18"/>
      <c r="OXS138" s="18"/>
      <c r="OXT138" s="18"/>
      <c r="OXU138" s="18"/>
      <c r="OXV138" s="17"/>
      <c r="OXW138" s="9"/>
      <c r="OXX138" s="9"/>
      <c r="OXY138" s="18"/>
      <c r="OXZ138" s="18"/>
      <c r="OYA138" s="18"/>
      <c r="OYB138" s="18"/>
      <c r="OYC138" s="18"/>
      <c r="OYD138" s="17"/>
      <c r="OYE138" s="9"/>
      <c r="OYF138" s="9"/>
      <c r="OYG138" s="18"/>
      <c r="OYH138" s="18"/>
      <c r="OYI138" s="18"/>
      <c r="OYJ138" s="18"/>
      <c r="OYK138" s="18"/>
      <c r="OYL138" s="17"/>
      <c r="OYM138" s="9"/>
      <c r="OYN138" s="9"/>
      <c r="OYO138" s="18"/>
      <c r="OYP138" s="18"/>
      <c r="OYQ138" s="18"/>
      <c r="OYR138" s="18"/>
      <c r="OYS138" s="18"/>
      <c r="OYT138" s="17"/>
      <c r="OYU138" s="9"/>
      <c r="OYV138" s="9"/>
      <c r="OYW138" s="18"/>
      <c r="OYX138" s="18"/>
      <c r="OYY138" s="18"/>
      <c r="OYZ138" s="18"/>
      <c r="OZA138" s="18"/>
      <c r="OZB138" s="17"/>
      <c r="OZC138" s="9"/>
      <c r="OZD138" s="9"/>
      <c r="OZE138" s="18"/>
      <c r="OZF138" s="18"/>
      <c r="OZG138" s="18"/>
      <c r="OZH138" s="18"/>
      <c r="OZI138" s="18"/>
      <c r="OZJ138" s="17"/>
      <c r="OZK138" s="9"/>
      <c r="OZL138" s="9"/>
      <c r="OZM138" s="18"/>
      <c r="OZN138" s="18"/>
      <c r="OZO138" s="18"/>
      <c r="OZP138" s="18"/>
      <c r="OZQ138" s="18"/>
      <c r="OZR138" s="17"/>
      <c r="OZS138" s="9"/>
      <c r="OZT138" s="9"/>
      <c r="OZU138" s="18"/>
      <c r="OZV138" s="18"/>
      <c r="OZW138" s="18"/>
      <c r="OZX138" s="18"/>
      <c r="OZY138" s="18"/>
      <c r="OZZ138" s="17"/>
      <c r="PAA138" s="9"/>
      <c r="PAB138" s="9"/>
      <c r="PAC138" s="18"/>
      <c r="PAD138" s="18"/>
      <c r="PAE138" s="18"/>
      <c r="PAF138" s="18"/>
      <c r="PAG138" s="18"/>
      <c r="PAH138" s="17"/>
      <c r="PAI138" s="9"/>
      <c r="PAJ138" s="9"/>
      <c r="PAK138" s="18"/>
      <c r="PAL138" s="18"/>
      <c r="PAM138" s="18"/>
      <c r="PAN138" s="18"/>
      <c r="PAO138" s="18"/>
      <c r="PAP138" s="17"/>
      <c r="PAQ138" s="9"/>
      <c r="PAR138" s="9"/>
      <c r="PAS138" s="18"/>
      <c r="PAT138" s="18"/>
      <c r="PAU138" s="18"/>
      <c r="PAV138" s="18"/>
      <c r="PAW138" s="18"/>
      <c r="PAX138" s="17"/>
      <c r="PAY138" s="9"/>
      <c r="PAZ138" s="9"/>
      <c r="PBA138" s="18"/>
      <c r="PBB138" s="18"/>
      <c r="PBC138" s="18"/>
      <c r="PBD138" s="18"/>
      <c r="PBE138" s="18"/>
      <c r="PBF138" s="17"/>
      <c r="PBG138" s="9"/>
      <c r="PBH138" s="9"/>
      <c r="PBI138" s="18"/>
      <c r="PBJ138" s="18"/>
      <c r="PBK138" s="18"/>
      <c r="PBL138" s="18"/>
      <c r="PBM138" s="18"/>
      <c r="PBN138" s="17"/>
      <c r="PBO138" s="9"/>
      <c r="PBP138" s="9"/>
      <c r="PBQ138" s="18"/>
      <c r="PBR138" s="18"/>
      <c r="PBS138" s="18"/>
      <c r="PBT138" s="18"/>
      <c r="PBU138" s="18"/>
      <c r="PBV138" s="17"/>
      <c r="PBW138" s="9"/>
      <c r="PBX138" s="9"/>
      <c r="PBY138" s="18"/>
      <c r="PBZ138" s="18"/>
      <c r="PCA138" s="18"/>
      <c r="PCB138" s="18"/>
      <c r="PCC138" s="18"/>
      <c r="PCD138" s="17"/>
      <c r="PCE138" s="9"/>
      <c r="PCF138" s="9"/>
      <c r="PCG138" s="18"/>
      <c r="PCH138" s="18"/>
      <c r="PCI138" s="18"/>
      <c r="PCJ138" s="18"/>
      <c r="PCK138" s="18"/>
      <c r="PCL138" s="17"/>
      <c r="PCM138" s="9"/>
      <c r="PCN138" s="9"/>
      <c r="PCO138" s="18"/>
      <c r="PCP138" s="18"/>
      <c r="PCQ138" s="18"/>
      <c r="PCR138" s="18"/>
      <c r="PCS138" s="18"/>
      <c r="PCT138" s="17"/>
      <c r="PCU138" s="9"/>
      <c r="PCV138" s="9"/>
      <c r="PCW138" s="18"/>
      <c r="PCX138" s="18"/>
      <c r="PCY138" s="18"/>
      <c r="PCZ138" s="18"/>
      <c r="PDA138" s="18"/>
      <c r="PDB138" s="17"/>
      <c r="PDC138" s="9"/>
      <c r="PDD138" s="9"/>
      <c r="PDE138" s="18"/>
      <c r="PDF138" s="18"/>
      <c r="PDG138" s="18"/>
      <c r="PDH138" s="18"/>
      <c r="PDI138" s="18"/>
      <c r="PDJ138" s="17"/>
      <c r="PDK138" s="9"/>
      <c r="PDL138" s="9"/>
      <c r="PDM138" s="18"/>
      <c r="PDN138" s="18"/>
      <c r="PDO138" s="18"/>
      <c r="PDP138" s="18"/>
      <c r="PDQ138" s="18"/>
      <c r="PDR138" s="17"/>
      <c r="PDS138" s="9"/>
      <c r="PDT138" s="9"/>
      <c r="PDU138" s="18"/>
      <c r="PDV138" s="18"/>
      <c r="PDW138" s="18"/>
      <c r="PDX138" s="18"/>
      <c r="PDY138" s="18"/>
      <c r="PDZ138" s="17"/>
      <c r="PEA138" s="9"/>
      <c r="PEB138" s="9"/>
      <c r="PEC138" s="18"/>
      <c r="PED138" s="18"/>
      <c r="PEE138" s="18"/>
      <c r="PEF138" s="18"/>
      <c r="PEG138" s="18"/>
      <c r="PEH138" s="17"/>
      <c r="PEI138" s="9"/>
      <c r="PEJ138" s="9"/>
      <c r="PEK138" s="18"/>
      <c r="PEL138" s="18"/>
      <c r="PEM138" s="18"/>
      <c r="PEN138" s="18"/>
      <c r="PEO138" s="18"/>
      <c r="PEP138" s="17"/>
      <c r="PEQ138" s="9"/>
      <c r="PER138" s="9"/>
      <c r="PES138" s="18"/>
      <c r="PET138" s="18"/>
      <c r="PEU138" s="18"/>
      <c r="PEV138" s="18"/>
      <c r="PEW138" s="18"/>
      <c r="PEX138" s="17"/>
      <c r="PEY138" s="9"/>
      <c r="PEZ138" s="9"/>
      <c r="PFA138" s="18"/>
      <c r="PFB138" s="18"/>
      <c r="PFC138" s="18"/>
      <c r="PFD138" s="18"/>
      <c r="PFE138" s="18"/>
      <c r="PFF138" s="17"/>
      <c r="PFG138" s="9"/>
      <c r="PFH138" s="9"/>
      <c r="PFI138" s="18"/>
      <c r="PFJ138" s="18"/>
      <c r="PFK138" s="18"/>
      <c r="PFL138" s="18"/>
      <c r="PFM138" s="18"/>
      <c r="PFN138" s="17"/>
      <c r="PFO138" s="9"/>
      <c r="PFP138" s="9"/>
      <c r="PFQ138" s="18"/>
      <c r="PFR138" s="18"/>
      <c r="PFS138" s="18"/>
      <c r="PFT138" s="18"/>
      <c r="PFU138" s="18"/>
      <c r="PFV138" s="17"/>
      <c r="PFW138" s="9"/>
      <c r="PFX138" s="9"/>
      <c r="PFY138" s="18"/>
      <c r="PFZ138" s="18"/>
      <c r="PGA138" s="18"/>
      <c r="PGB138" s="18"/>
      <c r="PGC138" s="18"/>
      <c r="PGD138" s="17"/>
      <c r="PGE138" s="9"/>
      <c r="PGF138" s="9"/>
      <c r="PGG138" s="18"/>
      <c r="PGH138" s="18"/>
      <c r="PGI138" s="18"/>
      <c r="PGJ138" s="18"/>
      <c r="PGK138" s="18"/>
      <c r="PGL138" s="17"/>
      <c r="PGM138" s="9"/>
      <c r="PGN138" s="9"/>
      <c r="PGO138" s="18"/>
      <c r="PGP138" s="18"/>
      <c r="PGQ138" s="18"/>
      <c r="PGR138" s="18"/>
      <c r="PGS138" s="18"/>
      <c r="PGT138" s="17"/>
      <c r="PGU138" s="9"/>
      <c r="PGV138" s="9"/>
      <c r="PGW138" s="18"/>
      <c r="PGX138" s="18"/>
      <c r="PGY138" s="18"/>
      <c r="PGZ138" s="18"/>
      <c r="PHA138" s="18"/>
      <c r="PHB138" s="17"/>
      <c r="PHC138" s="9"/>
      <c r="PHD138" s="9"/>
      <c r="PHE138" s="18"/>
      <c r="PHF138" s="18"/>
      <c r="PHG138" s="18"/>
      <c r="PHH138" s="18"/>
      <c r="PHI138" s="18"/>
      <c r="PHJ138" s="17"/>
      <c r="PHK138" s="9"/>
      <c r="PHL138" s="9"/>
      <c r="PHM138" s="18"/>
      <c r="PHN138" s="18"/>
      <c r="PHO138" s="18"/>
      <c r="PHP138" s="18"/>
      <c r="PHQ138" s="18"/>
      <c r="PHR138" s="17"/>
      <c r="PHS138" s="9"/>
      <c r="PHT138" s="9"/>
      <c r="PHU138" s="18"/>
      <c r="PHV138" s="18"/>
      <c r="PHW138" s="18"/>
      <c r="PHX138" s="18"/>
      <c r="PHY138" s="18"/>
      <c r="PHZ138" s="17"/>
      <c r="PIA138" s="9"/>
      <c r="PIB138" s="9"/>
      <c r="PIC138" s="18"/>
      <c r="PID138" s="18"/>
      <c r="PIE138" s="18"/>
      <c r="PIF138" s="18"/>
      <c r="PIG138" s="18"/>
      <c r="PIH138" s="17"/>
      <c r="PII138" s="9"/>
      <c r="PIJ138" s="9"/>
      <c r="PIK138" s="18"/>
      <c r="PIL138" s="18"/>
      <c r="PIM138" s="18"/>
      <c r="PIN138" s="18"/>
      <c r="PIO138" s="18"/>
      <c r="PIP138" s="17"/>
      <c r="PIQ138" s="9"/>
      <c r="PIR138" s="9"/>
      <c r="PIS138" s="18"/>
      <c r="PIT138" s="18"/>
      <c r="PIU138" s="18"/>
      <c r="PIV138" s="18"/>
      <c r="PIW138" s="18"/>
      <c r="PIX138" s="17"/>
      <c r="PIY138" s="9"/>
      <c r="PIZ138" s="9"/>
      <c r="PJA138" s="18"/>
      <c r="PJB138" s="18"/>
      <c r="PJC138" s="18"/>
      <c r="PJD138" s="18"/>
      <c r="PJE138" s="18"/>
      <c r="PJF138" s="17"/>
      <c r="PJG138" s="9"/>
      <c r="PJH138" s="9"/>
      <c r="PJI138" s="18"/>
      <c r="PJJ138" s="18"/>
      <c r="PJK138" s="18"/>
      <c r="PJL138" s="18"/>
      <c r="PJM138" s="18"/>
      <c r="PJN138" s="17"/>
      <c r="PJO138" s="9"/>
      <c r="PJP138" s="9"/>
      <c r="PJQ138" s="18"/>
      <c r="PJR138" s="18"/>
      <c r="PJS138" s="18"/>
      <c r="PJT138" s="18"/>
      <c r="PJU138" s="18"/>
      <c r="PJV138" s="17"/>
      <c r="PJW138" s="9"/>
      <c r="PJX138" s="9"/>
      <c r="PJY138" s="18"/>
      <c r="PJZ138" s="18"/>
      <c r="PKA138" s="18"/>
      <c r="PKB138" s="18"/>
      <c r="PKC138" s="18"/>
      <c r="PKD138" s="17"/>
      <c r="PKE138" s="9"/>
      <c r="PKF138" s="9"/>
      <c r="PKG138" s="18"/>
      <c r="PKH138" s="18"/>
      <c r="PKI138" s="18"/>
      <c r="PKJ138" s="18"/>
      <c r="PKK138" s="18"/>
      <c r="PKL138" s="17"/>
      <c r="PKM138" s="9"/>
      <c r="PKN138" s="9"/>
      <c r="PKO138" s="18"/>
      <c r="PKP138" s="18"/>
      <c r="PKQ138" s="18"/>
      <c r="PKR138" s="18"/>
      <c r="PKS138" s="18"/>
      <c r="PKT138" s="17"/>
      <c r="PKU138" s="9"/>
      <c r="PKV138" s="9"/>
      <c r="PKW138" s="18"/>
      <c r="PKX138" s="18"/>
      <c r="PKY138" s="18"/>
      <c r="PKZ138" s="18"/>
      <c r="PLA138" s="18"/>
      <c r="PLB138" s="17"/>
      <c r="PLC138" s="9"/>
      <c r="PLD138" s="9"/>
      <c r="PLE138" s="18"/>
      <c r="PLF138" s="18"/>
      <c r="PLG138" s="18"/>
      <c r="PLH138" s="18"/>
      <c r="PLI138" s="18"/>
      <c r="PLJ138" s="17"/>
      <c r="PLK138" s="9"/>
      <c r="PLL138" s="9"/>
      <c r="PLM138" s="18"/>
      <c r="PLN138" s="18"/>
      <c r="PLO138" s="18"/>
      <c r="PLP138" s="18"/>
      <c r="PLQ138" s="18"/>
      <c r="PLR138" s="17"/>
      <c r="PLS138" s="9"/>
      <c r="PLT138" s="9"/>
      <c r="PLU138" s="18"/>
      <c r="PLV138" s="18"/>
      <c r="PLW138" s="18"/>
      <c r="PLX138" s="18"/>
      <c r="PLY138" s="18"/>
      <c r="PLZ138" s="17"/>
      <c r="PMA138" s="9"/>
      <c r="PMB138" s="9"/>
      <c r="PMC138" s="18"/>
      <c r="PMD138" s="18"/>
      <c r="PME138" s="18"/>
      <c r="PMF138" s="18"/>
      <c r="PMG138" s="18"/>
      <c r="PMH138" s="17"/>
      <c r="PMI138" s="9"/>
      <c r="PMJ138" s="9"/>
      <c r="PMK138" s="18"/>
      <c r="PML138" s="18"/>
      <c r="PMM138" s="18"/>
      <c r="PMN138" s="18"/>
      <c r="PMO138" s="18"/>
      <c r="PMP138" s="17"/>
      <c r="PMQ138" s="9"/>
      <c r="PMR138" s="9"/>
      <c r="PMS138" s="18"/>
      <c r="PMT138" s="18"/>
      <c r="PMU138" s="18"/>
      <c r="PMV138" s="18"/>
      <c r="PMW138" s="18"/>
      <c r="PMX138" s="17"/>
      <c r="PMY138" s="9"/>
      <c r="PMZ138" s="9"/>
      <c r="PNA138" s="18"/>
      <c r="PNB138" s="18"/>
      <c r="PNC138" s="18"/>
      <c r="PND138" s="18"/>
      <c r="PNE138" s="18"/>
      <c r="PNF138" s="17"/>
      <c r="PNG138" s="9"/>
      <c r="PNH138" s="9"/>
      <c r="PNI138" s="18"/>
      <c r="PNJ138" s="18"/>
      <c r="PNK138" s="18"/>
      <c r="PNL138" s="18"/>
      <c r="PNM138" s="18"/>
      <c r="PNN138" s="17"/>
      <c r="PNO138" s="9"/>
      <c r="PNP138" s="9"/>
      <c r="PNQ138" s="18"/>
      <c r="PNR138" s="18"/>
      <c r="PNS138" s="18"/>
      <c r="PNT138" s="18"/>
      <c r="PNU138" s="18"/>
      <c r="PNV138" s="17"/>
      <c r="PNW138" s="9"/>
      <c r="PNX138" s="9"/>
      <c r="PNY138" s="18"/>
      <c r="PNZ138" s="18"/>
      <c r="POA138" s="18"/>
      <c r="POB138" s="18"/>
      <c r="POC138" s="18"/>
      <c r="POD138" s="17"/>
      <c r="POE138" s="9"/>
      <c r="POF138" s="9"/>
      <c r="POG138" s="18"/>
      <c r="POH138" s="18"/>
      <c r="POI138" s="18"/>
      <c r="POJ138" s="18"/>
      <c r="POK138" s="18"/>
      <c r="POL138" s="17"/>
      <c r="POM138" s="9"/>
      <c r="PON138" s="9"/>
      <c r="POO138" s="18"/>
      <c r="POP138" s="18"/>
      <c r="POQ138" s="18"/>
      <c r="POR138" s="18"/>
      <c r="POS138" s="18"/>
      <c r="POT138" s="17"/>
      <c r="POU138" s="9"/>
      <c r="POV138" s="9"/>
      <c r="POW138" s="18"/>
      <c r="POX138" s="18"/>
      <c r="POY138" s="18"/>
      <c r="POZ138" s="18"/>
      <c r="PPA138" s="18"/>
      <c r="PPB138" s="17"/>
      <c r="PPC138" s="9"/>
      <c r="PPD138" s="9"/>
      <c r="PPE138" s="18"/>
      <c r="PPF138" s="18"/>
      <c r="PPG138" s="18"/>
      <c r="PPH138" s="18"/>
      <c r="PPI138" s="18"/>
      <c r="PPJ138" s="17"/>
      <c r="PPK138" s="9"/>
      <c r="PPL138" s="9"/>
      <c r="PPM138" s="18"/>
      <c r="PPN138" s="18"/>
      <c r="PPO138" s="18"/>
      <c r="PPP138" s="18"/>
      <c r="PPQ138" s="18"/>
      <c r="PPR138" s="17"/>
      <c r="PPS138" s="9"/>
      <c r="PPT138" s="9"/>
      <c r="PPU138" s="18"/>
      <c r="PPV138" s="18"/>
      <c r="PPW138" s="18"/>
      <c r="PPX138" s="18"/>
      <c r="PPY138" s="18"/>
      <c r="PPZ138" s="17"/>
      <c r="PQA138" s="9"/>
      <c r="PQB138" s="9"/>
      <c r="PQC138" s="18"/>
      <c r="PQD138" s="18"/>
      <c r="PQE138" s="18"/>
      <c r="PQF138" s="18"/>
      <c r="PQG138" s="18"/>
      <c r="PQH138" s="17"/>
      <c r="PQI138" s="9"/>
      <c r="PQJ138" s="9"/>
      <c r="PQK138" s="18"/>
      <c r="PQL138" s="18"/>
      <c r="PQM138" s="18"/>
      <c r="PQN138" s="18"/>
      <c r="PQO138" s="18"/>
      <c r="PQP138" s="17"/>
      <c r="PQQ138" s="9"/>
      <c r="PQR138" s="9"/>
      <c r="PQS138" s="18"/>
      <c r="PQT138" s="18"/>
      <c r="PQU138" s="18"/>
      <c r="PQV138" s="18"/>
      <c r="PQW138" s="18"/>
      <c r="PQX138" s="17"/>
      <c r="PQY138" s="9"/>
      <c r="PQZ138" s="9"/>
      <c r="PRA138" s="18"/>
      <c r="PRB138" s="18"/>
      <c r="PRC138" s="18"/>
      <c r="PRD138" s="18"/>
      <c r="PRE138" s="18"/>
      <c r="PRF138" s="17"/>
      <c r="PRG138" s="9"/>
      <c r="PRH138" s="9"/>
      <c r="PRI138" s="18"/>
      <c r="PRJ138" s="18"/>
      <c r="PRK138" s="18"/>
      <c r="PRL138" s="18"/>
      <c r="PRM138" s="18"/>
      <c r="PRN138" s="17"/>
      <c r="PRO138" s="9"/>
      <c r="PRP138" s="9"/>
      <c r="PRQ138" s="18"/>
      <c r="PRR138" s="18"/>
      <c r="PRS138" s="18"/>
      <c r="PRT138" s="18"/>
      <c r="PRU138" s="18"/>
      <c r="PRV138" s="17"/>
      <c r="PRW138" s="9"/>
      <c r="PRX138" s="9"/>
      <c r="PRY138" s="18"/>
      <c r="PRZ138" s="18"/>
      <c r="PSA138" s="18"/>
      <c r="PSB138" s="18"/>
      <c r="PSC138" s="18"/>
      <c r="PSD138" s="17"/>
      <c r="PSE138" s="9"/>
      <c r="PSF138" s="9"/>
      <c r="PSG138" s="18"/>
      <c r="PSH138" s="18"/>
      <c r="PSI138" s="18"/>
      <c r="PSJ138" s="18"/>
      <c r="PSK138" s="18"/>
      <c r="PSL138" s="17"/>
      <c r="PSM138" s="9"/>
      <c r="PSN138" s="9"/>
      <c r="PSO138" s="18"/>
      <c r="PSP138" s="18"/>
      <c r="PSQ138" s="18"/>
      <c r="PSR138" s="18"/>
      <c r="PSS138" s="18"/>
      <c r="PST138" s="17"/>
      <c r="PSU138" s="9"/>
      <c r="PSV138" s="9"/>
      <c r="PSW138" s="18"/>
      <c r="PSX138" s="18"/>
      <c r="PSY138" s="18"/>
      <c r="PSZ138" s="18"/>
      <c r="PTA138" s="18"/>
      <c r="PTB138" s="17"/>
      <c r="PTC138" s="9"/>
      <c r="PTD138" s="9"/>
      <c r="PTE138" s="18"/>
      <c r="PTF138" s="18"/>
      <c r="PTG138" s="18"/>
      <c r="PTH138" s="18"/>
      <c r="PTI138" s="18"/>
      <c r="PTJ138" s="17"/>
      <c r="PTK138" s="9"/>
      <c r="PTL138" s="9"/>
      <c r="PTM138" s="18"/>
      <c r="PTN138" s="18"/>
      <c r="PTO138" s="18"/>
      <c r="PTP138" s="18"/>
      <c r="PTQ138" s="18"/>
      <c r="PTR138" s="17"/>
      <c r="PTS138" s="9"/>
      <c r="PTT138" s="9"/>
      <c r="PTU138" s="18"/>
      <c r="PTV138" s="18"/>
      <c r="PTW138" s="18"/>
      <c r="PTX138" s="18"/>
      <c r="PTY138" s="18"/>
      <c r="PTZ138" s="17"/>
      <c r="PUA138" s="9"/>
      <c r="PUB138" s="9"/>
      <c r="PUC138" s="18"/>
      <c r="PUD138" s="18"/>
      <c r="PUE138" s="18"/>
      <c r="PUF138" s="18"/>
      <c r="PUG138" s="18"/>
      <c r="PUH138" s="17"/>
      <c r="PUI138" s="9"/>
      <c r="PUJ138" s="9"/>
      <c r="PUK138" s="18"/>
      <c r="PUL138" s="18"/>
      <c r="PUM138" s="18"/>
      <c r="PUN138" s="18"/>
      <c r="PUO138" s="18"/>
      <c r="PUP138" s="17"/>
      <c r="PUQ138" s="9"/>
      <c r="PUR138" s="9"/>
      <c r="PUS138" s="18"/>
      <c r="PUT138" s="18"/>
      <c r="PUU138" s="18"/>
      <c r="PUV138" s="18"/>
      <c r="PUW138" s="18"/>
      <c r="PUX138" s="17"/>
      <c r="PUY138" s="9"/>
      <c r="PUZ138" s="9"/>
      <c r="PVA138" s="18"/>
      <c r="PVB138" s="18"/>
      <c r="PVC138" s="18"/>
      <c r="PVD138" s="18"/>
      <c r="PVE138" s="18"/>
      <c r="PVF138" s="17"/>
      <c r="PVG138" s="9"/>
      <c r="PVH138" s="9"/>
      <c r="PVI138" s="18"/>
      <c r="PVJ138" s="18"/>
      <c r="PVK138" s="18"/>
      <c r="PVL138" s="18"/>
      <c r="PVM138" s="18"/>
      <c r="PVN138" s="17"/>
      <c r="PVO138" s="9"/>
      <c r="PVP138" s="9"/>
      <c r="PVQ138" s="18"/>
      <c r="PVR138" s="18"/>
      <c r="PVS138" s="18"/>
      <c r="PVT138" s="18"/>
      <c r="PVU138" s="18"/>
      <c r="PVV138" s="17"/>
      <c r="PVW138" s="9"/>
      <c r="PVX138" s="9"/>
      <c r="PVY138" s="18"/>
      <c r="PVZ138" s="18"/>
      <c r="PWA138" s="18"/>
      <c r="PWB138" s="18"/>
      <c r="PWC138" s="18"/>
      <c r="PWD138" s="17"/>
      <c r="PWE138" s="9"/>
      <c r="PWF138" s="9"/>
      <c r="PWG138" s="18"/>
      <c r="PWH138" s="18"/>
      <c r="PWI138" s="18"/>
      <c r="PWJ138" s="18"/>
      <c r="PWK138" s="18"/>
      <c r="PWL138" s="17"/>
      <c r="PWM138" s="9"/>
      <c r="PWN138" s="9"/>
      <c r="PWO138" s="18"/>
      <c r="PWP138" s="18"/>
      <c r="PWQ138" s="18"/>
      <c r="PWR138" s="18"/>
      <c r="PWS138" s="18"/>
      <c r="PWT138" s="17"/>
      <c r="PWU138" s="9"/>
      <c r="PWV138" s="9"/>
      <c r="PWW138" s="18"/>
      <c r="PWX138" s="18"/>
      <c r="PWY138" s="18"/>
      <c r="PWZ138" s="18"/>
      <c r="PXA138" s="18"/>
      <c r="PXB138" s="17"/>
      <c r="PXC138" s="9"/>
      <c r="PXD138" s="9"/>
      <c r="PXE138" s="18"/>
      <c r="PXF138" s="18"/>
      <c r="PXG138" s="18"/>
      <c r="PXH138" s="18"/>
      <c r="PXI138" s="18"/>
      <c r="PXJ138" s="17"/>
      <c r="PXK138" s="9"/>
      <c r="PXL138" s="9"/>
      <c r="PXM138" s="18"/>
      <c r="PXN138" s="18"/>
      <c r="PXO138" s="18"/>
      <c r="PXP138" s="18"/>
      <c r="PXQ138" s="18"/>
      <c r="PXR138" s="17"/>
      <c r="PXS138" s="9"/>
      <c r="PXT138" s="9"/>
      <c r="PXU138" s="18"/>
      <c r="PXV138" s="18"/>
      <c r="PXW138" s="18"/>
      <c r="PXX138" s="18"/>
      <c r="PXY138" s="18"/>
      <c r="PXZ138" s="17"/>
      <c r="PYA138" s="9"/>
      <c r="PYB138" s="9"/>
      <c r="PYC138" s="18"/>
      <c r="PYD138" s="18"/>
      <c r="PYE138" s="18"/>
      <c r="PYF138" s="18"/>
      <c r="PYG138" s="18"/>
      <c r="PYH138" s="17"/>
      <c r="PYI138" s="9"/>
      <c r="PYJ138" s="9"/>
      <c r="PYK138" s="18"/>
      <c r="PYL138" s="18"/>
      <c r="PYM138" s="18"/>
      <c r="PYN138" s="18"/>
      <c r="PYO138" s="18"/>
      <c r="PYP138" s="17"/>
      <c r="PYQ138" s="9"/>
      <c r="PYR138" s="9"/>
      <c r="PYS138" s="18"/>
      <c r="PYT138" s="18"/>
      <c r="PYU138" s="18"/>
      <c r="PYV138" s="18"/>
      <c r="PYW138" s="18"/>
      <c r="PYX138" s="17"/>
      <c r="PYY138" s="9"/>
      <c r="PYZ138" s="9"/>
      <c r="PZA138" s="18"/>
      <c r="PZB138" s="18"/>
      <c r="PZC138" s="18"/>
      <c r="PZD138" s="18"/>
      <c r="PZE138" s="18"/>
      <c r="PZF138" s="17"/>
      <c r="PZG138" s="9"/>
      <c r="PZH138" s="9"/>
      <c r="PZI138" s="18"/>
      <c r="PZJ138" s="18"/>
      <c r="PZK138" s="18"/>
      <c r="PZL138" s="18"/>
      <c r="PZM138" s="18"/>
      <c r="PZN138" s="17"/>
      <c r="PZO138" s="9"/>
      <c r="PZP138" s="9"/>
      <c r="PZQ138" s="18"/>
      <c r="PZR138" s="18"/>
      <c r="PZS138" s="18"/>
      <c r="PZT138" s="18"/>
      <c r="PZU138" s="18"/>
      <c r="PZV138" s="17"/>
      <c r="PZW138" s="9"/>
      <c r="PZX138" s="9"/>
      <c r="PZY138" s="18"/>
      <c r="PZZ138" s="18"/>
      <c r="QAA138" s="18"/>
      <c r="QAB138" s="18"/>
      <c r="QAC138" s="18"/>
      <c r="QAD138" s="17"/>
      <c r="QAE138" s="9"/>
      <c r="QAF138" s="9"/>
      <c r="QAG138" s="18"/>
      <c r="QAH138" s="18"/>
      <c r="QAI138" s="18"/>
      <c r="QAJ138" s="18"/>
      <c r="QAK138" s="18"/>
      <c r="QAL138" s="17"/>
      <c r="QAM138" s="9"/>
      <c r="QAN138" s="9"/>
      <c r="QAO138" s="18"/>
      <c r="QAP138" s="18"/>
      <c r="QAQ138" s="18"/>
      <c r="QAR138" s="18"/>
      <c r="QAS138" s="18"/>
      <c r="QAT138" s="17"/>
      <c r="QAU138" s="9"/>
      <c r="QAV138" s="9"/>
      <c r="QAW138" s="18"/>
      <c r="QAX138" s="18"/>
      <c r="QAY138" s="18"/>
      <c r="QAZ138" s="18"/>
      <c r="QBA138" s="18"/>
      <c r="QBB138" s="17"/>
      <c r="QBC138" s="9"/>
      <c r="QBD138" s="9"/>
      <c r="QBE138" s="18"/>
      <c r="QBF138" s="18"/>
      <c r="QBG138" s="18"/>
      <c r="QBH138" s="18"/>
      <c r="QBI138" s="18"/>
      <c r="QBJ138" s="17"/>
      <c r="QBK138" s="9"/>
      <c r="QBL138" s="9"/>
      <c r="QBM138" s="18"/>
      <c r="QBN138" s="18"/>
      <c r="QBO138" s="18"/>
      <c r="QBP138" s="18"/>
      <c r="QBQ138" s="18"/>
      <c r="QBR138" s="17"/>
      <c r="QBS138" s="9"/>
      <c r="QBT138" s="9"/>
      <c r="QBU138" s="18"/>
      <c r="QBV138" s="18"/>
      <c r="QBW138" s="18"/>
      <c r="QBX138" s="18"/>
      <c r="QBY138" s="18"/>
      <c r="QBZ138" s="17"/>
      <c r="QCA138" s="9"/>
      <c r="QCB138" s="9"/>
      <c r="QCC138" s="18"/>
      <c r="QCD138" s="18"/>
      <c r="QCE138" s="18"/>
      <c r="QCF138" s="18"/>
      <c r="QCG138" s="18"/>
      <c r="QCH138" s="17"/>
      <c r="QCI138" s="9"/>
      <c r="QCJ138" s="9"/>
      <c r="QCK138" s="18"/>
      <c r="QCL138" s="18"/>
      <c r="QCM138" s="18"/>
      <c r="QCN138" s="18"/>
      <c r="QCO138" s="18"/>
      <c r="QCP138" s="17"/>
      <c r="QCQ138" s="9"/>
      <c r="QCR138" s="9"/>
      <c r="QCS138" s="18"/>
      <c r="QCT138" s="18"/>
      <c r="QCU138" s="18"/>
      <c r="QCV138" s="18"/>
      <c r="QCW138" s="18"/>
      <c r="QCX138" s="17"/>
      <c r="QCY138" s="9"/>
      <c r="QCZ138" s="9"/>
      <c r="QDA138" s="18"/>
      <c r="QDB138" s="18"/>
      <c r="QDC138" s="18"/>
      <c r="QDD138" s="18"/>
      <c r="QDE138" s="18"/>
      <c r="QDF138" s="17"/>
      <c r="QDG138" s="9"/>
      <c r="QDH138" s="9"/>
      <c r="QDI138" s="18"/>
      <c r="QDJ138" s="18"/>
      <c r="QDK138" s="18"/>
      <c r="QDL138" s="18"/>
      <c r="QDM138" s="18"/>
      <c r="QDN138" s="17"/>
      <c r="QDO138" s="9"/>
      <c r="QDP138" s="9"/>
      <c r="QDQ138" s="18"/>
      <c r="QDR138" s="18"/>
      <c r="QDS138" s="18"/>
      <c r="QDT138" s="18"/>
      <c r="QDU138" s="18"/>
      <c r="QDV138" s="17"/>
      <c r="QDW138" s="9"/>
      <c r="QDX138" s="9"/>
      <c r="QDY138" s="18"/>
      <c r="QDZ138" s="18"/>
      <c r="QEA138" s="18"/>
      <c r="QEB138" s="18"/>
      <c r="QEC138" s="18"/>
      <c r="QED138" s="17"/>
      <c r="QEE138" s="9"/>
      <c r="QEF138" s="9"/>
      <c r="QEG138" s="18"/>
      <c r="QEH138" s="18"/>
      <c r="QEI138" s="18"/>
      <c r="QEJ138" s="18"/>
      <c r="QEK138" s="18"/>
      <c r="QEL138" s="17"/>
      <c r="QEM138" s="9"/>
      <c r="QEN138" s="9"/>
      <c r="QEO138" s="18"/>
      <c r="QEP138" s="18"/>
      <c r="QEQ138" s="18"/>
      <c r="QER138" s="18"/>
      <c r="QES138" s="18"/>
      <c r="QET138" s="17"/>
      <c r="QEU138" s="9"/>
      <c r="QEV138" s="9"/>
      <c r="QEW138" s="18"/>
      <c r="QEX138" s="18"/>
      <c r="QEY138" s="18"/>
      <c r="QEZ138" s="18"/>
      <c r="QFA138" s="18"/>
      <c r="QFB138" s="17"/>
      <c r="QFC138" s="9"/>
      <c r="QFD138" s="9"/>
      <c r="QFE138" s="18"/>
      <c r="QFF138" s="18"/>
      <c r="QFG138" s="18"/>
      <c r="QFH138" s="18"/>
      <c r="QFI138" s="18"/>
      <c r="QFJ138" s="17"/>
      <c r="QFK138" s="9"/>
      <c r="QFL138" s="9"/>
      <c r="QFM138" s="18"/>
      <c r="QFN138" s="18"/>
      <c r="QFO138" s="18"/>
      <c r="QFP138" s="18"/>
      <c r="QFQ138" s="18"/>
      <c r="QFR138" s="17"/>
      <c r="QFS138" s="9"/>
      <c r="QFT138" s="9"/>
      <c r="QFU138" s="18"/>
      <c r="QFV138" s="18"/>
      <c r="QFW138" s="18"/>
      <c r="QFX138" s="18"/>
      <c r="QFY138" s="18"/>
      <c r="QFZ138" s="17"/>
      <c r="QGA138" s="9"/>
      <c r="QGB138" s="9"/>
      <c r="QGC138" s="18"/>
      <c r="QGD138" s="18"/>
      <c r="QGE138" s="18"/>
      <c r="QGF138" s="18"/>
      <c r="QGG138" s="18"/>
      <c r="QGH138" s="17"/>
      <c r="QGI138" s="9"/>
      <c r="QGJ138" s="9"/>
      <c r="QGK138" s="18"/>
      <c r="QGL138" s="18"/>
      <c r="QGM138" s="18"/>
      <c r="QGN138" s="18"/>
      <c r="QGO138" s="18"/>
      <c r="QGP138" s="17"/>
      <c r="QGQ138" s="9"/>
      <c r="QGR138" s="9"/>
      <c r="QGS138" s="18"/>
      <c r="QGT138" s="18"/>
      <c r="QGU138" s="18"/>
      <c r="QGV138" s="18"/>
      <c r="QGW138" s="18"/>
      <c r="QGX138" s="17"/>
      <c r="QGY138" s="9"/>
      <c r="QGZ138" s="9"/>
      <c r="QHA138" s="18"/>
      <c r="QHB138" s="18"/>
      <c r="QHC138" s="18"/>
      <c r="QHD138" s="18"/>
      <c r="QHE138" s="18"/>
      <c r="QHF138" s="17"/>
      <c r="QHG138" s="9"/>
      <c r="QHH138" s="9"/>
      <c r="QHI138" s="18"/>
      <c r="QHJ138" s="18"/>
      <c r="QHK138" s="18"/>
      <c r="QHL138" s="18"/>
      <c r="QHM138" s="18"/>
      <c r="QHN138" s="17"/>
      <c r="QHO138" s="9"/>
      <c r="QHP138" s="9"/>
      <c r="QHQ138" s="18"/>
      <c r="QHR138" s="18"/>
      <c r="QHS138" s="18"/>
      <c r="QHT138" s="18"/>
      <c r="QHU138" s="18"/>
      <c r="QHV138" s="17"/>
      <c r="QHW138" s="9"/>
      <c r="QHX138" s="9"/>
      <c r="QHY138" s="18"/>
      <c r="QHZ138" s="18"/>
      <c r="QIA138" s="18"/>
      <c r="QIB138" s="18"/>
      <c r="QIC138" s="18"/>
      <c r="QID138" s="17"/>
      <c r="QIE138" s="9"/>
      <c r="QIF138" s="9"/>
      <c r="QIG138" s="18"/>
      <c r="QIH138" s="18"/>
      <c r="QII138" s="18"/>
      <c r="QIJ138" s="18"/>
      <c r="QIK138" s="18"/>
      <c r="QIL138" s="17"/>
      <c r="QIM138" s="9"/>
      <c r="QIN138" s="9"/>
      <c r="QIO138" s="18"/>
      <c r="QIP138" s="18"/>
      <c r="QIQ138" s="18"/>
      <c r="QIR138" s="18"/>
      <c r="QIS138" s="18"/>
      <c r="QIT138" s="17"/>
      <c r="QIU138" s="9"/>
      <c r="QIV138" s="9"/>
      <c r="QIW138" s="18"/>
      <c r="QIX138" s="18"/>
      <c r="QIY138" s="18"/>
      <c r="QIZ138" s="18"/>
      <c r="QJA138" s="18"/>
      <c r="QJB138" s="17"/>
      <c r="QJC138" s="9"/>
      <c r="QJD138" s="9"/>
      <c r="QJE138" s="18"/>
      <c r="QJF138" s="18"/>
      <c r="QJG138" s="18"/>
      <c r="QJH138" s="18"/>
      <c r="QJI138" s="18"/>
      <c r="QJJ138" s="17"/>
      <c r="QJK138" s="9"/>
      <c r="QJL138" s="9"/>
      <c r="QJM138" s="18"/>
      <c r="QJN138" s="18"/>
      <c r="QJO138" s="18"/>
      <c r="QJP138" s="18"/>
      <c r="QJQ138" s="18"/>
      <c r="QJR138" s="17"/>
      <c r="QJS138" s="9"/>
      <c r="QJT138" s="9"/>
      <c r="QJU138" s="18"/>
      <c r="QJV138" s="18"/>
      <c r="QJW138" s="18"/>
      <c r="QJX138" s="18"/>
      <c r="QJY138" s="18"/>
      <c r="QJZ138" s="17"/>
      <c r="QKA138" s="9"/>
      <c r="QKB138" s="9"/>
      <c r="QKC138" s="18"/>
      <c r="QKD138" s="18"/>
      <c r="QKE138" s="18"/>
      <c r="QKF138" s="18"/>
      <c r="QKG138" s="18"/>
      <c r="QKH138" s="17"/>
      <c r="QKI138" s="9"/>
      <c r="QKJ138" s="9"/>
      <c r="QKK138" s="18"/>
      <c r="QKL138" s="18"/>
      <c r="QKM138" s="18"/>
      <c r="QKN138" s="18"/>
      <c r="QKO138" s="18"/>
      <c r="QKP138" s="17"/>
      <c r="QKQ138" s="9"/>
      <c r="QKR138" s="9"/>
      <c r="QKS138" s="18"/>
      <c r="QKT138" s="18"/>
      <c r="QKU138" s="18"/>
      <c r="QKV138" s="18"/>
      <c r="QKW138" s="18"/>
      <c r="QKX138" s="17"/>
      <c r="QKY138" s="9"/>
      <c r="QKZ138" s="9"/>
      <c r="QLA138" s="18"/>
      <c r="QLB138" s="18"/>
      <c r="QLC138" s="18"/>
      <c r="QLD138" s="18"/>
      <c r="QLE138" s="18"/>
      <c r="QLF138" s="17"/>
      <c r="QLG138" s="9"/>
      <c r="QLH138" s="9"/>
      <c r="QLI138" s="18"/>
      <c r="QLJ138" s="18"/>
      <c r="QLK138" s="18"/>
      <c r="QLL138" s="18"/>
      <c r="QLM138" s="18"/>
      <c r="QLN138" s="17"/>
      <c r="QLO138" s="9"/>
      <c r="QLP138" s="9"/>
      <c r="QLQ138" s="18"/>
      <c r="QLR138" s="18"/>
      <c r="QLS138" s="18"/>
      <c r="QLT138" s="18"/>
      <c r="QLU138" s="18"/>
      <c r="QLV138" s="17"/>
      <c r="QLW138" s="9"/>
      <c r="QLX138" s="9"/>
      <c r="QLY138" s="18"/>
      <c r="QLZ138" s="18"/>
      <c r="QMA138" s="18"/>
      <c r="QMB138" s="18"/>
      <c r="QMC138" s="18"/>
      <c r="QMD138" s="17"/>
      <c r="QME138" s="9"/>
      <c r="QMF138" s="9"/>
      <c r="QMG138" s="18"/>
      <c r="QMH138" s="18"/>
      <c r="QMI138" s="18"/>
      <c r="QMJ138" s="18"/>
      <c r="QMK138" s="18"/>
      <c r="QML138" s="17"/>
      <c r="QMM138" s="9"/>
      <c r="QMN138" s="9"/>
      <c r="QMO138" s="18"/>
      <c r="QMP138" s="18"/>
      <c r="QMQ138" s="18"/>
      <c r="QMR138" s="18"/>
      <c r="QMS138" s="18"/>
      <c r="QMT138" s="17"/>
      <c r="QMU138" s="9"/>
      <c r="QMV138" s="9"/>
      <c r="QMW138" s="18"/>
      <c r="QMX138" s="18"/>
      <c r="QMY138" s="18"/>
      <c r="QMZ138" s="18"/>
      <c r="QNA138" s="18"/>
      <c r="QNB138" s="17"/>
      <c r="QNC138" s="9"/>
      <c r="QND138" s="9"/>
      <c r="QNE138" s="18"/>
      <c r="QNF138" s="18"/>
      <c r="QNG138" s="18"/>
      <c r="QNH138" s="18"/>
      <c r="QNI138" s="18"/>
      <c r="QNJ138" s="17"/>
      <c r="QNK138" s="9"/>
      <c r="QNL138" s="9"/>
      <c r="QNM138" s="18"/>
      <c r="QNN138" s="18"/>
      <c r="QNO138" s="18"/>
      <c r="QNP138" s="18"/>
      <c r="QNQ138" s="18"/>
      <c r="QNR138" s="17"/>
      <c r="QNS138" s="9"/>
      <c r="QNT138" s="9"/>
      <c r="QNU138" s="18"/>
      <c r="QNV138" s="18"/>
      <c r="QNW138" s="18"/>
      <c r="QNX138" s="18"/>
      <c r="QNY138" s="18"/>
      <c r="QNZ138" s="17"/>
      <c r="QOA138" s="9"/>
      <c r="QOB138" s="9"/>
      <c r="QOC138" s="18"/>
      <c r="QOD138" s="18"/>
      <c r="QOE138" s="18"/>
      <c r="QOF138" s="18"/>
      <c r="QOG138" s="18"/>
      <c r="QOH138" s="17"/>
      <c r="QOI138" s="9"/>
      <c r="QOJ138" s="9"/>
      <c r="QOK138" s="18"/>
      <c r="QOL138" s="18"/>
      <c r="QOM138" s="18"/>
      <c r="QON138" s="18"/>
      <c r="QOO138" s="18"/>
      <c r="QOP138" s="17"/>
      <c r="QOQ138" s="9"/>
      <c r="QOR138" s="9"/>
      <c r="QOS138" s="18"/>
      <c r="QOT138" s="18"/>
      <c r="QOU138" s="18"/>
      <c r="QOV138" s="18"/>
      <c r="QOW138" s="18"/>
      <c r="QOX138" s="17"/>
      <c r="QOY138" s="9"/>
      <c r="QOZ138" s="9"/>
      <c r="QPA138" s="18"/>
      <c r="QPB138" s="18"/>
      <c r="QPC138" s="18"/>
      <c r="QPD138" s="18"/>
      <c r="QPE138" s="18"/>
      <c r="QPF138" s="17"/>
      <c r="QPG138" s="9"/>
      <c r="QPH138" s="9"/>
      <c r="QPI138" s="18"/>
      <c r="QPJ138" s="18"/>
      <c r="QPK138" s="18"/>
      <c r="QPL138" s="18"/>
      <c r="QPM138" s="18"/>
      <c r="QPN138" s="17"/>
      <c r="QPO138" s="9"/>
      <c r="QPP138" s="9"/>
      <c r="QPQ138" s="18"/>
      <c r="QPR138" s="18"/>
      <c r="QPS138" s="18"/>
      <c r="QPT138" s="18"/>
      <c r="QPU138" s="18"/>
      <c r="QPV138" s="17"/>
      <c r="QPW138" s="9"/>
      <c r="QPX138" s="9"/>
      <c r="QPY138" s="18"/>
      <c r="QPZ138" s="18"/>
      <c r="QQA138" s="18"/>
      <c r="QQB138" s="18"/>
      <c r="QQC138" s="18"/>
      <c r="QQD138" s="17"/>
      <c r="QQE138" s="9"/>
      <c r="QQF138" s="9"/>
      <c r="QQG138" s="18"/>
      <c r="QQH138" s="18"/>
      <c r="QQI138" s="18"/>
      <c r="QQJ138" s="18"/>
      <c r="QQK138" s="18"/>
      <c r="QQL138" s="17"/>
      <c r="QQM138" s="9"/>
      <c r="QQN138" s="9"/>
      <c r="QQO138" s="18"/>
      <c r="QQP138" s="18"/>
      <c r="QQQ138" s="18"/>
      <c r="QQR138" s="18"/>
      <c r="QQS138" s="18"/>
      <c r="QQT138" s="17"/>
      <c r="QQU138" s="9"/>
      <c r="QQV138" s="9"/>
      <c r="QQW138" s="18"/>
      <c r="QQX138" s="18"/>
      <c r="QQY138" s="18"/>
      <c r="QQZ138" s="18"/>
      <c r="QRA138" s="18"/>
      <c r="QRB138" s="17"/>
      <c r="QRC138" s="9"/>
      <c r="QRD138" s="9"/>
      <c r="QRE138" s="18"/>
      <c r="QRF138" s="18"/>
      <c r="QRG138" s="18"/>
      <c r="QRH138" s="18"/>
      <c r="QRI138" s="18"/>
      <c r="QRJ138" s="17"/>
      <c r="QRK138" s="9"/>
      <c r="QRL138" s="9"/>
      <c r="QRM138" s="18"/>
      <c r="QRN138" s="18"/>
      <c r="QRO138" s="18"/>
      <c r="QRP138" s="18"/>
      <c r="QRQ138" s="18"/>
      <c r="QRR138" s="17"/>
      <c r="QRS138" s="9"/>
      <c r="QRT138" s="9"/>
      <c r="QRU138" s="18"/>
      <c r="QRV138" s="18"/>
      <c r="QRW138" s="18"/>
      <c r="QRX138" s="18"/>
      <c r="QRY138" s="18"/>
      <c r="QRZ138" s="17"/>
      <c r="QSA138" s="9"/>
      <c r="QSB138" s="9"/>
      <c r="QSC138" s="18"/>
      <c r="QSD138" s="18"/>
      <c r="QSE138" s="18"/>
      <c r="QSF138" s="18"/>
      <c r="QSG138" s="18"/>
      <c r="QSH138" s="17"/>
      <c r="QSI138" s="9"/>
      <c r="QSJ138" s="9"/>
      <c r="QSK138" s="18"/>
      <c r="QSL138" s="18"/>
      <c r="QSM138" s="18"/>
      <c r="QSN138" s="18"/>
      <c r="QSO138" s="18"/>
      <c r="QSP138" s="17"/>
      <c r="QSQ138" s="9"/>
      <c r="QSR138" s="9"/>
      <c r="QSS138" s="18"/>
      <c r="QST138" s="18"/>
      <c r="QSU138" s="18"/>
      <c r="QSV138" s="18"/>
      <c r="QSW138" s="18"/>
      <c r="QSX138" s="17"/>
      <c r="QSY138" s="9"/>
      <c r="QSZ138" s="9"/>
      <c r="QTA138" s="18"/>
      <c r="QTB138" s="18"/>
      <c r="QTC138" s="18"/>
      <c r="QTD138" s="18"/>
      <c r="QTE138" s="18"/>
      <c r="QTF138" s="17"/>
      <c r="QTG138" s="9"/>
      <c r="QTH138" s="9"/>
      <c r="QTI138" s="18"/>
      <c r="QTJ138" s="18"/>
      <c r="QTK138" s="18"/>
      <c r="QTL138" s="18"/>
      <c r="QTM138" s="18"/>
      <c r="QTN138" s="17"/>
      <c r="QTO138" s="9"/>
      <c r="QTP138" s="9"/>
      <c r="QTQ138" s="18"/>
      <c r="QTR138" s="18"/>
      <c r="QTS138" s="18"/>
      <c r="QTT138" s="18"/>
      <c r="QTU138" s="18"/>
      <c r="QTV138" s="17"/>
      <c r="QTW138" s="9"/>
      <c r="QTX138" s="9"/>
      <c r="QTY138" s="18"/>
      <c r="QTZ138" s="18"/>
      <c r="QUA138" s="18"/>
      <c r="QUB138" s="18"/>
      <c r="QUC138" s="18"/>
      <c r="QUD138" s="17"/>
      <c r="QUE138" s="9"/>
      <c r="QUF138" s="9"/>
      <c r="QUG138" s="18"/>
      <c r="QUH138" s="18"/>
      <c r="QUI138" s="18"/>
      <c r="QUJ138" s="18"/>
      <c r="QUK138" s="18"/>
      <c r="QUL138" s="17"/>
      <c r="QUM138" s="9"/>
      <c r="QUN138" s="9"/>
      <c r="QUO138" s="18"/>
      <c r="QUP138" s="18"/>
      <c r="QUQ138" s="18"/>
      <c r="QUR138" s="18"/>
      <c r="QUS138" s="18"/>
      <c r="QUT138" s="17"/>
      <c r="QUU138" s="9"/>
      <c r="QUV138" s="9"/>
      <c r="QUW138" s="18"/>
      <c r="QUX138" s="18"/>
      <c r="QUY138" s="18"/>
      <c r="QUZ138" s="18"/>
      <c r="QVA138" s="18"/>
      <c r="QVB138" s="17"/>
      <c r="QVC138" s="9"/>
      <c r="QVD138" s="9"/>
      <c r="QVE138" s="18"/>
      <c r="QVF138" s="18"/>
      <c r="QVG138" s="18"/>
      <c r="QVH138" s="18"/>
      <c r="QVI138" s="18"/>
      <c r="QVJ138" s="17"/>
      <c r="QVK138" s="9"/>
      <c r="QVL138" s="9"/>
      <c r="QVM138" s="18"/>
      <c r="QVN138" s="18"/>
      <c r="QVO138" s="18"/>
      <c r="QVP138" s="18"/>
      <c r="QVQ138" s="18"/>
      <c r="QVR138" s="17"/>
      <c r="QVS138" s="9"/>
      <c r="QVT138" s="9"/>
      <c r="QVU138" s="18"/>
      <c r="QVV138" s="18"/>
      <c r="QVW138" s="18"/>
      <c r="QVX138" s="18"/>
      <c r="QVY138" s="18"/>
      <c r="QVZ138" s="17"/>
      <c r="QWA138" s="9"/>
      <c r="QWB138" s="9"/>
      <c r="QWC138" s="18"/>
      <c r="QWD138" s="18"/>
      <c r="QWE138" s="18"/>
      <c r="QWF138" s="18"/>
      <c r="QWG138" s="18"/>
      <c r="QWH138" s="17"/>
      <c r="QWI138" s="9"/>
      <c r="QWJ138" s="9"/>
      <c r="QWK138" s="18"/>
      <c r="QWL138" s="18"/>
      <c r="QWM138" s="18"/>
      <c r="QWN138" s="18"/>
      <c r="QWO138" s="18"/>
      <c r="QWP138" s="17"/>
      <c r="QWQ138" s="9"/>
      <c r="QWR138" s="9"/>
      <c r="QWS138" s="18"/>
      <c r="QWT138" s="18"/>
      <c r="QWU138" s="18"/>
      <c r="QWV138" s="18"/>
      <c r="QWW138" s="18"/>
      <c r="QWX138" s="17"/>
      <c r="QWY138" s="9"/>
      <c r="QWZ138" s="9"/>
      <c r="QXA138" s="18"/>
      <c r="QXB138" s="18"/>
      <c r="QXC138" s="18"/>
      <c r="QXD138" s="18"/>
      <c r="QXE138" s="18"/>
      <c r="QXF138" s="17"/>
      <c r="QXG138" s="9"/>
      <c r="QXH138" s="9"/>
      <c r="QXI138" s="18"/>
      <c r="QXJ138" s="18"/>
      <c r="QXK138" s="18"/>
      <c r="QXL138" s="18"/>
      <c r="QXM138" s="18"/>
      <c r="QXN138" s="17"/>
      <c r="QXO138" s="9"/>
      <c r="QXP138" s="9"/>
      <c r="QXQ138" s="18"/>
      <c r="QXR138" s="18"/>
      <c r="QXS138" s="18"/>
      <c r="QXT138" s="18"/>
      <c r="QXU138" s="18"/>
      <c r="QXV138" s="17"/>
      <c r="QXW138" s="9"/>
      <c r="QXX138" s="9"/>
      <c r="QXY138" s="18"/>
      <c r="QXZ138" s="18"/>
      <c r="QYA138" s="18"/>
      <c r="QYB138" s="18"/>
      <c r="QYC138" s="18"/>
      <c r="QYD138" s="17"/>
      <c r="QYE138" s="9"/>
      <c r="QYF138" s="9"/>
      <c r="QYG138" s="18"/>
      <c r="QYH138" s="18"/>
      <c r="QYI138" s="18"/>
      <c r="QYJ138" s="18"/>
      <c r="QYK138" s="18"/>
      <c r="QYL138" s="17"/>
      <c r="QYM138" s="9"/>
      <c r="QYN138" s="9"/>
      <c r="QYO138" s="18"/>
      <c r="QYP138" s="18"/>
      <c r="QYQ138" s="18"/>
      <c r="QYR138" s="18"/>
      <c r="QYS138" s="18"/>
      <c r="QYT138" s="17"/>
      <c r="QYU138" s="9"/>
      <c r="QYV138" s="9"/>
      <c r="QYW138" s="18"/>
      <c r="QYX138" s="18"/>
      <c r="QYY138" s="18"/>
      <c r="QYZ138" s="18"/>
      <c r="QZA138" s="18"/>
      <c r="QZB138" s="17"/>
      <c r="QZC138" s="9"/>
      <c r="QZD138" s="9"/>
      <c r="QZE138" s="18"/>
      <c r="QZF138" s="18"/>
      <c r="QZG138" s="18"/>
      <c r="QZH138" s="18"/>
      <c r="QZI138" s="18"/>
      <c r="QZJ138" s="17"/>
      <c r="QZK138" s="9"/>
      <c r="QZL138" s="9"/>
      <c r="QZM138" s="18"/>
      <c r="QZN138" s="18"/>
      <c r="QZO138" s="18"/>
      <c r="QZP138" s="18"/>
      <c r="QZQ138" s="18"/>
      <c r="QZR138" s="17"/>
      <c r="QZS138" s="9"/>
      <c r="QZT138" s="9"/>
      <c r="QZU138" s="18"/>
      <c r="QZV138" s="18"/>
      <c r="QZW138" s="18"/>
      <c r="QZX138" s="18"/>
      <c r="QZY138" s="18"/>
      <c r="QZZ138" s="17"/>
      <c r="RAA138" s="9"/>
      <c r="RAB138" s="9"/>
      <c r="RAC138" s="18"/>
      <c r="RAD138" s="18"/>
      <c r="RAE138" s="18"/>
      <c r="RAF138" s="18"/>
      <c r="RAG138" s="18"/>
      <c r="RAH138" s="17"/>
      <c r="RAI138" s="9"/>
      <c r="RAJ138" s="9"/>
      <c r="RAK138" s="18"/>
      <c r="RAL138" s="18"/>
      <c r="RAM138" s="18"/>
      <c r="RAN138" s="18"/>
      <c r="RAO138" s="18"/>
      <c r="RAP138" s="17"/>
      <c r="RAQ138" s="9"/>
      <c r="RAR138" s="9"/>
      <c r="RAS138" s="18"/>
      <c r="RAT138" s="18"/>
      <c r="RAU138" s="18"/>
      <c r="RAV138" s="18"/>
      <c r="RAW138" s="18"/>
      <c r="RAX138" s="17"/>
      <c r="RAY138" s="9"/>
      <c r="RAZ138" s="9"/>
      <c r="RBA138" s="18"/>
      <c r="RBB138" s="18"/>
      <c r="RBC138" s="18"/>
      <c r="RBD138" s="18"/>
      <c r="RBE138" s="18"/>
      <c r="RBF138" s="17"/>
      <c r="RBG138" s="9"/>
      <c r="RBH138" s="9"/>
      <c r="RBI138" s="18"/>
      <c r="RBJ138" s="18"/>
      <c r="RBK138" s="18"/>
      <c r="RBL138" s="18"/>
      <c r="RBM138" s="18"/>
      <c r="RBN138" s="17"/>
      <c r="RBO138" s="9"/>
      <c r="RBP138" s="9"/>
      <c r="RBQ138" s="18"/>
      <c r="RBR138" s="18"/>
      <c r="RBS138" s="18"/>
      <c r="RBT138" s="18"/>
      <c r="RBU138" s="18"/>
      <c r="RBV138" s="17"/>
      <c r="RBW138" s="9"/>
      <c r="RBX138" s="9"/>
      <c r="RBY138" s="18"/>
      <c r="RBZ138" s="18"/>
      <c r="RCA138" s="18"/>
      <c r="RCB138" s="18"/>
      <c r="RCC138" s="18"/>
      <c r="RCD138" s="17"/>
      <c r="RCE138" s="9"/>
      <c r="RCF138" s="9"/>
      <c r="RCG138" s="18"/>
      <c r="RCH138" s="18"/>
      <c r="RCI138" s="18"/>
      <c r="RCJ138" s="18"/>
      <c r="RCK138" s="18"/>
      <c r="RCL138" s="17"/>
      <c r="RCM138" s="9"/>
      <c r="RCN138" s="9"/>
      <c r="RCO138" s="18"/>
      <c r="RCP138" s="18"/>
      <c r="RCQ138" s="18"/>
      <c r="RCR138" s="18"/>
      <c r="RCS138" s="18"/>
      <c r="RCT138" s="17"/>
      <c r="RCU138" s="9"/>
      <c r="RCV138" s="9"/>
      <c r="RCW138" s="18"/>
      <c r="RCX138" s="18"/>
      <c r="RCY138" s="18"/>
      <c r="RCZ138" s="18"/>
      <c r="RDA138" s="18"/>
      <c r="RDB138" s="17"/>
      <c r="RDC138" s="9"/>
      <c r="RDD138" s="9"/>
      <c r="RDE138" s="18"/>
      <c r="RDF138" s="18"/>
      <c r="RDG138" s="18"/>
      <c r="RDH138" s="18"/>
      <c r="RDI138" s="18"/>
      <c r="RDJ138" s="17"/>
      <c r="RDK138" s="9"/>
      <c r="RDL138" s="9"/>
      <c r="RDM138" s="18"/>
      <c r="RDN138" s="18"/>
      <c r="RDO138" s="18"/>
      <c r="RDP138" s="18"/>
      <c r="RDQ138" s="18"/>
      <c r="RDR138" s="17"/>
      <c r="RDS138" s="9"/>
      <c r="RDT138" s="9"/>
      <c r="RDU138" s="18"/>
      <c r="RDV138" s="18"/>
      <c r="RDW138" s="18"/>
      <c r="RDX138" s="18"/>
      <c r="RDY138" s="18"/>
      <c r="RDZ138" s="17"/>
      <c r="REA138" s="9"/>
      <c r="REB138" s="9"/>
      <c r="REC138" s="18"/>
      <c r="RED138" s="18"/>
      <c r="REE138" s="18"/>
      <c r="REF138" s="18"/>
      <c r="REG138" s="18"/>
      <c r="REH138" s="17"/>
      <c r="REI138" s="9"/>
      <c r="REJ138" s="9"/>
      <c r="REK138" s="18"/>
      <c r="REL138" s="18"/>
      <c r="REM138" s="18"/>
      <c r="REN138" s="18"/>
      <c r="REO138" s="18"/>
      <c r="REP138" s="17"/>
      <c r="REQ138" s="9"/>
      <c r="RER138" s="9"/>
      <c r="RES138" s="18"/>
      <c r="RET138" s="18"/>
      <c r="REU138" s="18"/>
      <c r="REV138" s="18"/>
      <c r="REW138" s="18"/>
      <c r="REX138" s="17"/>
      <c r="REY138" s="9"/>
      <c r="REZ138" s="9"/>
      <c r="RFA138" s="18"/>
      <c r="RFB138" s="18"/>
      <c r="RFC138" s="18"/>
      <c r="RFD138" s="18"/>
      <c r="RFE138" s="18"/>
      <c r="RFF138" s="17"/>
      <c r="RFG138" s="9"/>
      <c r="RFH138" s="9"/>
      <c r="RFI138" s="18"/>
      <c r="RFJ138" s="18"/>
      <c r="RFK138" s="18"/>
      <c r="RFL138" s="18"/>
      <c r="RFM138" s="18"/>
      <c r="RFN138" s="17"/>
      <c r="RFO138" s="9"/>
      <c r="RFP138" s="9"/>
      <c r="RFQ138" s="18"/>
      <c r="RFR138" s="18"/>
      <c r="RFS138" s="18"/>
      <c r="RFT138" s="18"/>
      <c r="RFU138" s="18"/>
      <c r="RFV138" s="17"/>
      <c r="RFW138" s="9"/>
      <c r="RFX138" s="9"/>
      <c r="RFY138" s="18"/>
      <c r="RFZ138" s="18"/>
      <c r="RGA138" s="18"/>
      <c r="RGB138" s="18"/>
      <c r="RGC138" s="18"/>
      <c r="RGD138" s="17"/>
      <c r="RGE138" s="9"/>
      <c r="RGF138" s="9"/>
      <c r="RGG138" s="18"/>
      <c r="RGH138" s="18"/>
      <c r="RGI138" s="18"/>
      <c r="RGJ138" s="18"/>
      <c r="RGK138" s="18"/>
      <c r="RGL138" s="17"/>
      <c r="RGM138" s="9"/>
      <c r="RGN138" s="9"/>
      <c r="RGO138" s="18"/>
      <c r="RGP138" s="18"/>
      <c r="RGQ138" s="18"/>
      <c r="RGR138" s="18"/>
      <c r="RGS138" s="18"/>
      <c r="RGT138" s="17"/>
      <c r="RGU138" s="9"/>
      <c r="RGV138" s="9"/>
      <c r="RGW138" s="18"/>
      <c r="RGX138" s="18"/>
      <c r="RGY138" s="18"/>
      <c r="RGZ138" s="18"/>
      <c r="RHA138" s="18"/>
      <c r="RHB138" s="17"/>
      <c r="RHC138" s="9"/>
      <c r="RHD138" s="9"/>
      <c r="RHE138" s="18"/>
      <c r="RHF138" s="18"/>
      <c r="RHG138" s="18"/>
      <c r="RHH138" s="18"/>
      <c r="RHI138" s="18"/>
      <c r="RHJ138" s="17"/>
      <c r="RHK138" s="9"/>
      <c r="RHL138" s="9"/>
      <c r="RHM138" s="18"/>
      <c r="RHN138" s="18"/>
      <c r="RHO138" s="18"/>
      <c r="RHP138" s="18"/>
      <c r="RHQ138" s="18"/>
      <c r="RHR138" s="17"/>
      <c r="RHS138" s="9"/>
      <c r="RHT138" s="9"/>
      <c r="RHU138" s="18"/>
      <c r="RHV138" s="18"/>
      <c r="RHW138" s="18"/>
      <c r="RHX138" s="18"/>
      <c r="RHY138" s="18"/>
      <c r="RHZ138" s="17"/>
      <c r="RIA138" s="9"/>
      <c r="RIB138" s="9"/>
      <c r="RIC138" s="18"/>
      <c r="RID138" s="18"/>
      <c r="RIE138" s="18"/>
      <c r="RIF138" s="18"/>
      <c r="RIG138" s="18"/>
      <c r="RIH138" s="17"/>
      <c r="RII138" s="9"/>
      <c r="RIJ138" s="9"/>
      <c r="RIK138" s="18"/>
      <c r="RIL138" s="18"/>
      <c r="RIM138" s="18"/>
      <c r="RIN138" s="18"/>
      <c r="RIO138" s="18"/>
      <c r="RIP138" s="17"/>
      <c r="RIQ138" s="9"/>
      <c r="RIR138" s="9"/>
      <c r="RIS138" s="18"/>
      <c r="RIT138" s="18"/>
      <c r="RIU138" s="18"/>
      <c r="RIV138" s="18"/>
      <c r="RIW138" s="18"/>
      <c r="RIX138" s="17"/>
      <c r="RIY138" s="9"/>
      <c r="RIZ138" s="9"/>
      <c r="RJA138" s="18"/>
      <c r="RJB138" s="18"/>
      <c r="RJC138" s="18"/>
      <c r="RJD138" s="18"/>
      <c r="RJE138" s="18"/>
      <c r="RJF138" s="17"/>
      <c r="RJG138" s="9"/>
      <c r="RJH138" s="9"/>
      <c r="RJI138" s="18"/>
      <c r="RJJ138" s="18"/>
      <c r="RJK138" s="18"/>
      <c r="RJL138" s="18"/>
      <c r="RJM138" s="18"/>
      <c r="RJN138" s="17"/>
      <c r="RJO138" s="9"/>
      <c r="RJP138" s="9"/>
      <c r="RJQ138" s="18"/>
      <c r="RJR138" s="18"/>
      <c r="RJS138" s="18"/>
      <c r="RJT138" s="18"/>
      <c r="RJU138" s="18"/>
      <c r="RJV138" s="17"/>
      <c r="RJW138" s="9"/>
      <c r="RJX138" s="9"/>
      <c r="RJY138" s="18"/>
      <c r="RJZ138" s="18"/>
      <c r="RKA138" s="18"/>
      <c r="RKB138" s="18"/>
      <c r="RKC138" s="18"/>
      <c r="RKD138" s="17"/>
      <c r="RKE138" s="9"/>
      <c r="RKF138" s="9"/>
      <c r="RKG138" s="18"/>
      <c r="RKH138" s="18"/>
      <c r="RKI138" s="18"/>
      <c r="RKJ138" s="18"/>
      <c r="RKK138" s="18"/>
      <c r="RKL138" s="17"/>
      <c r="RKM138" s="9"/>
      <c r="RKN138" s="9"/>
      <c r="RKO138" s="18"/>
      <c r="RKP138" s="18"/>
      <c r="RKQ138" s="18"/>
      <c r="RKR138" s="18"/>
      <c r="RKS138" s="18"/>
      <c r="RKT138" s="17"/>
      <c r="RKU138" s="9"/>
      <c r="RKV138" s="9"/>
      <c r="RKW138" s="18"/>
      <c r="RKX138" s="18"/>
      <c r="RKY138" s="18"/>
      <c r="RKZ138" s="18"/>
      <c r="RLA138" s="18"/>
      <c r="RLB138" s="17"/>
      <c r="RLC138" s="9"/>
      <c r="RLD138" s="9"/>
      <c r="RLE138" s="18"/>
      <c r="RLF138" s="18"/>
      <c r="RLG138" s="18"/>
      <c r="RLH138" s="18"/>
      <c r="RLI138" s="18"/>
      <c r="RLJ138" s="17"/>
      <c r="RLK138" s="9"/>
      <c r="RLL138" s="9"/>
      <c r="RLM138" s="18"/>
      <c r="RLN138" s="18"/>
      <c r="RLO138" s="18"/>
      <c r="RLP138" s="18"/>
      <c r="RLQ138" s="18"/>
      <c r="RLR138" s="17"/>
      <c r="RLS138" s="9"/>
      <c r="RLT138" s="9"/>
      <c r="RLU138" s="18"/>
      <c r="RLV138" s="18"/>
      <c r="RLW138" s="18"/>
      <c r="RLX138" s="18"/>
      <c r="RLY138" s="18"/>
      <c r="RLZ138" s="17"/>
      <c r="RMA138" s="9"/>
      <c r="RMB138" s="9"/>
      <c r="RMC138" s="18"/>
      <c r="RMD138" s="18"/>
      <c r="RME138" s="18"/>
      <c r="RMF138" s="18"/>
      <c r="RMG138" s="18"/>
      <c r="RMH138" s="17"/>
      <c r="RMI138" s="9"/>
      <c r="RMJ138" s="9"/>
      <c r="RMK138" s="18"/>
      <c r="RML138" s="18"/>
      <c r="RMM138" s="18"/>
      <c r="RMN138" s="18"/>
      <c r="RMO138" s="18"/>
      <c r="RMP138" s="17"/>
      <c r="RMQ138" s="9"/>
      <c r="RMR138" s="9"/>
      <c r="RMS138" s="18"/>
      <c r="RMT138" s="18"/>
      <c r="RMU138" s="18"/>
      <c r="RMV138" s="18"/>
      <c r="RMW138" s="18"/>
      <c r="RMX138" s="17"/>
      <c r="RMY138" s="9"/>
      <c r="RMZ138" s="9"/>
      <c r="RNA138" s="18"/>
      <c r="RNB138" s="18"/>
      <c r="RNC138" s="18"/>
      <c r="RND138" s="18"/>
      <c r="RNE138" s="18"/>
      <c r="RNF138" s="17"/>
      <c r="RNG138" s="9"/>
      <c r="RNH138" s="9"/>
      <c r="RNI138" s="18"/>
      <c r="RNJ138" s="18"/>
      <c r="RNK138" s="18"/>
      <c r="RNL138" s="18"/>
      <c r="RNM138" s="18"/>
      <c r="RNN138" s="17"/>
      <c r="RNO138" s="9"/>
      <c r="RNP138" s="9"/>
      <c r="RNQ138" s="18"/>
      <c r="RNR138" s="18"/>
      <c r="RNS138" s="18"/>
      <c r="RNT138" s="18"/>
      <c r="RNU138" s="18"/>
      <c r="RNV138" s="17"/>
      <c r="RNW138" s="9"/>
      <c r="RNX138" s="9"/>
      <c r="RNY138" s="18"/>
      <c r="RNZ138" s="18"/>
      <c r="ROA138" s="18"/>
      <c r="ROB138" s="18"/>
      <c r="ROC138" s="18"/>
      <c r="ROD138" s="17"/>
      <c r="ROE138" s="9"/>
      <c r="ROF138" s="9"/>
      <c r="ROG138" s="18"/>
      <c r="ROH138" s="18"/>
      <c r="ROI138" s="18"/>
      <c r="ROJ138" s="18"/>
      <c r="ROK138" s="18"/>
      <c r="ROL138" s="17"/>
      <c r="ROM138" s="9"/>
      <c r="RON138" s="9"/>
      <c r="ROO138" s="18"/>
      <c r="ROP138" s="18"/>
      <c r="ROQ138" s="18"/>
      <c r="ROR138" s="18"/>
      <c r="ROS138" s="18"/>
      <c r="ROT138" s="17"/>
      <c r="ROU138" s="9"/>
      <c r="ROV138" s="9"/>
      <c r="ROW138" s="18"/>
      <c r="ROX138" s="18"/>
      <c r="ROY138" s="18"/>
      <c r="ROZ138" s="18"/>
      <c r="RPA138" s="18"/>
      <c r="RPB138" s="17"/>
      <c r="RPC138" s="9"/>
      <c r="RPD138" s="9"/>
      <c r="RPE138" s="18"/>
      <c r="RPF138" s="18"/>
      <c r="RPG138" s="18"/>
      <c r="RPH138" s="18"/>
      <c r="RPI138" s="18"/>
      <c r="RPJ138" s="17"/>
      <c r="RPK138" s="9"/>
      <c r="RPL138" s="9"/>
      <c r="RPM138" s="18"/>
      <c r="RPN138" s="18"/>
      <c r="RPO138" s="18"/>
      <c r="RPP138" s="18"/>
      <c r="RPQ138" s="18"/>
      <c r="RPR138" s="17"/>
      <c r="RPS138" s="9"/>
      <c r="RPT138" s="9"/>
      <c r="RPU138" s="18"/>
      <c r="RPV138" s="18"/>
      <c r="RPW138" s="18"/>
      <c r="RPX138" s="18"/>
      <c r="RPY138" s="18"/>
      <c r="RPZ138" s="17"/>
      <c r="RQA138" s="9"/>
      <c r="RQB138" s="9"/>
      <c r="RQC138" s="18"/>
      <c r="RQD138" s="18"/>
      <c r="RQE138" s="18"/>
      <c r="RQF138" s="18"/>
      <c r="RQG138" s="18"/>
      <c r="RQH138" s="17"/>
      <c r="RQI138" s="9"/>
      <c r="RQJ138" s="9"/>
      <c r="RQK138" s="18"/>
      <c r="RQL138" s="18"/>
      <c r="RQM138" s="18"/>
      <c r="RQN138" s="18"/>
      <c r="RQO138" s="18"/>
      <c r="RQP138" s="17"/>
      <c r="RQQ138" s="9"/>
      <c r="RQR138" s="9"/>
      <c r="RQS138" s="18"/>
      <c r="RQT138" s="18"/>
      <c r="RQU138" s="18"/>
      <c r="RQV138" s="18"/>
      <c r="RQW138" s="18"/>
      <c r="RQX138" s="17"/>
      <c r="RQY138" s="9"/>
      <c r="RQZ138" s="9"/>
      <c r="RRA138" s="18"/>
      <c r="RRB138" s="18"/>
      <c r="RRC138" s="18"/>
      <c r="RRD138" s="18"/>
      <c r="RRE138" s="18"/>
      <c r="RRF138" s="17"/>
      <c r="RRG138" s="9"/>
      <c r="RRH138" s="9"/>
      <c r="RRI138" s="18"/>
      <c r="RRJ138" s="18"/>
      <c r="RRK138" s="18"/>
      <c r="RRL138" s="18"/>
      <c r="RRM138" s="18"/>
      <c r="RRN138" s="17"/>
      <c r="RRO138" s="9"/>
      <c r="RRP138" s="9"/>
      <c r="RRQ138" s="18"/>
      <c r="RRR138" s="18"/>
      <c r="RRS138" s="18"/>
      <c r="RRT138" s="18"/>
      <c r="RRU138" s="18"/>
      <c r="RRV138" s="17"/>
      <c r="RRW138" s="9"/>
      <c r="RRX138" s="9"/>
      <c r="RRY138" s="18"/>
      <c r="RRZ138" s="18"/>
      <c r="RSA138" s="18"/>
      <c r="RSB138" s="18"/>
      <c r="RSC138" s="18"/>
      <c r="RSD138" s="17"/>
      <c r="RSE138" s="9"/>
      <c r="RSF138" s="9"/>
      <c r="RSG138" s="18"/>
      <c r="RSH138" s="18"/>
      <c r="RSI138" s="18"/>
      <c r="RSJ138" s="18"/>
      <c r="RSK138" s="18"/>
      <c r="RSL138" s="17"/>
      <c r="RSM138" s="9"/>
      <c r="RSN138" s="9"/>
      <c r="RSO138" s="18"/>
      <c r="RSP138" s="18"/>
      <c r="RSQ138" s="18"/>
      <c r="RSR138" s="18"/>
      <c r="RSS138" s="18"/>
      <c r="RST138" s="17"/>
      <c r="RSU138" s="9"/>
      <c r="RSV138" s="9"/>
      <c r="RSW138" s="18"/>
      <c r="RSX138" s="18"/>
      <c r="RSY138" s="18"/>
      <c r="RSZ138" s="18"/>
      <c r="RTA138" s="18"/>
      <c r="RTB138" s="17"/>
      <c r="RTC138" s="9"/>
      <c r="RTD138" s="9"/>
      <c r="RTE138" s="18"/>
      <c r="RTF138" s="18"/>
      <c r="RTG138" s="18"/>
      <c r="RTH138" s="18"/>
      <c r="RTI138" s="18"/>
      <c r="RTJ138" s="17"/>
      <c r="RTK138" s="9"/>
      <c r="RTL138" s="9"/>
      <c r="RTM138" s="18"/>
      <c r="RTN138" s="18"/>
      <c r="RTO138" s="18"/>
      <c r="RTP138" s="18"/>
      <c r="RTQ138" s="18"/>
      <c r="RTR138" s="17"/>
      <c r="RTS138" s="9"/>
      <c r="RTT138" s="9"/>
      <c r="RTU138" s="18"/>
      <c r="RTV138" s="18"/>
      <c r="RTW138" s="18"/>
      <c r="RTX138" s="18"/>
      <c r="RTY138" s="18"/>
      <c r="RTZ138" s="17"/>
      <c r="RUA138" s="9"/>
      <c r="RUB138" s="9"/>
      <c r="RUC138" s="18"/>
      <c r="RUD138" s="18"/>
      <c r="RUE138" s="18"/>
      <c r="RUF138" s="18"/>
      <c r="RUG138" s="18"/>
      <c r="RUH138" s="17"/>
      <c r="RUI138" s="9"/>
      <c r="RUJ138" s="9"/>
      <c r="RUK138" s="18"/>
      <c r="RUL138" s="18"/>
      <c r="RUM138" s="18"/>
      <c r="RUN138" s="18"/>
      <c r="RUO138" s="18"/>
      <c r="RUP138" s="17"/>
      <c r="RUQ138" s="9"/>
      <c r="RUR138" s="9"/>
      <c r="RUS138" s="18"/>
      <c r="RUT138" s="18"/>
      <c r="RUU138" s="18"/>
      <c r="RUV138" s="18"/>
      <c r="RUW138" s="18"/>
      <c r="RUX138" s="17"/>
      <c r="RUY138" s="9"/>
      <c r="RUZ138" s="9"/>
      <c r="RVA138" s="18"/>
      <c r="RVB138" s="18"/>
      <c r="RVC138" s="18"/>
      <c r="RVD138" s="18"/>
      <c r="RVE138" s="18"/>
      <c r="RVF138" s="17"/>
      <c r="RVG138" s="9"/>
      <c r="RVH138" s="9"/>
      <c r="RVI138" s="18"/>
      <c r="RVJ138" s="18"/>
      <c r="RVK138" s="18"/>
      <c r="RVL138" s="18"/>
      <c r="RVM138" s="18"/>
      <c r="RVN138" s="17"/>
      <c r="RVO138" s="9"/>
      <c r="RVP138" s="9"/>
      <c r="RVQ138" s="18"/>
      <c r="RVR138" s="18"/>
      <c r="RVS138" s="18"/>
      <c r="RVT138" s="18"/>
      <c r="RVU138" s="18"/>
      <c r="RVV138" s="17"/>
      <c r="RVW138" s="9"/>
      <c r="RVX138" s="9"/>
      <c r="RVY138" s="18"/>
      <c r="RVZ138" s="18"/>
      <c r="RWA138" s="18"/>
      <c r="RWB138" s="18"/>
      <c r="RWC138" s="18"/>
      <c r="RWD138" s="17"/>
      <c r="RWE138" s="9"/>
      <c r="RWF138" s="9"/>
      <c r="RWG138" s="18"/>
      <c r="RWH138" s="18"/>
      <c r="RWI138" s="18"/>
      <c r="RWJ138" s="18"/>
      <c r="RWK138" s="18"/>
      <c r="RWL138" s="17"/>
      <c r="RWM138" s="9"/>
      <c r="RWN138" s="9"/>
      <c r="RWO138" s="18"/>
      <c r="RWP138" s="18"/>
      <c r="RWQ138" s="18"/>
      <c r="RWR138" s="18"/>
      <c r="RWS138" s="18"/>
      <c r="RWT138" s="17"/>
      <c r="RWU138" s="9"/>
      <c r="RWV138" s="9"/>
      <c r="RWW138" s="18"/>
      <c r="RWX138" s="18"/>
      <c r="RWY138" s="18"/>
      <c r="RWZ138" s="18"/>
      <c r="RXA138" s="18"/>
      <c r="RXB138" s="17"/>
      <c r="RXC138" s="9"/>
      <c r="RXD138" s="9"/>
      <c r="RXE138" s="18"/>
      <c r="RXF138" s="18"/>
      <c r="RXG138" s="18"/>
      <c r="RXH138" s="18"/>
      <c r="RXI138" s="18"/>
      <c r="RXJ138" s="17"/>
      <c r="RXK138" s="9"/>
      <c r="RXL138" s="9"/>
      <c r="RXM138" s="18"/>
      <c r="RXN138" s="18"/>
      <c r="RXO138" s="18"/>
      <c r="RXP138" s="18"/>
      <c r="RXQ138" s="18"/>
      <c r="RXR138" s="17"/>
      <c r="RXS138" s="9"/>
      <c r="RXT138" s="9"/>
      <c r="RXU138" s="18"/>
      <c r="RXV138" s="18"/>
      <c r="RXW138" s="18"/>
      <c r="RXX138" s="18"/>
      <c r="RXY138" s="18"/>
      <c r="RXZ138" s="17"/>
      <c r="RYA138" s="9"/>
      <c r="RYB138" s="9"/>
      <c r="RYC138" s="18"/>
      <c r="RYD138" s="18"/>
      <c r="RYE138" s="18"/>
      <c r="RYF138" s="18"/>
      <c r="RYG138" s="18"/>
      <c r="RYH138" s="17"/>
      <c r="RYI138" s="9"/>
      <c r="RYJ138" s="9"/>
      <c r="RYK138" s="18"/>
      <c r="RYL138" s="18"/>
      <c r="RYM138" s="18"/>
      <c r="RYN138" s="18"/>
      <c r="RYO138" s="18"/>
      <c r="RYP138" s="17"/>
      <c r="RYQ138" s="9"/>
      <c r="RYR138" s="9"/>
      <c r="RYS138" s="18"/>
      <c r="RYT138" s="18"/>
      <c r="RYU138" s="18"/>
      <c r="RYV138" s="18"/>
      <c r="RYW138" s="18"/>
      <c r="RYX138" s="17"/>
      <c r="RYY138" s="9"/>
      <c r="RYZ138" s="9"/>
      <c r="RZA138" s="18"/>
      <c r="RZB138" s="18"/>
      <c r="RZC138" s="18"/>
      <c r="RZD138" s="18"/>
      <c r="RZE138" s="18"/>
      <c r="RZF138" s="17"/>
      <c r="RZG138" s="9"/>
      <c r="RZH138" s="9"/>
      <c r="RZI138" s="18"/>
      <c r="RZJ138" s="18"/>
      <c r="RZK138" s="18"/>
      <c r="RZL138" s="18"/>
      <c r="RZM138" s="18"/>
      <c r="RZN138" s="17"/>
      <c r="RZO138" s="9"/>
      <c r="RZP138" s="9"/>
      <c r="RZQ138" s="18"/>
      <c r="RZR138" s="18"/>
      <c r="RZS138" s="18"/>
      <c r="RZT138" s="18"/>
      <c r="RZU138" s="18"/>
      <c r="RZV138" s="17"/>
      <c r="RZW138" s="9"/>
      <c r="RZX138" s="9"/>
      <c r="RZY138" s="18"/>
      <c r="RZZ138" s="18"/>
      <c r="SAA138" s="18"/>
      <c r="SAB138" s="18"/>
      <c r="SAC138" s="18"/>
      <c r="SAD138" s="17"/>
      <c r="SAE138" s="9"/>
      <c r="SAF138" s="9"/>
      <c r="SAG138" s="18"/>
      <c r="SAH138" s="18"/>
      <c r="SAI138" s="18"/>
      <c r="SAJ138" s="18"/>
      <c r="SAK138" s="18"/>
      <c r="SAL138" s="17"/>
      <c r="SAM138" s="9"/>
      <c r="SAN138" s="9"/>
      <c r="SAO138" s="18"/>
      <c r="SAP138" s="18"/>
      <c r="SAQ138" s="18"/>
      <c r="SAR138" s="18"/>
      <c r="SAS138" s="18"/>
      <c r="SAT138" s="17"/>
      <c r="SAU138" s="9"/>
      <c r="SAV138" s="9"/>
      <c r="SAW138" s="18"/>
      <c r="SAX138" s="18"/>
      <c r="SAY138" s="18"/>
      <c r="SAZ138" s="18"/>
      <c r="SBA138" s="18"/>
      <c r="SBB138" s="17"/>
      <c r="SBC138" s="9"/>
      <c r="SBD138" s="9"/>
      <c r="SBE138" s="18"/>
      <c r="SBF138" s="18"/>
      <c r="SBG138" s="18"/>
      <c r="SBH138" s="18"/>
      <c r="SBI138" s="18"/>
      <c r="SBJ138" s="17"/>
      <c r="SBK138" s="9"/>
      <c r="SBL138" s="9"/>
      <c r="SBM138" s="18"/>
      <c r="SBN138" s="18"/>
      <c r="SBO138" s="18"/>
      <c r="SBP138" s="18"/>
      <c r="SBQ138" s="18"/>
      <c r="SBR138" s="17"/>
      <c r="SBS138" s="9"/>
      <c r="SBT138" s="9"/>
      <c r="SBU138" s="18"/>
      <c r="SBV138" s="18"/>
      <c r="SBW138" s="18"/>
      <c r="SBX138" s="18"/>
      <c r="SBY138" s="18"/>
      <c r="SBZ138" s="17"/>
      <c r="SCA138" s="9"/>
      <c r="SCB138" s="9"/>
      <c r="SCC138" s="18"/>
      <c r="SCD138" s="18"/>
      <c r="SCE138" s="18"/>
      <c r="SCF138" s="18"/>
      <c r="SCG138" s="18"/>
      <c r="SCH138" s="17"/>
      <c r="SCI138" s="9"/>
      <c r="SCJ138" s="9"/>
      <c r="SCK138" s="18"/>
      <c r="SCL138" s="18"/>
      <c r="SCM138" s="18"/>
      <c r="SCN138" s="18"/>
      <c r="SCO138" s="18"/>
      <c r="SCP138" s="17"/>
      <c r="SCQ138" s="9"/>
      <c r="SCR138" s="9"/>
      <c r="SCS138" s="18"/>
      <c r="SCT138" s="18"/>
      <c r="SCU138" s="18"/>
      <c r="SCV138" s="18"/>
      <c r="SCW138" s="18"/>
      <c r="SCX138" s="17"/>
      <c r="SCY138" s="9"/>
      <c r="SCZ138" s="9"/>
      <c r="SDA138" s="18"/>
      <c r="SDB138" s="18"/>
      <c r="SDC138" s="18"/>
      <c r="SDD138" s="18"/>
      <c r="SDE138" s="18"/>
      <c r="SDF138" s="17"/>
      <c r="SDG138" s="9"/>
      <c r="SDH138" s="9"/>
      <c r="SDI138" s="18"/>
      <c r="SDJ138" s="18"/>
      <c r="SDK138" s="18"/>
      <c r="SDL138" s="18"/>
      <c r="SDM138" s="18"/>
      <c r="SDN138" s="17"/>
      <c r="SDO138" s="9"/>
      <c r="SDP138" s="9"/>
      <c r="SDQ138" s="18"/>
      <c r="SDR138" s="18"/>
      <c r="SDS138" s="18"/>
      <c r="SDT138" s="18"/>
      <c r="SDU138" s="18"/>
      <c r="SDV138" s="17"/>
      <c r="SDW138" s="9"/>
      <c r="SDX138" s="9"/>
      <c r="SDY138" s="18"/>
      <c r="SDZ138" s="18"/>
      <c r="SEA138" s="18"/>
      <c r="SEB138" s="18"/>
      <c r="SEC138" s="18"/>
      <c r="SED138" s="17"/>
      <c r="SEE138" s="9"/>
      <c r="SEF138" s="9"/>
      <c r="SEG138" s="18"/>
      <c r="SEH138" s="18"/>
      <c r="SEI138" s="18"/>
      <c r="SEJ138" s="18"/>
      <c r="SEK138" s="18"/>
      <c r="SEL138" s="17"/>
      <c r="SEM138" s="9"/>
      <c r="SEN138" s="9"/>
      <c r="SEO138" s="18"/>
      <c r="SEP138" s="18"/>
      <c r="SEQ138" s="18"/>
      <c r="SER138" s="18"/>
      <c r="SES138" s="18"/>
      <c r="SET138" s="17"/>
      <c r="SEU138" s="9"/>
      <c r="SEV138" s="9"/>
      <c r="SEW138" s="18"/>
      <c r="SEX138" s="18"/>
      <c r="SEY138" s="18"/>
      <c r="SEZ138" s="18"/>
      <c r="SFA138" s="18"/>
      <c r="SFB138" s="17"/>
      <c r="SFC138" s="9"/>
      <c r="SFD138" s="9"/>
      <c r="SFE138" s="18"/>
      <c r="SFF138" s="18"/>
      <c r="SFG138" s="18"/>
      <c r="SFH138" s="18"/>
      <c r="SFI138" s="18"/>
      <c r="SFJ138" s="17"/>
      <c r="SFK138" s="9"/>
      <c r="SFL138" s="9"/>
      <c r="SFM138" s="18"/>
      <c r="SFN138" s="18"/>
      <c r="SFO138" s="18"/>
      <c r="SFP138" s="18"/>
      <c r="SFQ138" s="18"/>
      <c r="SFR138" s="17"/>
      <c r="SFS138" s="9"/>
      <c r="SFT138" s="9"/>
      <c r="SFU138" s="18"/>
      <c r="SFV138" s="18"/>
      <c r="SFW138" s="18"/>
      <c r="SFX138" s="18"/>
      <c r="SFY138" s="18"/>
      <c r="SFZ138" s="17"/>
      <c r="SGA138" s="9"/>
      <c r="SGB138" s="9"/>
      <c r="SGC138" s="18"/>
      <c r="SGD138" s="18"/>
      <c r="SGE138" s="18"/>
      <c r="SGF138" s="18"/>
      <c r="SGG138" s="18"/>
      <c r="SGH138" s="17"/>
      <c r="SGI138" s="9"/>
      <c r="SGJ138" s="9"/>
      <c r="SGK138" s="18"/>
      <c r="SGL138" s="18"/>
      <c r="SGM138" s="18"/>
      <c r="SGN138" s="18"/>
      <c r="SGO138" s="18"/>
      <c r="SGP138" s="17"/>
      <c r="SGQ138" s="9"/>
      <c r="SGR138" s="9"/>
      <c r="SGS138" s="18"/>
      <c r="SGT138" s="18"/>
      <c r="SGU138" s="18"/>
      <c r="SGV138" s="18"/>
      <c r="SGW138" s="18"/>
      <c r="SGX138" s="17"/>
      <c r="SGY138" s="9"/>
      <c r="SGZ138" s="9"/>
      <c r="SHA138" s="18"/>
      <c r="SHB138" s="18"/>
      <c r="SHC138" s="18"/>
      <c r="SHD138" s="18"/>
      <c r="SHE138" s="18"/>
      <c r="SHF138" s="17"/>
      <c r="SHG138" s="9"/>
      <c r="SHH138" s="9"/>
      <c r="SHI138" s="18"/>
      <c r="SHJ138" s="18"/>
      <c r="SHK138" s="18"/>
      <c r="SHL138" s="18"/>
      <c r="SHM138" s="18"/>
      <c r="SHN138" s="17"/>
      <c r="SHO138" s="9"/>
      <c r="SHP138" s="9"/>
      <c r="SHQ138" s="18"/>
      <c r="SHR138" s="18"/>
      <c r="SHS138" s="18"/>
      <c r="SHT138" s="18"/>
      <c r="SHU138" s="18"/>
      <c r="SHV138" s="17"/>
      <c r="SHW138" s="9"/>
      <c r="SHX138" s="9"/>
      <c r="SHY138" s="18"/>
      <c r="SHZ138" s="18"/>
      <c r="SIA138" s="18"/>
      <c r="SIB138" s="18"/>
      <c r="SIC138" s="18"/>
      <c r="SID138" s="17"/>
      <c r="SIE138" s="9"/>
      <c r="SIF138" s="9"/>
      <c r="SIG138" s="18"/>
      <c r="SIH138" s="18"/>
      <c r="SII138" s="18"/>
      <c r="SIJ138" s="18"/>
      <c r="SIK138" s="18"/>
      <c r="SIL138" s="17"/>
      <c r="SIM138" s="9"/>
      <c r="SIN138" s="9"/>
      <c r="SIO138" s="18"/>
      <c r="SIP138" s="18"/>
      <c r="SIQ138" s="18"/>
      <c r="SIR138" s="18"/>
      <c r="SIS138" s="18"/>
      <c r="SIT138" s="17"/>
      <c r="SIU138" s="9"/>
      <c r="SIV138" s="9"/>
      <c r="SIW138" s="18"/>
      <c r="SIX138" s="18"/>
      <c r="SIY138" s="18"/>
      <c r="SIZ138" s="18"/>
      <c r="SJA138" s="18"/>
      <c r="SJB138" s="17"/>
      <c r="SJC138" s="9"/>
      <c r="SJD138" s="9"/>
      <c r="SJE138" s="18"/>
      <c r="SJF138" s="18"/>
      <c r="SJG138" s="18"/>
      <c r="SJH138" s="18"/>
      <c r="SJI138" s="18"/>
      <c r="SJJ138" s="17"/>
      <c r="SJK138" s="9"/>
      <c r="SJL138" s="9"/>
      <c r="SJM138" s="18"/>
      <c r="SJN138" s="18"/>
      <c r="SJO138" s="18"/>
      <c r="SJP138" s="18"/>
      <c r="SJQ138" s="18"/>
      <c r="SJR138" s="17"/>
      <c r="SJS138" s="9"/>
      <c r="SJT138" s="9"/>
      <c r="SJU138" s="18"/>
      <c r="SJV138" s="18"/>
      <c r="SJW138" s="18"/>
      <c r="SJX138" s="18"/>
      <c r="SJY138" s="18"/>
      <c r="SJZ138" s="17"/>
      <c r="SKA138" s="9"/>
      <c r="SKB138" s="9"/>
      <c r="SKC138" s="18"/>
      <c r="SKD138" s="18"/>
      <c r="SKE138" s="18"/>
      <c r="SKF138" s="18"/>
      <c r="SKG138" s="18"/>
      <c r="SKH138" s="17"/>
      <c r="SKI138" s="9"/>
      <c r="SKJ138" s="9"/>
      <c r="SKK138" s="18"/>
      <c r="SKL138" s="18"/>
      <c r="SKM138" s="18"/>
      <c r="SKN138" s="18"/>
      <c r="SKO138" s="18"/>
      <c r="SKP138" s="17"/>
      <c r="SKQ138" s="9"/>
      <c r="SKR138" s="9"/>
      <c r="SKS138" s="18"/>
      <c r="SKT138" s="18"/>
      <c r="SKU138" s="18"/>
      <c r="SKV138" s="18"/>
      <c r="SKW138" s="18"/>
      <c r="SKX138" s="17"/>
      <c r="SKY138" s="9"/>
      <c r="SKZ138" s="9"/>
      <c r="SLA138" s="18"/>
      <c r="SLB138" s="18"/>
      <c r="SLC138" s="18"/>
      <c r="SLD138" s="18"/>
      <c r="SLE138" s="18"/>
      <c r="SLF138" s="17"/>
      <c r="SLG138" s="9"/>
      <c r="SLH138" s="9"/>
      <c r="SLI138" s="18"/>
      <c r="SLJ138" s="18"/>
      <c r="SLK138" s="18"/>
      <c r="SLL138" s="18"/>
      <c r="SLM138" s="18"/>
      <c r="SLN138" s="17"/>
      <c r="SLO138" s="9"/>
      <c r="SLP138" s="9"/>
      <c r="SLQ138" s="18"/>
      <c r="SLR138" s="18"/>
      <c r="SLS138" s="18"/>
      <c r="SLT138" s="18"/>
      <c r="SLU138" s="18"/>
      <c r="SLV138" s="17"/>
      <c r="SLW138" s="9"/>
      <c r="SLX138" s="9"/>
      <c r="SLY138" s="18"/>
      <c r="SLZ138" s="18"/>
      <c r="SMA138" s="18"/>
      <c r="SMB138" s="18"/>
      <c r="SMC138" s="18"/>
      <c r="SMD138" s="17"/>
      <c r="SME138" s="9"/>
      <c r="SMF138" s="9"/>
      <c r="SMG138" s="18"/>
      <c r="SMH138" s="18"/>
      <c r="SMI138" s="18"/>
      <c r="SMJ138" s="18"/>
      <c r="SMK138" s="18"/>
      <c r="SML138" s="17"/>
      <c r="SMM138" s="9"/>
      <c r="SMN138" s="9"/>
      <c r="SMO138" s="18"/>
      <c r="SMP138" s="18"/>
      <c r="SMQ138" s="18"/>
      <c r="SMR138" s="18"/>
      <c r="SMS138" s="18"/>
      <c r="SMT138" s="17"/>
      <c r="SMU138" s="9"/>
      <c r="SMV138" s="9"/>
      <c r="SMW138" s="18"/>
      <c r="SMX138" s="18"/>
      <c r="SMY138" s="18"/>
      <c r="SMZ138" s="18"/>
      <c r="SNA138" s="18"/>
      <c r="SNB138" s="17"/>
      <c r="SNC138" s="9"/>
      <c r="SND138" s="9"/>
      <c r="SNE138" s="18"/>
      <c r="SNF138" s="18"/>
      <c r="SNG138" s="18"/>
      <c r="SNH138" s="18"/>
      <c r="SNI138" s="18"/>
      <c r="SNJ138" s="17"/>
      <c r="SNK138" s="9"/>
      <c r="SNL138" s="9"/>
      <c r="SNM138" s="18"/>
      <c r="SNN138" s="18"/>
      <c r="SNO138" s="18"/>
      <c r="SNP138" s="18"/>
      <c r="SNQ138" s="18"/>
      <c r="SNR138" s="17"/>
      <c r="SNS138" s="9"/>
      <c r="SNT138" s="9"/>
      <c r="SNU138" s="18"/>
      <c r="SNV138" s="18"/>
      <c r="SNW138" s="18"/>
      <c r="SNX138" s="18"/>
      <c r="SNY138" s="18"/>
      <c r="SNZ138" s="17"/>
      <c r="SOA138" s="9"/>
      <c r="SOB138" s="9"/>
      <c r="SOC138" s="18"/>
      <c r="SOD138" s="18"/>
      <c r="SOE138" s="18"/>
      <c r="SOF138" s="18"/>
      <c r="SOG138" s="18"/>
      <c r="SOH138" s="17"/>
      <c r="SOI138" s="9"/>
      <c r="SOJ138" s="9"/>
      <c r="SOK138" s="18"/>
      <c r="SOL138" s="18"/>
      <c r="SOM138" s="18"/>
      <c r="SON138" s="18"/>
      <c r="SOO138" s="18"/>
      <c r="SOP138" s="17"/>
      <c r="SOQ138" s="9"/>
      <c r="SOR138" s="9"/>
      <c r="SOS138" s="18"/>
      <c r="SOT138" s="18"/>
      <c r="SOU138" s="18"/>
      <c r="SOV138" s="18"/>
      <c r="SOW138" s="18"/>
      <c r="SOX138" s="17"/>
      <c r="SOY138" s="9"/>
      <c r="SOZ138" s="9"/>
      <c r="SPA138" s="18"/>
      <c r="SPB138" s="18"/>
      <c r="SPC138" s="18"/>
      <c r="SPD138" s="18"/>
      <c r="SPE138" s="18"/>
      <c r="SPF138" s="17"/>
      <c r="SPG138" s="9"/>
      <c r="SPH138" s="9"/>
      <c r="SPI138" s="18"/>
      <c r="SPJ138" s="18"/>
      <c r="SPK138" s="18"/>
      <c r="SPL138" s="18"/>
      <c r="SPM138" s="18"/>
      <c r="SPN138" s="17"/>
      <c r="SPO138" s="9"/>
      <c r="SPP138" s="9"/>
      <c r="SPQ138" s="18"/>
      <c r="SPR138" s="18"/>
      <c r="SPS138" s="18"/>
      <c r="SPT138" s="18"/>
      <c r="SPU138" s="18"/>
      <c r="SPV138" s="17"/>
      <c r="SPW138" s="9"/>
      <c r="SPX138" s="9"/>
      <c r="SPY138" s="18"/>
      <c r="SPZ138" s="18"/>
      <c r="SQA138" s="18"/>
      <c r="SQB138" s="18"/>
      <c r="SQC138" s="18"/>
      <c r="SQD138" s="17"/>
      <c r="SQE138" s="9"/>
      <c r="SQF138" s="9"/>
      <c r="SQG138" s="18"/>
      <c r="SQH138" s="18"/>
      <c r="SQI138" s="18"/>
      <c r="SQJ138" s="18"/>
      <c r="SQK138" s="18"/>
      <c r="SQL138" s="17"/>
      <c r="SQM138" s="9"/>
      <c r="SQN138" s="9"/>
      <c r="SQO138" s="18"/>
      <c r="SQP138" s="18"/>
      <c r="SQQ138" s="18"/>
      <c r="SQR138" s="18"/>
      <c r="SQS138" s="18"/>
      <c r="SQT138" s="17"/>
      <c r="SQU138" s="9"/>
      <c r="SQV138" s="9"/>
      <c r="SQW138" s="18"/>
      <c r="SQX138" s="18"/>
      <c r="SQY138" s="18"/>
      <c r="SQZ138" s="18"/>
      <c r="SRA138" s="18"/>
      <c r="SRB138" s="17"/>
      <c r="SRC138" s="9"/>
      <c r="SRD138" s="9"/>
      <c r="SRE138" s="18"/>
      <c r="SRF138" s="18"/>
      <c r="SRG138" s="18"/>
      <c r="SRH138" s="18"/>
      <c r="SRI138" s="18"/>
      <c r="SRJ138" s="17"/>
      <c r="SRK138" s="9"/>
      <c r="SRL138" s="9"/>
      <c r="SRM138" s="18"/>
      <c r="SRN138" s="18"/>
      <c r="SRO138" s="18"/>
      <c r="SRP138" s="18"/>
      <c r="SRQ138" s="18"/>
      <c r="SRR138" s="17"/>
      <c r="SRS138" s="9"/>
      <c r="SRT138" s="9"/>
      <c r="SRU138" s="18"/>
      <c r="SRV138" s="18"/>
      <c r="SRW138" s="18"/>
      <c r="SRX138" s="18"/>
      <c r="SRY138" s="18"/>
      <c r="SRZ138" s="17"/>
      <c r="SSA138" s="9"/>
      <c r="SSB138" s="9"/>
      <c r="SSC138" s="18"/>
      <c r="SSD138" s="18"/>
      <c r="SSE138" s="18"/>
      <c r="SSF138" s="18"/>
      <c r="SSG138" s="18"/>
      <c r="SSH138" s="17"/>
      <c r="SSI138" s="9"/>
      <c r="SSJ138" s="9"/>
      <c r="SSK138" s="18"/>
      <c r="SSL138" s="18"/>
      <c r="SSM138" s="18"/>
      <c r="SSN138" s="18"/>
      <c r="SSO138" s="18"/>
      <c r="SSP138" s="17"/>
      <c r="SSQ138" s="9"/>
      <c r="SSR138" s="9"/>
      <c r="SSS138" s="18"/>
      <c r="SST138" s="18"/>
      <c r="SSU138" s="18"/>
      <c r="SSV138" s="18"/>
      <c r="SSW138" s="18"/>
      <c r="SSX138" s="17"/>
      <c r="SSY138" s="9"/>
      <c r="SSZ138" s="9"/>
      <c r="STA138" s="18"/>
      <c r="STB138" s="18"/>
      <c r="STC138" s="18"/>
      <c r="STD138" s="18"/>
      <c r="STE138" s="18"/>
      <c r="STF138" s="17"/>
      <c r="STG138" s="9"/>
      <c r="STH138" s="9"/>
      <c r="STI138" s="18"/>
      <c r="STJ138" s="18"/>
      <c r="STK138" s="18"/>
      <c r="STL138" s="18"/>
      <c r="STM138" s="18"/>
      <c r="STN138" s="17"/>
      <c r="STO138" s="9"/>
      <c r="STP138" s="9"/>
      <c r="STQ138" s="18"/>
      <c r="STR138" s="18"/>
      <c r="STS138" s="18"/>
      <c r="STT138" s="18"/>
      <c r="STU138" s="18"/>
      <c r="STV138" s="17"/>
      <c r="STW138" s="9"/>
      <c r="STX138" s="9"/>
      <c r="STY138" s="18"/>
      <c r="STZ138" s="18"/>
      <c r="SUA138" s="18"/>
      <c r="SUB138" s="18"/>
      <c r="SUC138" s="18"/>
      <c r="SUD138" s="17"/>
      <c r="SUE138" s="9"/>
      <c r="SUF138" s="9"/>
      <c r="SUG138" s="18"/>
      <c r="SUH138" s="18"/>
      <c r="SUI138" s="18"/>
      <c r="SUJ138" s="18"/>
      <c r="SUK138" s="18"/>
      <c r="SUL138" s="17"/>
      <c r="SUM138" s="9"/>
      <c r="SUN138" s="9"/>
      <c r="SUO138" s="18"/>
      <c r="SUP138" s="18"/>
      <c r="SUQ138" s="18"/>
      <c r="SUR138" s="18"/>
      <c r="SUS138" s="18"/>
      <c r="SUT138" s="17"/>
      <c r="SUU138" s="9"/>
      <c r="SUV138" s="9"/>
      <c r="SUW138" s="18"/>
      <c r="SUX138" s="18"/>
      <c r="SUY138" s="18"/>
      <c r="SUZ138" s="18"/>
      <c r="SVA138" s="18"/>
      <c r="SVB138" s="17"/>
      <c r="SVC138" s="9"/>
      <c r="SVD138" s="9"/>
      <c r="SVE138" s="18"/>
      <c r="SVF138" s="18"/>
      <c r="SVG138" s="18"/>
      <c r="SVH138" s="18"/>
      <c r="SVI138" s="18"/>
      <c r="SVJ138" s="17"/>
      <c r="SVK138" s="9"/>
      <c r="SVL138" s="9"/>
      <c r="SVM138" s="18"/>
      <c r="SVN138" s="18"/>
      <c r="SVO138" s="18"/>
      <c r="SVP138" s="18"/>
      <c r="SVQ138" s="18"/>
      <c r="SVR138" s="17"/>
      <c r="SVS138" s="9"/>
      <c r="SVT138" s="9"/>
      <c r="SVU138" s="18"/>
      <c r="SVV138" s="18"/>
      <c r="SVW138" s="18"/>
      <c r="SVX138" s="18"/>
      <c r="SVY138" s="18"/>
      <c r="SVZ138" s="17"/>
      <c r="SWA138" s="9"/>
      <c r="SWB138" s="9"/>
      <c r="SWC138" s="18"/>
      <c r="SWD138" s="18"/>
      <c r="SWE138" s="18"/>
      <c r="SWF138" s="18"/>
      <c r="SWG138" s="18"/>
      <c r="SWH138" s="17"/>
      <c r="SWI138" s="9"/>
      <c r="SWJ138" s="9"/>
      <c r="SWK138" s="18"/>
      <c r="SWL138" s="18"/>
      <c r="SWM138" s="18"/>
      <c r="SWN138" s="18"/>
      <c r="SWO138" s="18"/>
      <c r="SWP138" s="17"/>
      <c r="SWQ138" s="9"/>
      <c r="SWR138" s="9"/>
      <c r="SWS138" s="18"/>
      <c r="SWT138" s="18"/>
      <c r="SWU138" s="18"/>
      <c r="SWV138" s="18"/>
      <c r="SWW138" s="18"/>
      <c r="SWX138" s="17"/>
      <c r="SWY138" s="9"/>
      <c r="SWZ138" s="9"/>
      <c r="SXA138" s="18"/>
      <c r="SXB138" s="18"/>
      <c r="SXC138" s="18"/>
      <c r="SXD138" s="18"/>
      <c r="SXE138" s="18"/>
      <c r="SXF138" s="17"/>
      <c r="SXG138" s="9"/>
      <c r="SXH138" s="9"/>
      <c r="SXI138" s="18"/>
      <c r="SXJ138" s="18"/>
      <c r="SXK138" s="18"/>
      <c r="SXL138" s="18"/>
      <c r="SXM138" s="18"/>
      <c r="SXN138" s="17"/>
      <c r="SXO138" s="9"/>
      <c r="SXP138" s="9"/>
      <c r="SXQ138" s="18"/>
      <c r="SXR138" s="18"/>
      <c r="SXS138" s="18"/>
      <c r="SXT138" s="18"/>
      <c r="SXU138" s="18"/>
      <c r="SXV138" s="17"/>
      <c r="SXW138" s="9"/>
      <c r="SXX138" s="9"/>
      <c r="SXY138" s="18"/>
      <c r="SXZ138" s="18"/>
      <c r="SYA138" s="18"/>
      <c r="SYB138" s="18"/>
      <c r="SYC138" s="18"/>
      <c r="SYD138" s="17"/>
      <c r="SYE138" s="9"/>
      <c r="SYF138" s="9"/>
      <c r="SYG138" s="18"/>
      <c r="SYH138" s="18"/>
      <c r="SYI138" s="18"/>
      <c r="SYJ138" s="18"/>
      <c r="SYK138" s="18"/>
      <c r="SYL138" s="17"/>
      <c r="SYM138" s="9"/>
      <c r="SYN138" s="9"/>
      <c r="SYO138" s="18"/>
      <c r="SYP138" s="18"/>
      <c r="SYQ138" s="18"/>
      <c r="SYR138" s="18"/>
      <c r="SYS138" s="18"/>
      <c r="SYT138" s="17"/>
      <c r="SYU138" s="9"/>
      <c r="SYV138" s="9"/>
      <c r="SYW138" s="18"/>
      <c r="SYX138" s="18"/>
      <c r="SYY138" s="18"/>
      <c r="SYZ138" s="18"/>
      <c r="SZA138" s="18"/>
      <c r="SZB138" s="17"/>
      <c r="SZC138" s="9"/>
      <c r="SZD138" s="9"/>
      <c r="SZE138" s="18"/>
      <c r="SZF138" s="18"/>
      <c r="SZG138" s="18"/>
      <c r="SZH138" s="18"/>
      <c r="SZI138" s="18"/>
      <c r="SZJ138" s="17"/>
      <c r="SZK138" s="9"/>
      <c r="SZL138" s="9"/>
      <c r="SZM138" s="18"/>
      <c r="SZN138" s="18"/>
      <c r="SZO138" s="18"/>
      <c r="SZP138" s="18"/>
      <c r="SZQ138" s="18"/>
      <c r="SZR138" s="17"/>
      <c r="SZS138" s="9"/>
      <c r="SZT138" s="9"/>
      <c r="SZU138" s="18"/>
      <c r="SZV138" s="18"/>
      <c r="SZW138" s="18"/>
      <c r="SZX138" s="18"/>
      <c r="SZY138" s="18"/>
      <c r="SZZ138" s="17"/>
      <c r="TAA138" s="9"/>
      <c r="TAB138" s="9"/>
      <c r="TAC138" s="18"/>
      <c r="TAD138" s="18"/>
      <c r="TAE138" s="18"/>
      <c r="TAF138" s="18"/>
      <c r="TAG138" s="18"/>
      <c r="TAH138" s="17"/>
      <c r="TAI138" s="9"/>
      <c r="TAJ138" s="9"/>
      <c r="TAK138" s="18"/>
      <c r="TAL138" s="18"/>
      <c r="TAM138" s="18"/>
      <c r="TAN138" s="18"/>
      <c r="TAO138" s="18"/>
      <c r="TAP138" s="17"/>
      <c r="TAQ138" s="9"/>
      <c r="TAR138" s="9"/>
      <c r="TAS138" s="18"/>
      <c r="TAT138" s="18"/>
      <c r="TAU138" s="18"/>
      <c r="TAV138" s="18"/>
      <c r="TAW138" s="18"/>
      <c r="TAX138" s="17"/>
      <c r="TAY138" s="9"/>
      <c r="TAZ138" s="9"/>
      <c r="TBA138" s="18"/>
      <c r="TBB138" s="18"/>
      <c r="TBC138" s="18"/>
      <c r="TBD138" s="18"/>
      <c r="TBE138" s="18"/>
      <c r="TBF138" s="17"/>
      <c r="TBG138" s="9"/>
      <c r="TBH138" s="9"/>
      <c r="TBI138" s="18"/>
      <c r="TBJ138" s="18"/>
      <c r="TBK138" s="18"/>
      <c r="TBL138" s="18"/>
      <c r="TBM138" s="18"/>
      <c r="TBN138" s="17"/>
      <c r="TBO138" s="9"/>
      <c r="TBP138" s="9"/>
      <c r="TBQ138" s="18"/>
      <c r="TBR138" s="18"/>
      <c r="TBS138" s="18"/>
      <c r="TBT138" s="18"/>
      <c r="TBU138" s="18"/>
      <c r="TBV138" s="17"/>
      <c r="TBW138" s="9"/>
      <c r="TBX138" s="9"/>
      <c r="TBY138" s="18"/>
      <c r="TBZ138" s="18"/>
      <c r="TCA138" s="18"/>
      <c r="TCB138" s="18"/>
      <c r="TCC138" s="18"/>
      <c r="TCD138" s="17"/>
      <c r="TCE138" s="9"/>
      <c r="TCF138" s="9"/>
      <c r="TCG138" s="18"/>
      <c r="TCH138" s="18"/>
      <c r="TCI138" s="18"/>
      <c r="TCJ138" s="18"/>
      <c r="TCK138" s="18"/>
      <c r="TCL138" s="17"/>
      <c r="TCM138" s="9"/>
      <c r="TCN138" s="9"/>
      <c r="TCO138" s="18"/>
      <c r="TCP138" s="18"/>
      <c r="TCQ138" s="18"/>
      <c r="TCR138" s="18"/>
      <c r="TCS138" s="18"/>
      <c r="TCT138" s="17"/>
      <c r="TCU138" s="9"/>
      <c r="TCV138" s="9"/>
      <c r="TCW138" s="18"/>
      <c r="TCX138" s="18"/>
      <c r="TCY138" s="18"/>
      <c r="TCZ138" s="18"/>
      <c r="TDA138" s="18"/>
      <c r="TDB138" s="17"/>
      <c r="TDC138" s="9"/>
      <c r="TDD138" s="9"/>
      <c r="TDE138" s="18"/>
      <c r="TDF138" s="18"/>
      <c r="TDG138" s="18"/>
      <c r="TDH138" s="18"/>
      <c r="TDI138" s="18"/>
      <c r="TDJ138" s="17"/>
      <c r="TDK138" s="9"/>
      <c r="TDL138" s="9"/>
      <c r="TDM138" s="18"/>
      <c r="TDN138" s="18"/>
      <c r="TDO138" s="18"/>
      <c r="TDP138" s="18"/>
      <c r="TDQ138" s="18"/>
      <c r="TDR138" s="17"/>
      <c r="TDS138" s="9"/>
      <c r="TDT138" s="9"/>
      <c r="TDU138" s="18"/>
      <c r="TDV138" s="18"/>
      <c r="TDW138" s="18"/>
      <c r="TDX138" s="18"/>
      <c r="TDY138" s="18"/>
      <c r="TDZ138" s="17"/>
      <c r="TEA138" s="9"/>
      <c r="TEB138" s="9"/>
      <c r="TEC138" s="18"/>
      <c r="TED138" s="18"/>
      <c r="TEE138" s="18"/>
      <c r="TEF138" s="18"/>
      <c r="TEG138" s="18"/>
      <c r="TEH138" s="17"/>
      <c r="TEI138" s="9"/>
      <c r="TEJ138" s="9"/>
      <c r="TEK138" s="18"/>
      <c r="TEL138" s="18"/>
      <c r="TEM138" s="18"/>
      <c r="TEN138" s="18"/>
      <c r="TEO138" s="18"/>
      <c r="TEP138" s="17"/>
      <c r="TEQ138" s="9"/>
      <c r="TER138" s="9"/>
      <c r="TES138" s="18"/>
      <c r="TET138" s="18"/>
      <c r="TEU138" s="18"/>
      <c r="TEV138" s="18"/>
      <c r="TEW138" s="18"/>
      <c r="TEX138" s="17"/>
      <c r="TEY138" s="9"/>
      <c r="TEZ138" s="9"/>
      <c r="TFA138" s="18"/>
      <c r="TFB138" s="18"/>
      <c r="TFC138" s="18"/>
      <c r="TFD138" s="18"/>
      <c r="TFE138" s="18"/>
      <c r="TFF138" s="17"/>
      <c r="TFG138" s="9"/>
      <c r="TFH138" s="9"/>
      <c r="TFI138" s="18"/>
      <c r="TFJ138" s="18"/>
      <c r="TFK138" s="18"/>
      <c r="TFL138" s="18"/>
      <c r="TFM138" s="18"/>
      <c r="TFN138" s="17"/>
      <c r="TFO138" s="9"/>
      <c r="TFP138" s="9"/>
      <c r="TFQ138" s="18"/>
      <c r="TFR138" s="18"/>
      <c r="TFS138" s="18"/>
      <c r="TFT138" s="18"/>
      <c r="TFU138" s="18"/>
      <c r="TFV138" s="17"/>
      <c r="TFW138" s="9"/>
      <c r="TFX138" s="9"/>
      <c r="TFY138" s="18"/>
      <c r="TFZ138" s="18"/>
      <c r="TGA138" s="18"/>
      <c r="TGB138" s="18"/>
      <c r="TGC138" s="18"/>
      <c r="TGD138" s="17"/>
      <c r="TGE138" s="9"/>
      <c r="TGF138" s="9"/>
      <c r="TGG138" s="18"/>
      <c r="TGH138" s="18"/>
      <c r="TGI138" s="18"/>
      <c r="TGJ138" s="18"/>
      <c r="TGK138" s="18"/>
      <c r="TGL138" s="17"/>
      <c r="TGM138" s="9"/>
      <c r="TGN138" s="9"/>
      <c r="TGO138" s="18"/>
      <c r="TGP138" s="18"/>
      <c r="TGQ138" s="18"/>
      <c r="TGR138" s="18"/>
      <c r="TGS138" s="18"/>
      <c r="TGT138" s="17"/>
      <c r="TGU138" s="9"/>
      <c r="TGV138" s="9"/>
      <c r="TGW138" s="18"/>
      <c r="TGX138" s="18"/>
      <c r="TGY138" s="18"/>
      <c r="TGZ138" s="18"/>
      <c r="THA138" s="18"/>
      <c r="THB138" s="17"/>
      <c r="THC138" s="9"/>
      <c r="THD138" s="9"/>
      <c r="THE138" s="18"/>
      <c r="THF138" s="18"/>
      <c r="THG138" s="18"/>
      <c r="THH138" s="18"/>
      <c r="THI138" s="18"/>
      <c r="THJ138" s="17"/>
      <c r="THK138" s="9"/>
      <c r="THL138" s="9"/>
      <c r="THM138" s="18"/>
      <c r="THN138" s="18"/>
      <c r="THO138" s="18"/>
      <c r="THP138" s="18"/>
      <c r="THQ138" s="18"/>
      <c r="THR138" s="17"/>
      <c r="THS138" s="9"/>
      <c r="THT138" s="9"/>
      <c r="THU138" s="18"/>
      <c r="THV138" s="18"/>
      <c r="THW138" s="18"/>
      <c r="THX138" s="18"/>
      <c r="THY138" s="18"/>
      <c r="THZ138" s="17"/>
      <c r="TIA138" s="9"/>
      <c r="TIB138" s="9"/>
      <c r="TIC138" s="18"/>
      <c r="TID138" s="18"/>
      <c r="TIE138" s="18"/>
      <c r="TIF138" s="18"/>
      <c r="TIG138" s="18"/>
      <c r="TIH138" s="17"/>
      <c r="TII138" s="9"/>
      <c r="TIJ138" s="9"/>
      <c r="TIK138" s="18"/>
      <c r="TIL138" s="18"/>
      <c r="TIM138" s="18"/>
      <c r="TIN138" s="18"/>
      <c r="TIO138" s="18"/>
      <c r="TIP138" s="17"/>
      <c r="TIQ138" s="9"/>
      <c r="TIR138" s="9"/>
      <c r="TIS138" s="18"/>
      <c r="TIT138" s="18"/>
      <c r="TIU138" s="18"/>
      <c r="TIV138" s="18"/>
      <c r="TIW138" s="18"/>
      <c r="TIX138" s="17"/>
      <c r="TIY138" s="9"/>
      <c r="TIZ138" s="9"/>
      <c r="TJA138" s="18"/>
      <c r="TJB138" s="18"/>
      <c r="TJC138" s="18"/>
      <c r="TJD138" s="18"/>
      <c r="TJE138" s="18"/>
      <c r="TJF138" s="17"/>
      <c r="TJG138" s="9"/>
      <c r="TJH138" s="9"/>
      <c r="TJI138" s="18"/>
      <c r="TJJ138" s="18"/>
      <c r="TJK138" s="18"/>
      <c r="TJL138" s="18"/>
      <c r="TJM138" s="18"/>
      <c r="TJN138" s="17"/>
      <c r="TJO138" s="9"/>
      <c r="TJP138" s="9"/>
      <c r="TJQ138" s="18"/>
      <c r="TJR138" s="18"/>
      <c r="TJS138" s="18"/>
      <c r="TJT138" s="18"/>
      <c r="TJU138" s="18"/>
      <c r="TJV138" s="17"/>
      <c r="TJW138" s="9"/>
      <c r="TJX138" s="9"/>
      <c r="TJY138" s="18"/>
      <c r="TJZ138" s="18"/>
      <c r="TKA138" s="18"/>
      <c r="TKB138" s="18"/>
      <c r="TKC138" s="18"/>
      <c r="TKD138" s="17"/>
      <c r="TKE138" s="9"/>
      <c r="TKF138" s="9"/>
      <c r="TKG138" s="18"/>
      <c r="TKH138" s="18"/>
      <c r="TKI138" s="18"/>
      <c r="TKJ138" s="18"/>
      <c r="TKK138" s="18"/>
      <c r="TKL138" s="17"/>
      <c r="TKM138" s="9"/>
      <c r="TKN138" s="9"/>
      <c r="TKO138" s="18"/>
      <c r="TKP138" s="18"/>
      <c r="TKQ138" s="18"/>
      <c r="TKR138" s="18"/>
      <c r="TKS138" s="18"/>
      <c r="TKT138" s="17"/>
      <c r="TKU138" s="9"/>
      <c r="TKV138" s="9"/>
      <c r="TKW138" s="18"/>
      <c r="TKX138" s="18"/>
      <c r="TKY138" s="18"/>
      <c r="TKZ138" s="18"/>
      <c r="TLA138" s="18"/>
      <c r="TLB138" s="17"/>
      <c r="TLC138" s="9"/>
      <c r="TLD138" s="9"/>
      <c r="TLE138" s="18"/>
      <c r="TLF138" s="18"/>
      <c r="TLG138" s="18"/>
      <c r="TLH138" s="18"/>
      <c r="TLI138" s="18"/>
      <c r="TLJ138" s="17"/>
      <c r="TLK138" s="9"/>
      <c r="TLL138" s="9"/>
      <c r="TLM138" s="18"/>
      <c r="TLN138" s="18"/>
      <c r="TLO138" s="18"/>
      <c r="TLP138" s="18"/>
      <c r="TLQ138" s="18"/>
      <c r="TLR138" s="17"/>
      <c r="TLS138" s="9"/>
      <c r="TLT138" s="9"/>
      <c r="TLU138" s="18"/>
      <c r="TLV138" s="18"/>
      <c r="TLW138" s="18"/>
      <c r="TLX138" s="18"/>
      <c r="TLY138" s="18"/>
      <c r="TLZ138" s="17"/>
      <c r="TMA138" s="9"/>
      <c r="TMB138" s="9"/>
      <c r="TMC138" s="18"/>
      <c r="TMD138" s="18"/>
      <c r="TME138" s="18"/>
      <c r="TMF138" s="18"/>
      <c r="TMG138" s="18"/>
      <c r="TMH138" s="17"/>
      <c r="TMI138" s="9"/>
      <c r="TMJ138" s="9"/>
      <c r="TMK138" s="18"/>
      <c r="TML138" s="18"/>
      <c r="TMM138" s="18"/>
      <c r="TMN138" s="18"/>
      <c r="TMO138" s="18"/>
      <c r="TMP138" s="17"/>
      <c r="TMQ138" s="9"/>
      <c r="TMR138" s="9"/>
      <c r="TMS138" s="18"/>
      <c r="TMT138" s="18"/>
      <c r="TMU138" s="18"/>
      <c r="TMV138" s="18"/>
      <c r="TMW138" s="18"/>
      <c r="TMX138" s="17"/>
      <c r="TMY138" s="9"/>
      <c r="TMZ138" s="9"/>
      <c r="TNA138" s="18"/>
      <c r="TNB138" s="18"/>
      <c r="TNC138" s="18"/>
      <c r="TND138" s="18"/>
      <c r="TNE138" s="18"/>
      <c r="TNF138" s="17"/>
      <c r="TNG138" s="9"/>
      <c r="TNH138" s="9"/>
      <c r="TNI138" s="18"/>
      <c r="TNJ138" s="18"/>
      <c r="TNK138" s="18"/>
      <c r="TNL138" s="18"/>
      <c r="TNM138" s="18"/>
      <c r="TNN138" s="17"/>
      <c r="TNO138" s="9"/>
      <c r="TNP138" s="9"/>
      <c r="TNQ138" s="18"/>
      <c r="TNR138" s="18"/>
      <c r="TNS138" s="18"/>
      <c r="TNT138" s="18"/>
      <c r="TNU138" s="18"/>
      <c r="TNV138" s="17"/>
      <c r="TNW138" s="9"/>
      <c r="TNX138" s="9"/>
      <c r="TNY138" s="18"/>
      <c r="TNZ138" s="18"/>
      <c r="TOA138" s="18"/>
      <c r="TOB138" s="18"/>
      <c r="TOC138" s="18"/>
      <c r="TOD138" s="17"/>
      <c r="TOE138" s="9"/>
      <c r="TOF138" s="9"/>
      <c r="TOG138" s="18"/>
      <c r="TOH138" s="18"/>
      <c r="TOI138" s="18"/>
      <c r="TOJ138" s="18"/>
      <c r="TOK138" s="18"/>
      <c r="TOL138" s="17"/>
      <c r="TOM138" s="9"/>
      <c r="TON138" s="9"/>
      <c r="TOO138" s="18"/>
      <c r="TOP138" s="18"/>
      <c r="TOQ138" s="18"/>
      <c r="TOR138" s="18"/>
      <c r="TOS138" s="18"/>
      <c r="TOT138" s="17"/>
      <c r="TOU138" s="9"/>
      <c r="TOV138" s="9"/>
      <c r="TOW138" s="18"/>
      <c r="TOX138" s="18"/>
      <c r="TOY138" s="18"/>
      <c r="TOZ138" s="18"/>
      <c r="TPA138" s="18"/>
      <c r="TPB138" s="17"/>
      <c r="TPC138" s="9"/>
      <c r="TPD138" s="9"/>
      <c r="TPE138" s="18"/>
      <c r="TPF138" s="18"/>
      <c r="TPG138" s="18"/>
      <c r="TPH138" s="18"/>
      <c r="TPI138" s="18"/>
      <c r="TPJ138" s="17"/>
      <c r="TPK138" s="9"/>
      <c r="TPL138" s="9"/>
      <c r="TPM138" s="18"/>
      <c r="TPN138" s="18"/>
      <c r="TPO138" s="18"/>
      <c r="TPP138" s="18"/>
      <c r="TPQ138" s="18"/>
      <c r="TPR138" s="17"/>
      <c r="TPS138" s="9"/>
      <c r="TPT138" s="9"/>
      <c r="TPU138" s="18"/>
      <c r="TPV138" s="18"/>
      <c r="TPW138" s="18"/>
      <c r="TPX138" s="18"/>
      <c r="TPY138" s="18"/>
      <c r="TPZ138" s="17"/>
      <c r="TQA138" s="9"/>
      <c r="TQB138" s="9"/>
      <c r="TQC138" s="18"/>
      <c r="TQD138" s="18"/>
      <c r="TQE138" s="18"/>
      <c r="TQF138" s="18"/>
      <c r="TQG138" s="18"/>
      <c r="TQH138" s="17"/>
      <c r="TQI138" s="9"/>
      <c r="TQJ138" s="9"/>
      <c r="TQK138" s="18"/>
      <c r="TQL138" s="18"/>
      <c r="TQM138" s="18"/>
      <c r="TQN138" s="18"/>
      <c r="TQO138" s="18"/>
      <c r="TQP138" s="17"/>
      <c r="TQQ138" s="9"/>
      <c r="TQR138" s="9"/>
      <c r="TQS138" s="18"/>
      <c r="TQT138" s="18"/>
      <c r="TQU138" s="18"/>
      <c r="TQV138" s="18"/>
      <c r="TQW138" s="18"/>
      <c r="TQX138" s="17"/>
      <c r="TQY138" s="9"/>
      <c r="TQZ138" s="9"/>
      <c r="TRA138" s="18"/>
      <c r="TRB138" s="18"/>
      <c r="TRC138" s="18"/>
      <c r="TRD138" s="18"/>
      <c r="TRE138" s="18"/>
      <c r="TRF138" s="17"/>
      <c r="TRG138" s="9"/>
      <c r="TRH138" s="9"/>
      <c r="TRI138" s="18"/>
      <c r="TRJ138" s="18"/>
      <c r="TRK138" s="18"/>
      <c r="TRL138" s="18"/>
      <c r="TRM138" s="18"/>
      <c r="TRN138" s="17"/>
      <c r="TRO138" s="9"/>
      <c r="TRP138" s="9"/>
      <c r="TRQ138" s="18"/>
      <c r="TRR138" s="18"/>
      <c r="TRS138" s="18"/>
      <c r="TRT138" s="18"/>
      <c r="TRU138" s="18"/>
      <c r="TRV138" s="17"/>
      <c r="TRW138" s="9"/>
      <c r="TRX138" s="9"/>
      <c r="TRY138" s="18"/>
      <c r="TRZ138" s="18"/>
      <c r="TSA138" s="18"/>
      <c r="TSB138" s="18"/>
      <c r="TSC138" s="18"/>
      <c r="TSD138" s="17"/>
      <c r="TSE138" s="9"/>
      <c r="TSF138" s="9"/>
      <c r="TSG138" s="18"/>
      <c r="TSH138" s="18"/>
      <c r="TSI138" s="18"/>
      <c r="TSJ138" s="18"/>
      <c r="TSK138" s="18"/>
      <c r="TSL138" s="17"/>
      <c r="TSM138" s="9"/>
      <c r="TSN138" s="9"/>
      <c r="TSO138" s="18"/>
      <c r="TSP138" s="18"/>
      <c r="TSQ138" s="18"/>
      <c r="TSR138" s="18"/>
      <c r="TSS138" s="18"/>
      <c r="TST138" s="17"/>
      <c r="TSU138" s="9"/>
      <c r="TSV138" s="9"/>
      <c r="TSW138" s="18"/>
      <c r="TSX138" s="18"/>
      <c r="TSY138" s="18"/>
      <c r="TSZ138" s="18"/>
      <c r="TTA138" s="18"/>
      <c r="TTB138" s="17"/>
      <c r="TTC138" s="9"/>
      <c r="TTD138" s="9"/>
      <c r="TTE138" s="18"/>
      <c r="TTF138" s="18"/>
      <c r="TTG138" s="18"/>
      <c r="TTH138" s="18"/>
      <c r="TTI138" s="18"/>
      <c r="TTJ138" s="17"/>
      <c r="TTK138" s="9"/>
      <c r="TTL138" s="9"/>
      <c r="TTM138" s="18"/>
      <c r="TTN138" s="18"/>
      <c r="TTO138" s="18"/>
      <c r="TTP138" s="18"/>
      <c r="TTQ138" s="18"/>
      <c r="TTR138" s="17"/>
      <c r="TTS138" s="9"/>
      <c r="TTT138" s="9"/>
      <c r="TTU138" s="18"/>
      <c r="TTV138" s="18"/>
      <c r="TTW138" s="18"/>
      <c r="TTX138" s="18"/>
      <c r="TTY138" s="18"/>
      <c r="TTZ138" s="17"/>
      <c r="TUA138" s="9"/>
      <c r="TUB138" s="9"/>
      <c r="TUC138" s="18"/>
      <c r="TUD138" s="18"/>
      <c r="TUE138" s="18"/>
      <c r="TUF138" s="18"/>
      <c r="TUG138" s="18"/>
      <c r="TUH138" s="17"/>
      <c r="TUI138" s="9"/>
      <c r="TUJ138" s="9"/>
      <c r="TUK138" s="18"/>
      <c r="TUL138" s="18"/>
      <c r="TUM138" s="18"/>
      <c r="TUN138" s="18"/>
      <c r="TUO138" s="18"/>
      <c r="TUP138" s="17"/>
      <c r="TUQ138" s="9"/>
      <c r="TUR138" s="9"/>
      <c r="TUS138" s="18"/>
      <c r="TUT138" s="18"/>
      <c r="TUU138" s="18"/>
      <c r="TUV138" s="18"/>
      <c r="TUW138" s="18"/>
      <c r="TUX138" s="17"/>
      <c r="TUY138" s="9"/>
      <c r="TUZ138" s="9"/>
      <c r="TVA138" s="18"/>
      <c r="TVB138" s="18"/>
      <c r="TVC138" s="18"/>
      <c r="TVD138" s="18"/>
      <c r="TVE138" s="18"/>
      <c r="TVF138" s="17"/>
      <c r="TVG138" s="9"/>
      <c r="TVH138" s="9"/>
      <c r="TVI138" s="18"/>
      <c r="TVJ138" s="18"/>
      <c r="TVK138" s="18"/>
      <c r="TVL138" s="18"/>
      <c r="TVM138" s="18"/>
      <c r="TVN138" s="17"/>
      <c r="TVO138" s="9"/>
      <c r="TVP138" s="9"/>
      <c r="TVQ138" s="18"/>
      <c r="TVR138" s="18"/>
      <c r="TVS138" s="18"/>
      <c r="TVT138" s="18"/>
      <c r="TVU138" s="18"/>
      <c r="TVV138" s="17"/>
      <c r="TVW138" s="9"/>
      <c r="TVX138" s="9"/>
      <c r="TVY138" s="18"/>
      <c r="TVZ138" s="18"/>
      <c r="TWA138" s="18"/>
      <c r="TWB138" s="18"/>
      <c r="TWC138" s="18"/>
      <c r="TWD138" s="17"/>
      <c r="TWE138" s="9"/>
      <c r="TWF138" s="9"/>
      <c r="TWG138" s="18"/>
      <c r="TWH138" s="18"/>
      <c r="TWI138" s="18"/>
      <c r="TWJ138" s="18"/>
      <c r="TWK138" s="18"/>
      <c r="TWL138" s="17"/>
      <c r="TWM138" s="9"/>
      <c r="TWN138" s="9"/>
      <c r="TWO138" s="18"/>
      <c r="TWP138" s="18"/>
      <c r="TWQ138" s="18"/>
      <c r="TWR138" s="18"/>
      <c r="TWS138" s="18"/>
      <c r="TWT138" s="17"/>
      <c r="TWU138" s="9"/>
      <c r="TWV138" s="9"/>
      <c r="TWW138" s="18"/>
      <c r="TWX138" s="18"/>
      <c r="TWY138" s="18"/>
      <c r="TWZ138" s="18"/>
      <c r="TXA138" s="18"/>
      <c r="TXB138" s="17"/>
      <c r="TXC138" s="9"/>
      <c r="TXD138" s="9"/>
      <c r="TXE138" s="18"/>
      <c r="TXF138" s="18"/>
      <c r="TXG138" s="18"/>
      <c r="TXH138" s="18"/>
      <c r="TXI138" s="18"/>
      <c r="TXJ138" s="17"/>
      <c r="TXK138" s="9"/>
      <c r="TXL138" s="9"/>
      <c r="TXM138" s="18"/>
      <c r="TXN138" s="18"/>
      <c r="TXO138" s="18"/>
      <c r="TXP138" s="18"/>
      <c r="TXQ138" s="18"/>
      <c r="TXR138" s="17"/>
      <c r="TXS138" s="9"/>
      <c r="TXT138" s="9"/>
      <c r="TXU138" s="18"/>
      <c r="TXV138" s="18"/>
      <c r="TXW138" s="18"/>
      <c r="TXX138" s="18"/>
      <c r="TXY138" s="18"/>
      <c r="TXZ138" s="17"/>
      <c r="TYA138" s="9"/>
      <c r="TYB138" s="9"/>
      <c r="TYC138" s="18"/>
      <c r="TYD138" s="18"/>
      <c r="TYE138" s="18"/>
      <c r="TYF138" s="18"/>
      <c r="TYG138" s="18"/>
      <c r="TYH138" s="17"/>
      <c r="TYI138" s="9"/>
      <c r="TYJ138" s="9"/>
      <c r="TYK138" s="18"/>
      <c r="TYL138" s="18"/>
      <c r="TYM138" s="18"/>
      <c r="TYN138" s="18"/>
      <c r="TYO138" s="18"/>
      <c r="TYP138" s="17"/>
      <c r="TYQ138" s="9"/>
      <c r="TYR138" s="9"/>
      <c r="TYS138" s="18"/>
      <c r="TYT138" s="18"/>
      <c r="TYU138" s="18"/>
      <c r="TYV138" s="18"/>
      <c r="TYW138" s="18"/>
      <c r="TYX138" s="17"/>
      <c r="TYY138" s="9"/>
      <c r="TYZ138" s="9"/>
      <c r="TZA138" s="18"/>
      <c r="TZB138" s="18"/>
      <c r="TZC138" s="18"/>
      <c r="TZD138" s="18"/>
      <c r="TZE138" s="18"/>
      <c r="TZF138" s="17"/>
      <c r="TZG138" s="9"/>
      <c r="TZH138" s="9"/>
      <c r="TZI138" s="18"/>
      <c r="TZJ138" s="18"/>
      <c r="TZK138" s="18"/>
      <c r="TZL138" s="18"/>
      <c r="TZM138" s="18"/>
      <c r="TZN138" s="17"/>
      <c r="TZO138" s="9"/>
      <c r="TZP138" s="9"/>
      <c r="TZQ138" s="18"/>
      <c r="TZR138" s="18"/>
      <c r="TZS138" s="18"/>
      <c r="TZT138" s="18"/>
      <c r="TZU138" s="18"/>
      <c r="TZV138" s="17"/>
      <c r="TZW138" s="9"/>
      <c r="TZX138" s="9"/>
      <c r="TZY138" s="18"/>
      <c r="TZZ138" s="18"/>
      <c r="UAA138" s="18"/>
      <c r="UAB138" s="18"/>
      <c r="UAC138" s="18"/>
      <c r="UAD138" s="17"/>
      <c r="UAE138" s="9"/>
      <c r="UAF138" s="9"/>
      <c r="UAG138" s="18"/>
      <c r="UAH138" s="18"/>
      <c r="UAI138" s="18"/>
      <c r="UAJ138" s="18"/>
      <c r="UAK138" s="18"/>
      <c r="UAL138" s="17"/>
      <c r="UAM138" s="9"/>
      <c r="UAN138" s="9"/>
      <c r="UAO138" s="18"/>
      <c r="UAP138" s="18"/>
      <c r="UAQ138" s="18"/>
      <c r="UAR138" s="18"/>
      <c r="UAS138" s="18"/>
      <c r="UAT138" s="17"/>
      <c r="UAU138" s="9"/>
      <c r="UAV138" s="9"/>
      <c r="UAW138" s="18"/>
      <c r="UAX138" s="18"/>
      <c r="UAY138" s="18"/>
      <c r="UAZ138" s="18"/>
      <c r="UBA138" s="18"/>
      <c r="UBB138" s="17"/>
      <c r="UBC138" s="9"/>
      <c r="UBD138" s="9"/>
      <c r="UBE138" s="18"/>
      <c r="UBF138" s="18"/>
      <c r="UBG138" s="18"/>
      <c r="UBH138" s="18"/>
      <c r="UBI138" s="18"/>
      <c r="UBJ138" s="17"/>
      <c r="UBK138" s="9"/>
      <c r="UBL138" s="9"/>
      <c r="UBM138" s="18"/>
      <c r="UBN138" s="18"/>
      <c r="UBO138" s="18"/>
      <c r="UBP138" s="18"/>
      <c r="UBQ138" s="18"/>
      <c r="UBR138" s="17"/>
      <c r="UBS138" s="9"/>
      <c r="UBT138" s="9"/>
      <c r="UBU138" s="18"/>
      <c r="UBV138" s="18"/>
      <c r="UBW138" s="18"/>
      <c r="UBX138" s="18"/>
      <c r="UBY138" s="18"/>
      <c r="UBZ138" s="17"/>
      <c r="UCA138" s="9"/>
      <c r="UCB138" s="9"/>
      <c r="UCC138" s="18"/>
      <c r="UCD138" s="18"/>
      <c r="UCE138" s="18"/>
      <c r="UCF138" s="18"/>
      <c r="UCG138" s="18"/>
      <c r="UCH138" s="17"/>
      <c r="UCI138" s="9"/>
      <c r="UCJ138" s="9"/>
      <c r="UCK138" s="18"/>
      <c r="UCL138" s="18"/>
      <c r="UCM138" s="18"/>
      <c r="UCN138" s="18"/>
      <c r="UCO138" s="18"/>
      <c r="UCP138" s="17"/>
      <c r="UCQ138" s="9"/>
      <c r="UCR138" s="9"/>
      <c r="UCS138" s="18"/>
      <c r="UCT138" s="18"/>
      <c r="UCU138" s="18"/>
      <c r="UCV138" s="18"/>
      <c r="UCW138" s="18"/>
      <c r="UCX138" s="17"/>
      <c r="UCY138" s="9"/>
      <c r="UCZ138" s="9"/>
      <c r="UDA138" s="18"/>
      <c r="UDB138" s="18"/>
      <c r="UDC138" s="18"/>
      <c r="UDD138" s="18"/>
      <c r="UDE138" s="18"/>
      <c r="UDF138" s="17"/>
      <c r="UDG138" s="9"/>
      <c r="UDH138" s="9"/>
      <c r="UDI138" s="18"/>
      <c r="UDJ138" s="18"/>
      <c r="UDK138" s="18"/>
      <c r="UDL138" s="18"/>
      <c r="UDM138" s="18"/>
      <c r="UDN138" s="17"/>
      <c r="UDO138" s="9"/>
      <c r="UDP138" s="9"/>
      <c r="UDQ138" s="18"/>
      <c r="UDR138" s="18"/>
      <c r="UDS138" s="18"/>
      <c r="UDT138" s="18"/>
      <c r="UDU138" s="18"/>
      <c r="UDV138" s="17"/>
      <c r="UDW138" s="9"/>
      <c r="UDX138" s="9"/>
      <c r="UDY138" s="18"/>
      <c r="UDZ138" s="18"/>
      <c r="UEA138" s="18"/>
      <c r="UEB138" s="18"/>
      <c r="UEC138" s="18"/>
      <c r="UED138" s="17"/>
      <c r="UEE138" s="9"/>
      <c r="UEF138" s="9"/>
      <c r="UEG138" s="18"/>
      <c r="UEH138" s="18"/>
      <c r="UEI138" s="18"/>
      <c r="UEJ138" s="18"/>
      <c r="UEK138" s="18"/>
      <c r="UEL138" s="17"/>
      <c r="UEM138" s="9"/>
      <c r="UEN138" s="9"/>
      <c r="UEO138" s="18"/>
      <c r="UEP138" s="18"/>
      <c r="UEQ138" s="18"/>
      <c r="UER138" s="18"/>
      <c r="UES138" s="18"/>
      <c r="UET138" s="17"/>
      <c r="UEU138" s="9"/>
      <c r="UEV138" s="9"/>
      <c r="UEW138" s="18"/>
      <c r="UEX138" s="18"/>
      <c r="UEY138" s="18"/>
      <c r="UEZ138" s="18"/>
      <c r="UFA138" s="18"/>
      <c r="UFB138" s="17"/>
      <c r="UFC138" s="9"/>
      <c r="UFD138" s="9"/>
      <c r="UFE138" s="18"/>
      <c r="UFF138" s="18"/>
      <c r="UFG138" s="18"/>
      <c r="UFH138" s="18"/>
      <c r="UFI138" s="18"/>
      <c r="UFJ138" s="17"/>
      <c r="UFK138" s="9"/>
      <c r="UFL138" s="9"/>
      <c r="UFM138" s="18"/>
      <c r="UFN138" s="18"/>
      <c r="UFO138" s="18"/>
      <c r="UFP138" s="18"/>
      <c r="UFQ138" s="18"/>
      <c r="UFR138" s="17"/>
      <c r="UFS138" s="9"/>
      <c r="UFT138" s="9"/>
      <c r="UFU138" s="18"/>
      <c r="UFV138" s="18"/>
      <c r="UFW138" s="18"/>
      <c r="UFX138" s="18"/>
      <c r="UFY138" s="18"/>
      <c r="UFZ138" s="17"/>
      <c r="UGA138" s="9"/>
      <c r="UGB138" s="9"/>
      <c r="UGC138" s="18"/>
      <c r="UGD138" s="18"/>
      <c r="UGE138" s="18"/>
      <c r="UGF138" s="18"/>
      <c r="UGG138" s="18"/>
      <c r="UGH138" s="17"/>
      <c r="UGI138" s="9"/>
      <c r="UGJ138" s="9"/>
      <c r="UGK138" s="18"/>
      <c r="UGL138" s="18"/>
      <c r="UGM138" s="18"/>
      <c r="UGN138" s="18"/>
      <c r="UGO138" s="18"/>
      <c r="UGP138" s="17"/>
      <c r="UGQ138" s="9"/>
      <c r="UGR138" s="9"/>
      <c r="UGS138" s="18"/>
      <c r="UGT138" s="18"/>
      <c r="UGU138" s="18"/>
      <c r="UGV138" s="18"/>
      <c r="UGW138" s="18"/>
      <c r="UGX138" s="17"/>
      <c r="UGY138" s="9"/>
      <c r="UGZ138" s="9"/>
      <c r="UHA138" s="18"/>
      <c r="UHB138" s="18"/>
      <c r="UHC138" s="18"/>
      <c r="UHD138" s="18"/>
      <c r="UHE138" s="18"/>
      <c r="UHF138" s="17"/>
      <c r="UHG138" s="9"/>
      <c r="UHH138" s="9"/>
      <c r="UHI138" s="18"/>
      <c r="UHJ138" s="18"/>
      <c r="UHK138" s="18"/>
      <c r="UHL138" s="18"/>
      <c r="UHM138" s="18"/>
      <c r="UHN138" s="17"/>
      <c r="UHO138" s="9"/>
      <c r="UHP138" s="9"/>
      <c r="UHQ138" s="18"/>
      <c r="UHR138" s="18"/>
      <c r="UHS138" s="18"/>
      <c r="UHT138" s="18"/>
      <c r="UHU138" s="18"/>
      <c r="UHV138" s="17"/>
      <c r="UHW138" s="9"/>
      <c r="UHX138" s="9"/>
      <c r="UHY138" s="18"/>
      <c r="UHZ138" s="18"/>
      <c r="UIA138" s="18"/>
      <c r="UIB138" s="18"/>
      <c r="UIC138" s="18"/>
      <c r="UID138" s="17"/>
      <c r="UIE138" s="9"/>
      <c r="UIF138" s="9"/>
      <c r="UIG138" s="18"/>
      <c r="UIH138" s="18"/>
      <c r="UII138" s="18"/>
      <c r="UIJ138" s="18"/>
      <c r="UIK138" s="18"/>
      <c r="UIL138" s="17"/>
      <c r="UIM138" s="9"/>
      <c r="UIN138" s="9"/>
      <c r="UIO138" s="18"/>
      <c r="UIP138" s="18"/>
      <c r="UIQ138" s="18"/>
      <c r="UIR138" s="18"/>
      <c r="UIS138" s="18"/>
      <c r="UIT138" s="17"/>
      <c r="UIU138" s="9"/>
      <c r="UIV138" s="9"/>
      <c r="UIW138" s="18"/>
      <c r="UIX138" s="18"/>
      <c r="UIY138" s="18"/>
      <c r="UIZ138" s="18"/>
      <c r="UJA138" s="18"/>
      <c r="UJB138" s="17"/>
      <c r="UJC138" s="9"/>
      <c r="UJD138" s="9"/>
      <c r="UJE138" s="18"/>
      <c r="UJF138" s="18"/>
      <c r="UJG138" s="18"/>
      <c r="UJH138" s="18"/>
      <c r="UJI138" s="18"/>
      <c r="UJJ138" s="17"/>
      <c r="UJK138" s="9"/>
      <c r="UJL138" s="9"/>
      <c r="UJM138" s="18"/>
      <c r="UJN138" s="18"/>
      <c r="UJO138" s="18"/>
      <c r="UJP138" s="18"/>
      <c r="UJQ138" s="18"/>
      <c r="UJR138" s="17"/>
      <c r="UJS138" s="9"/>
      <c r="UJT138" s="9"/>
      <c r="UJU138" s="18"/>
      <c r="UJV138" s="18"/>
      <c r="UJW138" s="18"/>
      <c r="UJX138" s="18"/>
      <c r="UJY138" s="18"/>
      <c r="UJZ138" s="17"/>
      <c r="UKA138" s="9"/>
      <c r="UKB138" s="9"/>
      <c r="UKC138" s="18"/>
      <c r="UKD138" s="18"/>
      <c r="UKE138" s="18"/>
      <c r="UKF138" s="18"/>
      <c r="UKG138" s="18"/>
      <c r="UKH138" s="17"/>
      <c r="UKI138" s="9"/>
      <c r="UKJ138" s="9"/>
      <c r="UKK138" s="18"/>
      <c r="UKL138" s="18"/>
      <c r="UKM138" s="18"/>
      <c r="UKN138" s="18"/>
      <c r="UKO138" s="18"/>
      <c r="UKP138" s="17"/>
      <c r="UKQ138" s="9"/>
      <c r="UKR138" s="9"/>
      <c r="UKS138" s="18"/>
      <c r="UKT138" s="18"/>
      <c r="UKU138" s="18"/>
      <c r="UKV138" s="18"/>
      <c r="UKW138" s="18"/>
      <c r="UKX138" s="17"/>
      <c r="UKY138" s="9"/>
      <c r="UKZ138" s="9"/>
      <c r="ULA138" s="18"/>
      <c r="ULB138" s="18"/>
      <c r="ULC138" s="18"/>
      <c r="ULD138" s="18"/>
      <c r="ULE138" s="18"/>
      <c r="ULF138" s="17"/>
      <c r="ULG138" s="9"/>
      <c r="ULH138" s="9"/>
      <c r="ULI138" s="18"/>
      <c r="ULJ138" s="18"/>
      <c r="ULK138" s="18"/>
      <c r="ULL138" s="18"/>
      <c r="ULM138" s="18"/>
      <c r="ULN138" s="17"/>
      <c r="ULO138" s="9"/>
      <c r="ULP138" s="9"/>
      <c r="ULQ138" s="18"/>
      <c r="ULR138" s="18"/>
      <c r="ULS138" s="18"/>
      <c r="ULT138" s="18"/>
      <c r="ULU138" s="18"/>
      <c r="ULV138" s="17"/>
      <c r="ULW138" s="9"/>
      <c r="ULX138" s="9"/>
      <c r="ULY138" s="18"/>
      <c r="ULZ138" s="18"/>
      <c r="UMA138" s="18"/>
      <c r="UMB138" s="18"/>
      <c r="UMC138" s="18"/>
      <c r="UMD138" s="17"/>
      <c r="UME138" s="9"/>
      <c r="UMF138" s="9"/>
      <c r="UMG138" s="18"/>
      <c r="UMH138" s="18"/>
      <c r="UMI138" s="18"/>
      <c r="UMJ138" s="18"/>
      <c r="UMK138" s="18"/>
      <c r="UML138" s="17"/>
      <c r="UMM138" s="9"/>
      <c r="UMN138" s="9"/>
      <c r="UMO138" s="18"/>
      <c r="UMP138" s="18"/>
      <c r="UMQ138" s="18"/>
      <c r="UMR138" s="18"/>
      <c r="UMS138" s="18"/>
      <c r="UMT138" s="17"/>
      <c r="UMU138" s="9"/>
      <c r="UMV138" s="9"/>
      <c r="UMW138" s="18"/>
      <c r="UMX138" s="18"/>
      <c r="UMY138" s="18"/>
      <c r="UMZ138" s="18"/>
      <c r="UNA138" s="18"/>
      <c r="UNB138" s="17"/>
      <c r="UNC138" s="9"/>
      <c r="UND138" s="9"/>
      <c r="UNE138" s="18"/>
      <c r="UNF138" s="18"/>
      <c r="UNG138" s="18"/>
      <c r="UNH138" s="18"/>
      <c r="UNI138" s="18"/>
      <c r="UNJ138" s="17"/>
      <c r="UNK138" s="9"/>
      <c r="UNL138" s="9"/>
      <c r="UNM138" s="18"/>
      <c r="UNN138" s="18"/>
      <c r="UNO138" s="18"/>
      <c r="UNP138" s="18"/>
      <c r="UNQ138" s="18"/>
      <c r="UNR138" s="17"/>
      <c r="UNS138" s="9"/>
      <c r="UNT138" s="9"/>
      <c r="UNU138" s="18"/>
      <c r="UNV138" s="18"/>
      <c r="UNW138" s="18"/>
      <c r="UNX138" s="18"/>
      <c r="UNY138" s="18"/>
      <c r="UNZ138" s="17"/>
      <c r="UOA138" s="9"/>
      <c r="UOB138" s="9"/>
      <c r="UOC138" s="18"/>
      <c r="UOD138" s="18"/>
      <c r="UOE138" s="18"/>
      <c r="UOF138" s="18"/>
      <c r="UOG138" s="18"/>
      <c r="UOH138" s="17"/>
      <c r="UOI138" s="9"/>
      <c r="UOJ138" s="9"/>
      <c r="UOK138" s="18"/>
      <c r="UOL138" s="18"/>
      <c r="UOM138" s="18"/>
      <c r="UON138" s="18"/>
      <c r="UOO138" s="18"/>
      <c r="UOP138" s="17"/>
      <c r="UOQ138" s="9"/>
      <c r="UOR138" s="9"/>
      <c r="UOS138" s="18"/>
      <c r="UOT138" s="18"/>
      <c r="UOU138" s="18"/>
      <c r="UOV138" s="18"/>
      <c r="UOW138" s="18"/>
      <c r="UOX138" s="17"/>
      <c r="UOY138" s="9"/>
      <c r="UOZ138" s="9"/>
      <c r="UPA138" s="18"/>
      <c r="UPB138" s="18"/>
      <c r="UPC138" s="18"/>
      <c r="UPD138" s="18"/>
      <c r="UPE138" s="18"/>
      <c r="UPF138" s="17"/>
      <c r="UPG138" s="9"/>
      <c r="UPH138" s="9"/>
      <c r="UPI138" s="18"/>
      <c r="UPJ138" s="18"/>
      <c r="UPK138" s="18"/>
      <c r="UPL138" s="18"/>
      <c r="UPM138" s="18"/>
      <c r="UPN138" s="17"/>
      <c r="UPO138" s="9"/>
      <c r="UPP138" s="9"/>
      <c r="UPQ138" s="18"/>
      <c r="UPR138" s="18"/>
      <c r="UPS138" s="18"/>
      <c r="UPT138" s="18"/>
      <c r="UPU138" s="18"/>
      <c r="UPV138" s="17"/>
      <c r="UPW138" s="9"/>
      <c r="UPX138" s="9"/>
      <c r="UPY138" s="18"/>
      <c r="UPZ138" s="18"/>
      <c r="UQA138" s="18"/>
      <c r="UQB138" s="18"/>
      <c r="UQC138" s="18"/>
      <c r="UQD138" s="17"/>
      <c r="UQE138" s="9"/>
      <c r="UQF138" s="9"/>
      <c r="UQG138" s="18"/>
      <c r="UQH138" s="18"/>
      <c r="UQI138" s="18"/>
      <c r="UQJ138" s="18"/>
      <c r="UQK138" s="18"/>
      <c r="UQL138" s="17"/>
      <c r="UQM138" s="9"/>
      <c r="UQN138" s="9"/>
      <c r="UQO138" s="18"/>
      <c r="UQP138" s="18"/>
      <c r="UQQ138" s="18"/>
      <c r="UQR138" s="18"/>
      <c r="UQS138" s="18"/>
      <c r="UQT138" s="17"/>
      <c r="UQU138" s="9"/>
      <c r="UQV138" s="9"/>
      <c r="UQW138" s="18"/>
      <c r="UQX138" s="18"/>
      <c r="UQY138" s="18"/>
      <c r="UQZ138" s="18"/>
      <c r="URA138" s="18"/>
      <c r="URB138" s="17"/>
      <c r="URC138" s="9"/>
      <c r="URD138" s="9"/>
      <c r="URE138" s="18"/>
      <c r="URF138" s="18"/>
      <c r="URG138" s="18"/>
      <c r="URH138" s="18"/>
      <c r="URI138" s="18"/>
      <c r="URJ138" s="17"/>
      <c r="URK138" s="9"/>
      <c r="URL138" s="9"/>
      <c r="URM138" s="18"/>
      <c r="URN138" s="18"/>
      <c r="URO138" s="18"/>
      <c r="URP138" s="18"/>
      <c r="URQ138" s="18"/>
      <c r="URR138" s="17"/>
      <c r="URS138" s="9"/>
      <c r="URT138" s="9"/>
      <c r="URU138" s="18"/>
      <c r="URV138" s="18"/>
      <c r="URW138" s="18"/>
      <c r="URX138" s="18"/>
      <c r="URY138" s="18"/>
      <c r="URZ138" s="17"/>
      <c r="USA138" s="9"/>
      <c r="USB138" s="9"/>
      <c r="USC138" s="18"/>
      <c r="USD138" s="18"/>
      <c r="USE138" s="18"/>
      <c r="USF138" s="18"/>
      <c r="USG138" s="18"/>
      <c r="USH138" s="17"/>
      <c r="USI138" s="9"/>
      <c r="USJ138" s="9"/>
      <c r="USK138" s="18"/>
      <c r="USL138" s="18"/>
      <c r="USM138" s="18"/>
      <c r="USN138" s="18"/>
      <c r="USO138" s="18"/>
      <c r="USP138" s="17"/>
      <c r="USQ138" s="9"/>
      <c r="USR138" s="9"/>
      <c r="USS138" s="18"/>
      <c r="UST138" s="18"/>
      <c r="USU138" s="18"/>
      <c r="USV138" s="18"/>
      <c r="USW138" s="18"/>
      <c r="USX138" s="17"/>
      <c r="USY138" s="9"/>
      <c r="USZ138" s="9"/>
      <c r="UTA138" s="18"/>
      <c r="UTB138" s="18"/>
      <c r="UTC138" s="18"/>
      <c r="UTD138" s="18"/>
      <c r="UTE138" s="18"/>
      <c r="UTF138" s="17"/>
      <c r="UTG138" s="9"/>
      <c r="UTH138" s="9"/>
      <c r="UTI138" s="18"/>
      <c r="UTJ138" s="18"/>
      <c r="UTK138" s="18"/>
      <c r="UTL138" s="18"/>
      <c r="UTM138" s="18"/>
      <c r="UTN138" s="17"/>
      <c r="UTO138" s="9"/>
      <c r="UTP138" s="9"/>
      <c r="UTQ138" s="18"/>
      <c r="UTR138" s="18"/>
      <c r="UTS138" s="18"/>
      <c r="UTT138" s="18"/>
      <c r="UTU138" s="18"/>
      <c r="UTV138" s="17"/>
      <c r="UTW138" s="9"/>
      <c r="UTX138" s="9"/>
      <c r="UTY138" s="18"/>
      <c r="UTZ138" s="18"/>
      <c r="UUA138" s="18"/>
      <c r="UUB138" s="18"/>
      <c r="UUC138" s="18"/>
      <c r="UUD138" s="17"/>
      <c r="UUE138" s="9"/>
      <c r="UUF138" s="9"/>
      <c r="UUG138" s="18"/>
      <c r="UUH138" s="18"/>
      <c r="UUI138" s="18"/>
      <c r="UUJ138" s="18"/>
      <c r="UUK138" s="18"/>
      <c r="UUL138" s="17"/>
      <c r="UUM138" s="9"/>
      <c r="UUN138" s="9"/>
      <c r="UUO138" s="18"/>
      <c r="UUP138" s="18"/>
      <c r="UUQ138" s="18"/>
      <c r="UUR138" s="18"/>
      <c r="UUS138" s="18"/>
      <c r="UUT138" s="17"/>
      <c r="UUU138" s="9"/>
      <c r="UUV138" s="9"/>
      <c r="UUW138" s="18"/>
      <c r="UUX138" s="18"/>
      <c r="UUY138" s="18"/>
      <c r="UUZ138" s="18"/>
      <c r="UVA138" s="18"/>
      <c r="UVB138" s="17"/>
      <c r="UVC138" s="9"/>
      <c r="UVD138" s="9"/>
      <c r="UVE138" s="18"/>
      <c r="UVF138" s="18"/>
      <c r="UVG138" s="18"/>
      <c r="UVH138" s="18"/>
      <c r="UVI138" s="18"/>
      <c r="UVJ138" s="17"/>
      <c r="UVK138" s="9"/>
      <c r="UVL138" s="9"/>
      <c r="UVM138" s="18"/>
      <c r="UVN138" s="18"/>
      <c r="UVO138" s="18"/>
      <c r="UVP138" s="18"/>
      <c r="UVQ138" s="18"/>
      <c r="UVR138" s="17"/>
      <c r="UVS138" s="9"/>
      <c r="UVT138" s="9"/>
      <c r="UVU138" s="18"/>
      <c r="UVV138" s="18"/>
      <c r="UVW138" s="18"/>
      <c r="UVX138" s="18"/>
      <c r="UVY138" s="18"/>
      <c r="UVZ138" s="17"/>
      <c r="UWA138" s="9"/>
      <c r="UWB138" s="9"/>
      <c r="UWC138" s="18"/>
      <c r="UWD138" s="18"/>
      <c r="UWE138" s="18"/>
      <c r="UWF138" s="18"/>
      <c r="UWG138" s="18"/>
      <c r="UWH138" s="17"/>
      <c r="UWI138" s="9"/>
      <c r="UWJ138" s="9"/>
      <c r="UWK138" s="18"/>
      <c r="UWL138" s="18"/>
      <c r="UWM138" s="18"/>
      <c r="UWN138" s="18"/>
      <c r="UWO138" s="18"/>
      <c r="UWP138" s="17"/>
      <c r="UWQ138" s="9"/>
      <c r="UWR138" s="9"/>
      <c r="UWS138" s="18"/>
      <c r="UWT138" s="18"/>
      <c r="UWU138" s="18"/>
      <c r="UWV138" s="18"/>
      <c r="UWW138" s="18"/>
      <c r="UWX138" s="17"/>
      <c r="UWY138" s="9"/>
      <c r="UWZ138" s="9"/>
      <c r="UXA138" s="18"/>
      <c r="UXB138" s="18"/>
      <c r="UXC138" s="18"/>
      <c r="UXD138" s="18"/>
      <c r="UXE138" s="18"/>
      <c r="UXF138" s="17"/>
      <c r="UXG138" s="9"/>
      <c r="UXH138" s="9"/>
      <c r="UXI138" s="18"/>
      <c r="UXJ138" s="18"/>
      <c r="UXK138" s="18"/>
      <c r="UXL138" s="18"/>
      <c r="UXM138" s="18"/>
      <c r="UXN138" s="17"/>
      <c r="UXO138" s="9"/>
      <c r="UXP138" s="9"/>
      <c r="UXQ138" s="18"/>
      <c r="UXR138" s="18"/>
      <c r="UXS138" s="18"/>
      <c r="UXT138" s="18"/>
      <c r="UXU138" s="18"/>
      <c r="UXV138" s="17"/>
      <c r="UXW138" s="9"/>
      <c r="UXX138" s="9"/>
      <c r="UXY138" s="18"/>
      <c r="UXZ138" s="18"/>
      <c r="UYA138" s="18"/>
      <c r="UYB138" s="18"/>
      <c r="UYC138" s="18"/>
      <c r="UYD138" s="17"/>
      <c r="UYE138" s="9"/>
      <c r="UYF138" s="9"/>
      <c r="UYG138" s="18"/>
      <c r="UYH138" s="18"/>
      <c r="UYI138" s="18"/>
      <c r="UYJ138" s="18"/>
      <c r="UYK138" s="18"/>
      <c r="UYL138" s="17"/>
      <c r="UYM138" s="9"/>
      <c r="UYN138" s="9"/>
      <c r="UYO138" s="18"/>
      <c r="UYP138" s="18"/>
      <c r="UYQ138" s="18"/>
      <c r="UYR138" s="18"/>
      <c r="UYS138" s="18"/>
      <c r="UYT138" s="17"/>
      <c r="UYU138" s="9"/>
      <c r="UYV138" s="9"/>
      <c r="UYW138" s="18"/>
      <c r="UYX138" s="18"/>
      <c r="UYY138" s="18"/>
      <c r="UYZ138" s="18"/>
      <c r="UZA138" s="18"/>
      <c r="UZB138" s="17"/>
      <c r="UZC138" s="9"/>
      <c r="UZD138" s="9"/>
      <c r="UZE138" s="18"/>
      <c r="UZF138" s="18"/>
      <c r="UZG138" s="18"/>
      <c r="UZH138" s="18"/>
      <c r="UZI138" s="18"/>
      <c r="UZJ138" s="17"/>
      <c r="UZK138" s="9"/>
      <c r="UZL138" s="9"/>
      <c r="UZM138" s="18"/>
      <c r="UZN138" s="18"/>
      <c r="UZO138" s="18"/>
      <c r="UZP138" s="18"/>
      <c r="UZQ138" s="18"/>
      <c r="UZR138" s="17"/>
      <c r="UZS138" s="9"/>
      <c r="UZT138" s="9"/>
      <c r="UZU138" s="18"/>
      <c r="UZV138" s="18"/>
      <c r="UZW138" s="18"/>
      <c r="UZX138" s="18"/>
      <c r="UZY138" s="18"/>
      <c r="UZZ138" s="17"/>
      <c r="VAA138" s="9"/>
      <c r="VAB138" s="9"/>
      <c r="VAC138" s="18"/>
      <c r="VAD138" s="18"/>
      <c r="VAE138" s="18"/>
      <c r="VAF138" s="18"/>
      <c r="VAG138" s="18"/>
      <c r="VAH138" s="17"/>
      <c r="VAI138" s="9"/>
      <c r="VAJ138" s="9"/>
      <c r="VAK138" s="18"/>
      <c r="VAL138" s="18"/>
      <c r="VAM138" s="18"/>
      <c r="VAN138" s="18"/>
      <c r="VAO138" s="18"/>
      <c r="VAP138" s="17"/>
      <c r="VAQ138" s="9"/>
      <c r="VAR138" s="9"/>
      <c r="VAS138" s="18"/>
      <c r="VAT138" s="18"/>
      <c r="VAU138" s="18"/>
      <c r="VAV138" s="18"/>
      <c r="VAW138" s="18"/>
      <c r="VAX138" s="17"/>
      <c r="VAY138" s="9"/>
      <c r="VAZ138" s="9"/>
      <c r="VBA138" s="18"/>
      <c r="VBB138" s="18"/>
      <c r="VBC138" s="18"/>
      <c r="VBD138" s="18"/>
      <c r="VBE138" s="18"/>
      <c r="VBF138" s="17"/>
      <c r="VBG138" s="9"/>
      <c r="VBH138" s="9"/>
      <c r="VBI138" s="18"/>
      <c r="VBJ138" s="18"/>
      <c r="VBK138" s="18"/>
      <c r="VBL138" s="18"/>
      <c r="VBM138" s="18"/>
      <c r="VBN138" s="17"/>
      <c r="VBO138" s="9"/>
      <c r="VBP138" s="9"/>
      <c r="VBQ138" s="18"/>
      <c r="VBR138" s="18"/>
      <c r="VBS138" s="18"/>
      <c r="VBT138" s="18"/>
      <c r="VBU138" s="18"/>
      <c r="VBV138" s="17"/>
      <c r="VBW138" s="9"/>
      <c r="VBX138" s="9"/>
      <c r="VBY138" s="18"/>
      <c r="VBZ138" s="18"/>
      <c r="VCA138" s="18"/>
      <c r="VCB138" s="18"/>
      <c r="VCC138" s="18"/>
      <c r="VCD138" s="17"/>
      <c r="VCE138" s="9"/>
      <c r="VCF138" s="9"/>
      <c r="VCG138" s="18"/>
      <c r="VCH138" s="18"/>
      <c r="VCI138" s="18"/>
      <c r="VCJ138" s="18"/>
      <c r="VCK138" s="18"/>
      <c r="VCL138" s="17"/>
      <c r="VCM138" s="9"/>
      <c r="VCN138" s="9"/>
      <c r="VCO138" s="18"/>
      <c r="VCP138" s="18"/>
      <c r="VCQ138" s="18"/>
      <c r="VCR138" s="18"/>
      <c r="VCS138" s="18"/>
      <c r="VCT138" s="17"/>
      <c r="VCU138" s="9"/>
      <c r="VCV138" s="9"/>
      <c r="VCW138" s="18"/>
      <c r="VCX138" s="18"/>
      <c r="VCY138" s="18"/>
      <c r="VCZ138" s="18"/>
      <c r="VDA138" s="18"/>
      <c r="VDB138" s="17"/>
      <c r="VDC138" s="9"/>
      <c r="VDD138" s="9"/>
      <c r="VDE138" s="18"/>
      <c r="VDF138" s="18"/>
      <c r="VDG138" s="18"/>
      <c r="VDH138" s="18"/>
      <c r="VDI138" s="18"/>
      <c r="VDJ138" s="17"/>
      <c r="VDK138" s="9"/>
      <c r="VDL138" s="9"/>
      <c r="VDM138" s="18"/>
      <c r="VDN138" s="18"/>
      <c r="VDO138" s="18"/>
      <c r="VDP138" s="18"/>
      <c r="VDQ138" s="18"/>
      <c r="VDR138" s="17"/>
      <c r="VDS138" s="9"/>
      <c r="VDT138" s="9"/>
      <c r="VDU138" s="18"/>
      <c r="VDV138" s="18"/>
      <c r="VDW138" s="18"/>
      <c r="VDX138" s="18"/>
      <c r="VDY138" s="18"/>
      <c r="VDZ138" s="17"/>
      <c r="VEA138" s="9"/>
      <c r="VEB138" s="9"/>
      <c r="VEC138" s="18"/>
      <c r="VED138" s="18"/>
      <c r="VEE138" s="18"/>
      <c r="VEF138" s="18"/>
      <c r="VEG138" s="18"/>
      <c r="VEH138" s="17"/>
      <c r="VEI138" s="9"/>
      <c r="VEJ138" s="9"/>
      <c r="VEK138" s="18"/>
      <c r="VEL138" s="18"/>
      <c r="VEM138" s="18"/>
      <c r="VEN138" s="18"/>
      <c r="VEO138" s="18"/>
      <c r="VEP138" s="17"/>
      <c r="VEQ138" s="9"/>
      <c r="VER138" s="9"/>
      <c r="VES138" s="18"/>
      <c r="VET138" s="18"/>
      <c r="VEU138" s="18"/>
      <c r="VEV138" s="18"/>
      <c r="VEW138" s="18"/>
      <c r="VEX138" s="17"/>
      <c r="VEY138" s="9"/>
      <c r="VEZ138" s="9"/>
      <c r="VFA138" s="18"/>
      <c r="VFB138" s="18"/>
      <c r="VFC138" s="18"/>
      <c r="VFD138" s="18"/>
      <c r="VFE138" s="18"/>
      <c r="VFF138" s="17"/>
      <c r="VFG138" s="9"/>
      <c r="VFH138" s="9"/>
      <c r="VFI138" s="18"/>
      <c r="VFJ138" s="18"/>
      <c r="VFK138" s="18"/>
      <c r="VFL138" s="18"/>
      <c r="VFM138" s="18"/>
      <c r="VFN138" s="17"/>
      <c r="VFO138" s="9"/>
      <c r="VFP138" s="9"/>
      <c r="VFQ138" s="18"/>
      <c r="VFR138" s="18"/>
      <c r="VFS138" s="18"/>
      <c r="VFT138" s="18"/>
      <c r="VFU138" s="18"/>
      <c r="VFV138" s="17"/>
      <c r="VFW138" s="9"/>
      <c r="VFX138" s="9"/>
      <c r="VFY138" s="18"/>
      <c r="VFZ138" s="18"/>
      <c r="VGA138" s="18"/>
      <c r="VGB138" s="18"/>
      <c r="VGC138" s="18"/>
      <c r="VGD138" s="17"/>
      <c r="VGE138" s="9"/>
      <c r="VGF138" s="9"/>
      <c r="VGG138" s="18"/>
      <c r="VGH138" s="18"/>
      <c r="VGI138" s="18"/>
      <c r="VGJ138" s="18"/>
      <c r="VGK138" s="18"/>
      <c r="VGL138" s="17"/>
      <c r="VGM138" s="9"/>
      <c r="VGN138" s="9"/>
      <c r="VGO138" s="18"/>
      <c r="VGP138" s="18"/>
      <c r="VGQ138" s="18"/>
      <c r="VGR138" s="18"/>
      <c r="VGS138" s="18"/>
      <c r="VGT138" s="17"/>
      <c r="VGU138" s="9"/>
      <c r="VGV138" s="9"/>
      <c r="VGW138" s="18"/>
      <c r="VGX138" s="18"/>
      <c r="VGY138" s="18"/>
      <c r="VGZ138" s="18"/>
      <c r="VHA138" s="18"/>
      <c r="VHB138" s="17"/>
      <c r="VHC138" s="9"/>
      <c r="VHD138" s="9"/>
      <c r="VHE138" s="18"/>
      <c r="VHF138" s="18"/>
      <c r="VHG138" s="18"/>
      <c r="VHH138" s="18"/>
      <c r="VHI138" s="18"/>
      <c r="VHJ138" s="17"/>
      <c r="VHK138" s="9"/>
      <c r="VHL138" s="9"/>
      <c r="VHM138" s="18"/>
      <c r="VHN138" s="18"/>
      <c r="VHO138" s="18"/>
      <c r="VHP138" s="18"/>
      <c r="VHQ138" s="18"/>
      <c r="VHR138" s="17"/>
      <c r="VHS138" s="9"/>
      <c r="VHT138" s="9"/>
      <c r="VHU138" s="18"/>
      <c r="VHV138" s="18"/>
      <c r="VHW138" s="18"/>
      <c r="VHX138" s="18"/>
      <c r="VHY138" s="18"/>
      <c r="VHZ138" s="17"/>
      <c r="VIA138" s="9"/>
      <c r="VIB138" s="9"/>
      <c r="VIC138" s="18"/>
      <c r="VID138" s="18"/>
      <c r="VIE138" s="18"/>
      <c r="VIF138" s="18"/>
      <c r="VIG138" s="18"/>
      <c r="VIH138" s="17"/>
      <c r="VII138" s="9"/>
      <c r="VIJ138" s="9"/>
      <c r="VIK138" s="18"/>
      <c r="VIL138" s="18"/>
      <c r="VIM138" s="18"/>
      <c r="VIN138" s="18"/>
      <c r="VIO138" s="18"/>
      <c r="VIP138" s="17"/>
      <c r="VIQ138" s="9"/>
      <c r="VIR138" s="9"/>
      <c r="VIS138" s="18"/>
      <c r="VIT138" s="18"/>
      <c r="VIU138" s="18"/>
      <c r="VIV138" s="18"/>
      <c r="VIW138" s="18"/>
      <c r="VIX138" s="17"/>
      <c r="VIY138" s="9"/>
      <c r="VIZ138" s="9"/>
      <c r="VJA138" s="18"/>
      <c r="VJB138" s="18"/>
      <c r="VJC138" s="18"/>
      <c r="VJD138" s="18"/>
      <c r="VJE138" s="18"/>
      <c r="VJF138" s="17"/>
      <c r="VJG138" s="9"/>
      <c r="VJH138" s="9"/>
      <c r="VJI138" s="18"/>
      <c r="VJJ138" s="18"/>
      <c r="VJK138" s="18"/>
      <c r="VJL138" s="18"/>
      <c r="VJM138" s="18"/>
      <c r="VJN138" s="17"/>
      <c r="VJO138" s="9"/>
      <c r="VJP138" s="9"/>
      <c r="VJQ138" s="18"/>
      <c r="VJR138" s="18"/>
      <c r="VJS138" s="18"/>
      <c r="VJT138" s="18"/>
      <c r="VJU138" s="18"/>
      <c r="VJV138" s="17"/>
      <c r="VJW138" s="9"/>
      <c r="VJX138" s="9"/>
      <c r="VJY138" s="18"/>
      <c r="VJZ138" s="18"/>
      <c r="VKA138" s="18"/>
      <c r="VKB138" s="18"/>
      <c r="VKC138" s="18"/>
      <c r="VKD138" s="17"/>
      <c r="VKE138" s="9"/>
      <c r="VKF138" s="9"/>
      <c r="VKG138" s="18"/>
      <c r="VKH138" s="18"/>
      <c r="VKI138" s="18"/>
      <c r="VKJ138" s="18"/>
      <c r="VKK138" s="18"/>
      <c r="VKL138" s="17"/>
      <c r="VKM138" s="9"/>
      <c r="VKN138" s="9"/>
      <c r="VKO138" s="18"/>
      <c r="VKP138" s="18"/>
      <c r="VKQ138" s="18"/>
      <c r="VKR138" s="18"/>
      <c r="VKS138" s="18"/>
      <c r="VKT138" s="17"/>
      <c r="VKU138" s="9"/>
      <c r="VKV138" s="9"/>
      <c r="VKW138" s="18"/>
      <c r="VKX138" s="18"/>
      <c r="VKY138" s="18"/>
      <c r="VKZ138" s="18"/>
      <c r="VLA138" s="18"/>
      <c r="VLB138" s="17"/>
      <c r="VLC138" s="9"/>
      <c r="VLD138" s="9"/>
      <c r="VLE138" s="18"/>
      <c r="VLF138" s="18"/>
      <c r="VLG138" s="18"/>
      <c r="VLH138" s="18"/>
      <c r="VLI138" s="18"/>
      <c r="VLJ138" s="17"/>
      <c r="VLK138" s="9"/>
      <c r="VLL138" s="9"/>
      <c r="VLM138" s="18"/>
      <c r="VLN138" s="18"/>
      <c r="VLO138" s="18"/>
      <c r="VLP138" s="18"/>
      <c r="VLQ138" s="18"/>
      <c r="VLR138" s="17"/>
      <c r="VLS138" s="9"/>
      <c r="VLT138" s="9"/>
      <c r="VLU138" s="18"/>
      <c r="VLV138" s="18"/>
      <c r="VLW138" s="18"/>
      <c r="VLX138" s="18"/>
      <c r="VLY138" s="18"/>
      <c r="VLZ138" s="17"/>
      <c r="VMA138" s="9"/>
      <c r="VMB138" s="9"/>
      <c r="VMC138" s="18"/>
      <c r="VMD138" s="18"/>
      <c r="VME138" s="18"/>
      <c r="VMF138" s="18"/>
      <c r="VMG138" s="18"/>
      <c r="VMH138" s="17"/>
      <c r="VMI138" s="9"/>
      <c r="VMJ138" s="9"/>
      <c r="VMK138" s="18"/>
      <c r="VML138" s="18"/>
      <c r="VMM138" s="18"/>
      <c r="VMN138" s="18"/>
      <c r="VMO138" s="18"/>
      <c r="VMP138" s="17"/>
      <c r="VMQ138" s="9"/>
      <c r="VMR138" s="9"/>
      <c r="VMS138" s="18"/>
      <c r="VMT138" s="18"/>
      <c r="VMU138" s="18"/>
      <c r="VMV138" s="18"/>
      <c r="VMW138" s="18"/>
      <c r="VMX138" s="17"/>
      <c r="VMY138" s="9"/>
      <c r="VMZ138" s="9"/>
      <c r="VNA138" s="18"/>
      <c r="VNB138" s="18"/>
      <c r="VNC138" s="18"/>
      <c r="VND138" s="18"/>
      <c r="VNE138" s="18"/>
      <c r="VNF138" s="17"/>
      <c r="VNG138" s="9"/>
      <c r="VNH138" s="9"/>
      <c r="VNI138" s="18"/>
      <c r="VNJ138" s="18"/>
      <c r="VNK138" s="18"/>
      <c r="VNL138" s="18"/>
      <c r="VNM138" s="18"/>
      <c r="VNN138" s="17"/>
      <c r="VNO138" s="9"/>
      <c r="VNP138" s="9"/>
      <c r="VNQ138" s="18"/>
      <c r="VNR138" s="18"/>
      <c r="VNS138" s="18"/>
      <c r="VNT138" s="18"/>
      <c r="VNU138" s="18"/>
      <c r="VNV138" s="17"/>
      <c r="VNW138" s="9"/>
      <c r="VNX138" s="9"/>
      <c r="VNY138" s="18"/>
      <c r="VNZ138" s="18"/>
      <c r="VOA138" s="18"/>
      <c r="VOB138" s="18"/>
      <c r="VOC138" s="18"/>
      <c r="VOD138" s="17"/>
      <c r="VOE138" s="9"/>
      <c r="VOF138" s="9"/>
      <c r="VOG138" s="18"/>
      <c r="VOH138" s="18"/>
      <c r="VOI138" s="18"/>
      <c r="VOJ138" s="18"/>
      <c r="VOK138" s="18"/>
      <c r="VOL138" s="17"/>
      <c r="VOM138" s="9"/>
      <c r="VON138" s="9"/>
      <c r="VOO138" s="18"/>
      <c r="VOP138" s="18"/>
      <c r="VOQ138" s="18"/>
      <c r="VOR138" s="18"/>
      <c r="VOS138" s="18"/>
      <c r="VOT138" s="17"/>
      <c r="VOU138" s="9"/>
      <c r="VOV138" s="9"/>
      <c r="VOW138" s="18"/>
      <c r="VOX138" s="18"/>
      <c r="VOY138" s="18"/>
      <c r="VOZ138" s="18"/>
      <c r="VPA138" s="18"/>
      <c r="VPB138" s="17"/>
      <c r="VPC138" s="9"/>
      <c r="VPD138" s="9"/>
      <c r="VPE138" s="18"/>
      <c r="VPF138" s="18"/>
      <c r="VPG138" s="18"/>
      <c r="VPH138" s="18"/>
      <c r="VPI138" s="18"/>
      <c r="VPJ138" s="17"/>
      <c r="VPK138" s="9"/>
      <c r="VPL138" s="9"/>
      <c r="VPM138" s="18"/>
      <c r="VPN138" s="18"/>
      <c r="VPO138" s="18"/>
      <c r="VPP138" s="18"/>
      <c r="VPQ138" s="18"/>
      <c r="VPR138" s="17"/>
      <c r="VPS138" s="9"/>
      <c r="VPT138" s="9"/>
      <c r="VPU138" s="18"/>
      <c r="VPV138" s="18"/>
      <c r="VPW138" s="18"/>
      <c r="VPX138" s="18"/>
      <c r="VPY138" s="18"/>
      <c r="VPZ138" s="17"/>
      <c r="VQA138" s="9"/>
      <c r="VQB138" s="9"/>
      <c r="VQC138" s="18"/>
      <c r="VQD138" s="18"/>
      <c r="VQE138" s="18"/>
      <c r="VQF138" s="18"/>
      <c r="VQG138" s="18"/>
      <c r="VQH138" s="17"/>
      <c r="VQI138" s="9"/>
      <c r="VQJ138" s="9"/>
      <c r="VQK138" s="18"/>
      <c r="VQL138" s="18"/>
      <c r="VQM138" s="18"/>
      <c r="VQN138" s="18"/>
      <c r="VQO138" s="18"/>
      <c r="VQP138" s="17"/>
      <c r="VQQ138" s="9"/>
      <c r="VQR138" s="9"/>
      <c r="VQS138" s="18"/>
      <c r="VQT138" s="18"/>
      <c r="VQU138" s="18"/>
      <c r="VQV138" s="18"/>
      <c r="VQW138" s="18"/>
      <c r="VQX138" s="17"/>
      <c r="VQY138" s="9"/>
      <c r="VQZ138" s="9"/>
      <c r="VRA138" s="18"/>
      <c r="VRB138" s="18"/>
      <c r="VRC138" s="18"/>
      <c r="VRD138" s="18"/>
      <c r="VRE138" s="18"/>
      <c r="VRF138" s="17"/>
      <c r="VRG138" s="9"/>
      <c r="VRH138" s="9"/>
      <c r="VRI138" s="18"/>
      <c r="VRJ138" s="18"/>
      <c r="VRK138" s="18"/>
      <c r="VRL138" s="18"/>
      <c r="VRM138" s="18"/>
      <c r="VRN138" s="17"/>
      <c r="VRO138" s="9"/>
      <c r="VRP138" s="9"/>
      <c r="VRQ138" s="18"/>
      <c r="VRR138" s="18"/>
      <c r="VRS138" s="18"/>
      <c r="VRT138" s="18"/>
      <c r="VRU138" s="18"/>
      <c r="VRV138" s="17"/>
      <c r="VRW138" s="9"/>
      <c r="VRX138" s="9"/>
      <c r="VRY138" s="18"/>
      <c r="VRZ138" s="18"/>
      <c r="VSA138" s="18"/>
      <c r="VSB138" s="18"/>
      <c r="VSC138" s="18"/>
      <c r="VSD138" s="17"/>
      <c r="VSE138" s="9"/>
      <c r="VSF138" s="9"/>
      <c r="VSG138" s="18"/>
      <c r="VSH138" s="18"/>
      <c r="VSI138" s="18"/>
      <c r="VSJ138" s="18"/>
      <c r="VSK138" s="18"/>
      <c r="VSL138" s="17"/>
      <c r="VSM138" s="9"/>
      <c r="VSN138" s="9"/>
      <c r="VSO138" s="18"/>
      <c r="VSP138" s="18"/>
      <c r="VSQ138" s="18"/>
      <c r="VSR138" s="18"/>
      <c r="VSS138" s="18"/>
      <c r="VST138" s="17"/>
      <c r="VSU138" s="9"/>
      <c r="VSV138" s="9"/>
      <c r="VSW138" s="18"/>
      <c r="VSX138" s="18"/>
      <c r="VSY138" s="18"/>
      <c r="VSZ138" s="18"/>
      <c r="VTA138" s="18"/>
      <c r="VTB138" s="17"/>
      <c r="VTC138" s="9"/>
      <c r="VTD138" s="9"/>
      <c r="VTE138" s="18"/>
      <c r="VTF138" s="18"/>
      <c r="VTG138" s="18"/>
      <c r="VTH138" s="18"/>
      <c r="VTI138" s="18"/>
      <c r="VTJ138" s="17"/>
      <c r="VTK138" s="9"/>
      <c r="VTL138" s="9"/>
      <c r="VTM138" s="18"/>
      <c r="VTN138" s="18"/>
      <c r="VTO138" s="18"/>
      <c r="VTP138" s="18"/>
      <c r="VTQ138" s="18"/>
      <c r="VTR138" s="17"/>
      <c r="VTS138" s="9"/>
      <c r="VTT138" s="9"/>
      <c r="VTU138" s="18"/>
      <c r="VTV138" s="18"/>
      <c r="VTW138" s="18"/>
      <c r="VTX138" s="18"/>
      <c r="VTY138" s="18"/>
      <c r="VTZ138" s="17"/>
      <c r="VUA138" s="9"/>
      <c r="VUB138" s="9"/>
      <c r="VUC138" s="18"/>
      <c r="VUD138" s="18"/>
      <c r="VUE138" s="18"/>
      <c r="VUF138" s="18"/>
      <c r="VUG138" s="18"/>
      <c r="VUH138" s="17"/>
      <c r="VUI138" s="9"/>
      <c r="VUJ138" s="9"/>
      <c r="VUK138" s="18"/>
      <c r="VUL138" s="18"/>
      <c r="VUM138" s="18"/>
      <c r="VUN138" s="18"/>
      <c r="VUO138" s="18"/>
      <c r="VUP138" s="17"/>
      <c r="VUQ138" s="9"/>
      <c r="VUR138" s="9"/>
      <c r="VUS138" s="18"/>
      <c r="VUT138" s="18"/>
      <c r="VUU138" s="18"/>
      <c r="VUV138" s="18"/>
      <c r="VUW138" s="18"/>
      <c r="VUX138" s="17"/>
      <c r="VUY138" s="9"/>
      <c r="VUZ138" s="9"/>
      <c r="VVA138" s="18"/>
      <c r="VVB138" s="18"/>
      <c r="VVC138" s="18"/>
      <c r="VVD138" s="18"/>
      <c r="VVE138" s="18"/>
      <c r="VVF138" s="17"/>
      <c r="VVG138" s="9"/>
      <c r="VVH138" s="9"/>
      <c r="VVI138" s="18"/>
      <c r="VVJ138" s="18"/>
      <c r="VVK138" s="18"/>
      <c r="VVL138" s="18"/>
      <c r="VVM138" s="18"/>
      <c r="VVN138" s="17"/>
      <c r="VVO138" s="9"/>
      <c r="VVP138" s="9"/>
      <c r="VVQ138" s="18"/>
      <c r="VVR138" s="18"/>
      <c r="VVS138" s="18"/>
      <c r="VVT138" s="18"/>
      <c r="VVU138" s="18"/>
      <c r="VVV138" s="17"/>
      <c r="VVW138" s="9"/>
      <c r="VVX138" s="9"/>
      <c r="VVY138" s="18"/>
      <c r="VVZ138" s="18"/>
      <c r="VWA138" s="18"/>
      <c r="VWB138" s="18"/>
      <c r="VWC138" s="18"/>
      <c r="VWD138" s="17"/>
      <c r="VWE138" s="9"/>
      <c r="VWF138" s="9"/>
      <c r="VWG138" s="18"/>
      <c r="VWH138" s="18"/>
      <c r="VWI138" s="18"/>
      <c r="VWJ138" s="18"/>
      <c r="VWK138" s="18"/>
      <c r="VWL138" s="17"/>
      <c r="VWM138" s="9"/>
      <c r="VWN138" s="9"/>
      <c r="VWO138" s="18"/>
      <c r="VWP138" s="18"/>
      <c r="VWQ138" s="18"/>
      <c r="VWR138" s="18"/>
      <c r="VWS138" s="18"/>
      <c r="VWT138" s="17"/>
      <c r="VWU138" s="9"/>
      <c r="VWV138" s="9"/>
      <c r="VWW138" s="18"/>
      <c r="VWX138" s="18"/>
      <c r="VWY138" s="18"/>
      <c r="VWZ138" s="18"/>
      <c r="VXA138" s="18"/>
      <c r="VXB138" s="17"/>
      <c r="VXC138" s="9"/>
      <c r="VXD138" s="9"/>
      <c r="VXE138" s="18"/>
      <c r="VXF138" s="18"/>
      <c r="VXG138" s="18"/>
      <c r="VXH138" s="18"/>
      <c r="VXI138" s="18"/>
      <c r="VXJ138" s="17"/>
      <c r="VXK138" s="9"/>
      <c r="VXL138" s="9"/>
      <c r="VXM138" s="18"/>
      <c r="VXN138" s="18"/>
      <c r="VXO138" s="18"/>
      <c r="VXP138" s="18"/>
      <c r="VXQ138" s="18"/>
      <c r="VXR138" s="17"/>
      <c r="VXS138" s="9"/>
      <c r="VXT138" s="9"/>
      <c r="VXU138" s="18"/>
      <c r="VXV138" s="18"/>
      <c r="VXW138" s="18"/>
      <c r="VXX138" s="18"/>
      <c r="VXY138" s="18"/>
      <c r="VXZ138" s="17"/>
      <c r="VYA138" s="9"/>
      <c r="VYB138" s="9"/>
      <c r="VYC138" s="18"/>
      <c r="VYD138" s="18"/>
      <c r="VYE138" s="18"/>
      <c r="VYF138" s="18"/>
      <c r="VYG138" s="18"/>
      <c r="VYH138" s="17"/>
      <c r="VYI138" s="9"/>
      <c r="VYJ138" s="9"/>
      <c r="VYK138" s="18"/>
      <c r="VYL138" s="18"/>
      <c r="VYM138" s="18"/>
      <c r="VYN138" s="18"/>
      <c r="VYO138" s="18"/>
      <c r="VYP138" s="17"/>
      <c r="VYQ138" s="9"/>
      <c r="VYR138" s="9"/>
      <c r="VYS138" s="18"/>
      <c r="VYT138" s="18"/>
      <c r="VYU138" s="18"/>
      <c r="VYV138" s="18"/>
      <c r="VYW138" s="18"/>
      <c r="VYX138" s="17"/>
      <c r="VYY138" s="9"/>
      <c r="VYZ138" s="9"/>
      <c r="VZA138" s="18"/>
      <c r="VZB138" s="18"/>
      <c r="VZC138" s="18"/>
      <c r="VZD138" s="18"/>
      <c r="VZE138" s="18"/>
      <c r="VZF138" s="17"/>
      <c r="VZG138" s="9"/>
      <c r="VZH138" s="9"/>
      <c r="VZI138" s="18"/>
      <c r="VZJ138" s="18"/>
      <c r="VZK138" s="18"/>
      <c r="VZL138" s="18"/>
      <c r="VZM138" s="18"/>
      <c r="VZN138" s="17"/>
      <c r="VZO138" s="9"/>
      <c r="VZP138" s="9"/>
      <c r="VZQ138" s="18"/>
      <c r="VZR138" s="18"/>
      <c r="VZS138" s="18"/>
      <c r="VZT138" s="18"/>
      <c r="VZU138" s="18"/>
      <c r="VZV138" s="17"/>
      <c r="VZW138" s="9"/>
      <c r="VZX138" s="9"/>
      <c r="VZY138" s="18"/>
      <c r="VZZ138" s="18"/>
      <c r="WAA138" s="18"/>
      <c r="WAB138" s="18"/>
      <c r="WAC138" s="18"/>
      <c r="WAD138" s="17"/>
      <c r="WAE138" s="9"/>
      <c r="WAF138" s="9"/>
      <c r="WAG138" s="18"/>
      <c r="WAH138" s="18"/>
      <c r="WAI138" s="18"/>
      <c r="WAJ138" s="18"/>
      <c r="WAK138" s="18"/>
      <c r="WAL138" s="17"/>
      <c r="WAM138" s="9"/>
      <c r="WAN138" s="9"/>
      <c r="WAO138" s="18"/>
      <c r="WAP138" s="18"/>
      <c r="WAQ138" s="18"/>
      <c r="WAR138" s="18"/>
      <c r="WAS138" s="18"/>
      <c r="WAT138" s="17"/>
      <c r="WAU138" s="9"/>
      <c r="WAV138" s="9"/>
      <c r="WAW138" s="18"/>
      <c r="WAX138" s="18"/>
      <c r="WAY138" s="18"/>
      <c r="WAZ138" s="18"/>
      <c r="WBA138" s="18"/>
      <c r="WBB138" s="17"/>
      <c r="WBC138" s="9"/>
      <c r="WBD138" s="9"/>
      <c r="WBE138" s="18"/>
      <c r="WBF138" s="18"/>
      <c r="WBG138" s="18"/>
      <c r="WBH138" s="18"/>
      <c r="WBI138" s="18"/>
      <c r="WBJ138" s="17"/>
      <c r="WBK138" s="9"/>
      <c r="WBL138" s="9"/>
      <c r="WBM138" s="18"/>
      <c r="WBN138" s="18"/>
      <c r="WBO138" s="18"/>
      <c r="WBP138" s="18"/>
      <c r="WBQ138" s="18"/>
      <c r="WBR138" s="17"/>
      <c r="WBS138" s="9"/>
      <c r="WBT138" s="9"/>
      <c r="WBU138" s="18"/>
      <c r="WBV138" s="18"/>
      <c r="WBW138" s="18"/>
      <c r="WBX138" s="18"/>
      <c r="WBY138" s="18"/>
      <c r="WBZ138" s="17"/>
      <c r="WCA138" s="9"/>
      <c r="WCB138" s="9"/>
      <c r="WCC138" s="18"/>
      <c r="WCD138" s="18"/>
      <c r="WCE138" s="18"/>
      <c r="WCF138" s="18"/>
      <c r="WCG138" s="18"/>
      <c r="WCH138" s="17"/>
      <c r="WCI138" s="9"/>
      <c r="WCJ138" s="9"/>
      <c r="WCK138" s="18"/>
      <c r="WCL138" s="18"/>
      <c r="WCM138" s="18"/>
      <c r="WCN138" s="18"/>
      <c r="WCO138" s="18"/>
      <c r="WCP138" s="17"/>
      <c r="WCQ138" s="9"/>
      <c r="WCR138" s="9"/>
      <c r="WCS138" s="18"/>
      <c r="WCT138" s="18"/>
      <c r="WCU138" s="18"/>
      <c r="WCV138" s="18"/>
      <c r="WCW138" s="18"/>
      <c r="WCX138" s="17"/>
      <c r="WCY138" s="9"/>
      <c r="WCZ138" s="9"/>
      <c r="WDA138" s="18"/>
      <c r="WDB138" s="18"/>
      <c r="WDC138" s="18"/>
      <c r="WDD138" s="18"/>
      <c r="WDE138" s="18"/>
      <c r="WDF138" s="17"/>
      <c r="WDG138" s="9"/>
      <c r="WDH138" s="9"/>
      <c r="WDI138" s="18"/>
      <c r="WDJ138" s="18"/>
      <c r="WDK138" s="18"/>
      <c r="WDL138" s="18"/>
      <c r="WDM138" s="18"/>
      <c r="WDN138" s="17"/>
      <c r="WDO138" s="9"/>
      <c r="WDP138" s="9"/>
      <c r="WDQ138" s="18"/>
      <c r="WDR138" s="18"/>
      <c r="WDS138" s="18"/>
      <c r="WDT138" s="18"/>
      <c r="WDU138" s="18"/>
      <c r="WDV138" s="17"/>
      <c r="WDW138" s="9"/>
      <c r="WDX138" s="9"/>
      <c r="WDY138" s="18"/>
      <c r="WDZ138" s="18"/>
      <c r="WEA138" s="18"/>
      <c r="WEB138" s="18"/>
      <c r="WEC138" s="18"/>
      <c r="WED138" s="17"/>
      <c r="WEE138" s="9"/>
      <c r="WEF138" s="9"/>
      <c r="WEG138" s="18"/>
      <c r="WEH138" s="18"/>
      <c r="WEI138" s="18"/>
      <c r="WEJ138" s="18"/>
      <c r="WEK138" s="18"/>
      <c r="WEL138" s="17"/>
      <c r="WEM138" s="9"/>
      <c r="WEN138" s="9"/>
      <c r="WEO138" s="18"/>
      <c r="WEP138" s="18"/>
      <c r="WEQ138" s="18"/>
      <c r="WER138" s="18"/>
      <c r="WES138" s="18"/>
      <c r="WET138" s="17"/>
      <c r="WEU138" s="9"/>
      <c r="WEV138" s="9"/>
      <c r="WEW138" s="18"/>
      <c r="WEX138" s="18"/>
      <c r="WEY138" s="18"/>
      <c r="WEZ138" s="18"/>
      <c r="WFA138" s="18"/>
      <c r="WFB138" s="17"/>
      <c r="WFC138" s="9"/>
      <c r="WFD138" s="9"/>
      <c r="WFE138" s="18"/>
      <c r="WFF138" s="18"/>
      <c r="WFG138" s="18"/>
      <c r="WFH138" s="18"/>
      <c r="WFI138" s="18"/>
      <c r="WFJ138" s="17"/>
      <c r="WFK138" s="9"/>
      <c r="WFL138" s="9"/>
      <c r="WFM138" s="18"/>
      <c r="WFN138" s="18"/>
      <c r="WFO138" s="18"/>
      <c r="WFP138" s="18"/>
      <c r="WFQ138" s="18"/>
      <c r="WFR138" s="17"/>
      <c r="WFS138" s="9"/>
      <c r="WFT138" s="9"/>
      <c r="WFU138" s="18"/>
      <c r="WFV138" s="18"/>
      <c r="WFW138" s="18"/>
      <c r="WFX138" s="18"/>
      <c r="WFY138" s="18"/>
      <c r="WFZ138" s="17"/>
      <c r="WGA138" s="9"/>
      <c r="WGB138" s="9"/>
      <c r="WGC138" s="18"/>
      <c r="WGD138" s="18"/>
      <c r="WGE138" s="18"/>
      <c r="WGF138" s="18"/>
      <c r="WGG138" s="18"/>
      <c r="WGH138" s="17"/>
      <c r="WGI138" s="9"/>
      <c r="WGJ138" s="9"/>
      <c r="WGK138" s="18"/>
      <c r="WGL138" s="18"/>
      <c r="WGM138" s="18"/>
      <c r="WGN138" s="18"/>
      <c r="WGO138" s="18"/>
      <c r="WGP138" s="17"/>
      <c r="WGQ138" s="9"/>
      <c r="WGR138" s="9"/>
      <c r="WGS138" s="18"/>
      <c r="WGT138" s="18"/>
      <c r="WGU138" s="18"/>
      <c r="WGV138" s="18"/>
      <c r="WGW138" s="18"/>
      <c r="WGX138" s="17"/>
      <c r="WGY138" s="9"/>
      <c r="WGZ138" s="9"/>
      <c r="WHA138" s="18"/>
      <c r="WHB138" s="18"/>
      <c r="WHC138" s="18"/>
      <c r="WHD138" s="18"/>
      <c r="WHE138" s="18"/>
      <c r="WHF138" s="17"/>
      <c r="WHG138" s="9"/>
      <c r="WHH138" s="9"/>
      <c r="WHI138" s="18"/>
      <c r="WHJ138" s="18"/>
      <c r="WHK138" s="18"/>
      <c r="WHL138" s="18"/>
      <c r="WHM138" s="18"/>
      <c r="WHN138" s="17"/>
      <c r="WHO138" s="9"/>
      <c r="WHP138" s="9"/>
      <c r="WHQ138" s="18"/>
      <c r="WHR138" s="18"/>
      <c r="WHS138" s="18"/>
      <c r="WHT138" s="18"/>
      <c r="WHU138" s="18"/>
      <c r="WHV138" s="17"/>
      <c r="WHW138" s="9"/>
      <c r="WHX138" s="9"/>
      <c r="WHY138" s="18"/>
      <c r="WHZ138" s="18"/>
      <c r="WIA138" s="18"/>
      <c r="WIB138" s="18"/>
      <c r="WIC138" s="18"/>
      <c r="WID138" s="17"/>
      <c r="WIE138" s="9"/>
      <c r="WIF138" s="9"/>
      <c r="WIG138" s="18"/>
      <c r="WIH138" s="18"/>
      <c r="WII138" s="18"/>
      <c r="WIJ138" s="18"/>
      <c r="WIK138" s="18"/>
      <c r="WIL138" s="17"/>
      <c r="WIM138" s="9"/>
      <c r="WIN138" s="9"/>
      <c r="WIO138" s="18"/>
      <c r="WIP138" s="18"/>
      <c r="WIQ138" s="18"/>
      <c r="WIR138" s="18"/>
      <c r="WIS138" s="18"/>
      <c r="WIT138" s="17"/>
      <c r="WIU138" s="9"/>
      <c r="WIV138" s="9"/>
      <c r="WIW138" s="18"/>
      <c r="WIX138" s="18"/>
      <c r="WIY138" s="18"/>
      <c r="WIZ138" s="18"/>
      <c r="WJA138" s="18"/>
      <c r="WJB138" s="17"/>
      <c r="WJC138" s="9"/>
      <c r="WJD138" s="9"/>
      <c r="WJE138" s="18"/>
      <c r="WJF138" s="18"/>
      <c r="WJG138" s="18"/>
      <c r="WJH138" s="18"/>
      <c r="WJI138" s="18"/>
      <c r="WJJ138" s="17"/>
      <c r="WJK138" s="9"/>
      <c r="WJL138" s="9"/>
      <c r="WJM138" s="18"/>
      <c r="WJN138" s="18"/>
      <c r="WJO138" s="18"/>
      <c r="WJP138" s="18"/>
      <c r="WJQ138" s="18"/>
      <c r="WJR138" s="17"/>
      <c r="WJS138" s="9"/>
      <c r="WJT138" s="9"/>
      <c r="WJU138" s="18"/>
      <c r="WJV138" s="18"/>
      <c r="WJW138" s="18"/>
      <c r="WJX138" s="18"/>
      <c r="WJY138" s="18"/>
      <c r="WJZ138" s="17"/>
      <c r="WKA138" s="9"/>
      <c r="WKB138" s="9"/>
      <c r="WKC138" s="18"/>
      <c r="WKD138" s="18"/>
      <c r="WKE138" s="18"/>
      <c r="WKF138" s="18"/>
      <c r="WKG138" s="18"/>
      <c r="WKH138" s="17"/>
      <c r="WKI138" s="9"/>
      <c r="WKJ138" s="9"/>
      <c r="WKK138" s="18"/>
      <c r="WKL138" s="18"/>
      <c r="WKM138" s="18"/>
      <c r="WKN138" s="18"/>
      <c r="WKO138" s="18"/>
      <c r="WKP138" s="17"/>
      <c r="WKQ138" s="9"/>
      <c r="WKR138" s="9"/>
      <c r="WKS138" s="18"/>
      <c r="WKT138" s="18"/>
      <c r="WKU138" s="18"/>
      <c r="WKV138" s="18"/>
      <c r="WKW138" s="18"/>
      <c r="WKX138" s="17"/>
      <c r="WKY138" s="9"/>
      <c r="WKZ138" s="9"/>
      <c r="WLA138" s="18"/>
      <c r="WLB138" s="18"/>
      <c r="WLC138" s="18"/>
      <c r="WLD138" s="18"/>
      <c r="WLE138" s="18"/>
      <c r="WLF138" s="17"/>
      <c r="WLG138" s="9"/>
      <c r="WLH138" s="9"/>
      <c r="WLI138" s="18"/>
      <c r="WLJ138" s="18"/>
      <c r="WLK138" s="18"/>
      <c r="WLL138" s="18"/>
      <c r="WLM138" s="18"/>
      <c r="WLN138" s="17"/>
      <c r="WLO138" s="9"/>
      <c r="WLP138" s="9"/>
      <c r="WLQ138" s="18"/>
      <c r="WLR138" s="18"/>
      <c r="WLS138" s="18"/>
      <c r="WLT138" s="18"/>
      <c r="WLU138" s="18"/>
      <c r="WLV138" s="17"/>
      <c r="WLW138" s="9"/>
      <c r="WLX138" s="9"/>
      <c r="WLY138" s="18"/>
      <c r="WLZ138" s="18"/>
      <c r="WMA138" s="18"/>
      <c r="WMB138" s="18"/>
      <c r="WMC138" s="18"/>
      <c r="WMD138" s="17"/>
      <c r="WME138" s="9"/>
      <c r="WMF138" s="9"/>
      <c r="WMG138" s="18"/>
      <c r="WMH138" s="18"/>
      <c r="WMI138" s="18"/>
      <c r="WMJ138" s="18"/>
      <c r="WMK138" s="18"/>
      <c r="WML138" s="17"/>
      <c r="WMM138" s="9"/>
      <c r="WMN138" s="9"/>
      <c r="WMO138" s="18"/>
      <c r="WMP138" s="18"/>
      <c r="WMQ138" s="18"/>
      <c r="WMR138" s="18"/>
      <c r="WMS138" s="18"/>
      <c r="WMT138" s="17"/>
      <c r="WMU138" s="9"/>
      <c r="WMV138" s="9"/>
      <c r="WMW138" s="18"/>
      <c r="WMX138" s="18"/>
      <c r="WMY138" s="18"/>
      <c r="WMZ138" s="18"/>
      <c r="WNA138" s="18"/>
      <c r="WNB138" s="17"/>
      <c r="WNC138" s="9"/>
      <c r="WND138" s="9"/>
      <c r="WNE138" s="18"/>
      <c r="WNF138" s="18"/>
      <c r="WNG138" s="18"/>
      <c r="WNH138" s="18"/>
      <c r="WNI138" s="18"/>
      <c r="WNJ138" s="17"/>
      <c r="WNK138" s="9"/>
      <c r="WNL138" s="9"/>
      <c r="WNM138" s="18"/>
      <c r="WNN138" s="18"/>
      <c r="WNO138" s="18"/>
      <c r="WNP138" s="18"/>
      <c r="WNQ138" s="18"/>
      <c r="WNR138" s="17"/>
      <c r="WNS138" s="9"/>
      <c r="WNT138" s="9"/>
      <c r="WNU138" s="18"/>
      <c r="WNV138" s="18"/>
      <c r="WNW138" s="18"/>
      <c r="WNX138" s="18"/>
      <c r="WNY138" s="18"/>
      <c r="WNZ138" s="17"/>
      <c r="WOA138" s="9"/>
      <c r="WOB138" s="9"/>
      <c r="WOC138" s="18"/>
      <c r="WOD138" s="18"/>
      <c r="WOE138" s="18"/>
      <c r="WOF138" s="18"/>
      <c r="WOG138" s="18"/>
      <c r="WOH138" s="17"/>
      <c r="WOI138" s="9"/>
      <c r="WOJ138" s="9"/>
      <c r="WOK138" s="18"/>
      <c r="WOL138" s="18"/>
      <c r="WOM138" s="18"/>
      <c r="WON138" s="18"/>
      <c r="WOO138" s="18"/>
      <c r="WOP138" s="17"/>
      <c r="WOQ138" s="9"/>
      <c r="WOR138" s="9"/>
      <c r="WOS138" s="18"/>
      <c r="WOT138" s="18"/>
      <c r="WOU138" s="18"/>
      <c r="WOV138" s="18"/>
      <c r="WOW138" s="18"/>
      <c r="WOX138" s="17"/>
      <c r="WOY138" s="9"/>
      <c r="WOZ138" s="9"/>
      <c r="WPA138" s="18"/>
      <c r="WPB138" s="18"/>
      <c r="WPC138" s="18"/>
      <c r="WPD138" s="18"/>
      <c r="WPE138" s="18"/>
      <c r="WPF138" s="17"/>
      <c r="WPG138" s="9"/>
      <c r="WPH138" s="9"/>
      <c r="WPI138" s="18"/>
      <c r="WPJ138" s="18"/>
      <c r="WPK138" s="18"/>
      <c r="WPL138" s="18"/>
      <c r="WPM138" s="18"/>
      <c r="WPN138" s="17"/>
      <c r="WPO138" s="9"/>
      <c r="WPP138" s="9"/>
      <c r="WPQ138" s="18"/>
      <c r="WPR138" s="18"/>
      <c r="WPS138" s="18"/>
      <c r="WPT138" s="18"/>
      <c r="WPU138" s="18"/>
      <c r="WPV138" s="17"/>
      <c r="WPW138" s="9"/>
      <c r="WPX138" s="9"/>
      <c r="WPY138" s="18"/>
      <c r="WPZ138" s="18"/>
      <c r="WQA138" s="18"/>
      <c r="WQB138" s="18"/>
      <c r="WQC138" s="18"/>
      <c r="WQD138" s="17"/>
      <c r="WQE138" s="9"/>
      <c r="WQF138" s="9"/>
      <c r="WQG138" s="18"/>
      <c r="WQH138" s="18"/>
      <c r="WQI138" s="18"/>
      <c r="WQJ138" s="18"/>
      <c r="WQK138" s="18"/>
      <c r="WQL138" s="17"/>
      <c r="WQM138" s="9"/>
      <c r="WQN138" s="9"/>
      <c r="WQO138" s="18"/>
      <c r="WQP138" s="18"/>
      <c r="WQQ138" s="18"/>
      <c r="WQR138" s="18"/>
      <c r="WQS138" s="18"/>
      <c r="WQT138" s="17"/>
      <c r="WQU138" s="9"/>
      <c r="WQV138" s="9"/>
      <c r="WQW138" s="18"/>
      <c r="WQX138" s="18"/>
      <c r="WQY138" s="18"/>
      <c r="WQZ138" s="18"/>
      <c r="WRA138" s="18"/>
      <c r="WRB138" s="17"/>
      <c r="WRC138" s="9"/>
      <c r="WRD138" s="9"/>
      <c r="WRE138" s="18"/>
      <c r="WRF138" s="18"/>
      <c r="WRG138" s="18"/>
      <c r="WRH138" s="18"/>
      <c r="WRI138" s="18"/>
      <c r="WRJ138" s="17"/>
      <c r="WRK138" s="9"/>
      <c r="WRL138" s="9"/>
      <c r="WRM138" s="18"/>
      <c r="WRN138" s="18"/>
      <c r="WRO138" s="18"/>
      <c r="WRP138" s="18"/>
      <c r="WRQ138" s="18"/>
      <c r="WRR138" s="17"/>
      <c r="WRS138" s="9"/>
      <c r="WRT138" s="9"/>
      <c r="WRU138" s="18"/>
      <c r="WRV138" s="18"/>
      <c r="WRW138" s="18"/>
      <c r="WRX138" s="18"/>
      <c r="WRY138" s="18"/>
      <c r="WRZ138" s="17"/>
      <c r="WSA138" s="9"/>
      <c r="WSB138" s="9"/>
      <c r="WSC138" s="18"/>
      <c r="WSD138" s="18"/>
      <c r="WSE138" s="18"/>
      <c r="WSF138" s="18"/>
      <c r="WSG138" s="18"/>
      <c r="WSH138" s="17"/>
      <c r="WSI138" s="9"/>
      <c r="WSJ138" s="9"/>
      <c r="WSK138" s="18"/>
      <c r="WSL138" s="18"/>
      <c r="WSM138" s="18"/>
      <c r="WSN138" s="18"/>
      <c r="WSO138" s="18"/>
      <c r="WSP138" s="17"/>
      <c r="WSQ138" s="9"/>
      <c r="WSR138" s="9"/>
      <c r="WSS138" s="18"/>
      <c r="WST138" s="18"/>
      <c r="WSU138" s="18"/>
      <c r="WSV138" s="18"/>
      <c r="WSW138" s="18"/>
      <c r="WSX138" s="17"/>
      <c r="WSY138" s="9"/>
      <c r="WSZ138" s="9"/>
      <c r="WTA138" s="18"/>
      <c r="WTB138" s="18"/>
      <c r="WTC138" s="18"/>
      <c r="WTD138" s="18"/>
      <c r="WTE138" s="18"/>
      <c r="WTF138" s="17"/>
      <c r="WTG138" s="9"/>
      <c r="WTH138" s="9"/>
      <c r="WTI138" s="18"/>
      <c r="WTJ138" s="18"/>
      <c r="WTK138" s="18"/>
      <c r="WTL138" s="18"/>
      <c r="WTM138" s="18"/>
      <c r="WTN138" s="17"/>
      <c r="WTO138" s="9"/>
      <c r="WTP138" s="9"/>
      <c r="WTQ138" s="18"/>
      <c r="WTR138" s="18"/>
      <c r="WTS138" s="18"/>
      <c r="WTT138" s="18"/>
      <c r="WTU138" s="18"/>
      <c r="WTV138" s="17"/>
      <c r="WTW138" s="9"/>
      <c r="WTX138" s="9"/>
      <c r="WTY138" s="18"/>
      <c r="WTZ138" s="18"/>
      <c r="WUA138" s="18"/>
      <c r="WUB138" s="18"/>
      <c r="WUC138" s="18"/>
      <c r="WUD138" s="17"/>
      <c r="WUE138" s="9"/>
      <c r="WUF138" s="9"/>
      <c r="WUG138" s="18"/>
      <c r="WUH138" s="18"/>
      <c r="WUI138" s="18"/>
      <c r="WUJ138" s="18"/>
      <c r="WUK138" s="18"/>
      <c r="WUL138" s="17"/>
      <c r="WUM138" s="9"/>
      <c r="WUN138" s="9"/>
      <c r="WUO138" s="18"/>
      <c r="WUP138" s="18"/>
      <c r="WUQ138" s="18"/>
      <c r="WUR138" s="18"/>
      <c r="WUS138" s="18"/>
      <c r="WUT138" s="17"/>
      <c r="WUU138" s="9"/>
      <c r="WUV138" s="9"/>
      <c r="WUW138" s="18"/>
      <c r="WUX138" s="18"/>
      <c r="WUY138" s="18"/>
      <c r="WUZ138" s="18"/>
      <c r="WVA138" s="18"/>
      <c r="WVB138" s="17"/>
      <c r="WVC138" s="9"/>
      <c r="WVD138" s="9"/>
      <c r="WVE138" s="18"/>
      <c r="WVF138" s="18"/>
      <c r="WVG138" s="18"/>
      <c r="WVH138" s="18"/>
      <c r="WVI138" s="18"/>
      <c r="WVJ138" s="17"/>
      <c r="WVK138" s="9"/>
      <c r="WVL138" s="9"/>
      <c r="WVM138" s="18"/>
      <c r="WVN138" s="18"/>
      <c r="WVO138" s="18"/>
      <c r="WVP138" s="18"/>
      <c r="WVQ138" s="18"/>
      <c r="WVR138" s="17"/>
      <c r="WVS138" s="9"/>
      <c r="WVT138" s="9"/>
      <c r="WVU138" s="18"/>
      <c r="WVV138" s="18"/>
      <c r="WVW138" s="18"/>
      <c r="WVX138" s="18"/>
      <c r="WVY138" s="18"/>
      <c r="WVZ138" s="17"/>
      <c r="WWA138" s="9"/>
      <c r="WWB138" s="9"/>
      <c r="WWC138" s="18"/>
      <c r="WWD138" s="18"/>
      <c r="WWE138" s="18"/>
      <c r="WWF138" s="18"/>
      <c r="WWG138" s="18"/>
      <c r="WWH138" s="17"/>
      <c r="WWI138" s="9"/>
      <c r="WWJ138" s="9"/>
      <c r="WWK138" s="18"/>
      <c r="WWL138" s="18"/>
      <c r="WWM138" s="18"/>
      <c r="WWN138" s="18"/>
      <c r="WWO138" s="18"/>
      <c r="WWP138" s="17"/>
      <c r="WWQ138" s="9"/>
      <c r="WWR138" s="9"/>
      <c r="WWS138" s="18"/>
      <c r="WWT138" s="18"/>
      <c r="WWU138" s="18"/>
      <c r="WWV138" s="18"/>
      <c r="WWW138" s="18"/>
      <c r="WWX138" s="17"/>
      <c r="WWY138" s="9"/>
      <c r="WWZ138" s="9"/>
      <c r="WXA138" s="18"/>
      <c r="WXB138" s="18"/>
      <c r="WXC138" s="18"/>
      <c r="WXD138" s="18"/>
      <c r="WXE138" s="18"/>
      <c r="WXF138" s="17"/>
      <c r="WXG138" s="9"/>
      <c r="WXH138" s="9"/>
      <c r="WXI138" s="18"/>
      <c r="WXJ138" s="18"/>
      <c r="WXK138" s="18"/>
      <c r="WXL138" s="18"/>
      <c r="WXM138" s="18"/>
      <c r="WXN138" s="17"/>
      <c r="WXO138" s="9"/>
      <c r="WXP138" s="9"/>
      <c r="WXQ138" s="18"/>
      <c r="WXR138" s="18"/>
      <c r="WXS138" s="18"/>
      <c r="WXT138" s="18"/>
      <c r="WXU138" s="18"/>
      <c r="WXV138" s="17"/>
      <c r="WXW138" s="9"/>
      <c r="WXX138" s="9"/>
      <c r="WXY138" s="18"/>
      <c r="WXZ138" s="18"/>
      <c r="WYA138" s="18"/>
      <c r="WYB138" s="18"/>
      <c r="WYC138" s="18"/>
      <c r="WYD138" s="17"/>
      <c r="WYE138" s="9"/>
      <c r="WYF138" s="9"/>
      <c r="WYG138" s="18"/>
      <c r="WYH138" s="18"/>
      <c r="WYI138" s="18"/>
      <c r="WYJ138" s="18"/>
      <c r="WYK138" s="18"/>
      <c r="WYL138" s="17"/>
      <c r="WYM138" s="9"/>
      <c r="WYN138" s="9"/>
      <c r="WYO138" s="18"/>
      <c r="WYP138" s="18"/>
      <c r="WYQ138" s="18"/>
      <c r="WYR138" s="18"/>
      <c r="WYS138" s="18"/>
      <c r="WYT138" s="17"/>
      <c r="WYU138" s="9"/>
      <c r="WYV138" s="9"/>
      <c r="WYW138" s="18"/>
      <c r="WYX138" s="18"/>
      <c r="WYY138" s="18"/>
      <c r="WYZ138" s="18"/>
      <c r="WZA138" s="18"/>
      <c r="WZB138" s="17"/>
      <c r="WZC138" s="9"/>
      <c r="WZD138" s="9"/>
      <c r="WZE138" s="18"/>
      <c r="WZF138" s="18"/>
      <c r="WZG138" s="18"/>
      <c r="WZH138" s="18"/>
      <c r="WZI138" s="18"/>
      <c r="WZJ138" s="17"/>
      <c r="WZK138" s="9"/>
      <c r="WZL138" s="9"/>
      <c r="WZM138" s="18"/>
      <c r="WZN138" s="18"/>
      <c r="WZO138" s="18"/>
      <c r="WZP138" s="18"/>
      <c r="WZQ138" s="18"/>
      <c r="WZR138" s="17"/>
      <c r="WZS138" s="9"/>
      <c r="WZT138" s="9"/>
      <c r="WZU138" s="18"/>
      <c r="WZV138" s="18"/>
      <c r="WZW138" s="18"/>
      <c r="WZX138" s="18"/>
      <c r="WZY138" s="18"/>
      <c r="WZZ138" s="17"/>
      <c r="XAA138" s="9"/>
      <c r="XAB138" s="9"/>
      <c r="XAC138" s="18"/>
      <c r="XAD138" s="18"/>
      <c r="XAE138" s="18"/>
      <c r="XAF138" s="18"/>
      <c r="XAG138" s="18"/>
      <c r="XAH138" s="17"/>
      <c r="XAI138" s="9"/>
      <c r="XAJ138" s="9"/>
      <c r="XAK138" s="18"/>
      <c r="XAL138" s="18"/>
      <c r="XAM138" s="18"/>
      <c r="XAN138" s="18"/>
      <c r="XAO138" s="18"/>
      <c r="XAP138" s="17"/>
      <c r="XAQ138" s="9"/>
      <c r="XAR138" s="9"/>
      <c r="XAS138" s="18"/>
      <c r="XAT138" s="18"/>
      <c r="XAU138" s="18"/>
      <c r="XAV138" s="18"/>
      <c r="XAW138" s="18"/>
      <c r="XAX138" s="17"/>
      <c r="XAY138" s="9"/>
      <c r="XAZ138" s="9"/>
      <c r="XBA138" s="18"/>
      <c r="XBB138" s="18"/>
      <c r="XBC138" s="18"/>
      <c r="XBD138" s="18"/>
      <c r="XBE138" s="18"/>
      <c r="XBF138" s="17"/>
      <c r="XBG138" s="9"/>
      <c r="XBH138" s="9"/>
      <c r="XBI138" s="18"/>
      <c r="XBJ138" s="18"/>
      <c r="XBK138" s="18"/>
      <c r="XBL138" s="18"/>
      <c r="XBM138" s="18"/>
      <c r="XBN138" s="17"/>
      <c r="XBO138" s="9"/>
      <c r="XBP138" s="9"/>
      <c r="XBQ138" s="18"/>
      <c r="XBR138" s="18"/>
      <c r="XBS138" s="18"/>
      <c r="XBT138" s="18"/>
      <c r="XBU138" s="18"/>
      <c r="XBV138" s="17"/>
      <c r="XBW138" s="9"/>
      <c r="XBX138" s="9"/>
      <c r="XBY138" s="18"/>
      <c r="XBZ138" s="18"/>
      <c r="XCA138" s="18"/>
      <c r="XCB138" s="18"/>
      <c r="XCC138" s="18"/>
      <c r="XCD138" s="17"/>
      <c r="XCE138" s="9"/>
      <c r="XCF138" s="9"/>
      <c r="XCG138" s="18"/>
      <c r="XCH138" s="18"/>
      <c r="XCI138" s="18"/>
      <c r="XCJ138" s="18"/>
      <c r="XCK138" s="18"/>
      <c r="XCL138" s="17"/>
      <c r="XCM138" s="9"/>
      <c r="XCN138" s="9"/>
      <c r="XCO138" s="18"/>
      <c r="XCP138" s="18"/>
      <c r="XCQ138" s="18"/>
      <c r="XCR138" s="18"/>
      <c r="XCS138" s="18"/>
      <c r="XCT138" s="17"/>
      <c r="XCU138" s="9"/>
      <c r="XCV138" s="9"/>
      <c r="XCW138" s="18"/>
      <c r="XCX138" s="18"/>
      <c r="XCY138" s="18"/>
      <c r="XCZ138" s="18"/>
      <c r="XDA138" s="18"/>
      <c r="XDB138" s="17"/>
      <c r="XDC138" s="9"/>
      <c r="XDD138" s="9"/>
      <c r="XDE138" s="18"/>
      <c r="XDF138" s="18"/>
      <c r="XDG138" s="18"/>
      <c r="XDH138" s="18"/>
      <c r="XDI138" s="18"/>
      <c r="XDJ138" s="17"/>
      <c r="XDK138" s="9"/>
      <c r="XDL138" s="9"/>
      <c r="XDM138" s="18"/>
      <c r="XDN138" s="18"/>
      <c r="XDO138" s="18"/>
      <c r="XDP138" s="18"/>
      <c r="XDQ138" s="18"/>
      <c r="XDR138" s="17"/>
      <c r="XDS138" s="9"/>
      <c r="XDT138" s="9"/>
      <c r="XDU138" s="18"/>
      <c r="XDV138" s="18"/>
      <c r="XDW138" s="18"/>
      <c r="XDX138" s="18"/>
      <c r="XDY138" s="18"/>
      <c r="XDZ138" s="17"/>
      <c r="XEA138" s="9"/>
      <c r="XEB138" s="9"/>
      <c r="XEC138" s="18"/>
      <c r="XED138" s="18"/>
      <c r="XEE138" s="18"/>
      <c r="XEF138" s="18"/>
      <c r="XEG138" s="18"/>
      <c r="XEH138" s="17"/>
      <c r="XEI138" s="9"/>
      <c r="XEJ138" s="9"/>
      <c r="XEK138" s="18"/>
      <c r="XEL138" s="18"/>
      <c r="XEM138" s="18"/>
      <c r="XEN138" s="18"/>
      <c r="XEO138" s="18"/>
      <c r="XEP138" s="17"/>
      <c r="XEQ138" s="9"/>
      <c r="XER138" s="9"/>
      <c r="XES138" s="18"/>
      <c r="XET138" s="18"/>
      <c r="XEU138" s="18"/>
      <c r="XEV138" s="18"/>
      <c r="XEW138" s="18"/>
      <c r="XEX138" s="17"/>
    </row>
    <row r="139" spans="1:16378" x14ac:dyDescent="0.3">
      <c r="A139" s="43"/>
      <c r="B139" s="43" t="s">
        <v>143</v>
      </c>
      <c r="C139" s="44">
        <f>C136+C137+C138</f>
        <v>4285.8727899999831</v>
      </c>
      <c r="D139" s="44">
        <f t="shared" ref="D139:H139" si="56">D136+D137+D138</f>
        <v>-45480.989066666676</v>
      </c>
      <c r="E139" s="44">
        <f t="shared" si="56"/>
        <v>-34813.80386666664</v>
      </c>
      <c r="F139" s="44">
        <f t="shared" si="56"/>
        <v>-17869.366999999998</v>
      </c>
      <c r="G139" s="44">
        <f t="shared" si="56"/>
        <v>-38653.520199999999</v>
      </c>
      <c r="H139" s="44">
        <f t="shared" si="56"/>
        <v>136949.47688216658</v>
      </c>
      <c r="I139" s="44">
        <f>I136+I137+I138</f>
        <v>4417.6695388327717</v>
      </c>
      <c r="J139" s="44">
        <f t="shared" ref="J139" si="57">J136+J137+J138</f>
        <v>0</v>
      </c>
      <c r="K139" s="44">
        <f>K136+K137+K138</f>
        <v>4417.6695388327717</v>
      </c>
      <c r="L139" s="83"/>
      <c r="M139" s="18"/>
      <c r="N139" s="18"/>
      <c r="R139" s="18"/>
      <c r="S139" s="18"/>
      <c r="T139" s="9"/>
      <c r="U139" s="18"/>
      <c r="V139" s="18"/>
      <c r="W139" s="18"/>
      <c r="X139" s="18"/>
      <c r="Y139" s="18"/>
      <c r="Z139" s="17"/>
      <c r="AA139" s="9"/>
      <c r="AB139" s="9"/>
      <c r="AC139" s="18"/>
      <c r="AD139" s="18"/>
      <c r="AE139" s="18"/>
      <c r="AF139" s="18"/>
      <c r="AG139" s="18"/>
      <c r="AH139" s="17"/>
      <c r="AI139" s="9"/>
      <c r="AJ139" s="9"/>
      <c r="AK139" s="18"/>
      <c r="AL139" s="18"/>
      <c r="AM139" s="18"/>
      <c r="AN139" s="18"/>
      <c r="AO139" s="18"/>
      <c r="AP139" s="17"/>
      <c r="AQ139" s="9"/>
      <c r="AR139" s="9"/>
      <c r="AS139" s="18"/>
      <c r="AT139" s="18"/>
      <c r="AU139" s="18"/>
      <c r="AV139" s="18"/>
      <c r="AW139" s="18"/>
      <c r="AX139" s="17"/>
      <c r="AY139" s="9"/>
      <c r="AZ139" s="9"/>
      <c r="BA139" s="18"/>
      <c r="BB139" s="18"/>
      <c r="BC139" s="18"/>
      <c r="BD139" s="18"/>
      <c r="BE139" s="18"/>
      <c r="BF139" s="17"/>
      <c r="BG139" s="9"/>
      <c r="BH139" s="9"/>
      <c r="BI139" s="18"/>
      <c r="BJ139" s="18"/>
      <c r="BK139" s="18"/>
      <c r="BL139" s="18"/>
      <c r="BM139" s="18"/>
      <c r="BN139" s="17"/>
      <c r="BO139" s="9"/>
      <c r="BP139" s="9"/>
      <c r="BQ139" s="18"/>
      <c r="BR139" s="18"/>
      <c r="BS139" s="18"/>
      <c r="BT139" s="18"/>
      <c r="BU139" s="18"/>
      <c r="BV139" s="17"/>
      <c r="BW139" s="9"/>
      <c r="BX139" s="9"/>
      <c r="BY139" s="18"/>
      <c r="BZ139" s="18"/>
      <c r="CA139" s="18"/>
      <c r="CB139" s="18"/>
      <c r="CC139" s="18"/>
      <c r="CD139" s="17"/>
      <c r="CE139" s="9"/>
      <c r="CF139" s="9"/>
      <c r="CG139" s="18"/>
      <c r="CH139" s="18"/>
      <c r="CI139" s="18"/>
      <c r="CJ139" s="18"/>
      <c r="CK139" s="18"/>
      <c r="CL139" s="17"/>
      <c r="CM139" s="9"/>
      <c r="CN139" s="9"/>
      <c r="CO139" s="18"/>
      <c r="CP139" s="18"/>
      <c r="CQ139" s="18"/>
      <c r="CR139" s="18"/>
      <c r="CS139" s="18"/>
      <c r="CT139" s="17"/>
      <c r="CU139" s="9"/>
      <c r="CV139" s="9"/>
      <c r="CW139" s="18"/>
      <c r="CX139" s="18"/>
      <c r="CY139" s="18"/>
      <c r="CZ139" s="18"/>
      <c r="DA139" s="18"/>
      <c r="DB139" s="17"/>
      <c r="DC139" s="9"/>
      <c r="DD139" s="9"/>
      <c r="DE139" s="18"/>
      <c r="DF139" s="18"/>
      <c r="DG139" s="18"/>
      <c r="DH139" s="18"/>
      <c r="DI139" s="18"/>
      <c r="DJ139" s="17"/>
      <c r="DK139" s="9"/>
      <c r="DL139" s="9"/>
      <c r="DM139" s="18"/>
      <c r="DN139" s="18"/>
      <c r="DO139" s="18"/>
      <c r="DP139" s="18"/>
      <c r="DQ139" s="18"/>
      <c r="DR139" s="17"/>
      <c r="DS139" s="9"/>
      <c r="DT139" s="9"/>
      <c r="DU139" s="18"/>
      <c r="DV139" s="18"/>
      <c r="DW139" s="18"/>
      <c r="DX139" s="18"/>
      <c r="DY139" s="18"/>
      <c r="DZ139" s="17"/>
      <c r="EA139" s="9"/>
      <c r="EB139" s="9"/>
      <c r="EC139" s="18"/>
      <c r="ED139" s="18"/>
      <c r="EE139" s="18"/>
      <c r="EF139" s="18"/>
      <c r="EG139" s="18"/>
      <c r="EH139" s="17"/>
      <c r="EI139" s="9"/>
      <c r="EJ139" s="9"/>
      <c r="EK139" s="18"/>
      <c r="EL139" s="18"/>
      <c r="EM139" s="18"/>
      <c r="EN139" s="18"/>
      <c r="EO139" s="18"/>
      <c r="EP139" s="17"/>
      <c r="EQ139" s="9"/>
      <c r="ER139" s="9"/>
      <c r="ES139" s="18"/>
      <c r="ET139" s="18"/>
      <c r="EU139" s="18"/>
      <c r="EV139" s="18"/>
      <c r="EW139" s="18"/>
      <c r="EX139" s="17"/>
      <c r="EY139" s="9"/>
      <c r="EZ139" s="9"/>
      <c r="FA139" s="18"/>
      <c r="FB139" s="18"/>
      <c r="FC139" s="18"/>
      <c r="FD139" s="18"/>
      <c r="FE139" s="18"/>
      <c r="FF139" s="17"/>
      <c r="FG139" s="9"/>
      <c r="FH139" s="9"/>
      <c r="FI139" s="18"/>
      <c r="FJ139" s="18"/>
      <c r="FK139" s="18"/>
      <c r="FL139" s="18"/>
      <c r="FM139" s="18"/>
      <c r="FN139" s="17"/>
      <c r="FO139" s="9"/>
      <c r="FP139" s="9"/>
      <c r="FQ139" s="18"/>
      <c r="FR139" s="18"/>
      <c r="FS139" s="18"/>
      <c r="FT139" s="18"/>
      <c r="FU139" s="18"/>
      <c r="FV139" s="17"/>
      <c r="FW139" s="9"/>
      <c r="FX139" s="9"/>
      <c r="FY139" s="18"/>
      <c r="FZ139" s="18"/>
      <c r="GA139" s="18"/>
      <c r="GB139" s="18"/>
      <c r="GC139" s="18"/>
      <c r="GD139" s="17"/>
      <c r="GE139" s="9"/>
      <c r="GF139" s="9"/>
      <c r="GG139" s="18"/>
      <c r="GH139" s="18"/>
      <c r="GI139" s="18"/>
      <c r="GJ139" s="18"/>
      <c r="GK139" s="18"/>
      <c r="GL139" s="17"/>
      <c r="GM139" s="9"/>
      <c r="GN139" s="9"/>
      <c r="GO139" s="18"/>
      <c r="GP139" s="18"/>
      <c r="GQ139" s="18"/>
      <c r="GR139" s="18"/>
      <c r="GS139" s="18"/>
      <c r="GT139" s="17"/>
      <c r="GU139" s="9"/>
      <c r="GV139" s="9"/>
      <c r="GW139" s="18"/>
      <c r="GX139" s="18"/>
      <c r="GY139" s="18"/>
      <c r="GZ139" s="18"/>
      <c r="HA139" s="18"/>
      <c r="HB139" s="17"/>
      <c r="HC139" s="9"/>
      <c r="HD139" s="9"/>
      <c r="HE139" s="18"/>
      <c r="HF139" s="18"/>
      <c r="HG139" s="18"/>
      <c r="HH139" s="18"/>
      <c r="HI139" s="18"/>
      <c r="HJ139" s="17"/>
      <c r="HK139" s="9"/>
      <c r="HL139" s="9"/>
      <c r="HM139" s="18"/>
      <c r="HN139" s="18"/>
      <c r="HO139" s="18"/>
      <c r="HP139" s="18"/>
      <c r="HQ139" s="18"/>
      <c r="HR139" s="17"/>
      <c r="HS139" s="9"/>
      <c r="HT139" s="9"/>
      <c r="HU139" s="18"/>
      <c r="HV139" s="18"/>
      <c r="HW139" s="18"/>
      <c r="HX139" s="18"/>
      <c r="HY139" s="18"/>
      <c r="HZ139" s="17"/>
      <c r="IA139" s="9"/>
      <c r="IB139" s="9"/>
      <c r="IC139" s="18"/>
      <c r="ID139" s="18"/>
      <c r="IE139" s="18"/>
      <c r="IF139" s="18"/>
      <c r="IG139" s="18"/>
      <c r="IH139" s="17"/>
      <c r="II139" s="9"/>
      <c r="IJ139" s="9"/>
      <c r="IK139" s="18"/>
      <c r="IL139" s="18"/>
      <c r="IM139" s="18"/>
      <c r="IN139" s="18"/>
      <c r="IO139" s="18"/>
      <c r="IP139" s="17"/>
      <c r="IQ139" s="9"/>
      <c r="IR139" s="9"/>
      <c r="IS139" s="18"/>
      <c r="IT139" s="18"/>
      <c r="IU139" s="18"/>
      <c r="IV139" s="18"/>
      <c r="IW139" s="18"/>
      <c r="IX139" s="17"/>
      <c r="IY139" s="9"/>
      <c r="IZ139" s="9"/>
      <c r="JA139" s="18"/>
      <c r="JB139" s="18"/>
      <c r="JC139" s="18"/>
      <c r="JD139" s="18"/>
      <c r="JE139" s="18"/>
      <c r="JF139" s="17"/>
      <c r="JG139" s="9"/>
      <c r="JH139" s="9"/>
      <c r="JI139" s="18"/>
      <c r="JJ139" s="18"/>
      <c r="JK139" s="18"/>
      <c r="JL139" s="18"/>
      <c r="JM139" s="18"/>
      <c r="JN139" s="17"/>
      <c r="JO139" s="9"/>
      <c r="JP139" s="9"/>
      <c r="JQ139" s="18"/>
      <c r="JR139" s="18"/>
      <c r="JS139" s="18"/>
      <c r="JT139" s="18"/>
      <c r="JU139" s="18"/>
      <c r="JV139" s="17"/>
      <c r="JW139" s="9"/>
      <c r="JX139" s="9"/>
      <c r="JY139" s="18"/>
      <c r="JZ139" s="18"/>
      <c r="KA139" s="18"/>
      <c r="KB139" s="18"/>
      <c r="KC139" s="18"/>
      <c r="KD139" s="17"/>
      <c r="KE139" s="9"/>
      <c r="KF139" s="9"/>
      <c r="KG139" s="18"/>
      <c r="KH139" s="18"/>
      <c r="KI139" s="18"/>
      <c r="KJ139" s="18"/>
      <c r="KK139" s="18"/>
      <c r="KL139" s="17"/>
      <c r="KM139" s="9"/>
      <c r="KN139" s="9"/>
      <c r="KO139" s="18"/>
      <c r="KP139" s="18"/>
      <c r="KQ139" s="18"/>
      <c r="KR139" s="18"/>
      <c r="KS139" s="18"/>
      <c r="KT139" s="17"/>
      <c r="KU139" s="9"/>
      <c r="KV139" s="9"/>
      <c r="KW139" s="18"/>
      <c r="KX139" s="18"/>
      <c r="KY139" s="18"/>
      <c r="KZ139" s="18"/>
      <c r="LA139" s="18"/>
      <c r="LB139" s="17"/>
      <c r="LC139" s="9"/>
      <c r="LD139" s="9"/>
      <c r="LE139" s="18"/>
      <c r="LF139" s="18"/>
      <c r="LG139" s="18"/>
      <c r="LH139" s="18"/>
      <c r="LI139" s="18"/>
      <c r="LJ139" s="17"/>
      <c r="LK139" s="9"/>
      <c r="LL139" s="9"/>
      <c r="LM139" s="18"/>
      <c r="LN139" s="18"/>
      <c r="LO139" s="18"/>
      <c r="LP139" s="18"/>
      <c r="LQ139" s="18"/>
      <c r="LR139" s="17"/>
      <c r="LS139" s="9"/>
      <c r="LT139" s="9"/>
      <c r="LU139" s="18"/>
      <c r="LV139" s="18"/>
      <c r="LW139" s="18"/>
      <c r="LX139" s="18"/>
      <c r="LY139" s="18"/>
      <c r="LZ139" s="17"/>
      <c r="MA139" s="9"/>
      <c r="MB139" s="9"/>
      <c r="MC139" s="18"/>
      <c r="MD139" s="18"/>
      <c r="ME139" s="18"/>
      <c r="MF139" s="18"/>
      <c r="MG139" s="18"/>
      <c r="MH139" s="17"/>
      <c r="MI139" s="9"/>
      <c r="MJ139" s="9"/>
      <c r="MK139" s="18"/>
      <c r="ML139" s="18"/>
      <c r="MM139" s="18"/>
      <c r="MN139" s="18"/>
      <c r="MO139" s="18"/>
      <c r="MP139" s="17"/>
      <c r="MQ139" s="9"/>
      <c r="MR139" s="9"/>
      <c r="MS139" s="18"/>
      <c r="MT139" s="18"/>
      <c r="MU139" s="18"/>
      <c r="MV139" s="18"/>
      <c r="MW139" s="18"/>
      <c r="MX139" s="17"/>
      <c r="MY139" s="9"/>
      <c r="MZ139" s="9"/>
      <c r="NA139" s="18"/>
      <c r="NB139" s="18"/>
      <c r="NC139" s="18"/>
      <c r="ND139" s="18"/>
      <c r="NE139" s="18"/>
      <c r="NF139" s="17"/>
      <c r="NG139" s="9"/>
      <c r="NH139" s="9"/>
      <c r="NI139" s="18"/>
      <c r="NJ139" s="18"/>
      <c r="NK139" s="18"/>
      <c r="NL139" s="18"/>
      <c r="NM139" s="18"/>
      <c r="NN139" s="17"/>
      <c r="NO139" s="9"/>
      <c r="NP139" s="9"/>
      <c r="NQ139" s="18"/>
      <c r="NR139" s="18"/>
      <c r="NS139" s="18"/>
      <c r="NT139" s="18"/>
      <c r="NU139" s="18"/>
      <c r="NV139" s="17"/>
      <c r="NW139" s="9"/>
      <c r="NX139" s="9"/>
      <c r="NY139" s="18"/>
      <c r="NZ139" s="18"/>
      <c r="OA139" s="18"/>
      <c r="OB139" s="18"/>
      <c r="OC139" s="18"/>
      <c r="OD139" s="17"/>
      <c r="OE139" s="9"/>
      <c r="OF139" s="9"/>
      <c r="OG139" s="18"/>
      <c r="OH139" s="18"/>
      <c r="OI139" s="18"/>
      <c r="OJ139" s="18"/>
      <c r="OK139" s="18"/>
      <c r="OL139" s="17"/>
      <c r="OM139" s="9"/>
      <c r="ON139" s="9"/>
      <c r="OO139" s="18"/>
      <c r="OP139" s="18"/>
      <c r="OQ139" s="18"/>
      <c r="OR139" s="18"/>
      <c r="OS139" s="18"/>
      <c r="OT139" s="17"/>
      <c r="OU139" s="9"/>
      <c r="OV139" s="9"/>
      <c r="OW139" s="18"/>
      <c r="OX139" s="18"/>
      <c r="OY139" s="18"/>
      <c r="OZ139" s="18"/>
      <c r="PA139" s="18"/>
      <c r="PB139" s="17"/>
      <c r="PC139" s="9"/>
      <c r="PD139" s="9"/>
      <c r="PE139" s="18"/>
      <c r="PF139" s="18"/>
      <c r="PG139" s="18"/>
      <c r="PH139" s="18"/>
      <c r="PI139" s="18"/>
      <c r="PJ139" s="17"/>
      <c r="PK139" s="9"/>
      <c r="PL139" s="9"/>
      <c r="PM139" s="18"/>
      <c r="PN139" s="18"/>
      <c r="PO139" s="18"/>
      <c r="PP139" s="18"/>
      <c r="PQ139" s="18"/>
      <c r="PR139" s="17"/>
      <c r="PS139" s="9"/>
      <c r="PT139" s="9"/>
      <c r="PU139" s="18"/>
      <c r="PV139" s="18"/>
      <c r="PW139" s="18"/>
      <c r="PX139" s="18"/>
      <c r="PY139" s="18"/>
      <c r="PZ139" s="17"/>
      <c r="QA139" s="9"/>
      <c r="QB139" s="9"/>
      <c r="QC139" s="18"/>
      <c r="QD139" s="18"/>
      <c r="QE139" s="18"/>
      <c r="QF139" s="18"/>
      <c r="QG139" s="18"/>
      <c r="QH139" s="17"/>
      <c r="QI139" s="9"/>
      <c r="QJ139" s="9"/>
      <c r="QK139" s="18"/>
      <c r="QL139" s="18"/>
      <c r="QM139" s="18"/>
      <c r="QN139" s="18"/>
      <c r="QO139" s="18"/>
      <c r="QP139" s="17"/>
      <c r="QQ139" s="9"/>
      <c r="QR139" s="9"/>
      <c r="QS139" s="18"/>
      <c r="QT139" s="18"/>
      <c r="QU139" s="18"/>
      <c r="QV139" s="18"/>
      <c r="QW139" s="18"/>
      <c r="QX139" s="17"/>
      <c r="QY139" s="9"/>
      <c r="QZ139" s="9"/>
      <c r="RA139" s="18"/>
      <c r="RB139" s="18"/>
      <c r="RC139" s="18"/>
      <c r="RD139" s="18"/>
      <c r="RE139" s="18"/>
      <c r="RF139" s="17"/>
      <c r="RG139" s="9"/>
      <c r="RH139" s="9"/>
      <c r="RI139" s="18"/>
      <c r="RJ139" s="18"/>
      <c r="RK139" s="18"/>
      <c r="RL139" s="18"/>
      <c r="RM139" s="18"/>
      <c r="RN139" s="17"/>
      <c r="RO139" s="9"/>
      <c r="RP139" s="9"/>
      <c r="RQ139" s="18"/>
      <c r="RR139" s="18"/>
      <c r="RS139" s="18"/>
      <c r="RT139" s="18"/>
      <c r="RU139" s="18"/>
      <c r="RV139" s="17"/>
      <c r="RW139" s="9"/>
      <c r="RX139" s="9"/>
      <c r="RY139" s="18"/>
      <c r="RZ139" s="18"/>
      <c r="SA139" s="18"/>
      <c r="SB139" s="18"/>
      <c r="SC139" s="18"/>
      <c r="SD139" s="17"/>
      <c r="SE139" s="9"/>
      <c r="SF139" s="9"/>
      <c r="SG139" s="18"/>
      <c r="SH139" s="18"/>
      <c r="SI139" s="18"/>
      <c r="SJ139" s="18"/>
      <c r="SK139" s="18"/>
      <c r="SL139" s="17"/>
      <c r="SM139" s="9"/>
      <c r="SN139" s="9"/>
      <c r="SO139" s="18"/>
      <c r="SP139" s="18"/>
      <c r="SQ139" s="18"/>
      <c r="SR139" s="18"/>
      <c r="SS139" s="18"/>
      <c r="ST139" s="17"/>
      <c r="SU139" s="9"/>
      <c r="SV139" s="9"/>
      <c r="SW139" s="18"/>
      <c r="SX139" s="18"/>
      <c r="SY139" s="18"/>
      <c r="SZ139" s="18"/>
      <c r="TA139" s="18"/>
      <c r="TB139" s="17"/>
      <c r="TC139" s="9"/>
      <c r="TD139" s="9"/>
      <c r="TE139" s="18"/>
      <c r="TF139" s="18"/>
      <c r="TG139" s="18"/>
      <c r="TH139" s="18"/>
      <c r="TI139" s="18"/>
      <c r="TJ139" s="17"/>
      <c r="TK139" s="9"/>
      <c r="TL139" s="9"/>
      <c r="TM139" s="18"/>
      <c r="TN139" s="18"/>
      <c r="TO139" s="18"/>
      <c r="TP139" s="18"/>
      <c r="TQ139" s="18"/>
      <c r="TR139" s="17"/>
      <c r="TS139" s="9"/>
      <c r="TT139" s="9"/>
      <c r="TU139" s="18"/>
      <c r="TV139" s="18"/>
      <c r="TW139" s="18"/>
      <c r="TX139" s="18"/>
      <c r="TY139" s="18"/>
      <c r="TZ139" s="17"/>
      <c r="UA139" s="9"/>
      <c r="UB139" s="9"/>
      <c r="UC139" s="18"/>
      <c r="UD139" s="18"/>
      <c r="UE139" s="18"/>
      <c r="UF139" s="18"/>
      <c r="UG139" s="18"/>
      <c r="UH139" s="17"/>
      <c r="UI139" s="9"/>
      <c r="UJ139" s="9"/>
      <c r="UK139" s="18"/>
      <c r="UL139" s="18"/>
      <c r="UM139" s="18"/>
      <c r="UN139" s="18"/>
      <c r="UO139" s="18"/>
      <c r="UP139" s="17"/>
      <c r="UQ139" s="9"/>
      <c r="UR139" s="9"/>
      <c r="US139" s="18"/>
      <c r="UT139" s="18"/>
      <c r="UU139" s="18"/>
      <c r="UV139" s="18"/>
      <c r="UW139" s="18"/>
      <c r="UX139" s="17"/>
      <c r="UY139" s="9"/>
      <c r="UZ139" s="9"/>
      <c r="VA139" s="18"/>
      <c r="VB139" s="18"/>
      <c r="VC139" s="18"/>
      <c r="VD139" s="18"/>
      <c r="VE139" s="18"/>
      <c r="VF139" s="17"/>
      <c r="VG139" s="9"/>
      <c r="VH139" s="9"/>
      <c r="VI139" s="18"/>
      <c r="VJ139" s="18"/>
      <c r="VK139" s="18"/>
      <c r="VL139" s="18"/>
      <c r="VM139" s="18"/>
      <c r="VN139" s="17"/>
      <c r="VO139" s="9"/>
      <c r="VP139" s="9"/>
      <c r="VQ139" s="18"/>
      <c r="VR139" s="18"/>
      <c r="VS139" s="18"/>
      <c r="VT139" s="18"/>
      <c r="VU139" s="18"/>
      <c r="VV139" s="17"/>
      <c r="VW139" s="9"/>
      <c r="VX139" s="9"/>
      <c r="VY139" s="18"/>
      <c r="VZ139" s="18"/>
      <c r="WA139" s="18"/>
      <c r="WB139" s="18"/>
      <c r="WC139" s="18"/>
      <c r="WD139" s="17"/>
      <c r="WE139" s="9"/>
      <c r="WF139" s="9"/>
      <c r="WG139" s="18"/>
      <c r="WH139" s="18"/>
      <c r="WI139" s="18"/>
      <c r="WJ139" s="18"/>
      <c r="WK139" s="18"/>
      <c r="WL139" s="17"/>
      <c r="WM139" s="9"/>
      <c r="WN139" s="9"/>
      <c r="WO139" s="18"/>
      <c r="WP139" s="18"/>
      <c r="WQ139" s="18"/>
      <c r="WR139" s="18"/>
      <c r="WS139" s="18"/>
      <c r="WT139" s="17"/>
      <c r="WU139" s="9"/>
      <c r="WV139" s="9"/>
      <c r="WW139" s="18"/>
      <c r="WX139" s="18"/>
      <c r="WY139" s="18"/>
      <c r="WZ139" s="18"/>
      <c r="XA139" s="18"/>
      <c r="XB139" s="17"/>
      <c r="XC139" s="9"/>
      <c r="XD139" s="9"/>
      <c r="XE139" s="18"/>
      <c r="XF139" s="18"/>
      <c r="XG139" s="18"/>
      <c r="XH139" s="18"/>
      <c r="XI139" s="18"/>
      <c r="XJ139" s="17"/>
      <c r="XK139" s="9"/>
      <c r="XL139" s="9"/>
      <c r="XM139" s="18"/>
      <c r="XN139" s="18"/>
      <c r="XO139" s="18"/>
      <c r="XP139" s="18"/>
      <c r="XQ139" s="18"/>
      <c r="XR139" s="17"/>
      <c r="XS139" s="9"/>
      <c r="XT139" s="9"/>
      <c r="XU139" s="18"/>
      <c r="XV139" s="18"/>
      <c r="XW139" s="18"/>
      <c r="XX139" s="18"/>
      <c r="XY139" s="18"/>
      <c r="XZ139" s="17"/>
      <c r="YA139" s="9"/>
      <c r="YB139" s="9"/>
      <c r="YC139" s="18"/>
      <c r="YD139" s="18"/>
      <c r="YE139" s="18"/>
      <c r="YF139" s="18"/>
      <c r="YG139" s="18"/>
      <c r="YH139" s="17"/>
      <c r="YI139" s="9"/>
      <c r="YJ139" s="9"/>
      <c r="YK139" s="18"/>
      <c r="YL139" s="18"/>
      <c r="YM139" s="18"/>
      <c r="YN139" s="18"/>
      <c r="YO139" s="18"/>
      <c r="YP139" s="17"/>
      <c r="YQ139" s="9"/>
      <c r="YR139" s="9"/>
      <c r="YS139" s="18"/>
      <c r="YT139" s="18"/>
      <c r="YU139" s="18"/>
      <c r="YV139" s="18"/>
      <c r="YW139" s="18"/>
      <c r="YX139" s="17"/>
      <c r="YY139" s="9"/>
      <c r="YZ139" s="9"/>
      <c r="ZA139" s="18"/>
      <c r="ZB139" s="18"/>
      <c r="ZC139" s="18"/>
      <c r="ZD139" s="18"/>
      <c r="ZE139" s="18"/>
      <c r="ZF139" s="17"/>
      <c r="ZG139" s="9"/>
      <c r="ZH139" s="9"/>
      <c r="ZI139" s="18"/>
      <c r="ZJ139" s="18"/>
      <c r="ZK139" s="18"/>
      <c r="ZL139" s="18"/>
      <c r="ZM139" s="18"/>
      <c r="ZN139" s="17"/>
      <c r="ZO139" s="9"/>
      <c r="ZP139" s="9"/>
      <c r="ZQ139" s="18"/>
      <c r="ZR139" s="18"/>
      <c r="ZS139" s="18"/>
      <c r="ZT139" s="18"/>
      <c r="ZU139" s="18"/>
      <c r="ZV139" s="17"/>
      <c r="ZW139" s="9"/>
      <c r="ZX139" s="9"/>
      <c r="ZY139" s="18"/>
      <c r="ZZ139" s="18"/>
      <c r="AAA139" s="18"/>
      <c r="AAB139" s="18"/>
      <c r="AAC139" s="18"/>
      <c r="AAD139" s="17"/>
      <c r="AAE139" s="9"/>
      <c r="AAF139" s="9"/>
      <c r="AAG139" s="18"/>
      <c r="AAH139" s="18"/>
      <c r="AAI139" s="18"/>
      <c r="AAJ139" s="18"/>
      <c r="AAK139" s="18"/>
      <c r="AAL139" s="17"/>
      <c r="AAM139" s="9"/>
      <c r="AAN139" s="9"/>
      <c r="AAO139" s="18"/>
      <c r="AAP139" s="18"/>
      <c r="AAQ139" s="18"/>
      <c r="AAR139" s="18"/>
      <c r="AAS139" s="18"/>
      <c r="AAT139" s="17"/>
      <c r="AAU139" s="9"/>
      <c r="AAV139" s="9"/>
      <c r="AAW139" s="18"/>
      <c r="AAX139" s="18"/>
      <c r="AAY139" s="18"/>
      <c r="AAZ139" s="18"/>
      <c r="ABA139" s="18"/>
      <c r="ABB139" s="17"/>
      <c r="ABC139" s="9"/>
      <c r="ABD139" s="9"/>
      <c r="ABE139" s="18"/>
      <c r="ABF139" s="18"/>
      <c r="ABG139" s="18"/>
      <c r="ABH139" s="18"/>
      <c r="ABI139" s="18"/>
      <c r="ABJ139" s="17"/>
      <c r="ABK139" s="9"/>
      <c r="ABL139" s="9"/>
      <c r="ABM139" s="18"/>
      <c r="ABN139" s="18"/>
      <c r="ABO139" s="18"/>
      <c r="ABP139" s="18"/>
      <c r="ABQ139" s="18"/>
      <c r="ABR139" s="17"/>
      <c r="ABS139" s="9"/>
      <c r="ABT139" s="9"/>
      <c r="ABU139" s="18"/>
      <c r="ABV139" s="18"/>
      <c r="ABW139" s="18"/>
      <c r="ABX139" s="18"/>
      <c r="ABY139" s="18"/>
      <c r="ABZ139" s="17"/>
      <c r="ACA139" s="9"/>
      <c r="ACB139" s="9"/>
      <c r="ACC139" s="18"/>
      <c r="ACD139" s="18"/>
      <c r="ACE139" s="18"/>
      <c r="ACF139" s="18"/>
      <c r="ACG139" s="18"/>
      <c r="ACH139" s="17"/>
      <c r="ACI139" s="9"/>
      <c r="ACJ139" s="9"/>
      <c r="ACK139" s="18"/>
      <c r="ACL139" s="18"/>
      <c r="ACM139" s="18"/>
      <c r="ACN139" s="18"/>
      <c r="ACO139" s="18"/>
      <c r="ACP139" s="17"/>
      <c r="ACQ139" s="9"/>
      <c r="ACR139" s="9"/>
      <c r="ACS139" s="18"/>
      <c r="ACT139" s="18"/>
      <c r="ACU139" s="18"/>
      <c r="ACV139" s="18"/>
      <c r="ACW139" s="18"/>
      <c r="ACX139" s="17"/>
      <c r="ACY139" s="9"/>
      <c r="ACZ139" s="9"/>
      <c r="ADA139" s="18"/>
      <c r="ADB139" s="18"/>
      <c r="ADC139" s="18"/>
      <c r="ADD139" s="18"/>
      <c r="ADE139" s="18"/>
      <c r="ADF139" s="17"/>
      <c r="ADG139" s="9"/>
      <c r="ADH139" s="9"/>
      <c r="ADI139" s="18"/>
      <c r="ADJ139" s="18"/>
      <c r="ADK139" s="18"/>
      <c r="ADL139" s="18"/>
      <c r="ADM139" s="18"/>
      <c r="ADN139" s="17"/>
      <c r="ADO139" s="9"/>
      <c r="ADP139" s="9"/>
      <c r="ADQ139" s="18"/>
      <c r="ADR139" s="18"/>
      <c r="ADS139" s="18"/>
      <c r="ADT139" s="18"/>
      <c r="ADU139" s="18"/>
      <c r="ADV139" s="17"/>
      <c r="ADW139" s="9"/>
      <c r="ADX139" s="9"/>
      <c r="ADY139" s="18"/>
      <c r="ADZ139" s="18"/>
      <c r="AEA139" s="18"/>
      <c r="AEB139" s="18"/>
      <c r="AEC139" s="18"/>
      <c r="AED139" s="17"/>
      <c r="AEE139" s="9"/>
      <c r="AEF139" s="9"/>
      <c r="AEG139" s="18"/>
      <c r="AEH139" s="18"/>
      <c r="AEI139" s="18"/>
      <c r="AEJ139" s="18"/>
      <c r="AEK139" s="18"/>
      <c r="AEL139" s="17"/>
      <c r="AEM139" s="9"/>
      <c r="AEN139" s="9"/>
      <c r="AEO139" s="18"/>
      <c r="AEP139" s="18"/>
      <c r="AEQ139" s="18"/>
      <c r="AER139" s="18"/>
      <c r="AES139" s="18"/>
      <c r="AET139" s="17"/>
      <c r="AEU139" s="9"/>
      <c r="AEV139" s="9"/>
      <c r="AEW139" s="18"/>
      <c r="AEX139" s="18"/>
      <c r="AEY139" s="18"/>
      <c r="AEZ139" s="18"/>
      <c r="AFA139" s="18"/>
      <c r="AFB139" s="17"/>
      <c r="AFC139" s="9"/>
      <c r="AFD139" s="9"/>
      <c r="AFE139" s="18"/>
      <c r="AFF139" s="18"/>
      <c r="AFG139" s="18"/>
      <c r="AFH139" s="18"/>
      <c r="AFI139" s="18"/>
      <c r="AFJ139" s="17"/>
      <c r="AFK139" s="9"/>
      <c r="AFL139" s="9"/>
      <c r="AFM139" s="18"/>
      <c r="AFN139" s="18"/>
      <c r="AFO139" s="18"/>
      <c r="AFP139" s="18"/>
      <c r="AFQ139" s="18"/>
      <c r="AFR139" s="17"/>
      <c r="AFS139" s="9"/>
      <c r="AFT139" s="9"/>
      <c r="AFU139" s="18"/>
      <c r="AFV139" s="18"/>
      <c r="AFW139" s="18"/>
      <c r="AFX139" s="18"/>
      <c r="AFY139" s="18"/>
      <c r="AFZ139" s="17"/>
      <c r="AGA139" s="9"/>
      <c r="AGB139" s="9"/>
      <c r="AGC139" s="18"/>
      <c r="AGD139" s="18"/>
      <c r="AGE139" s="18"/>
      <c r="AGF139" s="18"/>
      <c r="AGG139" s="18"/>
      <c r="AGH139" s="17"/>
      <c r="AGI139" s="9"/>
      <c r="AGJ139" s="9"/>
      <c r="AGK139" s="18"/>
      <c r="AGL139" s="18"/>
      <c r="AGM139" s="18"/>
      <c r="AGN139" s="18"/>
      <c r="AGO139" s="18"/>
      <c r="AGP139" s="17"/>
      <c r="AGQ139" s="9"/>
      <c r="AGR139" s="9"/>
      <c r="AGS139" s="18"/>
      <c r="AGT139" s="18"/>
      <c r="AGU139" s="18"/>
      <c r="AGV139" s="18"/>
      <c r="AGW139" s="18"/>
      <c r="AGX139" s="17"/>
      <c r="AGY139" s="9"/>
      <c r="AGZ139" s="9"/>
      <c r="AHA139" s="18"/>
      <c r="AHB139" s="18"/>
      <c r="AHC139" s="18"/>
      <c r="AHD139" s="18"/>
      <c r="AHE139" s="18"/>
      <c r="AHF139" s="17"/>
      <c r="AHG139" s="9"/>
      <c r="AHH139" s="9"/>
      <c r="AHI139" s="18"/>
      <c r="AHJ139" s="18"/>
      <c r="AHK139" s="18"/>
      <c r="AHL139" s="18"/>
      <c r="AHM139" s="18"/>
      <c r="AHN139" s="17"/>
      <c r="AHO139" s="9"/>
      <c r="AHP139" s="9"/>
      <c r="AHQ139" s="18"/>
      <c r="AHR139" s="18"/>
      <c r="AHS139" s="18"/>
      <c r="AHT139" s="18"/>
      <c r="AHU139" s="18"/>
      <c r="AHV139" s="17"/>
      <c r="AHW139" s="9"/>
      <c r="AHX139" s="9"/>
      <c r="AHY139" s="18"/>
      <c r="AHZ139" s="18"/>
      <c r="AIA139" s="18"/>
      <c r="AIB139" s="18"/>
      <c r="AIC139" s="18"/>
      <c r="AID139" s="17"/>
      <c r="AIE139" s="9"/>
      <c r="AIF139" s="9"/>
      <c r="AIG139" s="18"/>
      <c r="AIH139" s="18"/>
      <c r="AII139" s="18"/>
      <c r="AIJ139" s="18"/>
      <c r="AIK139" s="18"/>
      <c r="AIL139" s="17"/>
      <c r="AIM139" s="9"/>
      <c r="AIN139" s="9"/>
      <c r="AIO139" s="18"/>
      <c r="AIP139" s="18"/>
      <c r="AIQ139" s="18"/>
      <c r="AIR139" s="18"/>
      <c r="AIS139" s="18"/>
      <c r="AIT139" s="17"/>
      <c r="AIU139" s="9"/>
      <c r="AIV139" s="9"/>
      <c r="AIW139" s="18"/>
      <c r="AIX139" s="18"/>
      <c r="AIY139" s="18"/>
      <c r="AIZ139" s="18"/>
      <c r="AJA139" s="18"/>
      <c r="AJB139" s="17"/>
      <c r="AJC139" s="9"/>
      <c r="AJD139" s="9"/>
      <c r="AJE139" s="18"/>
      <c r="AJF139" s="18"/>
      <c r="AJG139" s="18"/>
      <c r="AJH139" s="18"/>
      <c r="AJI139" s="18"/>
      <c r="AJJ139" s="17"/>
      <c r="AJK139" s="9"/>
      <c r="AJL139" s="9"/>
      <c r="AJM139" s="18"/>
      <c r="AJN139" s="18"/>
      <c r="AJO139" s="18"/>
      <c r="AJP139" s="18"/>
      <c r="AJQ139" s="18"/>
      <c r="AJR139" s="17"/>
      <c r="AJS139" s="9"/>
      <c r="AJT139" s="9"/>
      <c r="AJU139" s="18"/>
      <c r="AJV139" s="18"/>
      <c r="AJW139" s="18"/>
      <c r="AJX139" s="18"/>
      <c r="AJY139" s="18"/>
      <c r="AJZ139" s="17"/>
      <c r="AKA139" s="9"/>
      <c r="AKB139" s="9"/>
      <c r="AKC139" s="18"/>
      <c r="AKD139" s="18"/>
      <c r="AKE139" s="18"/>
      <c r="AKF139" s="18"/>
      <c r="AKG139" s="18"/>
      <c r="AKH139" s="17"/>
      <c r="AKI139" s="9"/>
      <c r="AKJ139" s="9"/>
      <c r="AKK139" s="18"/>
      <c r="AKL139" s="18"/>
      <c r="AKM139" s="18"/>
      <c r="AKN139" s="18"/>
      <c r="AKO139" s="18"/>
      <c r="AKP139" s="17"/>
      <c r="AKQ139" s="9"/>
      <c r="AKR139" s="9"/>
      <c r="AKS139" s="18"/>
      <c r="AKT139" s="18"/>
      <c r="AKU139" s="18"/>
      <c r="AKV139" s="18"/>
      <c r="AKW139" s="18"/>
      <c r="AKX139" s="17"/>
      <c r="AKY139" s="9"/>
      <c r="AKZ139" s="9"/>
      <c r="ALA139" s="18"/>
      <c r="ALB139" s="18"/>
      <c r="ALC139" s="18"/>
      <c r="ALD139" s="18"/>
      <c r="ALE139" s="18"/>
      <c r="ALF139" s="17"/>
      <c r="ALG139" s="9"/>
      <c r="ALH139" s="9"/>
      <c r="ALI139" s="18"/>
      <c r="ALJ139" s="18"/>
      <c r="ALK139" s="18"/>
      <c r="ALL139" s="18"/>
      <c r="ALM139" s="18"/>
      <c r="ALN139" s="17"/>
      <c r="ALO139" s="9"/>
      <c r="ALP139" s="9"/>
      <c r="ALQ139" s="18"/>
      <c r="ALR139" s="18"/>
      <c r="ALS139" s="18"/>
      <c r="ALT139" s="18"/>
      <c r="ALU139" s="18"/>
      <c r="ALV139" s="17"/>
      <c r="ALW139" s="9"/>
      <c r="ALX139" s="9"/>
      <c r="ALY139" s="18"/>
      <c r="ALZ139" s="18"/>
      <c r="AMA139" s="18"/>
      <c r="AMB139" s="18"/>
      <c r="AMC139" s="18"/>
      <c r="AMD139" s="17"/>
      <c r="AME139" s="9"/>
      <c r="AMF139" s="9"/>
      <c r="AMG139" s="18"/>
      <c r="AMH139" s="18"/>
      <c r="AMI139" s="18"/>
      <c r="AMJ139" s="18"/>
      <c r="AMK139" s="18"/>
      <c r="AML139" s="17"/>
      <c r="AMM139" s="9"/>
      <c r="AMN139" s="9"/>
      <c r="AMO139" s="18"/>
      <c r="AMP139" s="18"/>
      <c r="AMQ139" s="18"/>
      <c r="AMR139" s="18"/>
      <c r="AMS139" s="18"/>
      <c r="AMT139" s="17"/>
      <c r="AMU139" s="9"/>
      <c r="AMV139" s="9"/>
      <c r="AMW139" s="18"/>
      <c r="AMX139" s="18"/>
      <c r="AMY139" s="18"/>
      <c r="AMZ139" s="18"/>
      <c r="ANA139" s="18"/>
      <c r="ANB139" s="17"/>
      <c r="ANC139" s="9"/>
      <c r="AND139" s="9"/>
      <c r="ANE139" s="18"/>
      <c r="ANF139" s="18"/>
      <c r="ANG139" s="18"/>
      <c r="ANH139" s="18"/>
      <c r="ANI139" s="18"/>
      <c r="ANJ139" s="17"/>
      <c r="ANK139" s="9"/>
      <c r="ANL139" s="9"/>
      <c r="ANM139" s="18"/>
      <c r="ANN139" s="18"/>
      <c r="ANO139" s="18"/>
      <c r="ANP139" s="18"/>
      <c r="ANQ139" s="18"/>
      <c r="ANR139" s="17"/>
      <c r="ANS139" s="9"/>
      <c r="ANT139" s="9"/>
      <c r="ANU139" s="18"/>
      <c r="ANV139" s="18"/>
      <c r="ANW139" s="18"/>
      <c r="ANX139" s="18"/>
      <c r="ANY139" s="18"/>
      <c r="ANZ139" s="17"/>
      <c r="AOA139" s="9"/>
      <c r="AOB139" s="9"/>
      <c r="AOC139" s="18"/>
      <c r="AOD139" s="18"/>
      <c r="AOE139" s="18"/>
      <c r="AOF139" s="18"/>
      <c r="AOG139" s="18"/>
      <c r="AOH139" s="17"/>
      <c r="AOI139" s="9"/>
      <c r="AOJ139" s="9"/>
      <c r="AOK139" s="18"/>
      <c r="AOL139" s="18"/>
      <c r="AOM139" s="18"/>
      <c r="AON139" s="18"/>
      <c r="AOO139" s="18"/>
      <c r="AOP139" s="17"/>
      <c r="AOQ139" s="9"/>
      <c r="AOR139" s="9"/>
      <c r="AOS139" s="18"/>
      <c r="AOT139" s="18"/>
      <c r="AOU139" s="18"/>
      <c r="AOV139" s="18"/>
      <c r="AOW139" s="18"/>
      <c r="AOX139" s="17"/>
      <c r="AOY139" s="9"/>
      <c r="AOZ139" s="9"/>
      <c r="APA139" s="18"/>
      <c r="APB139" s="18"/>
      <c r="APC139" s="18"/>
      <c r="APD139" s="18"/>
      <c r="APE139" s="18"/>
      <c r="APF139" s="17"/>
      <c r="APG139" s="9"/>
      <c r="APH139" s="9"/>
      <c r="API139" s="18"/>
      <c r="APJ139" s="18"/>
      <c r="APK139" s="18"/>
      <c r="APL139" s="18"/>
      <c r="APM139" s="18"/>
      <c r="APN139" s="17"/>
      <c r="APO139" s="9"/>
      <c r="APP139" s="9"/>
      <c r="APQ139" s="18"/>
      <c r="APR139" s="18"/>
      <c r="APS139" s="18"/>
      <c r="APT139" s="18"/>
      <c r="APU139" s="18"/>
      <c r="APV139" s="17"/>
      <c r="APW139" s="9"/>
      <c r="APX139" s="9"/>
      <c r="APY139" s="18"/>
      <c r="APZ139" s="18"/>
      <c r="AQA139" s="18"/>
      <c r="AQB139" s="18"/>
      <c r="AQC139" s="18"/>
      <c r="AQD139" s="17"/>
      <c r="AQE139" s="9"/>
      <c r="AQF139" s="9"/>
      <c r="AQG139" s="18"/>
      <c r="AQH139" s="18"/>
      <c r="AQI139" s="18"/>
      <c r="AQJ139" s="18"/>
      <c r="AQK139" s="18"/>
      <c r="AQL139" s="17"/>
      <c r="AQM139" s="9"/>
      <c r="AQN139" s="9"/>
      <c r="AQO139" s="18"/>
      <c r="AQP139" s="18"/>
      <c r="AQQ139" s="18"/>
      <c r="AQR139" s="18"/>
      <c r="AQS139" s="18"/>
      <c r="AQT139" s="17"/>
      <c r="AQU139" s="9"/>
      <c r="AQV139" s="9"/>
      <c r="AQW139" s="18"/>
      <c r="AQX139" s="18"/>
      <c r="AQY139" s="18"/>
      <c r="AQZ139" s="18"/>
      <c r="ARA139" s="18"/>
      <c r="ARB139" s="17"/>
      <c r="ARC139" s="9"/>
      <c r="ARD139" s="9"/>
      <c r="ARE139" s="18"/>
      <c r="ARF139" s="18"/>
      <c r="ARG139" s="18"/>
      <c r="ARH139" s="18"/>
      <c r="ARI139" s="18"/>
      <c r="ARJ139" s="17"/>
      <c r="ARK139" s="9"/>
      <c r="ARL139" s="9"/>
      <c r="ARM139" s="18"/>
      <c r="ARN139" s="18"/>
      <c r="ARO139" s="18"/>
      <c r="ARP139" s="18"/>
      <c r="ARQ139" s="18"/>
      <c r="ARR139" s="17"/>
      <c r="ARS139" s="9"/>
      <c r="ART139" s="9"/>
      <c r="ARU139" s="18"/>
      <c r="ARV139" s="18"/>
      <c r="ARW139" s="18"/>
      <c r="ARX139" s="18"/>
      <c r="ARY139" s="18"/>
      <c r="ARZ139" s="17"/>
      <c r="ASA139" s="9"/>
      <c r="ASB139" s="9"/>
      <c r="ASC139" s="18"/>
      <c r="ASD139" s="18"/>
      <c r="ASE139" s="18"/>
      <c r="ASF139" s="18"/>
      <c r="ASG139" s="18"/>
      <c r="ASH139" s="17"/>
      <c r="ASI139" s="9"/>
      <c r="ASJ139" s="9"/>
      <c r="ASK139" s="18"/>
      <c r="ASL139" s="18"/>
      <c r="ASM139" s="18"/>
      <c r="ASN139" s="18"/>
      <c r="ASO139" s="18"/>
      <c r="ASP139" s="17"/>
      <c r="ASQ139" s="9"/>
      <c r="ASR139" s="9"/>
      <c r="ASS139" s="18"/>
      <c r="AST139" s="18"/>
      <c r="ASU139" s="18"/>
      <c r="ASV139" s="18"/>
      <c r="ASW139" s="18"/>
      <c r="ASX139" s="17"/>
      <c r="ASY139" s="9"/>
      <c r="ASZ139" s="9"/>
      <c r="ATA139" s="18"/>
      <c r="ATB139" s="18"/>
      <c r="ATC139" s="18"/>
      <c r="ATD139" s="18"/>
      <c r="ATE139" s="18"/>
      <c r="ATF139" s="17"/>
      <c r="ATG139" s="9"/>
      <c r="ATH139" s="9"/>
      <c r="ATI139" s="18"/>
      <c r="ATJ139" s="18"/>
      <c r="ATK139" s="18"/>
      <c r="ATL139" s="18"/>
      <c r="ATM139" s="18"/>
      <c r="ATN139" s="17"/>
      <c r="ATO139" s="9"/>
      <c r="ATP139" s="9"/>
      <c r="ATQ139" s="18"/>
      <c r="ATR139" s="18"/>
      <c r="ATS139" s="18"/>
      <c r="ATT139" s="18"/>
      <c r="ATU139" s="18"/>
      <c r="ATV139" s="17"/>
      <c r="ATW139" s="9"/>
      <c r="ATX139" s="9"/>
      <c r="ATY139" s="18"/>
      <c r="ATZ139" s="18"/>
      <c r="AUA139" s="18"/>
      <c r="AUB139" s="18"/>
      <c r="AUC139" s="18"/>
      <c r="AUD139" s="17"/>
      <c r="AUE139" s="9"/>
      <c r="AUF139" s="9"/>
      <c r="AUG139" s="18"/>
      <c r="AUH139" s="18"/>
      <c r="AUI139" s="18"/>
      <c r="AUJ139" s="18"/>
      <c r="AUK139" s="18"/>
      <c r="AUL139" s="17"/>
      <c r="AUM139" s="9"/>
      <c r="AUN139" s="9"/>
      <c r="AUO139" s="18"/>
      <c r="AUP139" s="18"/>
      <c r="AUQ139" s="18"/>
      <c r="AUR139" s="18"/>
      <c r="AUS139" s="18"/>
      <c r="AUT139" s="17"/>
      <c r="AUU139" s="9"/>
      <c r="AUV139" s="9"/>
      <c r="AUW139" s="18"/>
      <c r="AUX139" s="18"/>
      <c r="AUY139" s="18"/>
      <c r="AUZ139" s="18"/>
      <c r="AVA139" s="18"/>
      <c r="AVB139" s="17"/>
      <c r="AVC139" s="9"/>
      <c r="AVD139" s="9"/>
      <c r="AVE139" s="18"/>
      <c r="AVF139" s="18"/>
      <c r="AVG139" s="18"/>
      <c r="AVH139" s="18"/>
      <c r="AVI139" s="18"/>
      <c r="AVJ139" s="17"/>
      <c r="AVK139" s="9"/>
      <c r="AVL139" s="9"/>
      <c r="AVM139" s="18"/>
      <c r="AVN139" s="18"/>
      <c r="AVO139" s="18"/>
      <c r="AVP139" s="18"/>
      <c r="AVQ139" s="18"/>
      <c r="AVR139" s="17"/>
      <c r="AVS139" s="9"/>
      <c r="AVT139" s="9"/>
      <c r="AVU139" s="18"/>
      <c r="AVV139" s="18"/>
      <c r="AVW139" s="18"/>
      <c r="AVX139" s="18"/>
      <c r="AVY139" s="18"/>
      <c r="AVZ139" s="17"/>
      <c r="AWA139" s="9"/>
      <c r="AWB139" s="9"/>
      <c r="AWC139" s="18"/>
      <c r="AWD139" s="18"/>
      <c r="AWE139" s="18"/>
      <c r="AWF139" s="18"/>
      <c r="AWG139" s="18"/>
      <c r="AWH139" s="17"/>
      <c r="AWI139" s="9"/>
      <c r="AWJ139" s="9"/>
      <c r="AWK139" s="18"/>
      <c r="AWL139" s="18"/>
      <c r="AWM139" s="18"/>
      <c r="AWN139" s="18"/>
      <c r="AWO139" s="18"/>
      <c r="AWP139" s="17"/>
      <c r="AWQ139" s="9"/>
      <c r="AWR139" s="9"/>
      <c r="AWS139" s="18"/>
      <c r="AWT139" s="18"/>
      <c r="AWU139" s="18"/>
      <c r="AWV139" s="18"/>
      <c r="AWW139" s="18"/>
      <c r="AWX139" s="17"/>
      <c r="AWY139" s="9"/>
      <c r="AWZ139" s="9"/>
      <c r="AXA139" s="18"/>
      <c r="AXB139" s="18"/>
      <c r="AXC139" s="18"/>
      <c r="AXD139" s="18"/>
      <c r="AXE139" s="18"/>
      <c r="AXF139" s="17"/>
      <c r="AXG139" s="9"/>
      <c r="AXH139" s="9"/>
      <c r="AXI139" s="18"/>
      <c r="AXJ139" s="18"/>
      <c r="AXK139" s="18"/>
      <c r="AXL139" s="18"/>
      <c r="AXM139" s="18"/>
      <c r="AXN139" s="17"/>
      <c r="AXO139" s="9"/>
      <c r="AXP139" s="9"/>
      <c r="AXQ139" s="18"/>
      <c r="AXR139" s="18"/>
      <c r="AXS139" s="18"/>
      <c r="AXT139" s="18"/>
      <c r="AXU139" s="18"/>
      <c r="AXV139" s="17"/>
      <c r="AXW139" s="9"/>
      <c r="AXX139" s="9"/>
      <c r="AXY139" s="18"/>
      <c r="AXZ139" s="18"/>
      <c r="AYA139" s="18"/>
      <c r="AYB139" s="18"/>
      <c r="AYC139" s="18"/>
      <c r="AYD139" s="17"/>
      <c r="AYE139" s="9"/>
      <c r="AYF139" s="9"/>
      <c r="AYG139" s="18"/>
      <c r="AYH139" s="18"/>
      <c r="AYI139" s="18"/>
      <c r="AYJ139" s="18"/>
      <c r="AYK139" s="18"/>
      <c r="AYL139" s="17"/>
      <c r="AYM139" s="9"/>
      <c r="AYN139" s="9"/>
      <c r="AYO139" s="18"/>
      <c r="AYP139" s="18"/>
      <c r="AYQ139" s="18"/>
      <c r="AYR139" s="18"/>
      <c r="AYS139" s="18"/>
      <c r="AYT139" s="17"/>
      <c r="AYU139" s="9"/>
      <c r="AYV139" s="9"/>
      <c r="AYW139" s="18"/>
      <c r="AYX139" s="18"/>
      <c r="AYY139" s="18"/>
      <c r="AYZ139" s="18"/>
      <c r="AZA139" s="18"/>
      <c r="AZB139" s="17"/>
      <c r="AZC139" s="9"/>
      <c r="AZD139" s="9"/>
      <c r="AZE139" s="18"/>
      <c r="AZF139" s="18"/>
      <c r="AZG139" s="18"/>
      <c r="AZH139" s="18"/>
      <c r="AZI139" s="18"/>
      <c r="AZJ139" s="17"/>
      <c r="AZK139" s="9"/>
      <c r="AZL139" s="9"/>
      <c r="AZM139" s="18"/>
      <c r="AZN139" s="18"/>
      <c r="AZO139" s="18"/>
      <c r="AZP139" s="18"/>
      <c r="AZQ139" s="18"/>
      <c r="AZR139" s="17"/>
      <c r="AZS139" s="9"/>
      <c r="AZT139" s="9"/>
      <c r="AZU139" s="18"/>
      <c r="AZV139" s="18"/>
      <c r="AZW139" s="18"/>
      <c r="AZX139" s="18"/>
      <c r="AZY139" s="18"/>
      <c r="AZZ139" s="17"/>
      <c r="BAA139" s="9"/>
      <c r="BAB139" s="9"/>
      <c r="BAC139" s="18"/>
      <c r="BAD139" s="18"/>
      <c r="BAE139" s="18"/>
      <c r="BAF139" s="18"/>
      <c r="BAG139" s="18"/>
      <c r="BAH139" s="17"/>
      <c r="BAI139" s="9"/>
      <c r="BAJ139" s="9"/>
      <c r="BAK139" s="18"/>
      <c r="BAL139" s="18"/>
      <c r="BAM139" s="18"/>
      <c r="BAN139" s="18"/>
      <c r="BAO139" s="18"/>
      <c r="BAP139" s="17"/>
      <c r="BAQ139" s="9"/>
      <c r="BAR139" s="9"/>
      <c r="BAS139" s="18"/>
      <c r="BAT139" s="18"/>
      <c r="BAU139" s="18"/>
      <c r="BAV139" s="18"/>
      <c r="BAW139" s="18"/>
      <c r="BAX139" s="17"/>
      <c r="BAY139" s="9"/>
      <c r="BAZ139" s="9"/>
      <c r="BBA139" s="18"/>
      <c r="BBB139" s="18"/>
      <c r="BBC139" s="18"/>
      <c r="BBD139" s="18"/>
      <c r="BBE139" s="18"/>
      <c r="BBF139" s="17"/>
      <c r="BBG139" s="9"/>
      <c r="BBH139" s="9"/>
      <c r="BBI139" s="18"/>
      <c r="BBJ139" s="18"/>
      <c r="BBK139" s="18"/>
      <c r="BBL139" s="18"/>
      <c r="BBM139" s="18"/>
      <c r="BBN139" s="17"/>
      <c r="BBO139" s="9"/>
      <c r="BBP139" s="9"/>
      <c r="BBQ139" s="18"/>
      <c r="BBR139" s="18"/>
      <c r="BBS139" s="18"/>
      <c r="BBT139" s="18"/>
      <c r="BBU139" s="18"/>
      <c r="BBV139" s="17"/>
      <c r="BBW139" s="9"/>
      <c r="BBX139" s="9"/>
      <c r="BBY139" s="18"/>
      <c r="BBZ139" s="18"/>
      <c r="BCA139" s="18"/>
      <c r="BCB139" s="18"/>
      <c r="BCC139" s="18"/>
      <c r="BCD139" s="17"/>
      <c r="BCE139" s="9"/>
      <c r="BCF139" s="9"/>
      <c r="BCG139" s="18"/>
      <c r="BCH139" s="18"/>
      <c r="BCI139" s="18"/>
      <c r="BCJ139" s="18"/>
      <c r="BCK139" s="18"/>
      <c r="BCL139" s="17"/>
      <c r="BCM139" s="9"/>
      <c r="BCN139" s="9"/>
      <c r="BCO139" s="18"/>
      <c r="BCP139" s="18"/>
      <c r="BCQ139" s="18"/>
      <c r="BCR139" s="18"/>
      <c r="BCS139" s="18"/>
      <c r="BCT139" s="17"/>
      <c r="BCU139" s="9"/>
      <c r="BCV139" s="9"/>
      <c r="BCW139" s="18"/>
      <c r="BCX139" s="18"/>
      <c r="BCY139" s="18"/>
      <c r="BCZ139" s="18"/>
      <c r="BDA139" s="18"/>
      <c r="BDB139" s="17"/>
      <c r="BDC139" s="9"/>
      <c r="BDD139" s="9"/>
      <c r="BDE139" s="18"/>
      <c r="BDF139" s="18"/>
      <c r="BDG139" s="18"/>
      <c r="BDH139" s="18"/>
      <c r="BDI139" s="18"/>
      <c r="BDJ139" s="17"/>
      <c r="BDK139" s="9"/>
      <c r="BDL139" s="9"/>
      <c r="BDM139" s="18"/>
      <c r="BDN139" s="18"/>
      <c r="BDO139" s="18"/>
      <c r="BDP139" s="18"/>
      <c r="BDQ139" s="18"/>
      <c r="BDR139" s="17"/>
      <c r="BDS139" s="9"/>
      <c r="BDT139" s="9"/>
      <c r="BDU139" s="18"/>
      <c r="BDV139" s="18"/>
      <c r="BDW139" s="18"/>
      <c r="BDX139" s="18"/>
      <c r="BDY139" s="18"/>
      <c r="BDZ139" s="17"/>
      <c r="BEA139" s="9"/>
      <c r="BEB139" s="9"/>
      <c r="BEC139" s="18"/>
      <c r="BED139" s="18"/>
      <c r="BEE139" s="18"/>
      <c r="BEF139" s="18"/>
      <c r="BEG139" s="18"/>
      <c r="BEH139" s="17"/>
      <c r="BEI139" s="9"/>
      <c r="BEJ139" s="9"/>
      <c r="BEK139" s="18"/>
      <c r="BEL139" s="18"/>
      <c r="BEM139" s="18"/>
      <c r="BEN139" s="18"/>
      <c r="BEO139" s="18"/>
      <c r="BEP139" s="17"/>
      <c r="BEQ139" s="9"/>
      <c r="BER139" s="9"/>
      <c r="BES139" s="18"/>
      <c r="BET139" s="18"/>
      <c r="BEU139" s="18"/>
      <c r="BEV139" s="18"/>
      <c r="BEW139" s="18"/>
      <c r="BEX139" s="17"/>
      <c r="BEY139" s="9"/>
      <c r="BEZ139" s="9"/>
      <c r="BFA139" s="18"/>
      <c r="BFB139" s="18"/>
      <c r="BFC139" s="18"/>
      <c r="BFD139" s="18"/>
      <c r="BFE139" s="18"/>
      <c r="BFF139" s="17"/>
      <c r="BFG139" s="9"/>
      <c r="BFH139" s="9"/>
      <c r="BFI139" s="18"/>
      <c r="BFJ139" s="18"/>
      <c r="BFK139" s="18"/>
      <c r="BFL139" s="18"/>
      <c r="BFM139" s="18"/>
      <c r="BFN139" s="17"/>
      <c r="BFO139" s="9"/>
      <c r="BFP139" s="9"/>
      <c r="BFQ139" s="18"/>
      <c r="BFR139" s="18"/>
      <c r="BFS139" s="18"/>
      <c r="BFT139" s="18"/>
      <c r="BFU139" s="18"/>
      <c r="BFV139" s="17"/>
      <c r="BFW139" s="9"/>
      <c r="BFX139" s="9"/>
      <c r="BFY139" s="18"/>
      <c r="BFZ139" s="18"/>
      <c r="BGA139" s="18"/>
      <c r="BGB139" s="18"/>
      <c r="BGC139" s="18"/>
      <c r="BGD139" s="17"/>
      <c r="BGE139" s="9"/>
      <c r="BGF139" s="9"/>
      <c r="BGG139" s="18"/>
      <c r="BGH139" s="18"/>
      <c r="BGI139" s="18"/>
      <c r="BGJ139" s="18"/>
      <c r="BGK139" s="18"/>
      <c r="BGL139" s="17"/>
      <c r="BGM139" s="9"/>
      <c r="BGN139" s="9"/>
      <c r="BGO139" s="18"/>
      <c r="BGP139" s="18"/>
      <c r="BGQ139" s="18"/>
      <c r="BGR139" s="18"/>
      <c r="BGS139" s="18"/>
      <c r="BGT139" s="17"/>
      <c r="BGU139" s="9"/>
      <c r="BGV139" s="9"/>
      <c r="BGW139" s="18"/>
      <c r="BGX139" s="18"/>
      <c r="BGY139" s="18"/>
      <c r="BGZ139" s="18"/>
      <c r="BHA139" s="18"/>
      <c r="BHB139" s="17"/>
      <c r="BHC139" s="9"/>
      <c r="BHD139" s="9"/>
      <c r="BHE139" s="18"/>
      <c r="BHF139" s="18"/>
      <c r="BHG139" s="18"/>
      <c r="BHH139" s="18"/>
      <c r="BHI139" s="18"/>
      <c r="BHJ139" s="17"/>
      <c r="BHK139" s="9"/>
      <c r="BHL139" s="9"/>
      <c r="BHM139" s="18"/>
      <c r="BHN139" s="18"/>
      <c r="BHO139" s="18"/>
      <c r="BHP139" s="18"/>
      <c r="BHQ139" s="18"/>
      <c r="BHR139" s="17"/>
      <c r="BHS139" s="9"/>
      <c r="BHT139" s="9"/>
      <c r="BHU139" s="18"/>
      <c r="BHV139" s="18"/>
      <c r="BHW139" s="18"/>
      <c r="BHX139" s="18"/>
      <c r="BHY139" s="18"/>
      <c r="BHZ139" s="17"/>
      <c r="BIA139" s="9"/>
      <c r="BIB139" s="9"/>
      <c r="BIC139" s="18"/>
      <c r="BID139" s="18"/>
      <c r="BIE139" s="18"/>
      <c r="BIF139" s="18"/>
      <c r="BIG139" s="18"/>
      <c r="BIH139" s="17"/>
      <c r="BII139" s="9"/>
      <c r="BIJ139" s="9"/>
      <c r="BIK139" s="18"/>
      <c r="BIL139" s="18"/>
      <c r="BIM139" s="18"/>
      <c r="BIN139" s="18"/>
      <c r="BIO139" s="18"/>
      <c r="BIP139" s="17"/>
      <c r="BIQ139" s="9"/>
      <c r="BIR139" s="9"/>
      <c r="BIS139" s="18"/>
      <c r="BIT139" s="18"/>
      <c r="BIU139" s="18"/>
      <c r="BIV139" s="18"/>
      <c r="BIW139" s="18"/>
      <c r="BIX139" s="17"/>
      <c r="BIY139" s="9"/>
      <c r="BIZ139" s="9"/>
      <c r="BJA139" s="18"/>
      <c r="BJB139" s="18"/>
      <c r="BJC139" s="18"/>
      <c r="BJD139" s="18"/>
      <c r="BJE139" s="18"/>
      <c r="BJF139" s="17"/>
      <c r="BJG139" s="9"/>
      <c r="BJH139" s="9"/>
      <c r="BJI139" s="18"/>
      <c r="BJJ139" s="18"/>
      <c r="BJK139" s="18"/>
      <c r="BJL139" s="18"/>
      <c r="BJM139" s="18"/>
      <c r="BJN139" s="17"/>
      <c r="BJO139" s="9"/>
      <c r="BJP139" s="9"/>
      <c r="BJQ139" s="18"/>
      <c r="BJR139" s="18"/>
      <c r="BJS139" s="18"/>
      <c r="BJT139" s="18"/>
      <c r="BJU139" s="18"/>
      <c r="BJV139" s="17"/>
      <c r="BJW139" s="9"/>
      <c r="BJX139" s="9"/>
      <c r="BJY139" s="18"/>
      <c r="BJZ139" s="18"/>
      <c r="BKA139" s="18"/>
      <c r="BKB139" s="18"/>
      <c r="BKC139" s="18"/>
      <c r="BKD139" s="17"/>
      <c r="BKE139" s="9"/>
      <c r="BKF139" s="9"/>
      <c r="BKG139" s="18"/>
      <c r="BKH139" s="18"/>
      <c r="BKI139" s="18"/>
      <c r="BKJ139" s="18"/>
      <c r="BKK139" s="18"/>
      <c r="BKL139" s="17"/>
      <c r="BKM139" s="9"/>
      <c r="BKN139" s="9"/>
      <c r="BKO139" s="18"/>
      <c r="BKP139" s="18"/>
      <c r="BKQ139" s="18"/>
      <c r="BKR139" s="18"/>
      <c r="BKS139" s="18"/>
      <c r="BKT139" s="17"/>
      <c r="BKU139" s="9"/>
      <c r="BKV139" s="9"/>
      <c r="BKW139" s="18"/>
      <c r="BKX139" s="18"/>
      <c r="BKY139" s="18"/>
      <c r="BKZ139" s="18"/>
      <c r="BLA139" s="18"/>
      <c r="BLB139" s="17"/>
      <c r="BLC139" s="9"/>
      <c r="BLD139" s="9"/>
      <c r="BLE139" s="18"/>
      <c r="BLF139" s="18"/>
      <c r="BLG139" s="18"/>
      <c r="BLH139" s="18"/>
      <c r="BLI139" s="18"/>
      <c r="BLJ139" s="17"/>
      <c r="BLK139" s="9"/>
      <c r="BLL139" s="9"/>
      <c r="BLM139" s="18"/>
      <c r="BLN139" s="18"/>
      <c r="BLO139" s="18"/>
      <c r="BLP139" s="18"/>
      <c r="BLQ139" s="18"/>
      <c r="BLR139" s="17"/>
      <c r="BLS139" s="9"/>
      <c r="BLT139" s="9"/>
      <c r="BLU139" s="18"/>
      <c r="BLV139" s="18"/>
      <c r="BLW139" s="18"/>
      <c r="BLX139" s="18"/>
      <c r="BLY139" s="18"/>
      <c r="BLZ139" s="17"/>
      <c r="BMA139" s="9"/>
      <c r="BMB139" s="9"/>
      <c r="BMC139" s="18"/>
      <c r="BMD139" s="18"/>
      <c r="BME139" s="18"/>
      <c r="BMF139" s="18"/>
      <c r="BMG139" s="18"/>
      <c r="BMH139" s="17"/>
      <c r="BMI139" s="9"/>
      <c r="BMJ139" s="9"/>
      <c r="BMK139" s="18"/>
      <c r="BML139" s="18"/>
      <c r="BMM139" s="18"/>
      <c r="BMN139" s="18"/>
      <c r="BMO139" s="18"/>
      <c r="BMP139" s="17"/>
      <c r="BMQ139" s="9"/>
      <c r="BMR139" s="9"/>
      <c r="BMS139" s="18"/>
      <c r="BMT139" s="18"/>
      <c r="BMU139" s="18"/>
      <c r="BMV139" s="18"/>
      <c r="BMW139" s="18"/>
      <c r="BMX139" s="17"/>
      <c r="BMY139" s="9"/>
      <c r="BMZ139" s="9"/>
      <c r="BNA139" s="18"/>
      <c r="BNB139" s="18"/>
      <c r="BNC139" s="18"/>
      <c r="BND139" s="18"/>
      <c r="BNE139" s="18"/>
      <c r="BNF139" s="17"/>
      <c r="BNG139" s="9"/>
      <c r="BNH139" s="9"/>
      <c r="BNI139" s="18"/>
      <c r="BNJ139" s="18"/>
      <c r="BNK139" s="18"/>
      <c r="BNL139" s="18"/>
      <c r="BNM139" s="18"/>
      <c r="BNN139" s="17"/>
      <c r="BNO139" s="9"/>
      <c r="BNP139" s="9"/>
      <c r="BNQ139" s="18"/>
      <c r="BNR139" s="18"/>
      <c r="BNS139" s="18"/>
      <c r="BNT139" s="18"/>
      <c r="BNU139" s="18"/>
      <c r="BNV139" s="17"/>
      <c r="BNW139" s="9"/>
      <c r="BNX139" s="9"/>
      <c r="BNY139" s="18"/>
      <c r="BNZ139" s="18"/>
      <c r="BOA139" s="18"/>
      <c r="BOB139" s="18"/>
      <c r="BOC139" s="18"/>
      <c r="BOD139" s="17"/>
      <c r="BOE139" s="9"/>
      <c r="BOF139" s="9"/>
      <c r="BOG139" s="18"/>
      <c r="BOH139" s="18"/>
      <c r="BOI139" s="18"/>
      <c r="BOJ139" s="18"/>
      <c r="BOK139" s="18"/>
      <c r="BOL139" s="17"/>
      <c r="BOM139" s="9"/>
      <c r="BON139" s="9"/>
      <c r="BOO139" s="18"/>
      <c r="BOP139" s="18"/>
      <c r="BOQ139" s="18"/>
      <c r="BOR139" s="18"/>
      <c r="BOS139" s="18"/>
      <c r="BOT139" s="17"/>
      <c r="BOU139" s="9"/>
      <c r="BOV139" s="9"/>
      <c r="BOW139" s="18"/>
      <c r="BOX139" s="18"/>
      <c r="BOY139" s="18"/>
      <c r="BOZ139" s="18"/>
      <c r="BPA139" s="18"/>
      <c r="BPB139" s="17"/>
      <c r="BPC139" s="9"/>
      <c r="BPD139" s="9"/>
      <c r="BPE139" s="18"/>
      <c r="BPF139" s="18"/>
      <c r="BPG139" s="18"/>
      <c r="BPH139" s="18"/>
      <c r="BPI139" s="18"/>
      <c r="BPJ139" s="17"/>
      <c r="BPK139" s="9"/>
      <c r="BPL139" s="9"/>
      <c r="BPM139" s="18"/>
      <c r="BPN139" s="18"/>
      <c r="BPO139" s="18"/>
      <c r="BPP139" s="18"/>
      <c r="BPQ139" s="18"/>
      <c r="BPR139" s="17"/>
      <c r="BPS139" s="9"/>
      <c r="BPT139" s="9"/>
      <c r="BPU139" s="18"/>
      <c r="BPV139" s="18"/>
      <c r="BPW139" s="18"/>
      <c r="BPX139" s="18"/>
      <c r="BPY139" s="18"/>
      <c r="BPZ139" s="17"/>
      <c r="BQA139" s="9"/>
      <c r="BQB139" s="9"/>
      <c r="BQC139" s="18"/>
      <c r="BQD139" s="18"/>
      <c r="BQE139" s="18"/>
      <c r="BQF139" s="18"/>
      <c r="BQG139" s="18"/>
      <c r="BQH139" s="17"/>
      <c r="BQI139" s="9"/>
      <c r="BQJ139" s="9"/>
      <c r="BQK139" s="18"/>
      <c r="BQL139" s="18"/>
      <c r="BQM139" s="18"/>
      <c r="BQN139" s="18"/>
      <c r="BQO139" s="18"/>
      <c r="BQP139" s="17"/>
      <c r="BQQ139" s="9"/>
      <c r="BQR139" s="9"/>
      <c r="BQS139" s="18"/>
      <c r="BQT139" s="18"/>
      <c r="BQU139" s="18"/>
      <c r="BQV139" s="18"/>
      <c r="BQW139" s="18"/>
      <c r="BQX139" s="17"/>
      <c r="BQY139" s="9"/>
      <c r="BQZ139" s="9"/>
      <c r="BRA139" s="18"/>
      <c r="BRB139" s="18"/>
      <c r="BRC139" s="18"/>
      <c r="BRD139" s="18"/>
      <c r="BRE139" s="18"/>
      <c r="BRF139" s="17"/>
      <c r="BRG139" s="9"/>
      <c r="BRH139" s="9"/>
      <c r="BRI139" s="18"/>
      <c r="BRJ139" s="18"/>
      <c r="BRK139" s="18"/>
      <c r="BRL139" s="18"/>
      <c r="BRM139" s="18"/>
      <c r="BRN139" s="17"/>
      <c r="BRO139" s="9"/>
      <c r="BRP139" s="9"/>
      <c r="BRQ139" s="18"/>
      <c r="BRR139" s="18"/>
      <c r="BRS139" s="18"/>
      <c r="BRT139" s="18"/>
      <c r="BRU139" s="18"/>
      <c r="BRV139" s="17"/>
      <c r="BRW139" s="9"/>
      <c r="BRX139" s="9"/>
      <c r="BRY139" s="18"/>
      <c r="BRZ139" s="18"/>
      <c r="BSA139" s="18"/>
      <c r="BSB139" s="18"/>
      <c r="BSC139" s="18"/>
      <c r="BSD139" s="17"/>
      <c r="BSE139" s="9"/>
      <c r="BSF139" s="9"/>
      <c r="BSG139" s="18"/>
      <c r="BSH139" s="18"/>
      <c r="BSI139" s="18"/>
      <c r="BSJ139" s="18"/>
      <c r="BSK139" s="18"/>
      <c r="BSL139" s="17"/>
      <c r="BSM139" s="9"/>
      <c r="BSN139" s="9"/>
      <c r="BSO139" s="18"/>
      <c r="BSP139" s="18"/>
      <c r="BSQ139" s="18"/>
      <c r="BSR139" s="18"/>
      <c r="BSS139" s="18"/>
      <c r="BST139" s="17"/>
      <c r="BSU139" s="9"/>
      <c r="BSV139" s="9"/>
      <c r="BSW139" s="18"/>
      <c r="BSX139" s="18"/>
      <c r="BSY139" s="18"/>
      <c r="BSZ139" s="18"/>
      <c r="BTA139" s="18"/>
      <c r="BTB139" s="17"/>
      <c r="BTC139" s="9"/>
      <c r="BTD139" s="9"/>
      <c r="BTE139" s="18"/>
      <c r="BTF139" s="18"/>
      <c r="BTG139" s="18"/>
      <c r="BTH139" s="18"/>
      <c r="BTI139" s="18"/>
      <c r="BTJ139" s="17"/>
      <c r="BTK139" s="9"/>
      <c r="BTL139" s="9"/>
      <c r="BTM139" s="18"/>
      <c r="BTN139" s="18"/>
      <c r="BTO139" s="18"/>
      <c r="BTP139" s="18"/>
      <c r="BTQ139" s="18"/>
      <c r="BTR139" s="17"/>
      <c r="BTS139" s="9"/>
      <c r="BTT139" s="9"/>
      <c r="BTU139" s="18"/>
      <c r="BTV139" s="18"/>
      <c r="BTW139" s="18"/>
      <c r="BTX139" s="18"/>
      <c r="BTY139" s="18"/>
      <c r="BTZ139" s="17"/>
      <c r="BUA139" s="9"/>
      <c r="BUB139" s="9"/>
      <c r="BUC139" s="18"/>
      <c r="BUD139" s="18"/>
      <c r="BUE139" s="18"/>
      <c r="BUF139" s="18"/>
      <c r="BUG139" s="18"/>
      <c r="BUH139" s="17"/>
      <c r="BUI139" s="9"/>
      <c r="BUJ139" s="9"/>
      <c r="BUK139" s="18"/>
      <c r="BUL139" s="18"/>
      <c r="BUM139" s="18"/>
      <c r="BUN139" s="18"/>
      <c r="BUO139" s="18"/>
      <c r="BUP139" s="17"/>
      <c r="BUQ139" s="9"/>
      <c r="BUR139" s="9"/>
      <c r="BUS139" s="18"/>
      <c r="BUT139" s="18"/>
      <c r="BUU139" s="18"/>
      <c r="BUV139" s="18"/>
      <c r="BUW139" s="18"/>
      <c r="BUX139" s="17"/>
      <c r="BUY139" s="9"/>
      <c r="BUZ139" s="9"/>
      <c r="BVA139" s="18"/>
      <c r="BVB139" s="18"/>
      <c r="BVC139" s="18"/>
      <c r="BVD139" s="18"/>
      <c r="BVE139" s="18"/>
      <c r="BVF139" s="17"/>
      <c r="BVG139" s="9"/>
      <c r="BVH139" s="9"/>
      <c r="BVI139" s="18"/>
      <c r="BVJ139" s="18"/>
      <c r="BVK139" s="18"/>
      <c r="BVL139" s="18"/>
      <c r="BVM139" s="18"/>
      <c r="BVN139" s="17"/>
      <c r="BVO139" s="9"/>
      <c r="BVP139" s="9"/>
      <c r="BVQ139" s="18"/>
      <c r="BVR139" s="18"/>
      <c r="BVS139" s="18"/>
      <c r="BVT139" s="18"/>
      <c r="BVU139" s="18"/>
      <c r="BVV139" s="17"/>
      <c r="BVW139" s="9"/>
      <c r="BVX139" s="9"/>
      <c r="BVY139" s="18"/>
      <c r="BVZ139" s="18"/>
      <c r="BWA139" s="18"/>
      <c r="BWB139" s="18"/>
      <c r="BWC139" s="18"/>
      <c r="BWD139" s="17"/>
      <c r="BWE139" s="9"/>
      <c r="BWF139" s="9"/>
      <c r="BWG139" s="18"/>
      <c r="BWH139" s="18"/>
      <c r="BWI139" s="18"/>
      <c r="BWJ139" s="18"/>
      <c r="BWK139" s="18"/>
      <c r="BWL139" s="17"/>
      <c r="BWM139" s="9"/>
      <c r="BWN139" s="9"/>
      <c r="BWO139" s="18"/>
      <c r="BWP139" s="18"/>
      <c r="BWQ139" s="18"/>
      <c r="BWR139" s="18"/>
      <c r="BWS139" s="18"/>
      <c r="BWT139" s="17"/>
      <c r="BWU139" s="9"/>
      <c r="BWV139" s="9"/>
      <c r="BWW139" s="18"/>
      <c r="BWX139" s="18"/>
      <c r="BWY139" s="18"/>
      <c r="BWZ139" s="18"/>
      <c r="BXA139" s="18"/>
      <c r="BXB139" s="17"/>
      <c r="BXC139" s="9"/>
      <c r="BXD139" s="9"/>
      <c r="BXE139" s="18"/>
      <c r="BXF139" s="18"/>
      <c r="BXG139" s="18"/>
      <c r="BXH139" s="18"/>
      <c r="BXI139" s="18"/>
      <c r="BXJ139" s="17"/>
      <c r="BXK139" s="9"/>
      <c r="BXL139" s="9"/>
      <c r="BXM139" s="18"/>
      <c r="BXN139" s="18"/>
      <c r="BXO139" s="18"/>
      <c r="BXP139" s="18"/>
      <c r="BXQ139" s="18"/>
      <c r="BXR139" s="17"/>
      <c r="BXS139" s="9"/>
      <c r="BXT139" s="9"/>
      <c r="BXU139" s="18"/>
      <c r="BXV139" s="18"/>
      <c r="BXW139" s="18"/>
      <c r="BXX139" s="18"/>
      <c r="BXY139" s="18"/>
      <c r="BXZ139" s="17"/>
      <c r="BYA139" s="9"/>
      <c r="BYB139" s="9"/>
      <c r="BYC139" s="18"/>
      <c r="BYD139" s="18"/>
      <c r="BYE139" s="18"/>
      <c r="BYF139" s="18"/>
      <c r="BYG139" s="18"/>
      <c r="BYH139" s="17"/>
      <c r="BYI139" s="9"/>
      <c r="BYJ139" s="9"/>
      <c r="BYK139" s="18"/>
      <c r="BYL139" s="18"/>
      <c r="BYM139" s="18"/>
      <c r="BYN139" s="18"/>
      <c r="BYO139" s="18"/>
      <c r="BYP139" s="17"/>
      <c r="BYQ139" s="9"/>
      <c r="BYR139" s="9"/>
      <c r="BYS139" s="18"/>
      <c r="BYT139" s="18"/>
      <c r="BYU139" s="18"/>
      <c r="BYV139" s="18"/>
      <c r="BYW139" s="18"/>
      <c r="BYX139" s="17"/>
      <c r="BYY139" s="9"/>
      <c r="BYZ139" s="9"/>
      <c r="BZA139" s="18"/>
      <c r="BZB139" s="18"/>
      <c r="BZC139" s="18"/>
      <c r="BZD139" s="18"/>
      <c r="BZE139" s="18"/>
      <c r="BZF139" s="17"/>
      <c r="BZG139" s="9"/>
      <c r="BZH139" s="9"/>
      <c r="BZI139" s="18"/>
      <c r="BZJ139" s="18"/>
      <c r="BZK139" s="18"/>
      <c r="BZL139" s="18"/>
      <c r="BZM139" s="18"/>
      <c r="BZN139" s="17"/>
      <c r="BZO139" s="9"/>
      <c r="BZP139" s="9"/>
      <c r="BZQ139" s="18"/>
      <c r="BZR139" s="18"/>
      <c r="BZS139" s="18"/>
      <c r="BZT139" s="18"/>
      <c r="BZU139" s="18"/>
      <c r="BZV139" s="17"/>
      <c r="BZW139" s="9"/>
      <c r="BZX139" s="9"/>
      <c r="BZY139" s="18"/>
      <c r="BZZ139" s="18"/>
      <c r="CAA139" s="18"/>
      <c r="CAB139" s="18"/>
      <c r="CAC139" s="18"/>
      <c r="CAD139" s="17"/>
      <c r="CAE139" s="9"/>
      <c r="CAF139" s="9"/>
      <c r="CAG139" s="18"/>
      <c r="CAH139" s="18"/>
      <c r="CAI139" s="18"/>
      <c r="CAJ139" s="18"/>
      <c r="CAK139" s="18"/>
      <c r="CAL139" s="17"/>
      <c r="CAM139" s="9"/>
      <c r="CAN139" s="9"/>
      <c r="CAO139" s="18"/>
      <c r="CAP139" s="18"/>
      <c r="CAQ139" s="18"/>
      <c r="CAR139" s="18"/>
      <c r="CAS139" s="18"/>
      <c r="CAT139" s="17"/>
      <c r="CAU139" s="9"/>
      <c r="CAV139" s="9"/>
      <c r="CAW139" s="18"/>
      <c r="CAX139" s="18"/>
      <c r="CAY139" s="18"/>
      <c r="CAZ139" s="18"/>
      <c r="CBA139" s="18"/>
      <c r="CBB139" s="17"/>
      <c r="CBC139" s="9"/>
      <c r="CBD139" s="9"/>
      <c r="CBE139" s="18"/>
      <c r="CBF139" s="18"/>
      <c r="CBG139" s="18"/>
      <c r="CBH139" s="18"/>
      <c r="CBI139" s="18"/>
      <c r="CBJ139" s="17"/>
      <c r="CBK139" s="9"/>
      <c r="CBL139" s="9"/>
      <c r="CBM139" s="18"/>
      <c r="CBN139" s="18"/>
      <c r="CBO139" s="18"/>
      <c r="CBP139" s="18"/>
      <c r="CBQ139" s="18"/>
      <c r="CBR139" s="17"/>
      <c r="CBS139" s="9"/>
      <c r="CBT139" s="9"/>
      <c r="CBU139" s="18"/>
      <c r="CBV139" s="18"/>
      <c r="CBW139" s="18"/>
      <c r="CBX139" s="18"/>
      <c r="CBY139" s="18"/>
      <c r="CBZ139" s="17"/>
      <c r="CCA139" s="9"/>
      <c r="CCB139" s="9"/>
      <c r="CCC139" s="18"/>
      <c r="CCD139" s="18"/>
      <c r="CCE139" s="18"/>
      <c r="CCF139" s="18"/>
      <c r="CCG139" s="18"/>
      <c r="CCH139" s="17"/>
      <c r="CCI139" s="9"/>
      <c r="CCJ139" s="9"/>
      <c r="CCK139" s="18"/>
      <c r="CCL139" s="18"/>
      <c r="CCM139" s="18"/>
      <c r="CCN139" s="18"/>
      <c r="CCO139" s="18"/>
      <c r="CCP139" s="17"/>
      <c r="CCQ139" s="9"/>
      <c r="CCR139" s="9"/>
      <c r="CCS139" s="18"/>
      <c r="CCT139" s="18"/>
      <c r="CCU139" s="18"/>
      <c r="CCV139" s="18"/>
      <c r="CCW139" s="18"/>
      <c r="CCX139" s="17"/>
      <c r="CCY139" s="9"/>
      <c r="CCZ139" s="9"/>
      <c r="CDA139" s="18"/>
      <c r="CDB139" s="18"/>
      <c r="CDC139" s="18"/>
      <c r="CDD139" s="18"/>
      <c r="CDE139" s="18"/>
      <c r="CDF139" s="17"/>
      <c r="CDG139" s="9"/>
      <c r="CDH139" s="9"/>
      <c r="CDI139" s="18"/>
      <c r="CDJ139" s="18"/>
      <c r="CDK139" s="18"/>
      <c r="CDL139" s="18"/>
      <c r="CDM139" s="18"/>
      <c r="CDN139" s="17"/>
      <c r="CDO139" s="9"/>
      <c r="CDP139" s="9"/>
      <c r="CDQ139" s="18"/>
      <c r="CDR139" s="18"/>
      <c r="CDS139" s="18"/>
      <c r="CDT139" s="18"/>
      <c r="CDU139" s="18"/>
      <c r="CDV139" s="17"/>
      <c r="CDW139" s="9"/>
      <c r="CDX139" s="9"/>
      <c r="CDY139" s="18"/>
      <c r="CDZ139" s="18"/>
      <c r="CEA139" s="18"/>
      <c r="CEB139" s="18"/>
      <c r="CEC139" s="18"/>
      <c r="CED139" s="17"/>
      <c r="CEE139" s="9"/>
      <c r="CEF139" s="9"/>
      <c r="CEG139" s="18"/>
      <c r="CEH139" s="18"/>
      <c r="CEI139" s="18"/>
      <c r="CEJ139" s="18"/>
      <c r="CEK139" s="18"/>
      <c r="CEL139" s="17"/>
      <c r="CEM139" s="9"/>
      <c r="CEN139" s="9"/>
      <c r="CEO139" s="18"/>
      <c r="CEP139" s="18"/>
      <c r="CEQ139" s="18"/>
      <c r="CER139" s="18"/>
      <c r="CES139" s="18"/>
      <c r="CET139" s="17"/>
      <c r="CEU139" s="9"/>
      <c r="CEV139" s="9"/>
      <c r="CEW139" s="18"/>
      <c r="CEX139" s="18"/>
      <c r="CEY139" s="18"/>
      <c r="CEZ139" s="18"/>
      <c r="CFA139" s="18"/>
      <c r="CFB139" s="17"/>
      <c r="CFC139" s="9"/>
      <c r="CFD139" s="9"/>
      <c r="CFE139" s="18"/>
      <c r="CFF139" s="18"/>
      <c r="CFG139" s="18"/>
      <c r="CFH139" s="18"/>
      <c r="CFI139" s="18"/>
      <c r="CFJ139" s="17"/>
      <c r="CFK139" s="9"/>
      <c r="CFL139" s="9"/>
      <c r="CFM139" s="18"/>
      <c r="CFN139" s="18"/>
      <c r="CFO139" s="18"/>
      <c r="CFP139" s="18"/>
      <c r="CFQ139" s="18"/>
      <c r="CFR139" s="17"/>
      <c r="CFS139" s="9"/>
      <c r="CFT139" s="9"/>
      <c r="CFU139" s="18"/>
      <c r="CFV139" s="18"/>
      <c r="CFW139" s="18"/>
      <c r="CFX139" s="18"/>
      <c r="CFY139" s="18"/>
      <c r="CFZ139" s="17"/>
      <c r="CGA139" s="9"/>
      <c r="CGB139" s="9"/>
      <c r="CGC139" s="18"/>
      <c r="CGD139" s="18"/>
      <c r="CGE139" s="18"/>
      <c r="CGF139" s="18"/>
      <c r="CGG139" s="18"/>
      <c r="CGH139" s="17"/>
      <c r="CGI139" s="9"/>
      <c r="CGJ139" s="9"/>
      <c r="CGK139" s="18"/>
      <c r="CGL139" s="18"/>
      <c r="CGM139" s="18"/>
      <c r="CGN139" s="18"/>
      <c r="CGO139" s="18"/>
      <c r="CGP139" s="17"/>
      <c r="CGQ139" s="9"/>
      <c r="CGR139" s="9"/>
      <c r="CGS139" s="18"/>
      <c r="CGT139" s="18"/>
      <c r="CGU139" s="18"/>
      <c r="CGV139" s="18"/>
      <c r="CGW139" s="18"/>
      <c r="CGX139" s="17"/>
      <c r="CGY139" s="9"/>
      <c r="CGZ139" s="9"/>
      <c r="CHA139" s="18"/>
      <c r="CHB139" s="18"/>
      <c r="CHC139" s="18"/>
      <c r="CHD139" s="18"/>
      <c r="CHE139" s="18"/>
      <c r="CHF139" s="17"/>
      <c r="CHG139" s="9"/>
      <c r="CHH139" s="9"/>
      <c r="CHI139" s="18"/>
      <c r="CHJ139" s="18"/>
      <c r="CHK139" s="18"/>
      <c r="CHL139" s="18"/>
      <c r="CHM139" s="18"/>
      <c r="CHN139" s="17"/>
      <c r="CHO139" s="9"/>
      <c r="CHP139" s="9"/>
      <c r="CHQ139" s="18"/>
      <c r="CHR139" s="18"/>
      <c r="CHS139" s="18"/>
      <c r="CHT139" s="18"/>
      <c r="CHU139" s="18"/>
      <c r="CHV139" s="17"/>
      <c r="CHW139" s="9"/>
      <c r="CHX139" s="9"/>
      <c r="CHY139" s="18"/>
      <c r="CHZ139" s="18"/>
      <c r="CIA139" s="18"/>
      <c r="CIB139" s="18"/>
      <c r="CIC139" s="18"/>
      <c r="CID139" s="17"/>
      <c r="CIE139" s="9"/>
      <c r="CIF139" s="9"/>
      <c r="CIG139" s="18"/>
      <c r="CIH139" s="18"/>
      <c r="CII139" s="18"/>
      <c r="CIJ139" s="18"/>
      <c r="CIK139" s="18"/>
      <c r="CIL139" s="17"/>
      <c r="CIM139" s="9"/>
      <c r="CIN139" s="9"/>
      <c r="CIO139" s="18"/>
      <c r="CIP139" s="18"/>
      <c r="CIQ139" s="18"/>
      <c r="CIR139" s="18"/>
      <c r="CIS139" s="18"/>
      <c r="CIT139" s="17"/>
      <c r="CIU139" s="9"/>
      <c r="CIV139" s="9"/>
      <c r="CIW139" s="18"/>
      <c r="CIX139" s="18"/>
      <c r="CIY139" s="18"/>
      <c r="CIZ139" s="18"/>
      <c r="CJA139" s="18"/>
      <c r="CJB139" s="17"/>
      <c r="CJC139" s="9"/>
      <c r="CJD139" s="9"/>
      <c r="CJE139" s="18"/>
      <c r="CJF139" s="18"/>
      <c r="CJG139" s="18"/>
      <c r="CJH139" s="18"/>
      <c r="CJI139" s="18"/>
      <c r="CJJ139" s="17"/>
      <c r="CJK139" s="9"/>
      <c r="CJL139" s="9"/>
      <c r="CJM139" s="18"/>
      <c r="CJN139" s="18"/>
      <c r="CJO139" s="18"/>
      <c r="CJP139" s="18"/>
      <c r="CJQ139" s="18"/>
      <c r="CJR139" s="17"/>
      <c r="CJS139" s="9"/>
      <c r="CJT139" s="9"/>
      <c r="CJU139" s="18"/>
      <c r="CJV139" s="18"/>
      <c r="CJW139" s="18"/>
      <c r="CJX139" s="18"/>
      <c r="CJY139" s="18"/>
      <c r="CJZ139" s="17"/>
      <c r="CKA139" s="9"/>
      <c r="CKB139" s="9"/>
      <c r="CKC139" s="18"/>
      <c r="CKD139" s="18"/>
      <c r="CKE139" s="18"/>
      <c r="CKF139" s="18"/>
      <c r="CKG139" s="18"/>
      <c r="CKH139" s="17"/>
      <c r="CKI139" s="9"/>
      <c r="CKJ139" s="9"/>
      <c r="CKK139" s="18"/>
      <c r="CKL139" s="18"/>
      <c r="CKM139" s="18"/>
      <c r="CKN139" s="18"/>
      <c r="CKO139" s="18"/>
      <c r="CKP139" s="17"/>
      <c r="CKQ139" s="9"/>
      <c r="CKR139" s="9"/>
      <c r="CKS139" s="18"/>
      <c r="CKT139" s="18"/>
      <c r="CKU139" s="18"/>
      <c r="CKV139" s="18"/>
      <c r="CKW139" s="18"/>
      <c r="CKX139" s="17"/>
      <c r="CKY139" s="9"/>
      <c r="CKZ139" s="9"/>
      <c r="CLA139" s="18"/>
      <c r="CLB139" s="18"/>
      <c r="CLC139" s="18"/>
      <c r="CLD139" s="18"/>
      <c r="CLE139" s="18"/>
      <c r="CLF139" s="17"/>
      <c r="CLG139" s="9"/>
      <c r="CLH139" s="9"/>
      <c r="CLI139" s="18"/>
      <c r="CLJ139" s="18"/>
      <c r="CLK139" s="18"/>
      <c r="CLL139" s="18"/>
      <c r="CLM139" s="18"/>
      <c r="CLN139" s="17"/>
      <c r="CLO139" s="9"/>
      <c r="CLP139" s="9"/>
      <c r="CLQ139" s="18"/>
      <c r="CLR139" s="18"/>
      <c r="CLS139" s="18"/>
      <c r="CLT139" s="18"/>
      <c r="CLU139" s="18"/>
      <c r="CLV139" s="17"/>
      <c r="CLW139" s="9"/>
      <c r="CLX139" s="9"/>
      <c r="CLY139" s="18"/>
      <c r="CLZ139" s="18"/>
      <c r="CMA139" s="18"/>
      <c r="CMB139" s="18"/>
      <c r="CMC139" s="18"/>
      <c r="CMD139" s="17"/>
      <c r="CME139" s="9"/>
      <c r="CMF139" s="9"/>
      <c r="CMG139" s="18"/>
      <c r="CMH139" s="18"/>
      <c r="CMI139" s="18"/>
      <c r="CMJ139" s="18"/>
      <c r="CMK139" s="18"/>
      <c r="CML139" s="17"/>
      <c r="CMM139" s="9"/>
      <c r="CMN139" s="9"/>
      <c r="CMO139" s="18"/>
      <c r="CMP139" s="18"/>
      <c r="CMQ139" s="18"/>
      <c r="CMR139" s="18"/>
      <c r="CMS139" s="18"/>
      <c r="CMT139" s="17"/>
      <c r="CMU139" s="9"/>
      <c r="CMV139" s="9"/>
      <c r="CMW139" s="18"/>
      <c r="CMX139" s="18"/>
      <c r="CMY139" s="18"/>
      <c r="CMZ139" s="18"/>
      <c r="CNA139" s="18"/>
      <c r="CNB139" s="17"/>
      <c r="CNC139" s="9"/>
      <c r="CND139" s="9"/>
      <c r="CNE139" s="18"/>
      <c r="CNF139" s="18"/>
      <c r="CNG139" s="18"/>
      <c r="CNH139" s="18"/>
      <c r="CNI139" s="18"/>
      <c r="CNJ139" s="17"/>
      <c r="CNK139" s="9"/>
      <c r="CNL139" s="9"/>
      <c r="CNM139" s="18"/>
      <c r="CNN139" s="18"/>
      <c r="CNO139" s="18"/>
      <c r="CNP139" s="18"/>
      <c r="CNQ139" s="18"/>
      <c r="CNR139" s="17"/>
      <c r="CNS139" s="9"/>
      <c r="CNT139" s="9"/>
      <c r="CNU139" s="18"/>
      <c r="CNV139" s="18"/>
      <c r="CNW139" s="18"/>
      <c r="CNX139" s="18"/>
      <c r="CNY139" s="18"/>
      <c r="CNZ139" s="17"/>
      <c r="COA139" s="9"/>
      <c r="COB139" s="9"/>
      <c r="COC139" s="18"/>
      <c r="COD139" s="18"/>
      <c r="COE139" s="18"/>
      <c r="COF139" s="18"/>
      <c r="COG139" s="18"/>
      <c r="COH139" s="17"/>
      <c r="COI139" s="9"/>
      <c r="COJ139" s="9"/>
      <c r="COK139" s="18"/>
      <c r="COL139" s="18"/>
      <c r="COM139" s="18"/>
      <c r="CON139" s="18"/>
      <c r="COO139" s="18"/>
      <c r="COP139" s="17"/>
      <c r="COQ139" s="9"/>
      <c r="COR139" s="9"/>
      <c r="COS139" s="18"/>
      <c r="COT139" s="18"/>
      <c r="COU139" s="18"/>
      <c r="COV139" s="18"/>
      <c r="COW139" s="18"/>
      <c r="COX139" s="17"/>
      <c r="COY139" s="9"/>
      <c r="COZ139" s="9"/>
      <c r="CPA139" s="18"/>
      <c r="CPB139" s="18"/>
      <c r="CPC139" s="18"/>
      <c r="CPD139" s="18"/>
      <c r="CPE139" s="18"/>
      <c r="CPF139" s="17"/>
      <c r="CPG139" s="9"/>
      <c r="CPH139" s="9"/>
      <c r="CPI139" s="18"/>
      <c r="CPJ139" s="18"/>
      <c r="CPK139" s="18"/>
      <c r="CPL139" s="18"/>
      <c r="CPM139" s="18"/>
      <c r="CPN139" s="17"/>
      <c r="CPO139" s="9"/>
      <c r="CPP139" s="9"/>
      <c r="CPQ139" s="18"/>
      <c r="CPR139" s="18"/>
      <c r="CPS139" s="18"/>
      <c r="CPT139" s="18"/>
      <c r="CPU139" s="18"/>
      <c r="CPV139" s="17"/>
      <c r="CPW139" s="9"/>
      <c r="CPX139" s="9"/>
      <c r="CPY139" s="18"/>
      <c r="CPZ139" s="18"/>
      <c r="CQA139" s="18"/>
      <c r="CQB139" s="18"/>
      <c r="CQC139" s="18"/>
      <c r="CQD139" s="17"/>
      <c r="CQE139" s="9"/>
      <c r="CQF139" s="9"/>
      <c r="CQG139" s="18"/>
      <c r="CQH139" s="18"/>
      <c r="CQI139" s="18"/>
      <c r="CQJ139" s="18"/>
      <c r="CQK139" s="18"/>
      <c r="CQL139" s="17"/>
      <c r="CQM139" s="9"/>
      <c r="CQN139" s="9"/>
      <c r="CQO139" s="18"/>
      <c r="CQP139" s="18"/>
      <c r="CQQ139" s="18"/>
      <c r="CQR139" s="18"/>
      <c r="CQS139" s="18"/>
      <c r="CQT139" s="17"/>
      <c r="CQU139" s="9"/>
      <c r="CQV139" s="9"/>
      <c r="CQW139" s="18"/>
      <c r="CQX139" s="18"/>
      <c r="CQY139" s="18"/>
      <c r="CQZ139" s="18"/>
      <c r="CRA139" s="18"/>
      <c r="CRB139" s="17"/>
      <c r="CRC139" s="9"/>
      <c r="CRD139" s="9"/>
      <c r="CRE139" s="18"/>
      <c r="CRF139" s="18"/>
      <c r="CRG139" s="18"/>
      <c r="CRH139" s="18"/>
      <c r="CRI139" s="18"/>
      <c r="CRJ139" s="17"/>
      <c r="CRK139" s="9"/>
      <c r="CRL139" s="9"/>
      <c r="CRM139" s="18"/>
      <c r="CRN139" s="18"/>
      <c r="CRO139" s="18"/>
      <c r="CRP139" s="18"/>
      <c r="CRQ139" s="18"/>
      <c r="CRR139" s="17"/>
      <c r="CRS139" s="9"/>
      <c r="CRT139" s="9"/>
      <c r="CRU139" s="18"/>
      <c r="CRV139" s="18"/>
      <c r="CRW139" s="18"/>
      <c r="CRX139" s="18"/>
      <c r="CRY139" s="18"/>
      <c r="CRZ139" s="17"/>
      <c r="CSA139" s="9"/>
      <c r="CSB139" s="9"/>
      <c r="CSC139" s="18"/>
      <c r="CSD139" s="18"/>
      <c r="CSE139" s="18"/>
      <c r="CSF139" s="18"/>
      <c r="CSG139" s="18"/>
      <c r="CSH139" s="17"/>
      <c r="CSI139" s="9"/>
      <c r="CSJ139" s="9"/>
      <c r="CSK139" s="18"/>
      <c r="CSL139" s="18"/>
      <c r="CSM139" s="18"/>
      <c r="CSN139" s="18"/>
      <c r="CSO139" s="18"/>
      <c r="CSP139" s="17"/>
      <c r="CSQ139" s="9"/>
      <c r="CSR139" s="9"/>
      <c r="CSS139" s="18"/>
      <c r="CST139" s="18"/>
      <c r="CSU139" s="18"/>
      <c r="CSV139" s="18"/>
      <c r="CSW139" s="18"/>
      <c r="CSX139" s="17"/>
      <c r="CSY139" s="9"/>
      <c r="CSZ139" s="9"/>
      <c r="CTA139" s="18"/>
      <c r="CTB139" s="18"/>
      <c r="CTC139" s="18"/>
      <c r="CTD139" s="18"/>
      <c r="CTE139" s="18"/>
      <c r="CTF139" s="17"/>
      <c r="CTG139" s="9"/>
      <c r="CTH139" s="9"/>
      <c r="CTI139" s="18"/>
      <c r="CTJ139" s="18"/>
      <c r="CTK139" s="18"/>
      <c r="CTL139" s="18"/>
      <c r="CTM139" s="18"/>
      <c r="CTN139" s="17"/>
      <c r="CTO139" s="9"/>
      <c r="CTP139" s="9"/>
      <c r="CTQ139" s="18"/>
      <c r="CTR139" s="18"/>
      <c r="CTS139" s="18"/>
      <c r="CTT139" s="18"/>
      <c r="CTU139" s="18"/>
      <c r="CTV139" s="17"/>
      <c r="CTW139" s="9"/>
      <c r="CTX139" s="9"/>
      <c r="CTY139" s="18"/>
      <c r="CTZ139" s="18"/>
      <c r="CUA139" s="18"/>
      <c r="CUB139" s="18"/>
      <c r="CUC139" s="18"/>
      <c r="CUD139" s="17"/>
      <c r="CUE139" s="9"/>
      <c r="CUF139" s="9"/>
      <c r="CUG139" s="18"/>
      <c r="CUH139" s="18"/>
      <c r="CUI139" s="18"/>
      <c r="CUJ139" s="18"/>
      <c r="CUK139" s="18"/>
      <c r="CUL139" s="17"/>
      <c r="CUM139" s="9"/>
      <c r="CUN139" s="9"/>
      <c r="CUO139" s="18"/>
      <c r="CUP139" s="18"/>
      <c r="CUQ139" s="18"/>
      <c r="CUR139" s="18"/>
      <c r="CUS139" s="18"/>
      <c r="CUT139" s="17"/>
      <c r="CUU139" s="9"/>
      <c r="CUV139" s="9"/>
      <c r="CUW139" s="18"/>
      <c r="CUX139" s="18"/>
      <c r="CUY139" s="18"/>
      <c r="CUZ139" s="18"/>
      <c r="CVA139" s="18"/>
      <c r="CVB139" s="17"/>
      <c r="CVC139" s="9"/>
      <c r="CVD139" s="9"/>
      <c r="CVE139" s="18"/>
      <c r="CVF139" s="18"/>
      <c r="CVG139" s="18"/>
      <c r="CVH139" s="18"/>
      <c r="CVI139" s="18"/>
      <c r="CVJ139" s="17"/>
      <c r="CVK139" s="9"/>
      <c r="CVL139" s="9"/>
      <c r="CVM139" s="18"/>
      <c r="CVN139" s="18"/>
      <c r="CVO139" s="18"/>
      <c r="CVP139" s="18"/>
      <c r="CVQ139" s="18"/>
      <c r="CVR139" s="17"/>
      <c r="CVS139" s="9"/>
      <c r="CVT139" s="9"/>
      <c r="CVU139" s="18"/>
      <c r="CVV139" s="18"/>
      <c r="CVW139" s="18"/>
      <c r="CVX139" s="18"/>
      <c r="CVY139" s="18"/>
      <c r="CVZ139" s="17"/>
      <c r="CWA139" s="9"/>
      <c r="CWB139" s="9"/>
      <c r="CWC139" s="18"/>
      <c r="CWD139" s="18"/>
      <c r="CWE139" s="18"/>
      <c r="CWF139" s="18"/>
      <c r="CWG139" s="18"/>
      <c r="CWH139" s="17"/>
      <c r="CWI139" s="9"/>
      <c r="CWJ139" s="9"/>
      <c r="CWK139" s="18"/>
      <c r="CWL139" s="18"/>
      <c r="CWM139" s="18"/>
      <c r="CWN139" s="18"/>
      <c r="CWO139" s="18"/>
      <c r="CWP139" s="17"/>
      <c r="CWQ139" s="9"/>
      <c r="CWR139" s="9"/>
      <c r="CWS139" s="18"/>
      <c r="CWT139" s="18"/>
      <c r="CWU139" s="18"/>
      <c r="CWV139" s="18"/>
      <c r="CWW139" s="18"/>
      <c r="CWX139" s="17"/>
      <c r="CWY139" s="9"/>
      <c r="CWZ139" s="9"/>
      <c r="CXA139" s="18"/>
      <c r="CXB139" s="18"/>
      <c r="CXC139" s="18"/>
      <c r="CXD139" s="18"/>
      <c r="CXE139" s="18"/>
      <c r="CXF139" s="17"/>
      <c r="CXG139" s="9"/>
      <c r="CXH139" s="9"/>
      <c r="CXI139" s="18"/>
      <c r="CXJ139" s="18"/>
      <c r="CXK139" s="18"/>
      <c r="CXL139" s="18"/>
      <c r="CXM139" s="18"/>
      <c r="CXN139" s="17"/>
      <c r="CXO139" s="9"/>
      <c r="CXP139" s="9"/>
      <c r="CXQ139" s="18"/>
      <c r="CXR139" s="18"/>
      <c r="CXS139" s="18"/>
      <c r="CXT139" s="18"/>
      <c r="CXU139" s="18"/>
      <c r="CXV139" s="17"/>
      <c r="CXW139" s="9"/>
      <c r="CXX139" s="9"/>
      <c r="CXY139" s="18"/>
      <c r="CXZ139" s="18"/>
      <c r="CYA139" s="18"/>
      <c r="CYB139" s="18"/>
      <c r="CYC139" s="18"/>
      <c r="CYD139" s="17"/>
      <c r="CYE139" s="9"/>
      <c r="CYF139" s="9"/>
      <c r="CYG139" s="18"/>
      <c r="CYH139" s="18"/>
      <c r="CYI139" s="18"/>
      <c r="CYJ139" s="18"/>
      <c r="CYK139" s="18"/>
      <c r="CYL139" s="17"/>
      <c r="CYM139" s="9"/>
      <c r="CYN139" s="9"/>
      <c r="CYO139" s="18"/>
      <c r="CYP139" s="18"/>
      <c r="CYQ139" s="18"/>
      <c r="CYR139" s="18"/>
      <c r="CYS139" s="18"/>
      <c r="CYT139" s="17"/>
      <c r="CYU139" s="9"/>
      <c r="CYV139" s="9"/>
      <c r="CYW139" s="18"/>
      <c r="CYX139" s="18"/>
      <c r="CYY139" s="18"/>
      <c r="CYZ139" s="18"/>
      <c r="CZA139" s="18"/>
      <c r="CZB139" s="17"/>
      <c r="CZC139" s="9"/>
      <c r="CZD139" s="9"/>
      <c r="CZE139" s="18"/>
      <c r="CZF139" s="18"/>
      <c r="CZG139" s="18"/>
      <c r="CZH139" s="18"/>
      <c r="CZI139" s="18"/>
      <c r="CZJ139" s="17"/>
      <c r="CZK139" s="9"/>
      <c r="CZL139" s="9"/>
      <c r="CZM139" s="18"/>
      <c r="CZN139" s="18"/>
      <c r="CZO139" s="18"/>
      <c r="CZP139" s="18"/>
      <c r="CZQ139" s="18"/>
      <c r="CZR139" s="17"/>
      <c r="CZS139" s="9"/>
      <c r="CZT139" s="9"/>
      <c r="CZU139" s="18"/>
      <c r="CZV139" s="18"/>
      <c r="CZW139" s="18"/>
      <c r="CZX139" s="18"/>
      <c r="CZY139" s="18"/>
      <c r="CZZ139" s="17"/>
      <c r="DAA139" s="9"/>
      <c r="DAB139" s="9"/>
      <c r="DAC139" s="18"/>
      <c r="DAD139" s="18"/>
      <c r="DAE139" s="18"/>
      <c r="DAF139" s="18"/>
      <c r="DAG139" s="18"/>
      <c r="DAH139" s="17"/>
      <c r="DAI139" s="9"/>
      <c r="DAJ139" s="9"/>
      <c r="DAK139" s="18"/>
      <c r="DAL139" s="18"/>
      <c r="DAM139" s="18"/>
      <c r="DAN139" s="18"/>
      <c r="DAO139" s="18"/>
      <c r="DAP139" s="17"/>
      <c r="DAQ139" s="9"/>
      <c r="DAR139" s="9"/>
      <c r="DAS139" s="18"/>
      <c r="DAT139" s="18"/>
      <c r="DAU139" s="18"/>
      <c r="DAV139" s="18"/>
      <c r="DAW139" s="18"/>
      <c r="DAX139" s="17"/>
      <c r="DAY139" s="9"/>
      <c r="DAZ139" s="9"/>
      <c r="DBA139" s="18"/>
      <c r="DBB139" s="18"/>
      <c r="DBC139" s="18"/>
      <c r="DBD139" s="18"/>
      <c r="DBE139" s="18"/>
      <c r="DBF139" s="17"/>
      <c r="DBG139" s="9"/>
      <c r="DBH139" s="9"/>
      <c r="DBI139" s="18"/>
      <c r="DBJ139" s="18"/>
      <c r="DBK139" s="18"/>
      <c r="DBL139" s="18"/>
      <c r="DBM139" s="18"/>
      <c r="DBN139" s="17"/>
      <c r="DBO139" s="9"/>
      <c r="DBP139" s="9"/>
      <c r="DBQ139" s="18"/>
      <c r="DBR139" s="18"/>
      <c r="DBS139" s="18"/>
      <c r="DBT139" s="18"/>
      <c r="DBU139" s="18"/>
      <c r="DBV139" s="17"/>
      <c r="DBW139" s="9"/>
      <c r="DBX139" s="9"/>
      <c r="DBY139" s="18"/>
      <c r="DBZ139" s="18"/>
      <c r="DCA139" s="18"/>
      <c r="DCB139" s="18"/>
      <c r="DCC139" s="18"/>
      <c r="DCD139" s="17"/>
      <c r="DCE139" s="9"/>
      <c r="DCF139" s="9"/>
      <c r="DCG139" s="18"/>
      <c r="DCH139" s="18"/>
      <c r="DCI139" s="18"/>
      <c r="DCJ139" s="18"/>
      <c r="DCK139" s="18"/>
      <c r="DCL139" s="17"/>
      <c r="DCM139" s="9"/>
      <c r="DCN139" s="9"/>
      <c r="DCO139" s="18"/>
      <c r="DCP139" s="18"/>
      <c r="DCQ139" s="18"/>
      <c r="DCR139" s="18"/>
      <c r="DCS139" s="18"/>
      <c r="DCT139" s="17"/>
      <c r="DCU139" s="9"/>
      <c r="DCV139" s="9"/>
      <c r="DCW139" s="18"/>
      <c r="DCX139" s="18"/>
      <c r="DCY139" s="18"/>
      <c r="DCZ139" s="18"/>
      <c r="DDA139" s="18"/>
      <c r="DDB139" s="17"/>
      <c r="DDC139" s="9"/>
      <c r="DDD139" s="9"/>
      <c r="DDE139" s="18"/>
      <c r="DDF139" s="18"/>
      <c r="DDG139" s="18"/>
      <c r="DDH139" s="18"/>
      <c r="DDI139" s="18"/>
      <c r="DDJ139" s="17"/>
      <c r="DDK139" s="9"/>
      <c r="DDL139" s="9"/>
      <c r="DDM139" s="18"/>
      <c r="DDN139" s="18"/>
      <c r="DDO139" s="18"/>
      <c r="DDP139" s="18"/>
      <c r="DDQ139" s="18"/>
      <c r="DDR139" s="17"/>
      <c r="DDS139" s="9"/>
      <c r="DDT139" s="9"/>
      <c r="DDU139" s="18"/>
      <c r="DDV139" s="18"/>
      <c r="DDW139" s="18"/>
      <c r="DDX139" s="18"/>
      <c r="DDY139" s="18"/>
      <c r="DDZ139" s="17"/>
      <c r="DEA139" s="9"/>
      <c r="DEB139" s="9"/>
      <c r="DEC139" s="18"/>
      <c r="DED139" s="18"/>
      <c r="DEE139" s="18"/>
      <c r="DEF139" s="18"/>
      <c r="DEG139" s="18"/>
      <c r="DEH139" s="17"/>
      <c r="DEI139" s="9"/>
      <c r="DEJ139" s="9"/>
      <c r="DEK139" s="18"/>
      <c r="DEL139" s="18"/>
      <c r="DEM139" s="18"/>
      <c r="DEN139" s="18"/>
      <c r="DEO139" s="18"/>
      <c r="DEP139" s="17"/>
      <c r="DEQ139" s="9"/>
      <c r="DER139" s="9"/>
      <c r="DES139" s="18"/>
      <c r="DET139" s="18"/>
      <c r="DEU139" s="18"/>
      <c r="DEV139" s="18"/>
      <c r="DEW139" s="18"/>
      <c r="DEX139" s="17"/>
      <c r="DEY139" s="9"/>
      <c r="DEZ139" s="9"/>
      <c r="DFA139" s="18"/>
      <c r="DFB139" s="18"/>
      <c r="DFC139" s="18"/>
      <c r="DFD139" s="18"/>
      <c r="DFE139" s="18"/>
      <c r="DFF139" s="17"/>
      <c r="DFG139" s="9"/>
      <c r="DFH139" s="9"/>
      <c r="DFI139" s="18"/>
      <c r="DFJ139" s="18"/>
      <c r="DFK139" s="18"/>
      <c r="DFL139" s="18"/>
      <c r="DFM139" s="18"/>
      <c r="DFN139" s="17"/>
      <c r="DFO139" s="9"/>
      <c r="DFP139" s="9"/>
      <c r="DFQ139" s="18"/>
      <c r="DFR139" s="18"/>
      <c r="DFS139" s="18"/>
      <c r="DFT139" s="18"/>
      <c r="DFU139" s="18"/>
      <c r="DFV139" s="17"/>
      <c r="DFW139" s="9"/>
      <c r="DFX139" s="9"/>
      <c r="DFY139" s="18"/>
      <c r="DFZ139" s="18"/>
      <c r="DGA139" s="18"/>
      <c r="DGB139" s="18"/>
      <c r="DGC139" s="18"/>
      <c r="DGD139" s="17"/>
      <c r="DGE139" s="9"/>
      <c r="DGF139" s="9"/>
      <c r="DGG139" s="18"/>
      <c r="DGH139" s="18"/>
      <c r="DGI139" s="18"/>
      <c r="DGJ139" s="18"/>
      <c r="DGK139" s="18"/>
      <c r="DGL139" s="17"/>
      <c r="DGM139" s="9"/>
      <c r="DGN139" s="9"/>
      <c r="DGO139" s="18"/>
      <c r="DGP139" s="18"/>
      <c r="DGQ139" s="18"/>
      <c r="DGR139" s="18"/>
      <c r="DGS139" s="18"/>
      <c r="DGT139" s="17"/>
      <c r="DGU139" s="9"/>
      <c r="DGV139" s="9"/>
      <c r="DGW139" s="18"/>
      <c r="DGX139" s="18"/>
      <c r="DGY139" s="18"/>
      <c r="DGZ139" s="18"/>
      <c r="DHA139" s="18"/>
      <c r="DHB139" s="17"/>
      <c r="DHC139" s="9"/>
      <c r="DHD139" s="9"/>
      <c r="DHE139" s="18"/>
      <c r="DHF139" s="18"/>
      <c r="DHG139" s="18"/>
      <c r="DHH139" s="18"/>
      <c r="DHI139" s="18"/>
      <c r="DHJ139" s="17"/>
      <c r="DHK139" s="9"/>
      <c r="DHL139" s="9"/>
      <c r="DHM139" s="18"/>
      <c r="DHN139" s="18"/>
      <c r="DHO139" s="18"/>
      <c r="DHP139" s="18"/>
      <c r="DHQ139" s="18"/>
      <c r="DHR139" s="17"/>
      <c r="DHS139" s="9"/>
      <c r="DHT139" s="9"/>
      <c r="DHU139" s="18"/>
      <c r="DHV139" s="18"/>
      <c r="DHW139" s="18"/>
      <c r="DHX139" s="18"/>
      <c r="DHY139" s="18"/>
      <c r="DHZ139" s="17"/>
      <c r="DIA139" s="9"/>
      <c r="DIB139" s="9"/>
      <c r="DIC139" s="18"/>
      <c r="DID139" s="18"/>
      <c r="DIE139" s="18"/>
      <c r="DIF139" s="18"/>
      <c r="DIG139" s="18"/>
      <c r="DIH139" s="17"/>
      <c r="DII139" s="9"/>
      <c r="DIJ139" s="9"/>
      <c r="DIK139" s="18"/>
      <c r="DIL139" s="18"/>
      <c r="DIM139" s="18"/>
      <c r="DIN139" s="18"/>
      <c r="DIO139" s="18"/>
      <c r="DIP139" s="17"/>
      <c r="DIQ139" s="9"/>
      <c r="DIR139" s="9"/>
      <c r="DIS139" s="18"/>
      <c r="DIT139" s="18"/>
      <c r="DIU139" s="18"/>
      <c r="DIV139" s="18"/>
      <c r="DIW139" s="18"/>
      <c r="DIX139" s="17"/>
      <c r="DIY139" s="9"/>
      <c r="DIZ139" s="9"/>
      <c r="DJA139" s="18"/>
      <c r="DJB139" s="18"/>
      <c r="DJC139" s="18"/>
      <c r="DJD139" s="18"/>
      <c r="DJE139" s="18"/>
      <c r="DJF139" s="17"/>
      <c r="DJG139" s="9"/>
      <c r="DJH139" s="9"/>
      <c r="DJI139" s="18"/>
      <c r="DJJ139" s="18"/>
      <c r="DJK139" s="18"/>
      <c r="DJL139" s="18"/>
      <c r="DJM139" s="18"/>
      <c r="DJN139" s="17"/>
      <c r="DJO139" s="9"/>
      <c r="DJP139" s="9"/>
      <c r="DJQ139" s="18"/>
      <c r="DJR139" s="18"/>
      <c r="DJS139" s="18"/>
      <c r="DJT139" s="18"/>
      <c r="DJU139" s="18"/>
      <c r="DJV139" s="17"/>
      <c r="DJW139" s="9"/>
      <c r="DJX139" s="9"/>
      <c r="DJY139" s="18"/>
      <c r="DJZ139" s="18"/>
      <c r="DKA139" s="18"/>
      <c r="DKB139" s="18"/>
      <c r="DKC139" s="18"/>
      <c r="DKD139" s="17"/>
      <c r="DKE139" s="9"/>
      <c r="DKF139" s="9"/>
      <c r="DKG139" s="18"/>
      <c r="DKH139" s="18"/>
      <c r="DKI139" s="18"/>
      <c r="DKJ139" s="18"/>
      <c r="DKK139" s="18"/>
      <c r="DKL139" s="17"/>
      <c r="DKM139" s="9"/>
      <c r="DKN139" s="9"/>
      <c r="DKO139" s="18"/>
      <c r="DKP139" s="18"/>
      <c r="DKQ139" s="18"/>
      <c r="DKR139" s="18"/>
      <c r="DKS139" s="18"/>
      <c r="DKT139" s="17"/>
      <c r="DKU139" s="9"/>
      <c r="DKV139" s="9"/>
      <c r="DKW139" s="18"/>
      <c r="DKX139" s="18"/>
      <c r="DKY139" s="18"/>
      <c r="DKZ139" s="18"/>
      <c r="DLA139" s="18"/>
      <c r="DLB139" s="17"/>
      <c r="DLC139" s="9"/>
      <c r="DLD139" s="9"/>
      <c r="DLE139" s="18"/>
      <c r="DLF139" s="18"/>
      <c r="DLG139" s="18"/>
      <c r="DLH139" s="18"/>
      <c r="DLI139" s="18"/>
      <c r="DLJ139" s="17"/>
      <c r="DLK139" s="9"/>
      <c r="DLL139" s="9"/>
      <c r="DLM139" s="18"/>
      <c r="DLN139" s="18"/>
      <c r="DLO139" s="18"/>
      <c r="DLP139" s="18"/>
      <c r="DLQ139" s="18"/>
      <c r="DLR139" s="17"/>
      <c r="DLS139" s="9"/>
      <c r="DLT139" s="9"/>
      <c r="DLU139" s="18"/>
      <c r="DLV139" s="18"/>
      <c r="DLW139" s="18"/>
      <c r="DLX139" s="18"/>
      <c r="DLY139" s="18"/>
      <c r="DLZ139" s="17"/>
      <c r="DMA139" s="9"/>
      <c r="DMB139" s="9"/>
      <c r="DMC139" s="18"/>
      <c r="DMD139" s="18"/>
      <c r="DME139" s="18"/>
      <c r="DMF139" s="18"/>
      <c r="DMG139" s="18"/>
      <c r="DMH139" s="17"/>
      <c r="DMI139" s="9"/>
      <c r="DMJ139" s="9"/>
      <c r="DMK139" s="18"/>
      <c r="DML139" s="18"/>
      <c r="DMM139" s="18"/>
      <c r="DMN139" s="18"/>
      <c r="DMO139" s="18"/>
      <c r="DMP139" s="17"/>
      <c r="DMQ139" s="9"/>
      <c r="DMR139" s="9"/>
      <c r="DMS139" s="18"/>
      <c r="DMT139" s="18"/>
      <c r="DMU139" s="18"/>
      <c r="DMV139" s="18"/>
      <c r="DMW139" s="18"/>
      <c r="DMX139" s="17"/>
      <c r="DMY139" s="9"/>
      <c r="DMZ139" s="9"/>
      <c r="DNA139" s="18"/>
      <c r="DNB139" s="18"/>
      <c r="DNC139" s="18"/>
      <c r="DND139" s="18"/>
      <c r="DNE139" s="18"/>
      <c r="DNF139" s="17"/>
      <c r="DNG139" s="9"/>
      <c r="DNH139" s="9"/>
      <c r="DNI139" s="18"/>
      <c r="DNJ139" s="18"/>
      <c r="DNK139" s="18"/>
      <c r="DNL139" s="18"/>
      <c r="DNM139" s="18"/>
      <c r="DNN139" s="17"/>
      <c r="DNO139" s="9"/>
      <c r="DNP139" s="9"/>
      <c r="DNQ139" s="18"/>
      <c r="DNR139" s="18"/>
      <c r="DNS139" s="18"/>
      <c r="DNT139" s="18"/>
      <c r="DNU139" s="18"/>
      <c r="DNV139" s="17"/>
      <c r="DNW139" s="9"/>
      <c r="DNX139" s="9"/>
      <c r="DNY139" s="18"/>
      <c r="DNZ139" s="18"/>
      <c r="DOA139" s="18"/>
      <c r="DOB139" s="18"/>
      <c r="DOC139" s="18"/>
      <c r="DOD139" s="17"/>
      <c r="DOE139" s="9"/>
      <c r="DOF139" s="9"/>
      <c r="DOG139" s="18"/>
      <c r="DOH139" s="18"/>
      <c r="DOI139" s="18"/>
      <c r="DOJ139" s="18"/>
      <c r="DOK139" s="18"/>
      <c r="DOL139" s="17"/>
      <c r="DOM139" s="9"/>
      <c r="DON139" s="9"/>
      <c r="DOO139" s="18"/>
      <c r="DOP139" s="18"/>
      <c r="DOQ139" s="18"/>
      <c r="DOR139" s="18"/>
      <c r="DOS139" s="18"/>
      <c r="DOT139" s="17"/>
      <c r="DOU139" s="9"/>
      <c r="DOV139" s="9"/>
      <c r="DOW139" s="18"/>
      <c r="DOX139" s="18"/>
      <c r="DOY139" s="18"/>
      <c r="DOZ139" s="18"/>
      <c r="DPA139" s="18"/>
      <c r="DPB139" s="17"/>
      <c r="DPC139" s="9"/>
      <c r="DPD139" s="9"/>
      <c r="DPE139" s="18"/>
      <c r="DPF139" s="18"/>
      <c r="DPG139" s="18"/>
      <c r="DPH139" s="18"/>
      <c r="DPI139" s="18"/>
      <c r="DPJ139" s="17"/>
      <c r="DPK139" s="9"/>
      <c r="DPL139" s="9"/>
      <c r="DPM139" s="18"/>
      <c r="DPN139" s="18"/>
      <c r="DPO139" s="18"/>
      <c r="DPP139" s="18"/>
      <c r="DPQ139" s="18"/>
      <c r="DPR139" s="17"/>
      <c r="DPS139" s="9"/>
      <c r="DPT139" s="9"/>
      <c r="DPU139" s="18"/>
      <c r="DPV139" s="18"/>
      <c r="DPW139" s="18"/>
      <c r="DPX139" s="18"/>
      <c r="DPY139" s="18"/>
      <c r="DPZ139" s="17"/>
      <c r="DQA139" s="9"/>
      <c r="DQB139" s="9"/>
      <c r="DQC139" s="18"/>
      <c r="DQD139" s="18"/>
      <c r="DQE139" s="18"/>
      <c r="DQF139" s="18"/>
      <c r="DQG139" s="18"/>
      <c r="DQH139" s="17"/>
      <c r="DQI139" s="9"/>
      <c r="DQJ139" s="9"/>
      <c r="DQK139" s="18"/>
      <c r="DQL139" s="18"/>
      <c r="DQM139" s="18"/>
      <c r="DQN139" s="18"/>
      <c r="DQO139" s="18"/>
      <c r="DQP139" s="17"/>
      <c r="DQQ139" s="9"/>
      <c r="DQR139" s="9"/>
      <c r="DQS139" s="18"/>
      <c r="DQT139" s="18"/>
      <c r="DQU139" s="18"/>
      <c r="DQV139" s="18"/>
      <c r="DQW139" s="18"/>
      <c r="DQX139" s="17"/>
      <c r="DQY139" s="9"/>
      <c r="DQZ139" s="9"/>
      <c r="DRA139" s="18"/>
      <c r="DRB139" s="18"/>
      <c r="DRC139" s="18"/>
      <c r="DRD139" s="18"/>
      <c r="DRE139" s="18"/>
      <c r="DRF139" s="17"/>
      <c r="DRG139" s="9"/>
      <c r="DRH139" s="9"/>
      <c r="DRI139" s="18"/>
      <c r="DRJ139" s="18"/>
      <c r="DRK139" s="18"/>
      <c r="DRL139" s="18"/>
      <c r="DRM139" s="18"/>
      <c r="DRN139" s="17"/>
      <c r="DRO139" s="9"/>
      <c r="DRP139" s="9"/>
      <c r="DRQ139" s="18"/>
      <c r="DRR139" s="18"/>
      <c r="DRS139" s="18"/>
      <c r="DRT139" s="18"/>
      <c r="DRU139" s="18"/>
      <c r="DRV139" s="17"/>
      <c r="DRW139" s="9"/>
      <c r="DRX139" s="9"/>
      <c r="DRY139" s="18"/>
      <c r="DRZ139" s="18"/>
      <c r="DSA139" s="18"/>
      <c r="DSB139" s="18"/>
      <c r="DSC139" s="18"/>
      <c r="DSD139" s="17"/>
      <c r="DSE139" s="9"/>
      <c r="DSF139" s="9"/>
      <c r="DSG139" s="18"/>
      <c r="DSH139" s="18"/>
      <c r="DSI139" s="18"/>
      <c r="DSJ139" s="18"/>
      <c r="DSK139" s="18"/>
      <c r="DSL139" s="17"/>
      <c r="DSM139" s="9"/>
      <c r="DSN139" s="9"/>
      <c r="DSO139" s="18"/>
      <c r="DSP139" s="18"/>
      <c r="DSQ139" s="18"/>
      <c r="DSR139" s="18"/>
      <c r="DSS139" s="18"/>
      <c r="DST139" s="17"/>
      <c r="DSU139" s="9"/>
      <c r="DSV139" s="9"/>
      <c r="DSW139" s="18"/>
      <c r="DSX139" s="18"/>
      <c r="DSY139" s="18"/>
      <c r="DSZ139" s="18"/>
      <c r="DTA139" s="18"/>
      <c r="DTB139" s="17"/>
      <c r="DTC139" s="9"/>
      <c r="DTD139" s="9"/>
      <c r="DTE139" s="18"/>
      <c r="DTF139" s="18"/>
      <c r="DTG139" s="18"/>
      <c r="DTH139" s="18"/>
      <c r="DTI139" s="18"/>
      <c r="DTJ139" s="17"/>
      <c r="DTK139" s="9"/>
      <c r="DTL139" s="9"/>
      <c r="DTM139" s="18"/>
      <c r="DTN139" s="18"/>
      <c r="DTO139" s="18"/>
      <c r="DTP139" s="18"/>
      <c r="DTQ139" s="18"/>
      <c r="DTR139" s="17"/>
      <c r="DTS139" s="9"/>
      <c r="DTT139" s="9"/>
      <c r="DTU139" s="18"/>
      <c r="DTV139" s="18"/>
      <c r="DTW139" s="18"/>
      <c r="DTX139" s="18"/>
      <c r="DTY139" s="18"/>
      <c r="DTZ139" s="17"/>
      <c r="DUA139" s="9"/>
      <c r="DUB139" s="9"/>
      <c r="DUC139" s="18"/>
      <c r="DUD139" s="18"/>
      <c r="DUE139" s="18"/>
      <c r="DUF139" s="18"/>
      <c r="DUG139" s="18"/>
      <c r="DUH139" s="17"/>
      <c r="DUI139" s="9"/>
      <c r="DUJ139" s="9"/>
      <c r="DUK139" s="18"/>
      <c r="DUL139" s="18"/>
      <c r="DUM139" s="18"/>
      <c r="DUN139" s="18"/>
      <c r="DUO139" s="18"/>
      <c r="DUP139" s="17"/>
      <c r="DUQ139" s="9"/>
      <c r="DUR139" s="9"/>
      <c r="DUS139" s="18"/>
      <c r="DUT139" s="18"/>
      <c r="DUU139" s="18"/>
      <c r="DUV139" s="18"/>
      <c r="DUW139" s="18"/>
      <c r="DUX139" s="17"/>
      <c r="DUY139" s="9"/>
      <c r="DUZ139" s="9"/>
      <c r="DVA139" s="18"/>
      <c r="DVB139" s="18"/>
      <c r="DVC139" s="18"/>
      <c r="DVD139" s="18"/>
      <c r="DVE139" s="18"/>
      <c r="DVF139" s="17"/>
      <c r="DVG139" s="9"/>
      <c r="DVH139" s="9"/>
      <c r="DVI139" s="18"/>
      <c r="DVJ139" s="18"/>
      <c r="DVK139" s="18"/>
      <c r="DVL139" s="18"/>
      <c r="DVM139" s="18"/>
      <c r="DVN139" s="17"/>
      <c r="DVO139" s="9"/>
      <c r="DVP139" s="9"/>
      <c r="DVQ139" s="18"/>
      <c r="DVR139" s="18"/>
      <c r="DVS139" s="18"/>
      <c r="DVT139" s="18"/>
      <c r="DVU139" s="18"/>
      <c r="DVV139" s="17"/>
      <c r="DVW139" s="9"/>
      <c r="DVX139" s="9"/>
      <c r="DVY139" s="18"/>
      <c r="DVZ139" s="18"/>
      <c r="DWA139" s="18"/>
      <c r="DWB139" s="18"/>
      <c r="DWC139" s="18"/>
      <c r="DWD139" s="17"/>
      <c r="DWE139" s="9"/>
      <c r="DWF139" s="9"/>
      <c r="DWG139" s="18"/>
      <c r="DWH139" s="18"/>
      <c r="DWI139" s="18"/>
      <c r="DWJ139" s="18"/>
      <c r="DWK139" s="18"/>
      <c r="DWL139" s="17"/>
      <c r="DWM139" s="9"/>
      <c r="DWN139" s="9"/>
      <c r="DWO139" s="18"/>
      <c r="DWP139" s="18"/>
      <c r="DWQ139" s="18"/>
      <c r="DWR139" s="18"/>
      <c r="DWS139" s="18"/>
      <c r="DWT139" s="17"/>
      <c r="DWU139" s="9"/>
      <c r="DWV139" s="9"/>
      <c r="DWW139" s="18"/>
      <c r="DWX139" s="18"/>
      <c r="DWY139" s="18"/>
      <c r="DWZ139" s="18"/>
      <c r="DXA139" s="18"/>
      <c r="DXB139" s="17"/>
      <c r="DXC139" s="9"/>
      <c r="DXD139" s="9"/>
      <c r="DXE139" s="18"/>
      <c r="DXF139" s="18"/>
      <c r="DXG139" s="18"/>
      <c r="DXH139" s="18"/>
      <c r="DXI139" s="18"/>
      <c r="DXJ139" s="17"/>
      <c r="DXK139" s="9"/>
      <c r="DXL139" s="9"/>
      <c r="DXM139" s="18"/>
      <c r="DXN139" s="18"/>
      <c r="DXO139" s="18"/>
      <c r="DXP139" s="18"/>
      <c r="DXQ139" s="18"/>
      <c r="DXR139" s="17"/>
      <c r="DXS139" s="9"/>
      <c r="DXT139" s="9"/>
      <c r="DXU139" s="18"/>
      <c r="DXV139" s="18"/>
      <c r="DXW139" s="18"/>
      <c r="DXX139" s="18"/>
      <c r="DXY139" s="18"/>
      <c r="DXZ139" s="17"/>
      <c r="DYA139" s="9"/>
      <c r="DYB139" s="9"/>
      <c r="DYC139" s="18"/>
      <c r="DYD139" s="18"/>
      <c r="DYE139" s="18"/>
      <c r="DYF139" s="18"/>
      <c r="DYG139" s="18"/>
      <c r="DYH139" s="17"/>
      <c r="DYI139" s="9"/>
      <c r="DYJ139" s="9"/>
      <c r="DYK139" s="18"/>
      <c r="DYL139" s="18"/>
      <c r="DYM139" s="18"/>
      <c r="DYN139" s="18"/>
      <c r="DYO139" s="18"/>
      <c r="DYP139" s="17"/>
      <c r="DYQ139" s="9"/>
      <c r="DYR139" s="9"/>
      <c r="DYS139" s="18"/>
      <c r="DYT139" s="18"/>
      <c r="DYU139" s="18"/>
      <c r="DYV139" s="18"/>
      <c r="DYW139" s="18"/>
      <c r="DYX139" s="17"/>
      <c r="DYY139" s="9"/>
      <c r="DYZ139" s="9"/>
      <c r="DZA139" s="18"/>
      <c r="DZB139" s="18"/>
      <c r="DZC139" s="18"/>
      <c r="DZD139" s="18"/>
      <c r="DZE139" s="18"/>
      <c r="DZF139" s="17"/>
      <c r="DZG139" s="9"/>
      <c r="DZH139" s="9"/>
      <c r="DZI139" s="18"/>
      <c r="DZJ139" s="18"/>
      <c r="DZK139" s="18"/>
      <c r="DZL139" s="18"/>
      <c r="DZM139" s="18"/>
      <c r="DZN139" s="17"/>
      <c r="DZO139" s="9"/>
      <c r="DZP139" s="9"/>
      <c r="DZQ139" s="18"/>
      <c r="DZR139" s="18"/>
      <c r="DZS139" s="18"/>
      <c r="DZT139" s="18"/>
      <c r="DZU139" s="18"/>
      <c r="DZV139" s="17"/>
      <c r="DZW139" s="9"/>
      <c r="DZX139" s="9"/>
      <c r="DZY139" s="18"/>
      <c r="DZZ139" s="18"/>
      <c r="EAA139" s="18"/>
      <c r="EAB139" s="18"/>
      <c r="EAC139" s="18"/>
      <c r="EAD139" s="17"/>
      <c r="EAE139" s="9"/>
      <c r="EAF139" s="9"/>
      <c r="EAG139" s="18"/>
      <c r="EAH139" s="18"/>
      <c r="EAI139" s="18"/>
      <c r="EAJ139" s="18"/>
      <c r="EAK139" s="18"/>
      <c r="EAL139" s="17"/>
      <c r="EAM139" s="9"/>
      <c r="EAN139" s="9"/>
      <c r="EAO139" s="18"/>
      <c r="EAP139" s="18"/>
      <c r="EAQ139" s="18"/>
      <c r="EAR139" s="18"/>
      <c r="EAS139" s="18"/>
      <c r="EAT139" s="17"/>
      <c r="EAU139" s="9"/>
      <c r="EAV139" s="9"/>
      <c r="EAW139" s="18"/>
      <c r="EAX139" s="18"/>
      <c r="EAY139" s="18"/>
      <c r="EAZ139" s="18"/>
      <c r="EBA139" s="18"/>
      <c r="EBB139" s="17"/>
      <c r="EBC139" s="9"/>
      <c r="EBD139" s="9"/>
      <c r="EBE139" s="18"/>
      <c r="EBF139" s="18"/>
      <c r="EBG139" s="18"/>
      <c r="EBH139" s="18"/>
      <c r="EBI139" s="18"/>
      <c r="EBJ139" s="17"/>
      <c r="EBK139" s="9"/>
      <c r="EBL139" s="9"/>
      <c r="EBM139" s="18"/>
      <c r="EBN139" s="18"/>
      <c r="EBO139" s="18"/>
      <c r="EBP139" s="18"/>
      <c r="EBQ139" s="18"/>
      <c r="EBR139" s="17"/>
      <c r="EBS139" s="9"/>
      <c r="EBT139" s="9"/>
      <c r="EBU139" s="18"/>
      <c r="EBV139" s="18"/>
      <c r="EBW139" s="18"/>
      <c r="EBX139" s="18"/>
      <c r="EBY139" s="18"/>
      <c r="EBZ139" s="17"/>
      <c r="ECA139" s="9"/>
      <c r="ECB139" s="9"/>
      <c r="ECC139" s="18"/>
      <c r="ECD139" s="18"/>
      <c r="ECE139" s="18"/>
      <c r="ECF139" s="18"/>
      <c r="ECG139" s="18"/>
      <c r="ECH139" s="17"/>
      <c r="ECI139" s="9"/>
      <c r="ECJ139" s="9"/>
      <c r="ECK139" s="18"/>
      <c r="ECL139" s="18"/>
      <c r="ECM139" s="18"/>
      <c r="ECN139" s="18"/>
      <c r="ECO139" s="18"/>
      <c r="ECP139" s="17"/>
      <c r="ECQ139" s="9"/>
      <c r="ECR139" s="9"/>
      <c r="ECS139" s="18"/>
      <c r="ECT139" s="18"/>
      <c r="ECU139" s="18"/>
      <c r="ECV139" s="18"/>
      <c r="ECW139" s="18"/>
      <c r="ECX139" s="17"/>
      <c r="ECY139" s="9"/>
      <c r="ECZ139" s="9"/>
      <c r="EDA139" s="18"/>
      <c r="EDB139" s="18"/>
      <c r="EDC139" s="18"/>
      <c r="EDD139" s="18"/>
      <c r="EDE139" s="18"/>
      <c r="EDF139" s="17"/>
      <c r="EDG139" s="9"/>
      <c r="EDH139" s="9"/>
      <c r="EDI139" s="18"/>
      <c r="EDJ139" s="18"/>
      <c r="EDK139" s="18"/>
      <c r="EDL139" s="18"/>
      <c r="EDM139" s="18"/>
      <c r="EDN139" s="17"/>
      <c r="EDO139" s="9"/>
      <c r="EDP139" s="9"/>
      <c r="EDQ139" s="18"/>
      <c r="EDR139" s="18"/>
      <c r="EDS139" s="18"/>
      <c r="EDT139" s="18"/>
      <c r="EDU139" s="18"/>
      <c r="EDV139" s="17"/>
      <c r="EDW139" s="9"/>
      <c r="EDX139" s="9"/>
      <c r="EDY139" s="18"/>
      <c r="EDZ139" s="18"/>
      <c r="EEA139" s="18"/>
      <c r="EEB139" s="18"/>
      <c r="EEC139" s="18"/>
      <c r="EED139" s="17"/>
      <c r="EEE139" s="9"/>
      <c r="EEF139" s="9"/>
      <c r="EEG139" s="18"/>
      <c r="EEH139" s="18"/>
      <c r="EEI139" s="18"/>
      <c r="EEJ139" s="18"/>
      <c r="EEK139" s="18"/>
      <c r="EEL139" s="17"/>
      <c r="EEM139" s="9"/>
      <c r="EEN139" s="9"/>
      <c r="EEO139" s="18"/>
      <c r="EEP139" s="18"/>
      <c r="EEQ139" s="18"/>
      <c r="EER139" s="18"/>
      <c r="EES139" s="18"/>
      <c r="EET139" s="17"/>
      <c r="EEU139" s="9"/>
      <c r="EEV139" s="9"/>
      <c r="EEW139" s="18"/>
      <c r="EEX139" s="18"/>
      <c r="EEY139" s="18"/>
      <c r="EEZ139" s="18"/>
      <c r="EFA139" s="18"/>
      <c r="EFB139" s="17"/>
      <c r="EFC139" s="9"/>
      <c r="EFD139" s="9"/>
      <c r="EFE139" s="18"/>
      <c r="EFF139" s="18"/>
      <c r="EFG139" s="18"/>
      <c r="EFH139" s="18"/>
      <c r="EFI139" s="18"/>
      <c r="EFJ139" s="17"/>
      <c r="EFK139" s="9"/>
      <c r="EFL139" s="9"/>
      <c r="EFM139" s="18"/>
      <c r="EFN139" s="18"/>
      <c r="EFO139" s="18"/>
      <c r="EFP139" s="18"/>
      <c r="EFQ139" s="18"/>
      <c r="EFR139" s="17"/>
      <c r="EFS139" s="9"/>
      <c r="EFT139" s="9"/>
      <c r="EFU139" s="18"/>
      <c r="EFV139" s="18"/>
      <c r="EFW139" s="18"/>
      <c r="EFX139" s="18"/>
      <c r="EFY139" s="18"/>
      <c r="EFZ139" s="17"/>
      <c r="EGA139" s="9"/>
      <c r="EGB139" s="9"/>
      <c r="EGC139" s="18"/>
      <c r="EGD139" s="18"/>
      <c r="EGE139" s="18"/>
      <c r="EGF139" s="18"/>
      <c r="EGG139" s="18"/>
      <c r="EGH139" s="17"/>
      <c r="EGI139" s="9"/>
      <c r="EGJ139" s="9"/>
      <c r="EGK139" s="18"/>
      <c r="EGL139" s="18"/>
      <c r="EGM139" s="18"/>
      <c r="EGN139" s="18"/>
      <c r="EGO139" s="18"/>
      <c r="EGP139" s="17"/>
      <c r="EGQ139" s="9"/>
      <c r="EGR139" s="9"/>
      <c r="EGS139" s="18"/>
      <c r="EGT139" s="18"/>
      <c r="EGU139" s="18"/>
      <c r="EGV139" s="18"/>
      <c r="EGW139" s="18"/>
      <c r="EGX139" s="17"/>
      <c r="EGY139" s="9"/>
      <c r="EGZ139" s="9"/>
      <c r="EHA139" s="18"/>
      <c r="EHB139" s="18"/>
      <c r="EHC139" s="18"/>
      <c r="EHD139" s="18"/>
      <c r="EHE139" s="18"/>
      <c r="EHF139" s="17"/>
      <c r="EHG139" s="9"/>
      <c r="EHH139" s="9"/>
      <c r="EHI139" s="18"/>
      <c r="EHJ139" s="18"/>
      <c r="EHK139" s="18"/>
      <c r="EHL139" s="18"/>
      <c r="EHM139" s="18"/>
      <c r="EHN139" s="17"/>
      <c r="EHO139" s="9"/>
      <c r="EHP139" s="9"/>
      <c r="EHQ139" s="18"/>
      <c r="EHR139" s="18"/>
      <c r="EHS139" s="18"/>
      <c r="EHT139" s="18"/>
      <c r="EHU139" s="18"/>
      <c r="EHV139" s="17"/>
      <c r="EHW139" s="9"/>
      <c r="EHX139" s="9"/>
      <c r="EHY139" s="18"/>
      <c r="EHZ139" s="18"/>
      <c r="EIA139" s="18"/>
      <c r="EIB139" s="18"/>
      <c r="EIC139" s="18"/>
      <c r="EID139" s="17"/>
      <c r="EIE139" s="9"/>
      <c r="EIF139" s="9"/>
      <c r="EIG139" s="18"/>
      <c r="EIH139" s="18"/>
      <c r="EII139" s="18"/>
      <c r="EIJ139" s="18"/>
      <c r="EIK139" s="18"/>
      <c r="EIL139" s="17"/>
      <c r="EIM139" s="9"/>
      <c r="EIN139" s="9"/>
      <c r="EIO139" s="18"/>
      <c r="EIP139" s="18"/>
      <c r="EIQ139" s="18"/>
      <c r="EIR139" s="18"/>
      <c r="EIS139" s="18"/>
      <c r="EIT139" s="17"/>
      <c r="EIU139" s="9"/>
      <c r="EIV139" s="9"/>
      <c r="EIW139" s="18"/>
      <c r="EIX139" s="18"/>
      <c r="EIY139" s="18"/>
      <c r="EIZ139" s="18"/>
      <c r="EJA139" s="18"/>
      <c r="EJB139" s="17"/>
      <c r="EJC139" s="9"/>
      <c r="EJD139" s="9"/>
      <c r="EJE139" s="18"/>
      <c r="EJF139" s="18"/>
      <c r="EJG139" s="18"/>
      <c r="EJH139" s="18"/>
      <c r="EJI139" s="18"/>
      <c r="EJJ139" s="17"/>
      <c r="EJK139" s="9"/>
      <c r="EJL139" s="9"/>
      <c r="EJM139" s="18"/>
      <c r="EJN139" s="18"/>
      <c r="EJO139" s="18"/>
      <c r="EJP139" s="18"/>
      <c r="EJQ139" s="18"/>
      <c r="EJR139" s="17"/>
      <c r="EJS139" s="9"/>
      <c r="EJT139" s="9"/>
      <c r="EJU139" s="18"/>
      <c r="EJV139" s="18"/>
      <c r="EJW139" s="18"/>
      <c r="EJX139" s="18"/>
      <c r="EJY139" s="18"/>
      <c r="EJZ139" s="17"/>
      <c r="EKA139" s="9"/>
      <c r="EKB139" s="9"/>
      <c r="EKC139" s="18"/>
      <c r="EKD139" s="18"/>
      <c r="EKE139" s="18"/>
      <c r="EKF139" s="18"/>
      <c r="EKG139" s="18"/>
      <c r="EKH139" s="17"/>
      <c r="EKI139" s="9"/>
      <c r="EKJ139" s="9"/>
      <c r="EKK139" s="18"/>
      <c r="EKL139" s="18"/>
      <c r="EKM139" s="18"/>
      <c r="EKN139" s="18"/>
      <c r="EKO139" s="18"/>
      <c r="EKP139" s="17"/>
      <c r="EKQ139" s="9"/>
      <c r="EKR139" s="9"/>
      <c r="EKS139" s="18"/>
      <c r="EKT139" s="18"/>
      <c r="EKU139" s="18"/>
      <c r="EKV139" s="18"/>
      <c r="EKW139" s="18"/>
      <c r="EKX139" s="17"/>
      <c r="EKY139" s="9"/>
      <c r="EKZ139" s="9"/>
      <c r="ELA139" s="18"/>
      <c r="ELB139" s="18"/>
      <c r="ELC139" s="18"/>
      <c r="ELD139" s="18"/>
      <c r="ELE139" s="18"/>
      <c r="ELF139" s="17"/>
      <c r="ELG139" s="9"/>
      <c r="ELH139" s="9"/>
      <c r="ELI139" s="18"/>
      <c r="ELJ139" s="18"/>
      <c r="ELK139" s="18"/>
      <c r="ELL139" s="18"/>
      <c r="ELM139" s="18"/>
      <c r="ELN139" s="17"/>
      <c r="ELO139" s="9"/>
      <c r="ELP139" s="9"/>
      <c r="ELQ139" s="18"/>
      <c r="ELR139" s="18"/>
      <c r="ELS139" s="18"/>
      <c r="ELT139" s="18"/>
      <c r="ELU139" s="18"/>
      <c r="ELV139" s="17"/>
      <c r="ELW139" s="9"/>
      <c r="ELX139" s="9"/>
      <c r="ELY139" s="18"/>
      <c r="ELZ139" s="18"/>
      <c r="EMA139" s="18"/>
      <c r="EMB139" s="18"/>
      <c r="EMC139" s="18"/>
      <c r="EMD139" s="17"/>
      <c r="EME139" s="9"/>
      <c r="EMF139" s="9"/>
      <c r="EMG139" s="18"/>
      <c r="EMH139" s="18"/>
      <c r="EMI139" s="18"/>
      <c r="EMJ139" s="18"/>
      <c r="EMK139" s="18"/>
      <c r="EML139" s="17"/>
      <c r="EMM139" s="9"/>
      <c r="EMN139" s="9"/>
      <c r="EMO139" s="18"/>
      <c r="EMP139" s="18"/>
      <c r="EMQ139" s="18"/>
      <c r="EMR139" s="18"/>
      <c r="EMS139" s="18"/>
      <c r="EMT139" s="17"/>
      <c r="EMU139" s="9"/>
      <c r="EMV139" s="9"/>
      <c r="EMW139" s="18"/>
      <c r="EMX139" s="18"/>
      <c r="EMY139" s="18"/>
      <c r="EMZ139" s="18"/>
      <c r="ENA139" s="18"/>
      <c r="ENB139" s="17"/>
      <c r="ENC139" s="9"/>
      <c r="END139" s="9"/>
      <c r="ENE139" s="18"/>
      <c r="ENF139" s="18"/>
      <c r="ENG139" s="18"/>
      <c r="ENH139" s="18"/>
      <c r="ENI139" s="18"/>
      <c r="ENJ139" s="17"/>
      <c r="ENK139" s="9"/>
      <c r="ENL139" s="9"/>
      <c r="ENM139" s="18"/>
      <c r="ENN139" s="18"/>
      <c r="ENO139" s="18"/>
      <c r="ENP139" s="18"/>
      <c r="ENQ139" s="18"/>
      <c r="ENR139" s="17"/>
      <c r="ENS139" s="9"/>
      <c r="ENT139" s="9"/>
      <c r="ENU139" s="18"/>
      <c r="ENV139" s="18"/>
      <c r="ENW139" s="18"/>
      <c r="ENX139" s="18"/>
      <c r="ENY139" s="18"/>
      <c r="ENZ139" s="17"/>
      <c r="EOA139" s="9"/>
      <c r="EOB139" s="9"/>
      <c r="EOC139" s="18"/>
      <c r="EOD139" s="18"/>
      <c r="EOE139" s="18"/>
      <c r="EOF139" s="18"/>
      <c r="EOG139" s="18"/>
      <c r="EOH139" s="17"/>
      <c r="EOI139" s="9"/>
      <c r="EOJ139" s="9"/>
      <c r="EOK139" s="18"/>
      <c r="EOL139" s="18"/>
      <c r="EOM139" s="18"/>
      <c r="EON139" s="18"/>
      <c r="EOO139" s="18"/>
      <c r="EOP139" s="17"/>
      <c r="EOQ139" s="9"/>
      <c r="EOR139" s="9"/>
      <c r="EOS139" s="18"/>
      <c r="EOT139" s="18"/>
      <c r="EOU139" s="18"/>
      <c r="EOV139" s="18"/>
      <c r="EOW139" s="18"/>
      <c r="EOX139" s="17"/>
      <c r="EOY139" s="9"/>
      <c r="EOZ139" s="9"/>
      <c r="EPA139" s="18"/>
      <c r="EPB139" s="18"/>
      <c r="EPC139" s="18"/>
      <c r="EPD139" s="18"/>
      <c r="EPE139" s="18"/>
      <c r="EPF139" s="17"/>
      <c r="EPG139" s="9"/>
      <c r="EPH139" s="9"/>
      <c r="EPI139" s="18"/>
      <c r="EPJ139" s="18"/>
      <c r="EPK139" s="18"/>
      <c r="EPL139" s="18"/>
      <c r="EPM139" s="18"/>
      <c r="EPN139" s="17"/>
      <c r="EPO139" s="9"/>
      <c r="EPP139" s="9"/>
      <c r="EPQ139" s="18"/>
      <c r="EPR139" s="18"/>
      <c r="EPS139" s="18"/>
      <c r="EPT139" s="18"/>
      <c r="EPU139" s="18"/>
      <c r="EPV139" s="17"/>
      <c r="EPW139" s="9"/>
      <c r="EPX139" s="9"/>
      <c r="EPY139" s="18"/>
      <c r="EPZ139" s="18"/>
      <c r="EQA139" s="18"/>
      <c r="EQB139" s="18"/>
      <c r="EQC139" s="18"/>
      <c r="EQD139" s="17"/>
      <c r="EQE139" s="9"/>
      <c r="EQF139" s="9"/>
      <c r="EQG139" s="18"/>
      <c r="EQH139" s="18"/>
      <c r="EQI139" s="18"/>
      <c r="EQJ139" s="18"/>
      <c r="EQK139" s="18"/>
      <c r="EQL139" s="17"/>
      <c r="EQM139" s="9"/>
      <c r="EQN139" s="9"/>
      <c r="EQO139" s="18"/>
      <c r="EQP139" s="18"/>
      <c r="EQQ139" s="18"/>
      <c r="EQR139" s="18"/>
      <c r="EQS139" s="18"/>
      <c r="EQT139" s="17"/>
      <c r="EQU139" s="9"/>
      <c r="EQV139" s="9"/>
      <c r="EQW139" s="18"/>
      <c r="EQX139" s="18"/>
      <c r="EQY139" s="18"/>
      <c r="EQZ139" s="18"/>
      <c r="ERA139" s="18"/>
      <c r="ERB139" s="17"/>
      <c r="ERC139" s="9"/>
      <c r="ERD139" s="9"/>
      <c r="ERE139" s="18"/>
      <c r="ERF139" s="18"/>
      <c r="ERG139" s="18"/>
      <c r="ERH139" s="18"/>
      <c r="ERI139" s="18"/>
      <c r="ERJ139" s="17"/>
      <c r="ERK139" s="9"/>
      <c r="ERL139" s="9"/>
      <c r="ERM139" s="18"/>
      <c r="ERN139" s="18"/>
      <c r="ERO139" s="18"/>
      <c r="ERP139" s="18"/>
      <c r="ERQ139" s="18"/>
      <c r="ERR139" s="17"/>
      <c r="ERS139" s="9"/>
      <c r="ERT139" s="9"/>
      <c r="ERU139" s="18"/>
      <c r="ERV139" s="18"/>
      <c r="ERW139" s="18"/>
      <c r="ERX139" s="18"/>
      <c r="ERY139" s="18"/>
      <c r="ERZ139" s="17"/>
      <c r="ESA139" s="9"/>
      <c r="ESB139" s="9"/>
      <c r="ESC139" s="18"/>
      <c r="ESD139" s="18"/>
      <c r="ESE139" s="18"/>
      <c r="ESF139" s="18"/>
      <c r="ESG139" s="18"/>
      <c r="ESH139" s="17"/>
      <c r="ESI139" s="9"/>
      <c r="ESJ139" s="9"/>
      <c r="ESK139" s="18"/>
      <c r="ESL139" s="18"/>
      <c r="ESM139" s="18"/>
      <c r="ESN139" s="18"/>
      <c r="ESO139" s="18"/>
      <c r="ESP139" s="17"/>
      <c r="ESQ139" s="9"/>
      <c r="ESR139" s="9"/>
      <c r="ESS139" s="18"/>
      <c r="EST139" s="18"/>
      <c r="ESU139" s="18"/>
      <c r="ESV139" s="18"/>
      <c r="ESW139" s="18"/>
      <c r="ESX139" s="17"/>
      <c r="ESY139" s="9"/>
      <c r="ESZ139" s="9"/>
      <c r="ETA139" s="18"/>
      <c r="ETB139" s="18"/>
      <c r="ETC139" s="18"/>
      <c r="ETD139" s="18"/>
      <c r="ETE139" s="18"/>
      <c r="ETF139" s="17"/>
      <c r="ETG139" s="9"/>
      <c r="ETH139" s="9"/>
      <c r="ETI139" s="18"/>
      <c r="ETJ139" s="18"/>
      <c r="ETK139" s="18"/>
      <c r="ETL139" s="18"/>
      <c r="ETM139" s="18"/>
      <c r="ETN139" s="17"/>
      <c r="ETO139" s="9"/>
      <c r="ETP139" s="9"/>
      <c r="ETQ139" s="18"/>
      <c r="ETR139" s="18"/>
      <c r="ETS139" s="18"/>
      <c r="ETT139" s="18"/>
      <c r="ETU139" s="18"/>
      <c r="ETV139" s="17"/>
      <c r="ETW139" s="9"/>
      <c r="ETX139" s="9"/>
      <c r="ETY139" s="18"/>
      <c r="ETZ139" s="18"/>
      <c r="EUA139" s="18"/>
      <c r="EUB139" s="18"/>
      <c r="EUC139" s="18"/>
      <c r="EUD139" s="17"/>
      <c r="EUE139" s="9"/>
      <c r="EUF139" s="9"/>
      <c r="EUG139" s="18"/>
      <c r="EUH139" s="18"/>
      <c r="EUI139" s="18"/>
      <c r="EUJ139" s="18"/>
      <c r="EUK139" s="18"/>
      <c r="EUL139" s="17"/>
      <c r="EUM139" s="9"/>
      <c r="EUN139" s="9"/>
      <c r="EUO139" s="18"/>
      <c r="EUP139" s="18"/>
      <c r="EUQ139" s="18"/>
      <c r="EUR139" s="18"/>
      <c r="EUS139" s="18"/>
      <c r="EUT139" s="17"/>
      <c r="EUU139" s="9"/>
      <c r="EUV139" s="9"/>
      <c r="EUW139" s="18"/>
      <c r="EUX139" s="18"/>
      <c r="EUY139" s="18"/>
      <c r="EUZ139" s="18"/>
      <c r="EVA139" s="18"/>
      <c r="EVB139" s="17"/>
      <c r="EVC139" s="9"/>
      <c r="EVD139" s="9"/>
      <c r="EVE139" s="18"/>
      <c r="EVF139" s="18"/>
      <c r="EVG139" s="18"/>
      <c r="EVH139" s="18"/>
      <c r="EVI139" s="18"/>
      <c r="EVJ139" s="17"/>
      <c r="EVK139" s="9"/>
      <c r="EVL139" s="9"/>
      <c r="EVM139" s="18"/>
      <c r="EVN139" s="18"/>
      <c r="EVO139" s="18"/>
      <c r="EVP139" s="18"/>
      <c r="EVQ139" s="18"/>
      <c r="EVR139" s="17"/>
      <c r="EVS139" s="9"/>
      <c r="EVT139" s="9"/>
      <c r="EVU139" s="18"/>
      <c r="EVV139" s="18"/>
      <c r="EVW139" s="18"/>
      <c r="EVX139" s="18"/>
      <c r="EVY139" s="18"/>
      <c r="EVZ139" s="17"/>
      <c r="EWA139" s="9"/>
      <c r="EWB139" s="9"/>
      <c r="EWC139" s="18"/>
      <c r="EWD139" s="18"/>
      <c r="EWE139" s="18"/>
      <c r="EWF139" s="18"/>
      <c r="EWG139" s="18"/>
      <c r="EWH139" s="17"/>
      <c r="EWI139" s="9"/>
      <c r="EWJ139" s="9"/>
      <c r="EWK139" s="18"/>
      <c r="EWL139" s="18"/>
      <c r="EWM139" s="18"/>
      <c r="EWN139" s="18"/>
      <c r="EWO139" s="18"/>
      <c r="EWP139" s="17"/>
      <c r="EWQ139" s="9"/>
      <c r="EWR139" s="9"/>
      <c r="EWS139" s="18"/>
      <c r="EWT139" s="18"/>
      <c r="EWU139" s="18"/>
      <c r="EWV139" s="18"/>
      <c r="EWW139" s="18"/>
      <c r="EWX139" s="17"/>
      <c r="EWY139" s="9"/>
      <c r="EWZ139" s="9"/>
      <c r="EXA139" s="18"/>
      <c r="EXB139" s="18"/>
      <c r="EXC139" s="18"/>
      <c r="EXD139" s="18"/>
      <c r="EXE139" s="18"/>
      <c r="EXF139" s="17"/>
      <c r="EXG139" s="9"/>
      <c r="EXH139" s="9"/>
      <c r="EXI139" s="18"/>
      <c r="EXJ139" s="18"/>
      <c r="EXK139" s="18"/>
      <c r="EXL139" s="18"/>
      <c r="EXM139" s="18"/>
      <c r="EXN139" s="17"/>
      <c r="EXO139" s="9"/>
      <c r="EXP139" s="9"/>
      <c r="EXQ139" s="18"/>
      <c r="EXR139" s="18"/>
      <c r="EXS139" s="18"/>
      <c r="EXT139" s="18"/>
      <c r="EXU139" s="18"/>
      <c r="EXV139" s="17"/>
      <c r="EXW139" s="9"/>
      <c r="EXX139" s="9"/>
      <c r="EXY139" s="18"/>
      <c r="EXZ139" s="18"/>
      <c r="EYA139" s="18"/>
      <c r="EYB139" s="18"/>
      <c r="EYC139" s="18"/>
      <c r="EYD139" s="17"/>
      <c r="EYE139" s="9"/>
      <c r="EYF139" s="9"/>
      <c r="EYG139" s="18"/>
      <c r="EYH139" s="18"/>
      <c r="EYI139" s="18"/>
      <c r="EYJ139" s="18"/>
      <c r="EYK139" s="18"/>
      <c r="EYL139" s="17"/>
      <c r="EYM139" s="9"/>
      <c r="EYN139" s="9"/>
      <c r="EYO139" s="18"/>
      <c r="EYP139" s="18"/>
      <c r="EYQ139" s="18"/>
      <c r="EYR139" s="18"/>
      <c r="EYS139" s="18"/>
      <c r="EYT139" s="17"/>
      <c r="EYU139" s="9"/>
      <c r="EYV139" s="9"/>
      <c r="EYW139" s="18"/>
      <c r="EYX139" s="18"/>
      <c r="EYY139" s="18"/>
      <c r="EYZ139" s="18"/>
      <c r="EZA139" s="18"/>
      <c r="EZB139" s="17"/>
      <c r="EZC139" s="9"/>
      <c r="EZD139" s="9"/>
      <c r="EZE139" s="18"/>
      <c r="EZF139" s="18"/>
      <c r="EZG139" s="18"/>
      <c r="EZH139" s="18"/>
      <c r="EZI139" s="18"/>
      <c r="EZJ139" s="17"/>
      <c r="EZK139" s="9"/>
      <c r="EZL139" s="9"/>
      <c r="EZM139" s="18"/>
      <c r="EZN139" s="18"/>
      <c r="EZO139" s="18"/>
      <c r="EZP139" s="18"/>
      <c r="EZQ139" s="18"/>
      <c r="EZR139" s="17"/>
      <c r="EZS139" s="9"/>
      <c r="EZT139" s="9"/>
      <c r="EZU139" s="18"/>
      <c r="EZV139" s="18"/>
      <c r="EZW139" s="18"/>
      <c r="EZX139" s="18"/>
      <c r="EZY139" s="18"/>
      <c r="EZZ139" s="17"/>
      <c r="FAA139" s="9"/>
      <c r="FAB139" s="9"/>
      <c r="FAC139" s="18"/>
      <c r="FAD139" s="18"/>
      <c r="FAE139" s="18"/>
      <c r="FAF139" s="18"/>
      <c r="FAG139" s="18"/>
      <c r="FAH139" s="17"/>
      <c r="FAI139" s="9"/>
      <c r="FAJ139" s="9"/>
      <c r="FAK139" s="18"/>
      <c r="FAL139" s="18"/>
      <c r="FAM139" s="18"/>
      <c r="FAN139" s="18"/>
      <c r="FAO139" s="18"/>
      <c r="FAP139" s="17"/>
      <c r="FAQ139" s="9"/>
      <c r="FAR139" s="9"/>
      <c r="FAS139" s="18"/>
      <c r="FAT139" s="18"/>
      <c r="FAU139" s="18"/>
      <c r="FAV139" s="18"/>
      <c r="FAW139" s="18"/>
      <c r="FAX139" s="17"/>
      <c r="FAY139" s="9"/>
      <c r="FAZ139" s="9"/>
      <c r="FBA139" s="18"/>
      <c r="FBB139" s="18"/>
      <c r="FBC139" s="18"/>
      <c r="FBD139" s="18"/>
      <c r="FBE139" s="18"/>
      <c r="FBF139" s="17"/>
      <c r="FBG139" s="9"/>
      <c r="FBH139" s="9"/>
      <c r="FBI139" s="18"/>
      <c r="FBJ139" s="18"/>
      <c r="FBK139" s="18"/>
      <c r="FBL139" s="18"/>
      <c r="FBM139" s="18"/>
      <c r="FBN139" s="17"/>
      <c r="FBO139" s="9"/>
      <c r="FBP139" s="9"/>
      <c r="FBQ139" s="18"/>
      <c r="FBR139" s="18"/>
      <c r="FBS139" s="18"/>
      <c r="FBT139" s="18"/>
      <c r="FBU139" s="18"/>
      <c r="FBV139" s="17"/>
      <c r="FBW139" s="9"/>
      <c r="FBX139" s="9"/>
      <c r="FBY139" s="18"/>
      <c r="FBZ139" s="18"/>
      <c r="FCA139" s="18"/>
      <c r="FCB139" s="18"/>
      <c r="FCC139" s="18"/>
      <c r="FCD139" s="17"/>
      <c r="FCE139" s="9"/>
      <c r="FCF139" s="9"/>
      <c r="FCG139" s="18"/>
      <c r="FCH139" s="18"/>
      <c r="FCI139" s="18"/>
      <c r="FCJ139" s="18"/>
      <c r="FCK139" s="18"/>
      <c r="FCL139" s="17"/>
      <c r="FCM139" s="9"/>
      <c r="FCN139" s="9"/>
      <c r="FCO139" s="18"/>
      <c r="FCP139" s="18"/>
      <c r="FCQ139" s="18"/>
      <c r="FCR139" s="18"/>
      <c r="FCS139" s="18"/>
      <c r="FCT139" s="17"/>
      <c r="FCU139" s="9"/>
      <c r="FCV139" s="9"/>
      <c r="FCW139" s="18"/>
      <c r="FCX139" s="18"/>
      <c r="FCY139" s="18"/>
      <c r="FCZ139" s="18"/>
      <c r="FDA139" s="18"/>
      <c r="FDB139" s="17"/>
      <c r="FDC139" s="9"/>
      <c r="FDD139" s="9"/>
      <c r="FDE139" s="18"/>
      <c r="FDF139" s="18"/>
      <c r="FDG139" s="18"/>
      <c r="FDH139" s="18"/>
      <c r="FDI139" s="18"/>
      <c r="FDJ139" s="17"/>
      <c r="FDK139" s="9"/>
      <c r="FDL139" s="9"/>
      <c r="FDM139" s="18"/>
      <c r="FDN139" s="18"/>
      <c r="FDO139" s="18"/>
      <c r="FDP139" s="18"/>
      <c r="FDQ139" s="18"/>
      <c r="FDR139" s="17"/>
      <c r="FDS139" s="9"/>
      <c r="FDT139" s="9"/>
      <c r="FDU139" s="18"/>
      <c r="FDV139" s="18"/>
      <c r="FDW139" s="18"/>
      <c r="FDX139" s="18"/>
      <c r="FDY139" s="18"/>
      <c r="FDZ139" s="17"/>
      <c r="FEA139" s="9"/>
      <c r="FEB139" s="9"/>
      <c r="FEC139" s="18"/>
      <c r="FED139" s="18"/>
      <c r="FEE139" s="18"/>
      <c r="FEF139" s="18"/>
      <c r="FEG139" s="18"/>
      <c r="FEH139" s="17"/>
      <c r="FEI139" s="9"/>
      <c r="FEJ139" s="9"/>
      <c r="FEK139" s="18"/>
      <c r="FEL139" s="18"/>
      <c r="FEM139" s="18"/>
      <c r="FEN139" s="18"/>
      <c r="FEO139" s="18"/>
      <c r="FEP139" s="17"/>
      <c r="FEQ139" s="9"/>
      <c r="FER139" s="9"/>
      <c r="FES139" s="18"/>
      <c r="FET139" s="18"/>
      <c r="FEU139" s="18"/>
      <c r="FEV139" s="18"/>
      <c r="FEW139" s="18"/>
      <c r="FEX139" s="17"/>
      <c r="FEY139" s="9"/>
      <c r="FEZ139" s="9"/>
      <c r="FFA139" s="18"/>
      <c r="FFB139" s="18"/>
      <c r="FFC139" s="18"/>
      <c r="FFD139" s="18"/>
      <c r="FFE139" s="18"/>
      <c r="FFF139" s="17"/>
      <c r="FFG139" s="9"/>
      <c r="FFH139" s="9"/>
      <c r="FFI139" s="18"/>
      <c r="FFJ139" s="18"/>
      <c r="FFK139" s="18"/>
      <c r="FFL139" s="18"/>
      <c r="FFM139" s="18"/>
      <c r="FFN139" s="17"/>
      <c r="FFO139" s="9"/>
      <c r="FFP139" s="9"/>
      <c r="FFQ139" s="18"/>
      <c r="FFR139" s="18"/>
      <c r="FFS139" s="18"/>
      <c r="FFT139" s="18"/>
      <c r="FFU139" s="18"/>
      <c r="FFV139" s="17"/>
      <c r="FFW139" s="9"/>
      <c r="FFX139" s="9"/>
      <c r="FFY139" s="18"/>
      <c r="FFZ139" s="18"/>
      <c r="FGA139" s="18"/>
      <c r="FGB139" s="18"/>
      <c r="FGC139" s="18"/>
      <c r="FGD139" s="17"/>
      <c r="FGE139" s="9"/>
      <c r="FGF139" s="9"/>
      <c r="FGG139" s="18"/>
      <c r="FGH139" s="18"/>
      <c r="FGI139" s="18"/>
      <c r="FGJ139" s="18"/>
      <c r="FGK139" s="18"/>
      <c r="FGL139" s="17"/>
      <c r="FGM139" s="9"/>
      <c r="FGN139" s="9"/>
      <c r="FGO139" s="18"/>
      <c r="FGP139" s="18"/>
      <c r="FGQ139" s="18"/>
      <c r="FGR139" s="18"/>
      <c r="FGS139" s="18"/>
      <c r="FGT139" s="17"/>
      <c r="FGU139" s="9"/>
      <c r="FGV139" s="9"/>
      <c r="FGW139" s="18"/>
      <c r="FGX139" s="18"/>
      <c r="FGY139" s="18"/>
      <c r="FGZ139" s="18"/>
      <c r="FHA139" s="18"/>
      <c r="FHB139" s="17"/>
      <c r="FHC139" s="9"/>
      <c r="FHD139" s="9"/>
      <c r="FHE139" s="18"/>
      <c r="FHF139" s="18"/>
      <c r="FHG139" s="18"/>
      <c r="FHH139" s="18"/>
      <c r="FHI139" s="18"/>
      <c r="FHJ139" s="17"/>
      <c r="FHK139" s="9"/>
      <c r="FHL139" s="9"/>
      <c r="FHM139" s="18"/>
      <c r="FHN139" s="18"/>
      <c r="FHO139" s="18"/>
      <c r="FHP139" s="18"/>
      <c r="FHQ139" s="18"/>
      <c r="FHR139" s="17"/>
      <c r="FHS139" s="9"/>
      <c r="FHT139" s="9"/>
      <c r="FHU139" s="18"/>
      <c r="FHV139" s="18"/>
      <c r="FHW139" s="18"/>
      <c r="FHX139" s="18"/>
      <c r="FHY139" s="18"/>
      <c r="FHZ139" s="17"/>
      <c r="FIA139" s="9"/>
      <c r="FIB139" s="9"/>
      <c r="FIC139" s="18"/>
      <c r="FID139" s="18"/>
      <c r="FIE139" s="18"/>
      <c r="FIF139" s="18"/>
      <c r="FIG139" s="18"/>
      <c r="FIH139" s="17"/>
      <c r="FII139" s="9"/>
      <c r="FIJ139" s="9"/>
      <c r="FIK139" s="18"/>
      <c r="FIL139" s="18"/>
      <c r="FIM139" s="18"/>
      <c r="FIN139" s="18"/>
      <c r="FIO139" s="18"/>
      <c r="FIP139" s="17"/>
      <c r="FIQ139" s="9"/>
      <c r="FIR139" s="9"/>
      <c r="FIS139" s="18"/>
      <c r="FIT139" s="18"/>
      <c r="FIU139" s="18"/>
      <c r="FIV139" s="18"/>
      <c r="FIW139" s="18"/>
      <c r="FIX139" s="17"/>
      <c r="FIY139" s="9"/>
      <c r="FIZ139" s="9"/>
      <c r="FJA139" s="18"/>
      <c r="FJB139" s="18"/>
      <c r="FJC139" s="18"/>
      <c r="FJD139" s="18"/>
      <c r="FJE139" s="18"/>
      <c r="FJF139" s="17"/>
      <c r="FJG139" s="9"/>
      <c r="FJH139" s="9"/>
      <c r="FJI139" s="18"/>
      <c r="FJJ139" s="18"/>
      <c r="FJK139" s="18"/>
      <c r="FJL139" s="18"/>
      <c r="FJM139" s="18"/>
      <c r="FJN139" s="17"/>
      <c r="FJO139" s="9"/>
      <c r="FJP139" s="9"/>
      <c r="FJQ139" s="18"/>
      <c r="FJR139" s="18"/>
      <c r="FJS139" s="18"/>
      <c r="FJT139" s="18"/>
      <c r="FJU139" s="18"/>
      <c r="FJV139" s="17"/>
      <c r="FJW139" s="9"/>
      <c r="FJX139" s="9"/>
      <c r="FJY139" s="18"/>
      <c r="FJZ139" s="18"/>
      <c r="FKA139" s="18"/>
      <c r="FKB139" s="18"/>
      <c r="FKC139" s="18"/>
      <c r="FKD139" s="17"/>
      <c r="FKE139" s="9"/>
      <c r="FKF139" s="9"/>
      <c r="FKG139" s="18"/>
      <c r="FKH139" s="18"/>
      <c r="FKI139" s="18"/>
      <c r="FKJ139" s="18"/>
      <c r="FKK139" s="18"/>
      <c r="FKL139" s="17"/>
      <c r="FKM139" s="9"/>
      <c r="FKN139" s="9"/>
      <c r="FKO139" s="18"/>
      <c r="FKP139" s="18"/>
      <c r="FKQ139" s="18"/>
      <c r="FKR139" s="18"/>
      <c r="FKS139" s="18"/>
      <c r="FKT139" s="17"/>
      <c r="FKU139" s="9"/>
      <c r="FKV139" s="9"/>
      <c r="FKW139" s="18"/>
      <c r="FKX139" s="18"/>
      <c r="FKY139" s="18"/>
      <c r="FKZ139" s="18"/>
      <c r="FLA139" s="18"/>
      <c r="FLB139" s="17"/>
      <c r="FLC139" s="9"/>
      <c r="FLD139" s="9"/>
      <c r="FLE139" s="18"/>
      <c r="FLF139" s="18"/>
      <c r="FLG139" s="18"/>
      <c r="FLH139" s="18"/>
      <c r="FLI139" s="18"/>
      <c r="FLJ139" s="17"/>
      <c r="FLK139" s="9"/>
      <c r="FLL139" s="9"/>
      <c r="FLM139" s="18"/>
      <c r="FLN139" s="18"/>
      <c r="FLO139" s="18"/>
      <c r="FLP139" s="18"/>
      <c r="FLQ139" s="18"/>
      <c r="FLR139" s="17"/>
      <c r="FLS139" s="9"/>
      <c r="FLT139" s="9"/>
      <c r="FLU139" s="18"/>
      <c r="FLV139" s="18"/>
      <c r="FLW139" s="18"/>
      <c r="FLX139" s="18"/>
      <c r="FLY139" s="18"/>
      <c r="FLZ139" s="17"/>
      <c r="FMA139" s="9"/>
      <c r="FMB139" s="9"/>
      <c r="FMC139" s="18"/>
      <c r="FMD139" s="18"/>
      <c r="FME139" s="18"/>
      <c r="FMF139" s="18"/>
      <c r="FMG139" s="18"/>
      <c r="FMH139" s="17"/>
      <c r="FMI139" s="9"/>
      <c r="FMJ139" s="9"/>
      <c r="FMK139" s="18"/>
      <c r="FML139" s="18"/>
      <c r="FMM139" s="18"/>
      <c r="FMN139" s="18"/>
      <c r="FMO139" s="18"/>
      <c r="FMP139" s="17"/>
      <c r="FMQ139" s="9"/>
      <c r="FMR139" s="9"/>
      <c r="FMS139" s="18"/>
      <c r="FMT139" s="18"/>
      <c r="FMU139" s="18"/>
      <c r="FMV139" s="18"/>
      <c r="FMW139" s="18"/>
      <c r="FMX139" s="17"/>
      <c r="FMY139" s="9"/>
      <c r="FMZ139" s="9"/>
      <c r="FNA139" s="18"/>
      <c r="FNB139" s="18"/>
      <c r="FNC139" s="18"/>
      <c r="FND139" s="18"/>
      <c r="FNE139" s="18"/>
      <c r="FNF139" s="17"/>
      <c r="FNG139" s="9"/>
      <c r="FNH139" s="9"/>
      <c r="FNI139" s="18"/>
      <c r="FNJ139" s="18"/>
      <c r="FNK139" s="18"/>
      <c r="FNL139" s="18"/>
      <c r="FNM139" s="18"/>
      <c r="FNN139" s="17"/>
      <c r="FNO139" s="9"/>
      <c r="FNP139" s="9"/>
      <c r="FNQ139" s="18"/>
      <c r="FNR139" s="18"/>
      <c r="FNS139" s="18"/>
      <c r="FNT139" s="18"/>
      <c r="FNU139" s="18"/>
      <c r="FNV139" s="17"/>
      <c r="FNW139" s="9"/>
      <c r="FNX139" s="9"/>
      <c r="FNY139" s="18"/>
      <c r="FNZ139" s="18"/>
      <c r="FOA139" s="18"/>
      <c r="FOB139" s="18"/>
      <c r="FOC139" s="18"/>
      <c r="FOD139" s="17"/>
      <c r="FOE139" s="9"/>
      <c r="FOF139" s="9"/>
      <c r="FOG139" s="18"/>
      <c r="FOH139" s="18"/>
      <c r="FOI139" s="18"/>
      <c r="FOJ139" s="18"/>
      <c r="FOK139" s="18"/>
      <c r="FOL139" s="17"/>
      <c r="FOM139" s="9"/>
      <c r="FON139" s="9"/>
      <c r="FOO139" s="18"/>
      <c r="FOP139" s="18"/>
      <c r="FOQ139" s="18"/>
      <c r="FOR139" s="18"/>
      <c r="FOS139" s="18"/>
      <c r="FOT139" s="17"/>
      <c r="FOU139" s="9"/>
      <c r="FOV139" s="9"/>
      <c r="FOW139" s="18"/>
      <c r="FOX139" s="18"/>
      <c r="FOY139" s="18"/>
      <c r="FOZ139" s="18"/>
      <c r="FPA139" s="18"/>
      <c r="FPB139" s="17"/>
      <c r="FPC139" s="9"/>
      <c r="FPD139" s="9"/>
      <c r="FPE139" s="18"/>
      <c r="FPF139" s="18"/>
      <c r="FPG139" s="18"/>
      <c r="FPH139" s="18"/>
      <c r="FPI139" s="18"/>
      <c r="FPJ139" s="17"/>
      <c r="FPK139" s="9"/>
      <c r="FPL139" s="9"/>
      <c r="FPM139" s="18"/>
      <c r="FPN139" s="18"/>
      <c r="FPO139" s="18"/>
      <c r="FPP139" s="18"/>
      <c r="FPQ139" s="18"/>
      <c r="FPR139" s="17"/>
      <c r="FPS139" s="9"/>
      <c r="FPT139" s="9"/>
      <c r="FPU139" s="18"/>
      <c r="FPV139" s="18"/>
      <c r="FPW139" s="18"/>
      <c r="FPX139" s="18"/>
      <c r="FPY139" s="18"/>
      <c r="FPZ139" s="17"/>
      <c r="FQA139" s="9"/>
      <c r="FQB139" s="9"/>
      <c r="FQC139" s="18"/>
      <c r="FQD139" s="18"/>
      <c r="FQE139" s="18"/>
      <c r="FQF139" s="18"/>
      <c r="FQG139" s="18"/>
      <c r="FQH139" s="17"/>
      <c r="FQI139" s="9"/>
      <c r="FQJ139" s="9"/>
      <c r="FQK139" s="18"/>
      <c r="FQL139" s="18"/>
      <c r="FQM139" s="18"/>
      <c r="FQN139" s="18"/>
      <c r="FQO139" s="18"/>
      <c r="FQP139" s="17"/>
      <c r="FQQ139" s="9"/>
      <c r="FQR139" s="9"/>
      <c r="FQS139" s="18"/>
      <c r="FQT139" s="18"/>
      <c r="FQU139" s="18"/>
      <c r="FQV139" s="18"/>
      <c r="FQW139" s="18"/>
      <c r="FQX139" s="17"/>
      <c r="FQY139" s="9"/>
      <c r="FQZ139" s="9"/>
      <c r="FRA139" s="18"/>
      <c r="FRB139" s="18"/>
      <c r="FRC139" s="18"/>
      <c r="FRD139" s="18"/>
      <c r="FRE139" s="18"/>
      <c r="FRF139" s="17"/>
      <c r="FRG139" s="9"/>
      <c r="FRH139" s="9"/>
      <c r="FRI139" s="18"/>
      <c r="FRJ139" s="18"/>
      <c r="FRK139" s="18"/>
      <c r="FRL139" s="18"/>
      <c r="FRM139" s="18"/>
      <c r="FRN139" s="17"/>
      <c r="FRO139" s="9"/>
      <c r="FRP139" s="9"/>
      <c r="FRQ139" s="18"/>
      <c r="FRR139" s="18"/>
      <c r="FRS139" s="18"/>
      <c r="FRT139" s="18"/>
      <c r="FRU139" s="18"/>
      <c r="FRV139" s="17"/>
      <c r="FRW139" s="9"/>
      <c r="FRX139" s="9"/>
      <c r="FRY139" s="18"/>
      <c r="FRZ139" s="18"/>
      <c r="FSA139" s="18"/>
      <c r="FSB139" s="18"/>
      <c r="FSC139" s="18"/>
      <c r="FSD139" s="17"/>
      <c r="FSE139" s="9"/>
      <c r="FSF139" s="9"/>
      <c r="FSG139" s="18"/>
      <c r="FSH139" s="18"/>
      <c r="FSI139" s="18"/>
      <c r="FSJ139" s="18"/>
      <c r="FSK139" s="18"/>
      <c r="FSL139" s="17"/>
      <c r="FSM139" s="9"/>
      <c r="FSN139" s="9"/>
      <c r="FSO139" s="18"/>
      <c r="FSP139" s="18"/>
      <c r="FSQ139" s="18"/>
      <c r="FSR139" s="18"/>
      <c r="FSS139" s="18"/>
      <c r="FST139" s="17"/>
      <c r="FSU139" s="9"/>
      <c r="FSV139" s="9"/>
      <c r="FSW139" s="18"/>
      <c r="FSX139" s="18"/>
      <c r="FSY139" s="18"/>
      <c r="FSZ139" s="18"/>
      <c r="FTA139" s="18"/>
      <c r="FTB139" s="17"/>
      <c r="FTC139" s="9"/>
      <c r="FTD139" s="9"/>
      <c r="FTE139" s="18"/>
      <c r="FTF139" s="18"/>
      <c r="FTG139" s="18"/>
      <c r="FTH139" s="18"/>
      <c r="FTI139" s="18"/>
      <c r="FTJ139" s="17"/>
      <c r="FTK139" s="9"/>
      <c r="FTL139" s="9"/>
      <c r="FTM139" s="18"/>
      <c r="FTN139" s="18"/>
      <c r="FTO139" s="18"/>
      <c r="FTP139" s="18"/>
      <c r="FTQ139" s="18"/>
      <c r="FTR139" s="17"/>
      <c r="FTS139" s="9"/>
      <c r="FTT139" s="9"/>
      <c r="FTU139" s="18"/>
      <c r="FTV139" s="18"/>
      <c r="FTW139" s="18"/>
      <c r="FTX139" s="18"/>
      <c r="FTY139" s="18"/>
      <c r="FTZ139" s="17"/>
      <c r="FUA139" s="9"/>
      <c r="FUB139" s="9"/>
      <c r="FUC139" s="18"/>
      <c r="FUD139" s="18"/>
      <c r="FUE139" s="18"/>
      <c r="FUF139" s="18"/>
      <c r="FUG139" s="18"/>
      <c r="FUH139" s="17"/>
      <c r="FUI139" s="9"/>
      <c r="FUJ139" s="9"/>
      <c r="FUK139" s="18"/>
      <c r="FUL139" s="18"/>
      <c r="FUM139" s="18"/>
      <c r="FUN139" s="18"/>
      <c r="FUO139" s="18"/>
      <c r="FUP139" s="17"/>
      <c r="FUQ139" s="9"/>
      <c r="FUR139" s="9"/>
      <c r="FUS139" s="18"/>
      <c r="FUT139" s="18"/>
      <c r="FUU139" s="18"/>
      <c r="FUV139" s="18"/>
      <c r="FUW139" s="18"/>
      <c r="FUX139" s="17"/>
      <c r="FUY139" s="9"/>
      <c r="FUZ139" s="9"/>
      <c r="FVA139" s="18"/>
      <c r="FVB139" s="18"/>
      <c r="FVC139" s="18"/>
      <c r="FVD139" s="18"/>
      <c r="FVE139" s="18"/>
      <c r="FVF139" s="17"/>
      <c r="FVG139" s="9"/>
      <c r="FVH139" s="9"/>
      <c r="FVI139" s="18"/>
      <c r="FVJ139" s="18"/>
      <c r="FVK139" s="18"/>
      <c r="FVL139" s="18"/>
      <c r="FVM139" s="18"/>
      <c r="FVN139" s="17"/>
      <c r="FVO139" s="9"/>
      <c r="FVP139" s="9"/>
      <c r="FVQ139" s="18"/>
      <c r="FVR139" s="18"/>
      <c r="FVS139" s="18"/>
      <c r="FVT139" s="18"/>
      <c r="FVU139" s="18"/>
      <c r="FVV139" s="17"/>
      <c r="FVW139" s="9"/>
      <c r="FVX139" s="9"/>
      <c r="FVY139" s="18"/>
      <c r="FVZ139" s="18"/>
      <c r="FWA139" s="18"/>
      <c r="FWB139" s="18"/>
      <c r="FWC139" s="18"/>
      <c r="FWD139" s="17"/>
      <c r="FWE139" s="9"/>
      <c r="FWF139" s="9"/>
      <c r="FWG139" s="18"/>
      <c r="FWH139" s="18"/>
      <c r="FWI139" s="18"/>
      <c r="FWJ139" s="18"/>
      <c r="FWK139" s="18"/>
      <c r="FWL139" s="17"/>
      <c r="FWM139" s="9"/>
      <c r="FWN139" s="9"/>
      <c r="FWO139" s="18"/>
      <c r="FWP139" s="18"/>
      <c r="FWQ139" s="18"/>
      <c r="FWR139" s="18"/>
      <c r="FWS139" s="18"/>
      <c r="FWT139" s="17"/>
      <c r="FWU139" s="9"/>
      <c r="FWV139" s="9"/>
      <c r="FWW139" s="18"/>
      <c r="FWX139" s="18"/>
      <c r="FWY139" s="18"/>
      <c r="FWZ139" s="18"/>
      <c r="FXA139" s="18"/>
      <c r="FXB139" s="17"/>
      <c r="FXC139" s="9"/>
      <c r="FXD139" s="9"/>
      <c r="FXE139" s="18"/>
      <c r="FXF139" s="18"/>
      <c r="FXG139" s="18"/>
      <c r="FXH139" s="18"/>
      <c r="FXI139" s="18"/>
      <c r="FXJ139" s="17"/>
      <c r="FXK139" s="9"/>
      <c r="FXL139" s="9"/>
      <c r="FXM139" s="18"/>
      <c r="FXN139" s="18"/>
      <c r="FXO139" s="18"/>
      <c r="FXP139" s="18"/>
      <c r="FXQ139" s="18"/>
      <c r="FXR139" s="17"/>
      <c r="FXS139" s="9"/>
      <c r="FXT139" s="9"/>
      <c r="FXU139" s="18"/>
      <c r="FXV139" s="18"/>
      <c r="FXW139" s="18"/>
      <c r="FXX139" s="18"/>
      <c r="FXY139" s="18"/>
      <c r="FXZ139" s="17"/>
      <c r="FYA139" s="9"/>
      <c r="FYB139" s="9"/>
      <c r="FYC139" s="18"/>
      <c r="FYD139" s="18"/>
      <c r="FYE139" s="18"/>
      <c r="FYF139" s="18"/>
      <c r="FYG139" s="18"/>
      <c r="FYH139" s="17"/>
      <c r="FYI139" s="9"/>
      <c r="FYJ139" s="9"/>
      <c r="FYK139" s="18"/>
      <c r="FYL139" s="18"/>
      <c r="FYM139" s="18"/>
      <c r="FYN139" s="18"/>
      <c r="FYO139" s="18"/>
      <c r="FYP139" s="17"/>
      <c r="FYQ139" s="9"/>
      <c r="FYR139" s="9"/>
      <c r="FYS139" s="18"/>
      <c r="FYT139" s="18"/>
      <c r="FYU139" s="18"/>
      <c r="FYV139" s="18"/>
      <c r="FYW139" s="18"/>
      <c r="FYX139" s="17"/>
      <c r="FYY139" s="9"/>
      <c r="FYZ139" s="9"/>
      <c r="FZA139" s="18"/>
      <c r="FZB139" s="18"/>
      <c r="FZC139" s="18"/>
      <c r="FZD139" s="18"/>
      <c r="FZE139" s="18"/>
      <c r="FZF139" s="17"/>
      <c r="FZG139" s="9"/>
      <c r="FZH139" s="9"/>
      <c r="FZI139" s="18"/>
      <c r="FZJ139" s="18"/>
      <c r="FZK139" s="18"/>
      <c r="FZL139" s="18"/>
      <c r="FZM139" s="18"/>
      <c r="FZN139" s="17"/>
      <c r="FZO139" s="9"/>
      <c r="FZP139" s="9"/>
      <c r="FZQ139" s="18"/>
      <c r="FZR139" s="18"/>
      <c r="FZS139" s="18"/>
      <c r="FZT139" s="18"/>
      <c r="FZU139" s="18"/>
      <c r="FZV139" s="17"/>
      <c r="FZW139" s="9"/>
      <c r="FZX139" s="9"/>
      <c r="FZY139" s="18"/>
      <c r="FZZ139" s="18"/>
      <c r="GAA139" s="18"/>
      <c r="GAB139" s="18"/>
      <c r="GAC139" s="18"/>
      <c r="GAD139" s="17"/>
      <c r="GAE139" s="9"/>
      <c r="GAF139" s="9"/>
      <c r="GAG139" s="18"/>
      <c r="GAH139" s="18"/>
      <c r="GAI139" s="18"/>
      <c r="GAJ139" s="18"/>
      <c r="GAK139" s="18"/>
      <c r="GAL139" s="17"/>
      <c r="GAM139" s="9"/>
      <c r="GAN139" s="9"/>
      <c r="GAO139" s="18"/>
      <c r="GAP139" s="18"/>
      <c r="GAQ139" s="18"/>
      <c r="GAR139" s="18"/>
      <c r="GAS139" s="18"/>
      <c r="GAT139" s="17"/>
      <c r="GAU139" s="9"/>
      <c r="GAV139" s="9"/>
      <c r="GAW139" s="18"/>
      <c r="GAX139" s="18"/>
      <c r="GAY139" s="18"/>
      <c r="GAZ139" s="18"/>
      <c r="GBA139" s="18"/>
      <c r="GBB139" s="17"/>
      <c r="GBC139" s="9"/>
      <c r="GBD139" s="9"/>
      <c r="GBE139" s="18"/>
      <c r="GBF139" s="18"/>
      <c r="GBG139" s="18"/>
      <c r="GBH139" s="18"/>
      <c r="GBI139" s="18"/>
      <c r="GBJ139" s="17"/>
      <c r="GBK139" s="9"/>
      <c r="GBL139" s="9"/>
      <c r="GBM139" s="18"/>
      <c r="GBN139" s="18"/>
      <c r="GBO139" s="18"/>
      <c r="GBP139" s="18"/>
      <c r="GBQ139" s="18"/>
      <c r="GBR139" s="17"/>
      <c r="GBS139" s="9"/>
      <c r="GBT139" s="9"/>
      <c r="GBU139" s="18"/>
      <c r="GBV139" s="18"/>
      <c r="GBW139" s="18"/>
      <c r="GBX139" s="18"/>
      <c r="GBY139" s="18"/>
      <c r="GBZ139" s="17"/>
      <c r="GCA139" s="9"/>
      <c r="GCB139" s="9"/>
      <c r="GCC139" s="18"/>
      <c r="GCD139" s="18"/>
      <c r="GCE139" s="18"/>
      <c r="GCF139" s="18"/>
      <c r="GCG139" s="18"/>
      <c r="GCH139" s="17"/>
      <c r="GCI139" s="9"/>
      <c r="GCJ139" s="9"/>
      <c r="GCK139" s="18"/>
      <c r="GCL139" s="18"/>
      <c r="GCM139" s="18"/>
      <c r="GCN139" s="18"/>
      <c r="GCO139" s="18"/>
      <c r="GCP139" s="17"/>
      <c r="GCQ139" s="9"/>
      <c r="GCR139" s="9"/>
      <c r="GCS139" s="18"/>
      <c r="GCT139" s="18"/>
      <c r="GCU139" s="18"/>
      <c r="GCV139" s="18"/>
      <c r="GCW139" s="18"/>
      <c r="GCX139" s="17"/>
      <c r="GCY139" s="9"/>
      <c r="GCZ139" s="9"/>
      <c r="GDA139" s="18"/>
      <c r="GDB139" s="18"/>
      <c r="GDC139" s="18"/>
      <c r="GDD139" s="18"/>
      <c r="GDE139" s="18"/>
      <c r="GDF139" s="17"/>
      <c r="GDG139" s="9"/>
      <c r="GDH139" s="9"/>
      <c r="GDI139" s="18"/>
      <c r="GDJ139" s="18"/>
      <c r="GDK139" s="18"/>
      <c r="GDL139" s="18"/>
      <c r="GDM139" s="18"/>
      <c r="GDN139" s="17"/>
      <c r="GDO139" s="9"/>
      <c r="GDP139" s="9"/>
      <c r="GDQ139" s="18"/>
      <c r="GDR139" s="18"/>
      <c r="GDS139" s="18"/>
      <c r="GDT139" s="18"/>
      <c r="GDU139" s="18"/>
      <c r="GDV139" s="17"/>
      <c r="GDW139" s="9"/>
      <c r="GDX139" s="9"/>
      <c r="GDY139" s="18"/>
      <c r="GDZ139" s="18"/>
      <c r="GEA139" s="18"/>
      <c r="GEB139" s="18"/>
      <c r="GEC139" s="18"/>
      <c r="GED139" s="17"/>
      <c r="GEE139" s="9"/>
      <c r="GEF139" s="9"/>
      <c r="GEG139" s="18"/>
      <c r="GEH139" s="18"/>
      <c r="GEI139" s="18"/>
      <c r="GEJ139" s="18"/>
      <c r="GEK139" s="18"/>
      <c r="GEL139" s="17"/>
      <c r="GEM139" s="9"/>
      <c r="GEN139" s="9"/>
      <c r="GEO139" s="18"/>
      <c r="GEP139" s="18"/>
      <c r="GEQ139" s="18"/>
      <c r="GER139" s="18"/>
      <c r="GES139" s="18"/>
      <c r="GET139" s="17"/>
      <c r="GEU139" s="9"/>
      <c r="GEV139" s="9"/>
      <c r="GEW139" s="18"/>
      <c r="GEX139" s="18"/>
      <c r="GEY139" s="18"/>
      <c r="GEZ139" s="18"/>
      <c r="GFA139" s="18"/>
      <c r="GFB139" s="17"/>
      <c r="GFC139" s="9"/>
      <c r="GFD139" s="9"/>
      <c r="GFE139" s="18"/>
      <c r="GFF139" s="18"/>
      <c r="GFG139" s="18"/>
      <c r="GFH139" s="18"/>
      <c r="GFI139" s="18"/>
      <c r="GFJ139" s="17"/>
      <c r="GFK139" s="9"/>
      <c r="GFL139" s="9"/>
      <c r="GFM139" s="18"/>
      <c r="GFN139" s="18"/>
      <c r="GFO139" s="18"/>
      <c r="GFP139" s="18"/>
      <c r="GFQ139" s="18"/>
      <c r="GFR139" s="17"/>
      <c r="GFS139" s="9"/>
      <c r="GFT139" s="9"/>
      <c r="GFU139" s="18"/>
      <c r="GFV139" s="18"/>
      <c r="GFW139" s="18"/>
      <c r="GFX139" s="18"/>
      <c r="GFY139" s="18"/>
      <c r="GFZ139" s="17"/>
      <c r="GGA139" s="9"/>
      <c r="GGB139" s="9"/>
      <c r="GGC139" s="18"/>
      <c r="GGD139" s="18"/>
      <c r="GGE139" s="18"/>
      <c r="GGF139" s="18"/>
      <c r="GGG139" s="18"/>
      <c r="GGH139" s="17"/>
      <c r="GGI139" s="9"/>
      <c r="GGJ139" s="9"/>
      <c r="GGK139" s="18"/>
      <c r="GGL139" s="18"/>
      <c r="GGM139" s="18"/>
      <c r="GGN139" s="18"/>
      <c r="GGO139" s="18"/>
      <c r="GGP139" s="17"/>
      <c r="GGQ139" s="9"/>
      <c r="GGR139" s="9"/>
      <c r="GGS139" s="18"/>
      <c r="GGT139" s="18"/>
      <c r="GGU139" s="18"/>
      <c r="GGV139" s="18"/>
      <c r="GGW139" s="18"/>
      <c r="GGX139" s="17"/>
      <c r="GGY139" s="9"/>
      <c r="GGZ139" s="9"/>
      <c r="GHA139" s="18"/>
      <c r="GHB139" s="18"/>
      <c r="GHC139" s="18"/>
      <c r="GHD139" s="18"/>
      <c r="GHE139" s="18"/>
      <c r="GHF139" s="17"/>
      <c r="GHG139" s="9"/>
      <c r="GHH139" s="9"/>
      <c r="GHI139" s="18"/>
      <c r="GHJ139" s="18"/>
      <c r="GHK139" s="18"/>
      <c r="GHL139" s="18"/>
      <c r="GHM139" s="18"/>
      <c r="GHN139" s="17"/>
      <c r="GHO139" s="9"/>
      <c r="GHP139" s="9"/>
      <c r="GHQ139" s="18"/>
      <c r="GHR139" s="18"/>
      <c r="GHS139" s="18"/>
      <c r="GHT139" s="18"/>
      <c r="GHU139" s="18"/>
      <c r="GHV139" s="17"/>
      <c r="GHW139" s="9"/>
      <c r="GHX139" s="9"/>
      <c r="GHY139" s="18"/>
      <c r="GHZ139" s="18"/>
      <c r="GIA139" s="18"/>
      <c r="GIB139" s="18"/>
      <c r="GIC139" s="18"/>
      <c r="GID139" s="17"/>
      <c r="GIE139" s="9"/>
      <c r="GIF139" s="9"/>
      <c r="GIG139" s="18"/>
      <c r="GIH139" s="18"/>
      <c r="GII139" s="18"/>
      <c r="GIJ139" s="18"/>
      <c r="GIK139" s="18"/>
      <c r="GIL139" s="17"/>
      <c r="GIM139" s="9"/>
      <c r="GIN139" s="9"/>
      <c r="GIO139" s="18"/>
      <c r="GIP139" s="18"/>
      <c r="GIQ139" s="18"/>
      <c r="GIR139" s="18"/>
      <c r="GIS139" s="18"/>
      <c r="GIT139" s="17"/>
      <c r="GIU139" s="9"/>
      <c r="GIV139" s="9"/>
      <c r="GIW139" s="18"/>
      <c r="GIX139" s="18"/>
      <c r="GIY139" s="18"/>
      <c r="GIZ139" s="18"/>
      <c r="GJA139" s="18"/>
      <c r="GJB139" s="17"/>
      <c r="GJC139" s="9"/>
      <c r="GJD139" s="9"/>
      <c r="GJE139" s="18"/>
      <c r="GJF139" s="18"/>
      <c r="GJG139" s="18"/>
      <c r="GJH139" s="18"/>
      <c r="GJI139" s="18"/>
      <c r="GJJ139" s="17"/>
      <c r="GJK139" s="9"/>
      <c r="GJL139" s="9"/>
      <c r="GJM139" s="18"/>
      <c r="GJN139" s="18"/>
      <c r="GJO139" s="18"/>
      <c r="GJP139" s="18"/>
      <c r="GJQ139" s="18"/>
      <c r="GJR139" s="17"/>
      <c r="GJS139" s="9"/>
      <c r="GJT139" s="9"/>
      <c r="GJU139" s="18"/>
      <c r="GJV139" s="18"/>
      <c r="GJW139" s="18"/>
      <c r="GJX139" s="18"/>
      <c r="GJY139" s="18"/>
      <c r="GJZ139" s="17"/>
      <c r="GKA139" s="9"/>
      <c r="GKB139" s="9"/>
      <c r="GKC139" s="18"/>
      <c r="GKD139" s="18"/>
      <c r="GKE139" s="18"/>
      <c r="GKF139" s="18"/>
      <c r="GKG139" s="18"/>
      <c r="GKH139" s="17"/>
      <c r="GKI139" s="9"/>
      <c r="GKJ139" s="9"/>
      <c r="GKK139" s="18"/>
      <c r="GKL139" s="18"/>
      <c r="GKM139" s="18"/>
      <c r="GKN139" s="18"/>
      <c r="GKO139" s="18"/>
      <c r="GKP139" s="17"/>
      <c r="GKQ139" s="9"/>
      <c r="GKR139" s="9"/>
      <c r="GKS139" s="18"/>
      <c r="GKT139" s="18"/>
      <c r="GKU139" s="18"/>
      <c r="GKV139" s="18"/>
      <c r="GKW139" s="18"/>
      <c r="GKX139" s="17"/>
      <c r="GKY139" s="9"/>
      <c r="GKZ139" s="9"/>
      <c r="GLA139" s="18"/>
      <c r="GLB139" s="18"/>
      <c r="GLC139" s="18"/>
      <c r="GLD139" s="18"/>
      <c r="GLE139" s="18"/>
      <c r="GLF139" s="17"/>
      <c r="GLG139" s="9"/>
      <c r="GLH139" s="9"/>
      <c r="GLI139" s="18"/>
      <c r="GLJ139" s="18"/>
      <c r="GLK139" s="18"/>
      <c r="GLL139" s="18"/>
      <c r="GLM139" s="18"/>
      <c r="GLN139" s="17"/>
      <c r="GLO139" s="9"/>
      <c r="GLP139" s="9"/>
      <c r="GLQ139" s="18"/>
      <c r="GLR139" s="18"/>
      <c r="GLS139" s="18"/>
      <c r="GLT139" s="18"/>
      <c r="GLU139" s="18"/>
      <c r="GLV139" s="17"/>
      <c r="GLW139" s="9"/>
      <c r="GLX139" s="9"/>
      <c r="GLY139" s="18"/>
      <c r="GLZ139" s="18"/>
      <c r="GMA139" s="18"/>
      <c r="GMB139" s="18"/>
      <c r="GMC139" s="18"/>
      <c r="GMD139" s="17"/>
      <c r="GME139" s="9"/>
      <c r="GMF139" s="9"/>
      <c r="GMG139" s="18"/>
      <c r="GMH139" s="18"/>
      <c r="GMI139" s="18"/>
      <c r="GMJ139" s="18"/>
      <c r="GMK139" s="18"/>
      <c r="GML139" s="17"/>
      <c r="GMM139" s="9"/>
      <c r="GMN139" s="9"/>
      <c r="GMO139" s="18"/>
      <c r="GMP139" s="18"/>
      <c r="GMQ139" s="18"/>
      <c r="GMR139" s="18"/>
      <c r="GMS139" s="18"/>
      <c r="GMT139" s="17"/>
      <c r="GMU139" s="9"/>
      <c r="GMV139" s="9"/>
      <c r="GMW139" s="18"/>
      <c r="GMX139" s="18"/>
      <c r="GMY139" s="18"/>
      <c r="GMZ139" s="18"/>
      <c r="GNA139" s="18"/>
      <c r="GNB139" s="17"/>
      <c r="GNC139" s="9"/>
      <c r="GND139" s="9"/>
      <c r="GNE139" s="18"/>
      <c r="GNF139" s="18"/>
      <c r="GNG139" s="18"/>
      <c r="GNH139" s="18"/>
      <c r="GNI139" s="18"/>
      <c r="GNJ139" s="17"/>
      <c r="GNK139" s="9"/>
      <c r="GNL139" s="9"/>
      <c r="GNM139" s="18"/>
      <c r="GNN139" s="18"/>
      <c r="GNO139" s="18"/>
      <c r="GNP139" s="18"/>
      <c r="GNQ139" s="18"/>
      <c r="GNR139" s="17"/>
      <c r="GNS139" s="9"/>
      <c r="GNT139" s="9"/>
      <c r="GNU139" s="18"/>
      <c r="GNV139" s="18"/>
      <c r="GNW139" s="18"/>
      <c r="GNX139" s="18"/>
      <c r="GNY139" s="18"/>
      <c r="GNZ139" s="17"/>
      <c r="GOA139" s="9"/>
      <c r="GOB139" s="9"/>
      <c r="GOC139" s="18"/>
      <c r="GOD139" s="18"/>
      <c r="GOE139" s="18"/>
      <c r="GOF139" s="18"/>
      <c r="GOG139" s="18"/>
      <c r="GOH139" s="17"/>
      <c r="GOI139" s="9"/>
      <c r="GOJ139" s="9"/>
      <c r="GOK139" s="18"/>
      <c r="GOL139" s="18"/>
      <c r="GOM139" s="18"/>
      <c r="GON139" s="18"/>
      <c r="GOO139" s="18"/>
      <c r="GOP139" s="17"/>
      <c r="GOQ139" s="9"/>
      <c r="GOR139" s="9"/>
      <c r="GOS139" s="18"/>
      <c r="GOT139" s="18"/>
      <c r="GOU139" s="18"/>
      <c r="GOV139" s="18"/>
      <c r="GOW139" s="18"/>
      <c r="GOX139" s="17"/>
      <c r="GOY139" s="9"/>
      <c r="GOZ139" s="9"/>
      <c r="GPA139" s="18"/>
      <c r="GPB139" s="18"/>
      <c r="GPC139" s="18"/>
      <c r="GPD139" s="18"/>
      <c r="GPE139" s="18"/>
      <c r="GPF139" s="17"/>
      <c r="GPG139" s="9"/>
      <c r="GPH139" s="9"/>
      <c r="GPI139" s="18"/>
      <c r="GPJ139" s="18"/>
      <c r="GPK139" s="18"/>
      <c r="GPL139" s="18"/>
      <c r="GPM139" s="18"/>
      <c r="GPN139" s="17"/>
      <c r="GPO139" s="9"/>
      <c r="GPP139" s="9"/>
      <c r="GPQ139" s="18"/>
      <c r="GPR139" s="18"/>
      <c r="GPS139" s="18"/>
      <c r="GPT139" s="18"/>
      <c r="GPU139" s="18"/>
      <c r="GPV139" s="17"/>
      <c r="GPW139" s="9"/>
      <c r="GPX139" s="9"/>
      <c r="GPY139" s="18"/>
      <c r="GPZ139" s="18"/>
      <c r="GQA139" s="18"/>
      <c r="GQB139" s="18"/>
      <c r="GQC139" s="18"/>
      <c r="GQD139" s="17"/>
      <c r="GQE139" s="9"/>
      <c r="GQF139" s="9"/>
      <c r="GQG139" s="18"/>
      <c r="GQH139" s="18"/>
      <c r="GQI139" s="18"/>
      <c r="GQJ139" s="18"/>
      <c r="GQK139" s="18"/>
      <c r="GQL139" s="17"/>
      <c r="GQM139" s="9"/>
      <c r="GQN139" s="9"/>
      <c r="GQO139" s="18"/>
      <c r="GQP139" s="18"/>
      <c r="GQQ139" s="18"/>
      <c r="GQR139" s="18"/>
      <c r="GQS139" s="18"/>
      <c r="GQT139" s="17"/>
      <c r="GQU139" s="9"/>
      <c r="GQV139" s="9"/>
      <c r="GQW139" s="18"/>
      <c r="GQX139" s="18"/>
      <c r="GQY139" s="18"/>
      <c r="GQZ139" s="18"/>
      <c r="GRA139" s="18"/>
      <c r="GRB139" s="17"/>
      <c r="GRC139" s="9"/>
      <c r="GRD139" s="9"/>
      <c r="GRE139" s="18"/>
      <c r="GRF139" s="18"/>
      <c r="GRG139" s="18"/>
      <c r="GRH139" s="18"/>
      <c r="GRI139" s="18"/>
      <c r="GRJ139" s="17"/>
      <c r="GRK139" s="9"/>
      <c r="GRL139" s="9"/>
      <c r="GRM139" s="18"/>
      <c r="GRN139" s="18"/>
      <c r="GRO139" s="18"/>
      <c r="GRP139" s="18"/>
      <c r="GRQ139" s="18"/>
      <c r="GRR139" s="17"/>
      <c r="GRS139" s="9"/>
      <c r="GRT139" s="9"/>
      <c r="GRU139" s="18"/>
      <c r="GRV139" s="18"/>
      <c r="GRW139" s="18"/>
      <c r="GRX139" s="18"/>
      <c r="GRY139" s="18"/>
      <c r="GRZ139" s="17"/>
      <c r="GSA139" s="9"/>
      <c r="GSB139" s="9"/>
      <c r="GSC139" s="18"/>
      <c r="GSD139" s="18"/>
      <c r="GSE139" s="18"/>
      <c r="GSF139" s="18"/>
      <c r="GSG139" s="18"/>
      <c r="GSH139" s="17"/>
      <c r="GSI139" s="9"/>
      <c r="GSJ139" s="9"/>
      <c r="GSK139" s="18"/>
      <c r="GSL139" s="18"/>
      <c r="GSM139" s="18"/>
      <c r="GSN139" s="18"/>
      <c r="GSO139" s="18"/>
      <c r="GSP139" s="17"/>
      <c r="GSQ139" s="9"/>
      <c r="GSR139" s="9"/>
      <c r="GSS139" s="18"/>
      <c r="GST139" s="18"/>
      <c r="GSU139" s="18"/>
      <c r="GSV139" s="18"/>
      <c r="GSW139" s="18"/>
      <c r="GSX139" s="17"/>
      <c r="GSY139" s="9"/>
      <c r="GSZ139" s="9"/>
      <c r="GTA139" s="18"/>
      <c r="GTB139" s="18"/>
      <c r="GTC139" s="18"/>
      <c r="GTD139" s="18"/>
      <c r="GTE139" s="18"/>
      <c r="GTF139" s="17"/>
      <c r="GTG139" s="9"/>
      <c r="GTH139" s="9"/>
      <c r="GTI139" s="18"/>
      <c r="GTJ139" s="18"/>
      <c r="GTK139" s="18"/>
      <c r="GTL139" s="18"/>
      <c r="GTM139" s="18"/>
      <c r="GTN139" s="17"/>
      <c r="GTO139" s="9"/>
      <c r="GTP139" s="9"/>
      <c r="GTQ139" s="18"/>
      <c r="GTR139" s="18"/>
      <c r="GTS139" s="18"/>
      <c r="GTT139" s="18"/>
      <c r="GTU139" s="18"/>
      <c r="GTV139" s="17"/>
      <c r="GTW139" s="9"/>
      <c r="GTX139" s="9"/>
      <c r="GTY139" s="18"/>
      <c r="GTZ139" s="18"/>
      <c r="GUA139" s="18"/>
      <c r="GUB139" s="18"/>
      <c r="GUC139" s="18"/>
      <c r="GUD139" s="17"/>
      <c r="GUE139" s="9"/>
      <c r="GUF139" s="9"/>
      <c r="GUG139" s="18"/>
      <c r="GUH139" s="18"/>
      <c r="GUI139" s="18"/>
      <c r="GUJ139" s="18"/>
      <c r="GUK139" s="18"/>
      <c r="GUL139" s="17"/>
      <c r="GUM139" s="9"/>
      <c r="GUN139" s="9"/>
      <c r="GUO139" s="18"/>
      <c r="GUP139" s="18"/>
      <c r="GUQ139" s="18"/>
      <c r="GUR139" s="18"/>
      <c r="GUS139" s="18"/>
      <c r="GUT139" s="17"/>
      <c r="GUU139" s="9"/>
      <c r="GUV139" s="9"/>
      <c r="GUW139" s="18"/>
      <c r="GUX139" s="18"/>
      <c r="GUY139" s="18"/>
      <c r="GUZ139" s="18"/>
      <c r="GVA139" s="18"/>
      <c r="GVB139" s="17"/>
      <c r="GVC139" s="9"/>
      <c r="GVD139" s="9"/>
      <c r="GVE139" s="18"/>
      <c r="GVF139" s="18"/>
      <c r="GVG139" s="18"/>
      <c r="GVH139" s="18"/>
      <c r="GVI139" s="18"/>
      <c r="GVJ139" s="17"/>
      <c r="GVK139" s="9"/>
      <c r="GVL139" s="9"/>
      <c r="GVM139" s="18"/>
      <c r="GVN139" s="18"/>
      <c r="GVO139" s="18"/>
      <c r="GVP139" s="18"/>
      <c r="GVQ139" s="18"/>
      <c r="GVR139" s="17"/>
      <c r="GVS139" s="9"/>
      <c r="GVT139" s="9"/>
      <c r="GVU139" s="18"/>
      <c r="GVV139" s="18"/>
      <c r="GVW139" s="18"/>
      <c r="GVX139" s="18"/>
      <c r="GVY139" s="18"/>
      <c r="GVZ139" s="17"/>
      <c r="GWA139" s="9"/>
      <c r="GWB139" s="9"/>
      <c r="GWC139" s="18"/>
      <c r="GWD139" s="18"/>
      <c r="GWE139" s="18"/>
      <c r="GWF139" s="18"/>
      <c r="GWG139" s="18"/>
      <c r="GWH139" s="17"/>
      <c r="GWI139" s="9"/>
      <c r="GWJ139" s="9"/>
      <c r="GWK139" s="18"/>
      <c r="GWL139" s="18"/>
      <c r="GWM139" s="18"/>
      <c r="GWN139" s="18"/>
      <c r="GWO139" s="18"/>
      <c r="GWP139" s="17"/>
      <c r="GWQ139" s="9"/>
      <c r="GWR139" s="9"/>
      <c r="GWS139" s="18"/>
      <c r="GWT139" s="18"/>
      <c r="GWU139" s="18"/>
      <c r="GWV139" s="18"/>
      <c r="GWW139" s="18"/>
      <c r="GWX139" s="17"/>
      <c r="GWY139" s="9"/>
      <c r="GWZ139" s="9"/>
      <c r="GXA139" s="18"/>
      <c r="GXB139" s="18"/>
      <c r="GXC139" s="18"/>
      <c r="GXD139" s="18"/>
      <c r="GXE139" s="18"/>
      <c r="GXF139" s="17"/>
      <c r="GXG139" s="9"/>
      <c r="GXH139" s="9"/>
      <c r="GXI139" s="18"/>
      <c r="GXJ139" s="18"/>
      <c r="GXK139" s="18"/>
      <c r="GXL139" s="18"/>
      <c r="GXM139" s="18"/>
      <c r="GXN139" s="17"/>
      <c r="GXO139" s="9"/>
      <c r="GXP139" s="9"/>
      <c r="GXQ139" s="18"/>
      <c r="GXR139" s="18"/>
      <c r="GXS139" s="18"/>
      <c r="GXT139" s="18"/>
      <c r="GXU139" s="18"/>
      <c r="GXV139" s="17"/>
      <c r="GXW139" s="9"/>
      <c r="GXX139" s="9"/>
      <c r="GXY139" s="18"/>
      <c r="GXZ139" s="18"/>
      <c r="GYA139" s="18"/>
      <c r="GYB139" s="18"/>
      <c r="GYC139" s="18"/>
      <c r="GYD139" s="17"/>
      <c r="GYE139" s="9"/>
      <c r="GYF139" s="9"/>
      <c r="GYG139" s="18"/>
      <c r="GYH139" s="18"/>
      <c r="GYI139" s="18"/>
      <c r="GYJ139" s="18"/>
      <c r="GYK139" s="18"/>
      <c r="GYL139" s="17"/>
      <c r="GYM139" s="9"/>
      <c r="GYN139" s="9"/>
      <c r="GYO139" s="18"/>
      <c r="GYP139" s="18"/>
      <c r="GYQ139" s="18"/>
      <c r="GYR139" s="18"/>
      <c r="GYS139" s="18"/>
      <c r="GYT139" s="17"/>
      <c r="GYU139" s="9"/>
      <c r="GYV139" s="9"/>
      <c r="GYW139" s="18"/>
      <c r="GYX139" s="18"/>
      <c r="GYY139" s="18"/>
      <c r="GYZ139" s="18"/>
      <c r="GZA139" s="18"/>
      <c r="GZB139" s="17"/>
      <c r="GZC139" s="9"/>
      <c r="GZD139" s="9"/>
      <c r="GZE139" s="18"/>
      <c r="GZF139" s="18"/>
      <c r="GZG139" s="18"/>
      <c r="GZH139" s="18"/>
      <c r="GZI139" s="18"/>
      <c r="GZJ139" s="17"/>
      <c r="GZK139" s="9"/>
      <c r="GZL139" s="9"/>
      <c r="GZM139" s="18"/>
      <c r="GZN139" s="18"/>
      <c r="GZO139" s="18"/>
      <c r="GZP139" s="18"/>
      <c r="GZQ139" s="18"/>
      <c r="GZR139" s="17"/>
      <c r="GZS139" s="9"/>
      <c r="GZT139" s="9"/>
      <c r="GZU139" s="18"/>
      <c r="GZV139" s="18"/>
      <c r="GZW139" s="18"/>
      <c r="GZX139" s="18"/>
      <c r="GZY139" s="18"/>
      <c r="GZZ139" s="17"/>
      <c r="HAA139" s="9"/>
      <c r="HAB139" s="9"/>
      <c r="HAC139" s="18"/>
      <c r="HAD139" s="18"/>
      <c r="HAE139" s="18"/>
      <c r="HAF139" s="18"/>
      <c r="HAG139" s="18"/>
      <c r="HAH139" s="17"/>
      <c r="HAI139" s="9"/>
      <c r="HAJ139" s="9"/>
      <c r="HAK139" s="18"/>
      <c r="HAL139" s="18"/>
      <c r="HAM139" s="18"/>
      <c r="HAN139" s="18"/>
      <c r="HAO139" s="18"/>
      <c r="HAP139" s="17"/>
      <c r="HAQ139" s="9"/>
      <c r="HAR139" s="9"/>
      <c r="HAS139" s="18"/>
      <c r="HAT139" s="18"/>
      <c r="HAU139" s="18"/>
      <c r="HAV139" s="18"/>
      <c r="HAW139" s="18"/>
      <c r="HAX139" s="17"/>
      <c r="HAY139" s="9"/>
      <c r="HAZ139" s="9"/>
      <c r="HBA139" s="18"/>
      <c r="HBB139" s="18"/>
      <c r="HBC139" s="18"/>
      <c r="HBD139" s="18"/>
      <c r="HBE139" s="18"/>
      <c r="HBF139" s="17"/>
      <c r="HBG139" s="9"/>
      <c r="HBH139" s="9"/>
      <c r="HBI139" s="18"/>
      <c r="HBJ139" s="18"/>
      <c r="HBK139" s="18"/>
      <c r="HBL139" s="18"/>
      <c r="HBM139" s="18"/>
      <c r="HBN139" s="17"/>
      <c r="HBO139" s="9"/>
      <c r="HBP139" s="9"/>
      <c r="HBQ139" s="18"/>
      <c r="HBR139" s="18"/>
      <c r="HBS139" s="18"/>
      <c r="HBT139" s="18"/>
      <c r="HBU139" s="18"/>
      <c r="HBV139" s="17"/>
      <c r="HBW139" s="9"/>
      <c r="HBX139" s="9"/>
      <c r="HBY139" s="18"/>
      <c r="HBZ139" s="18"/>
      <c r="HCA139" s="18"/>
      <c r="HCB139" s="18"/>
      <c r="HCC139" s="18"/>
      <c r="HCD139" s="17"/>
      <c r="HCE139" s="9"/>
      <c r="HCF139" s="9"/>
      <c r="HCG139" s="18"/>
      <c r="HCH139" s="18"/>
      <c r="HCI139" s="18"/>
      <c r="HCJ139" s="18"/>
      <c r="HCK139" s="18"/>
      <c r="HCL139" s="17"/>
      <c r="HCM139" s="9"/>
      <c r="HCN139" s="9"/>
      <c r="HCO139" s="18"/>
      <c r="HCP139" s="18"/>
      <c r="HCQ139" s="18"/>
      <c r="HCR139" s="18"/>
      <c r="HCS139" s="18"/>
      <c r="HCT139" s="17"/>
      <c r="HCU139" s="9"/>
      <c r="HCV139" s="9"/>
      <c r="HCW139" s="18"/>
      <c r="HCX139" s="18"/>
      <c r="HCY139" s="18"/>
      <c r="HCZ139" s="18"/>
      <c r="HDA139" s="18"/>
      <c r="HDB139" s="17"/>
      <c r="HDC139" s="9"/>
      <c r="HDD139" s="9"/>
      <c r="HDE139" s="18"/>
      <c r="HDF139" s="18"/>
      <c r="HDG139" s="18"/>
      <c r="HDH139" s="18"/>
      <c r="HDI139" s="18"/>
      <c r="HDJ139" s="17"/>
      <c r="HDK139" s="9"/>
      <c r="HDL139" s="9"/>
      <c r="HDM139" s="18"/>
      <c r="HDN139" s="18"/>
      <c r="HDO139" s="18"/>
      <c r="HDP139" s="18"/>
      <c r="HDQ139" s="18"/>
      <c r="HDR139" s="17"/>
      <c r="HDS139" s="9"/>
      <c r="HDT139" s="9"/>
      <c r="HDU139" s="18"/>
      <c r="HDV139" s="18"/>
      <c r="HDW139" s="18"/>
      <c r="HDX139" s="18"/>
      <c r="HDY139" s="18"/>
      <c r="HDZ139" s="17"/>
      <c r="HEA139" s="9"/>
      <c r="HEB139" s="9"/>
      <c r="HEC139" s="18"/>
      <c r="HED139" s="18"/>
      <c r="HEE139" s="18"/>
      <c r="HEF139" s="18"/>
      <c r="HEG139" s="18"/>
      <c r="HEH139" s="17"/>
      <c r="HEI139" s="9"/>
      <c r="HEJ139" s="9"/>
      <c r="HEK139" s="18"/>
      <c r="HEL139" s="18"/>
      <c r="HEM139" s="18"/>
      <c r="HEN139" s="18"/>
      <c r="HEO139" s="18"/>
      <c r="HEP139" s="17"/>
      <c r="HEQ139" s="9"/>
      <c r="HER139" s="9"/>
      <c r="HES139" s="18"/>
      <c r="HET139" s="18"/>
      <c r="HEU139" s="18"/>
      <c r="HEV139" s="18"/>
      <c r="HEW139" s="18"/>
      <c r="HEX139" s="17"/>
      <c r="HEY139" s="9"/>
      <c r="HEZ139" s="9"/>
      <c r="HFA139" s="18"/>
      <c r="HFB139" s="18"/>
      <c r="HFC139" s="18"/>
      <c r="HFD139" s="18"/>
      <c r="HFE139" s="18"/>
      <c r="HFF139" s="17"/>
      <c r="HFG139" s="9"/>
      <c r="HFH139" s="9"/>
      <c r="HFI139" s="18"/>
      <c r="HFJ139" s="18"/>
      <c r="HFK139" s="18"/>
      <c r="HFL139" s="18"/>
      <c r="HFM139" s="18"/>
      <c r="HFN139" s="17"/>
      <c r="HFO139" s="9"/>
      <c r="HFP139" s="9"/>
      <c r="HFQ139" s="18"/>
      <c r="HFR139" s="18"/>
      <c r="HFS139" s="18"/>
      <c r="HFT139" s="18"/>
      <c r="HFU139" s="18"/>
      <c r="HFV139" s="17"/>
      <c r="HFW139" s="9"/>
      <c r="HFX139" s="9"/>
      <c r="HFY139" s="18"/>
      <c r="HFZ139" s="18"/>
      <c r="HGA139" s="18"/>
      <c r="HGB139" s="18"/>
      <c r="HGC139" s="18"/>
      <c r="HGD139" s="17"/>
      <c r="HGE139" s="9"/>
      <c r="HGF139" s="9"/>
      <c r="HGG139" s="18"/>
      <c r="HGH139" s="18"/>
      <c r="HGI139" s="18"/>
      <c r="HGJ139" s="18"/>
      <c r="HGK139" s="18"/>
      <c r="HGL139" s="17"/>
      <c r="HGM139" s="9"/>
      <c r="HGN139" s="9"/>
      <c r="HGO139" s="18"/>
      <c r="HGP139" s="18"/>
      <c r="HGQ139" s="18"/>
      <c r="HGR139" s="18"/>
      <c r="HGS139" s="18"/>
      <c r="HGT139" s="17"/>
      <c r="HGU139" s="9"/>
      <c r="HGV139" s="9"/>
      <c r="HGW139" s="18"/>
      <c r="HGX139" s="18"/>
      <c r="HGY139" s="18"/>
      <c r="HGZ139" s="18"/>
      <c r="HHA139" s="18"/>
      <c r="HHB139" s="17"/>
      <c r="HHC139" s="9"/>
      <c r="HHD139" s="9"/>
      <c r="HHE139" s="18"/>
      <c r="HHF139" s="18"/>
      <c r="HHG139" s="18"/>
      <c r="HHH139" s="18"/>
      <c r="HHI139" s="18"/>
      <c r="HHJ139" s="17"/>
      <c r="HHK139" s="9"/>
      <c r="HHL139" s="9"/>
      <c r="HHM139" s="18"/>
      <c r="HHN139" s="18"/>
      <c r="HHO139" s="18"/>
      <c r="HHP139" s="18"/>
      <c r="HHQ139" s="18"/>
      <c r="HHR139" s="17"/>
      <c r="HHS139" s="9"/>
      <c r="HHT139" s="9"/>
      <c r="HHU139" s="18"/>
      <c r="HHV139" s="18"/>
      <c r="HHW139" s="18"/>
      <c r="HHX139" s="18"/>
      <c r="HHY139" s="18"/>
      <c r="HHZ139" s="17"/>
      <c r="HIA139" s="9"/>
      <c r="HIB139" s="9"/>
      <c r="HIC139" s="18"/>
      <c r="HID139" s="18"/>
      <c r="HIE139" s="18"/>
      <c r="HIF139" s="18"/>
      <c r="HIG139" s="18"/>
      <c r="HIH139" s="17"/>
      <c r="HII139" s="9"/>
      <c r="HIJ139" s="9"/>
      <c r="HIK139" s="18"/>
      <c r="HIL139" s="18"/>
      <c r="HIM139" s="18"/>
      <c r="HIN139" s="18"/>
      <c r="HIO139" s="18"/>
      <c r="HIP139" s="17"/>
      <c r="HIQ139" s="9"/>
      <c r="HIR139" s="9"/>
      <c r="HIS139" s="18"/>
      <c r="HIT139" s="18"/>
      <c r="HIU139" s="18"/>
      <c r="HIV139" s="18"/>
      <c r="HIW139" s="18"/>
      <c r="HIX139" s="17"/>
      <c r="HIY139" s="9"/>
      <c r="HIZ139" s="9"/>
      <c r="HJA139" s="18"/>
      <c r="HJB139" s="18"/>
      <c r="HJC139" s="18"/>
      <c r="HJD139" s="18"/>
      <c r="HJE139" s="18"/>
      <c r="HJF139" s="17"/>
      <c r="HJG139" s="9"/>
      <c r="HJH139" s="9"/>
      <c r="HJI139" s="18"/>
      <c r="HJJ139" s="18"/>
      <c r="HJK139" s="18"/>
      <c r="HJL139" s="18"/>
      <c r="HJM139" s="18"/>
      <c r="HJN139" s="17"/>
      <c r="HJO139" s="9"/>
      <c r="HJP139" s="9"/>
      <c r="HJQ139" s="18"/>
      <c r="HJR139" s="18"/>
      <c r="HJS139" s="18"/>
      <c r="HJT139" s="18"/>
      <c r="HJU139" s="18"/>
      <c r="HJV139" s="17"/>
      <c r="HJW139" s="9"/>
      <c r="HJX139" s="9"/>
      <c r="HJY139" s="18"/>
      <c r="HJZ139" s="18"/>
      <c r="HKA139" s="18"/>
      <c r="HKB139" s="18"/>
      <c r="HKC139" s="18"/>
      <c r="HKD139" s="17"/>
      <c r="HKE139" s="9"/>
      <c r="HKF139" s="9"/>
      <c r="HKG139" s="18"/>
      <c r="HKH139" s="18"/>
      <c r="HKI139" s="18"/>
      <c r="HKJ139" s="18"/>
      <c r="HKK139" s="18"/>
      <c r="HKL139" s="17"/>
      <c r="HKM139" s="9"/>
      <c r="HKN139" s="9"/>
      <c r="HKO139" s="18"/>
      <c r="HKP139" s="18"/>
      <c r="HKQ139" s="18"/>
      <c r="HKR139" s="18"/>
      <c r="HKS139" s="18"/>
      <c r="HKT139" s="17"/>
      <c r="HKU139" s="9"/>
      <c r="HKV139" s="9"/>
      <c r="HKW139" s="18"/>
      <c r="HKX139" s="18"/>
      <c r="HKY139" s="18"/>
      <c r="HKZ139" s="18"/>
      <c r="HLA139" s="18"/>
      <c r="HLB139" s="17"/>
      <c r="HLC139" s="9"/>
      <c r="HLD139" s="9"/>
      <c r="HLE139" s="18"/>
      <c r="HLF139" s="18"/>
      <c r="HLG139" s="18"/>
      <c r="HLH139" s="18"/>
      <c r="HLI139" s="18"/>
      <c r="HLJ139" s="17"/>
      <c r="HLK139" s="9"/>
      <c r="HLL139" s="9"/>
      <c r="HLM139" s="18"/>
      <c r="HLN139" s="18"/>
      <c r="HLO139" s="18"/>
      <c r="HLP139" s="18"/>
      <c r="HLQ139" s="18"/>
      <c r="HLR139" s="17"/>
      <c r="HLS139" s="9"/>
      <c r="HLT139" s="9"/>
      <c r="HLU139" s="18"/>
      <c r="HLV139" s="18"/>
      <c r="HLW139" s="18"/>
      <c r="HLX139" s="18"/>
      <c r="HLY139" s="18"/>
      <c r="HLZ139" s="17"/>
      <c r="HMA139" s="9"/>
      <c r="HMB139" s="9"/>
      <c r="HMC139" s="18"/>
      <c r="HMD139" s="18"/>
      <c r="HME139" s="18"/>
      <c r="HMF139" s="18"/>
      <c r="HMG139" s="18"/>
      <c r="HMH139" s="17"/>
      <c r="HMI139" s="9"/>
      <c r="HMJ139" s="9"/>
      <c r="HMK139" s="18"/>
      <c r="HML139" s="18"/>
      <c r="HMM139" s="18"/>
      <c r="HMN139" s="18"/>
      <c r="HMO139" s="18"/>
      <c r="HMP139" s="17"/>
      <c r="HMQ139" s="9"/>
      <c r="HMR139" s="9"/>
      <c r="HMS139" s="18"/>
      <c r="HMT139" s="18"/>
      <c r="HMU139" s="18"/>
      <c r="HMV139" s="18"/>
      <c r="HMW139" s="18"/>
      <c r="HMX139" s="17"/>
      <c r="HMY139" s="9"/>
      <c r="HMZ139" s="9"/>
      <c r="HNA139" s="18"/>
      <c r="HNB139" s="18"/>
      <c r="HNC139" s="18"/>
      <c r="HND139" s="18"/>
      <c r="HNE139" s="18"/>
      <c r="HNF139" s="17"/>
      <c r="HNG139" s="9"/>
      <c r="HNH139" s="9"/>
      <c r="HNI139" s="18"/>
      <c r="HNJ139" s="18"/>
      <c r="HNK139" s="18"/>
      <c r="HNL139" s="18"/>
      <c r="HNM139" s="18"/>
      <c r="HNN139" s="17"/>
      <c r="HNO139" s="9"/>
      <c r="HNP139" s="9"/>
      <c r="HNQ139" s="18"/>
      <c r="HNR139" s="18"/>
      <c r="HNS139" s="18"/>
      <c r="HNT139" s="18"/>
      <c r="HNU139" s="18"/>
      <c r="HNV139" s="17"/>
      <c r="HNW139" s="9"/>
      <c r="HNX139" s="9"/>
      <c r="HNY139" s="18"/>
      <c r="HNZ139" s="18"/>
      <c r="HOA139" s="18"/>
      <c r="HOB139" s="18"/>
      <c r="HOC139" s="18"/>
      <c r="HOD139" s="17"/>
      <c r="HOE139" s="9"/>
      <c r="HOF139" s="9"/>
      <c r="HOG139" s="18"/>
      <c r="HOH139" s="18"/>
      <c r="HOI139" s="18"/>
      <c r="HOJ139" s="18"/>
      <c r="HOK139" s="18"/>
      <c r="HOL139" s="17"/>
      <c r="HOM139" s="9"/>
      <c r="HON139" s="9"/>
      <c r="HOO139" s="18"/>
      <c r="HOP139" s="18"/>
      <c r="HOQ139" s="18"/>
      <c r="HOR139" s="18"/>
      <c r="HOS139" s="18"/>
      <c r="HOT139" s="17"/>
      <c r="HOU139" s="9"/>
      <c r="HOV139" s="9"/>
      <c r="HOW139" s="18"/>
      <c r="HOX139" s="18"/>
      <c r="HOY139" s="18"/>
      <c r="HOZ139" s="18"/>
      <c r="HPA139" s="18"/>
      <c r="HPB139" s="17"/>
      <c r="HPC139" s="9"/>
      <c r="HPD139" s="9"/>
      <c r="HPE139" s="18"/>
      <c r="HPF139" s="18"/>
      <c r="HPG139" s="18"/>
      <c r="HPH139" s="18"/>
      <c r="HPI139" s="18"/>
      <c r="HPJ139" s="17"/>
      <c r="HPK139" s="9"/>
      <c r="HPL139" s="9"/>
      <c r="HPM139" s="18"/>
      <c r="HPN139" s="18"/>
      <c r="HPO139" s="18"/>
      <c r="HPP139" s="18"/>
      <c r="HPQ139" s="18"/>
      <c r="HPR139" s="17"/>
      <c r="HPS139" s="9"/>
      <c r="HPT139" s="9"/>
      <c r="HPU139" s="18"/>
      <c r="HPV139" s="18"/>
      <c r="HPW139" s="18"/>
      <c r="HPX139" s="18"/>
      <c r="HPY139" s="18"/>
      <c r="HPZ139" s="17"/>
      <c r="HQA139" s="9"/>
      <c r="HQB139" s="9"/>
      <c r="HQC139" s="18"/>
      <c r="HQD139" s="18"/>
      <c r="HQE139" s="18"/>
      <c r="HQF139" s="18"/>
      <c r="HQG139" s="18"/>
      <c r="HQH139" s="17"/>
      <c r="HQI139" s="9"/>
      <c r="HQJ139" s="9"/>
      <c r="HQK139" s="18"/>
      <c r="HQL139" s="18"/>
      <c r="HQM139" s="18"/>
      <c r="HQN139" s="18"/>
      <c r="HQO139" s="18"/>
      <c r="HQP139" s="17"/>
      <c r="HQQ139" s="9"/>
      <c r="HQR139" s="9"/>
      <c r="HQS139" s="18"/>
      <c r="HQT139" s="18"/>
      <c r="HQU139" s="18"/>
      <c r="HQV139" s="18"/>
      <c r="HQW139" s="18"/>
      <c r="HQX139" s="17"/>
      <c r="HQY139" s="9"/>
      <c r="HQZ139" s="9"/>
      <c r="HRA139" s="18"/>
      <c r="HRB139" s="18"/>
      <c r="HRC139" s="18"/>
      <c r="HRD139" s="18"/>
      <c r="HRE139" s="18"/>
      <c r="HRF139" s="17"/>
      <c r="HRG139" s="9"/>
      <c r="HRH139" s="9"/>
      <c r="HRI139" s="18"/>
      <c r="HRJ139" s="18"/>
      <c r="HRK139" s="18"/>
      <c r="HRL139" s="18"/>
      <c r="HRM139" s="18"/>
      <c r="HRN139" s="17"/>
      <c r="HRO139" s="9"/>
      <c r="HRP139" s="9"/>
      <c r="HRQ139" s="18"/>
      <c r="HRR139" s="18"/>
      <c r="HRS139" s="18"/>
      <c r="HRT139" s="18"/>
      <c r="HRU139" s="18"/>
      <c r="HRV139" s="17"/>
      <c r="HRW139" s="9"/>
      <c r="HRX139" s="9"/>
      <c r="HRY139" s="18"/>
      <c r="HRZ139" s="18"/>
      <c r="HSA139" s="18"/>
      <c r="HSB139" s="18"/>
      <c r="HSC139" s="18"/>
      <c r="HSD139" s="17"/>
      <c r="HSE139" s="9"/>
      <c r="HSF139" s="9"/>
      <c r="HSG139" s="18"/>
      <c r="HSH139" s="18"/>
      <c r="HSI139" s="18"/>
      <c r="HSJ139" s="18"/>
      <c r="HSK139" s="18"/>
      <c r="HSL139" s="17"/>
      <c r="HSM139" s="9"/>
      <c r="HSN139" s="9"/>
      <c r="HSO139" s="18"/>
      <c r="HSP139" s="18"/>
      <c r="HSQ139" s="18"/>
      <c r="HSR139" s="18"/>
      <c r="HSS139" s="18"/>
      <c r="HST139" s="17"/>
      <c r="HSU139" s="9"/>
      <c r="HSV139" s="9"/>
      <c r="HSW139" s="18"/>
      <c r="HSX139" s="18"/>
      <c r="HSY139" s="18"/>
      <c r="HSZ139" s="18"/>
      <c r="HTA139" s="18"/>
      <c r="HTB139" s="17"/>
      <c r="HTC139" s="9"/>
      <c r="HTD139" s="9"/>
      <c r="HTE139" s="18"/>
      <c r="HTF139" s="18"/>
      <c r="HTG139" s="18"/>
      <c r="HTH139" s="18"/>
      <c r="HTI139" s="18"/>
      <c r="HTJ139" s="17"/>
      <c r="HTK139" s="9"/>
      <c r="HTL139" s="9"/>
      <c r="HTM139" s="18"/>
      <c r="HTN139" s="18"/>
      <c r="HTO139" s="18"/>
      <c r="HTP139" s="18"/>
      <c r="HTQ139" s="18"/>
      <c r="HTR139" s="17"/>
      <c r="HTS139" s="9"/>
      <c r="HTT139" s="9"/>
      <c r="HTU139" s="18"/>
      <c r="HTV139" s="18"/>
      <c r="HTW139" s="18"/>
      <c r="HTX139" s="18"/>
      <c r="HTY139" s="18"/>
      <c r="HTZ139" s="17"/>
      <c r="HUA139" s="9"/>
      <c r="HUB139" s="9"/>
      <c r="HUC139" s="18"/>
      <c r="HUD139" s="18"/>
      <c r="HUE139" s="18"/>
      <c r="HUF139" s="18"/>
      <c r="HUG139" s="18"/>
      <c r="HUH139" s="17"/>
      <c r="HUI139" s="9"/>
      <c r="HUJ139" s="9"/>
      <c r="HUK139" s="18"/>
      <c r="HUL139" s="18"/>
      <c r="HUM139" s="18"/>
      <c r="HUN139" s="18"/>
      <c r="HUO139" s="18"/>
      <c r="HUP139" s="17"/>
      <c r="HUQ139" s="9"/>
      <c r="HUR139" s="9"/>
      <c r="HUS139" s="18"/>
      <c r="HUT139" s="18"/>
      <c r="HUU139" s="18"/>
      <c r="HUV139" s="18"/>
      <c r="HUW139" s="18"/>
      <c r="HUX139" s="17"/>
      <c r="HUY139" s="9"/>
      <c r="HUZ139" s="9"/>
      <c r="HVA139" s="18"/>
      <c r="HVB139" s="18"/>
      <c r="HVC139" s="18"/>
      <c r="HVD139" s="18"/>
      <c r="HVE139" s="18"/>
      <c r="HVF139" s="17"/>
      <c r="HVG139" s="9"/>
      <c r="HVH139" s="9"/>
      <c r="HVI139" s="18"/>
      <c r="HVJ139" s="18"/>
      <c r="HVK139" s="18"/>
      <c r="HVL139" s="18"/>
      <c r="HVM139" s="18"/>
      <c r="HVN139" s="17"/>
      <c r="HVO139" s="9"/>
      <c r="HVP139" s="9"/>
      <c r="HVQ139" s="18"/>
      <c r="HVR139" s="18"/>
      <c r="HVS139" s="18"/>
      <c r="HVT139" s="18"/>
      <c r="HVU139" s="18"/>
      <c r="HVV139" s="17"/>
      <c r="HVW139" s="9"/>
      <c r="HVX139" s="9"/>
      <c r="HVY139" s="18"/>
      <c r="HVZ139" s="18"/>
      <c r="HWA139" s="18"/>
      <c r="HWB139" s="18"/>
      <c r="HWC139" s="18"/>
      <c r="HWD139" s="17"/>
      <c r="HWE139" s="9"/>
      <c r="HWF139" s="9"/>
      <c r="HWG139" s="18"/>
      <c r="HWH139" s="18"/>
      <c r="HWI139" s="18"/>
      <c r="HWJ139" s="18"/>
      <c r="HWK139" s="18"/>
      <c r="HWL139" s="17"/>
      <c r="HWM139" s="9"/>
      <c r="HWN139" s="9"/>
      <c r="HWO139" s="18"/>
      <c r="HWP139" s="18"/>
      <c r="HWQ139" s="18"/>
      <c r="HWR139" s="18"/>
      <c r="HWS139" s="18"/>
      <c r="HWT139" s="17"/>
      <c r="HWU139" s="9"/>
      <c r="HWV139" s="9"/>
      <c r="HWW139" s="18"/>
      <c r="HWX139" s="18"/>
      <c r="HWY139" s="18"/>
      <c r="HWZ139" s="18"/>
      <c r="HXA139" s="18"/>
      <c r="HXB139" s="17"/>
      <c r="HXC139" s="9"/>
      <c r="HXD139" s="9"/>
      <c r="HXE139" s="18"/>
      <c r="HXF139" s="18"/>
      <c r="HXG139" s="18"/>
      <c r="HXH139" s="18"/>
      <c r="HXI139" s="18"/>
      <c r="HXJ139" s="17"/>
      <c r="HXK139" s="9"/>
      <c r="HXL139" s="9"/>
      <c r="HXM139" s="18"/>
      <c r="HXN139" s="18"/>
      <c r="HXO139" s="18"/>
      <c r="HXP139" s="18"/>
      <c r="HXQ139" s="18"/>
      <c r="HXR139" s="17"/>
      <c r="HXS139" s="9"/>
      <c r="HXT139" s="9"/>
      <c r="HXU139" s="18"/>
      <c r="HXV139" s="18"/>
      <c r="HXW139" s="18"/>
      <c r="HXX139" s="18"/>
      <c r="HXY139" s="18"/>
      <c r="HXZ139" s="17"/>
      <c r="HYA139" s="9"/>
      <c r="HYB139" s="9"/>
      <c r="HYC139" s="18"/>
      <c r="HYD139" s="18"/>
      <c r="HYE139" s="18"/>
      <c r="HYF139" s="18"/>
      <c r="HYG139" s="18"/>
      <c r="HYH139" s="17"/>
      <c r="HYI139" s="9"/>
      <c r="HYJ139" s="9"/>
      <c r="HYK139" s="18"/>
      <c r="HYL139" s="18"/>
      <c r="HYM139" s="18"/>
      <c r="HYN139" s="18"/>
      <c r="HYO139" s="18"/>
      <c r="HYP139" s="17"/>
      <c r="HYQ139" s="9"/>
      <c r="HYR139" s="9"/>
      <c r="HYS139" s="18"/>
      <c r="HYT139" s="18"/>
      <c r="HYU139" s="18"/>
      <c r="HYV139" s="18"/>
      <c r="HYW139" s="18"/>
      <c r="HYX139" s="17"/>
      <c r="HYY139" s="9"/>
      <c r="HYZ139" s="9"/>
      <c r="HZA139" s="18"/>
      <c r="HZB139" s="18"/>
      <c r="HZC139" s="18"/>
      <c r="HZD139" s="18"/>
      <c r="HZE139" s="18"/>
      <c r="HZF139" s="17"/>
      <c r="HZG139" s="9"/>
      <c r="HZH139" s="9"/>
      <c r="HZI139" s="18"/>
      <c r="HZJ139" s="18"/>
      <c r="HZK139" s="18"/>
      <c r="HZL139" s="18"/>
      <c r="HZM139" s="18"/>
      <c r="HZN139" s="17"/>
      <c r="HZO139" s="9"/>
      <c r="HZP139" s="9"/>
      <c r="HZQ139" s="18"/>
      <c r="HZR139" s="18"/>
      <c r="HZS139" s="18"/>
      <c r="HZT139" s="18"/>
      <c r="HZU139" s="18"/>
      <c r="HZV139" s="17"/>
      <c r="HZW139" s="9"/>
      <c r="HZX139" s="9"/>
      <c r="HZY139" s="18"/>
      <c r="HZZ139" s="18"/>
      <c r="IAA139" s="18"/>
      <c r="IAB139" s="18"/>
      <c r="IAC139" s="18"/>
      <c r="IAD139" s="17"/>
      <c r="IAE139" s="9"/>
      <c r="IAF139" s="9"/>
      <c r="IAG139" s="18"/>
      <c r="IAH139" s="18"/>
      <c r="IAI139" s="18"/>
      <c r="IAJ139" s="18"/>
      <c r="IAK139" s="18"/>
      <c r="IAL139" s="17"/>
      <c r="IAM139" s="9"/>
      <c r="IAN139" s="9"/>
      <c r="IAO139" s="18"/>
      <c r="IAP139" s="18"/>
      <c r="IAQ139" s="18"/>
      <c r="IAR139" s="18"/>
      <c r="IAS139" s="18"/>
      <c r="IAT139" s="17"/>
      <c r="IAU139" s="9"/>
      <c r="IAV139" s="9"/>
      <c r="IAW139" s="18"/>
      <c r="IAX139" s="18"/>
      <c r="IAY139" s="18"/>
      <c r="IAZ139" s="18"/>
      <c r="IBA139" s="18"/>
      <c r="IBB139" s="17"/>
      <c r="IBC139" s="9"/>
      <c r="IBD139" s="9"/>
      <c r="IBE139" s="18"/>
      <c r="IBF139" s="18"/>
      <c r="IBG139" s="18"/>
      <c r="IBH139" s="18"/>
      <c r="IBI139" s="18"/>
      <c r="IBJ139" s="17"/>
      <c r="IBK139" s="9"/>
      <c r="IBL139" s="9"/>
      <c r="IBM139" s="18"/>
      <c r="IBN139" s="18"/>
      <c r="IBO139" s="18"/>
      <c r="IBP139" s="18"/>
      <c r="IBQ139" s="18"/>
      <c r="IBR139" s="17"/>
      <c r="IBS139" s="9"/>
      <c r="IBT139" s="9"/>
      <c r="IBU139" s="18"/>
      <c r="IBV139" s="18"/>
      <c r="IBW139" s="18"/>
      <c r="IBX139" s="18"/>
      <c r="IBY139" s="18"/>
      <c r="IBZ139" s="17"/>
      <c r="ICA139" s="9"/>
      <c r="ICB139" s="9"/>
      <c r="ICC139" s="18"/>
      <c r="ICD139" s="18"/>
      <c r="ICE139" s="18"/>
      <c r="ICF139" s="18"/>
      <c r="ICG139" s="18"/>
      <c r="ICH139" s="17"/>
      <c r="ICI139" s="9"/>
      <c r="ICJ139" s="9"/>
      <c r="ICK139" s="18"/>
      <c r="ICL139" s="18"/>
      <c r="ICM139" s="18"/>
      <c r="ICN139" s="18"/>
      <c r="ICO139" s="18"/>
      <c r="ICP139" s="17"/>
      <c r="ICQ139" s="9"/>
      <c r="ICR139" s="9"/>
      <c r="ICS139" s="18"/>
      <c r="ICT139" s="18"/>
      <c r="ICU139" s="18"/>
      <c r="ICV139" s="18"/>
      <c r="ICW139" s="18"/>
      <c r="ICX139" s="17"/>
      <c r="ICY139" s="9"/>
      <c r="ICZ139" s="9"/>
      <c r="IDA139" s="18"/>
      <c r="IDB139" s="18"/>
      <c r="IDC139" s="18"/>
      <c r="IDD139" s="18"/>
      <c r="IDE139" s="18"/>
      <c r="IDF139" s="17"/>
      <c r="IDG139" s="9"/>
      <c r="IDH139" s="9"/>
      <c r="IDI139" s="18"/>
      <c r="IDJ139" s="18"/>
      <c r="IDK139" s="18"/>
      <c r="IDL139" s="18"/>
      <c r="IDM139" s="18"/>
      <c r="IDN139" s="17"/>
      <c r="IDO139" s="9"/>
      <c r="IDP139" s="9"/>
      <c r="IDQ139" s="18"/>
      <c r="IDR139" s="18"/>
      <c r="IDS139" s="18"/>
      <c r="IDT139" s="18"/>
      <c r="IDU139" s="18"/>
      <c r="IDV139" s="17"/>
      <c r="IDW139" s="9"/>
      <c r="IDX139" s="9"/>
      <c r="IDY139" s="18"/>
      <c r="IDZ139" s="18"/>
      <c r="IEA139" s="18"/>
      <c r="IEB139" s="18"/>
      <c r="IEC139" s="18"/>
      <c r="IED139" s="17"/>
      <c r="IEE139" s="9"/>
      <c r="IEF139" s="9"/>
      <c r="IEG139" s="18"/>
      <c r="IEH139" s="18"/>
      <c r="IEI139" s="18"/>
      <c r="IEJ139" s="18"/>
      <c r="IEK139" s="18"/>
      <c r="IEL139" s="17"/>
      <c r="IEM139" s="9"/>
      <c r="IEN139" s="9"/>
      <c r="IEO139" s="18"/>
      <c r="IEP139" s="18"/>
      <c r="IEQ139" s="18"/>
      <c r="IER139" s="18"/>
      <c r="IES139" s="18"/>
      <c r="IET139" s="17"/>
      <c r="IEU139" s="9"/>
      <c r="IEV139" s="9"/>
      <c r="IEW139" s="18"/>
      <c r="IEX139" s="18"/>
      <c r="IEY139" s="18"/>
      <c r="IEZ139" s="18"/>
      <c r="IFA139" s="18"/>
      <c r="IFB139" s="17"/>
      <c r="IFC139" s="9"/>
      <c r="IFD139" s="9"/>
      <c r="IFE139" s="18"/>
      <c r="IFF139" s="18"/>
      <c r="IFG139" s="18"/>
      <c r="IFH139" s="18"/>
      <c r="IFI139" s="18"/>
      <c r="IFJ139" s="17"/>
      <c r="IFK139" s="9"/>
      <c r="IFL139" s="9"/>
      <c r="IFM139" s="18"/>
      <c r="IFN139" s="18"/>
      <c r="IFO139" s="18"/>
      <c r="IFP139" s="18"/>
      <c r="IFQ139" s="18"/>
      <c r="IFR139" s="17"/>
      <c r="IFS139" s="9"/>
      <c r="IFT139" s="9"/>
      <c r="IFU139" s="18"/>
      <c r="IFV139" s="18"/>
      <c r="IFW139" s="18"/>
      <c r="IFX139" s="18"/>
      <c r="IFY139" s="18"/>
      <c r="IFZ139" s="17"/>
      <c r="IGA139" s="9"/>
      <c r="IGB139" s="9"/>
      <c r="IGC139" s="18"/>
      <c r="IGD139" s="18"/>
      <c r="IGE139" s="18"/>
      <c r="IGF139" s="18"/>
      <c r="IGG139" s="18"/>
      <c r="IGH139" s="17"/>
      <c r="IGI139" s="9"/>
      <c r="IGJ139" s="9"/>
      <c r="IGK139" s="18"/>
      <c r="IGL139" s="18"/>
      <c r="IGM139" s="18"/>
      <c r="IGN139" s="18"/>
      <c r="IGO139" s="18"/>
      <c r="IGP139" s="17"/>
      <c r="IGQ139" s="9"/>
      <c r="IGR139" s="9"/>
      <c r="IGS139" s="18"/>
      <c r="IGT139" s="18"/>
      <c r="IGU139" s="18"/>
      <c r="IGV139" s="18"/>
      <c r="IGW139" s="18"/>
      <c r="IGX139" s="17"/>
      <c r="IGY139" s="9"/>
      <c r="IGZ139" s="9"/>
      <c r="IHA139" s="18"/>
      <c r="IHB139" s="18"/>
      <c r="IHC139" s="18"/>
      <c r="IHD139" s="18"/>
      <c r="IHE139" s="18"/>
      <c r="IHF139" s="17"/>
      <c r="IHG139" s="9"/>
      <c r="IHH139" s="9"/>
      <c r="IHI139" s="18"/>
      <c r="IHJ139" s="18"/>
      <c r="IHK139" s="18"/>
      <c r="IHL139" s="18"/>
      <c r="IHM139" s="18"/>
      <c r="IHN139" s="17"/>
      <c r="IHO139" s="9"/>
      <c r="IHP139" s="9"/>
      <c r="IHQ139" s="18"/>
      <c r="IHR139" s="18"/>
      <c r="IHS139" s="18"/>
      <c r="IHT139" s="18"/>
      <c r="IHU139" s="18"/>
      <c r="IHV139" s="17"/>
      <c r="IHW139" s="9"/>
      <c r="IHX139" s="9"/>
      <c r="IHY139" s="18"/>
      <c r="IHZ139" s="18"/>
      <c r="IIA139" s="18"/>
      <c r="IIB139" s="18"/>
      <c r="IIC139" s="18"/>
      <c r="IID139" s="17"/>
      <c r="IIE139" s="9"/>
      <c r="IIF139" s="9"/>
      <c r="IIG139" s="18"/>
      <c r="IIH139" s="18"/>
      <c r="III139" s="18"/>
      <c r="IIJ139" s="18"/>
      <c r="IIK139" s="18"/>
      <c r="IIL139" s="17"/>
      <c r="IIM139" s="9"/>
      <c r="IIN139" s="9"/>
      <c r="IIO139" s="18"/>
      <c r="IIP139" s="18"/>
      <c r="IIQ139" s="18"/>
      <c r="IIR139" s="18"/>
      <c r="IIS139" s="18"/>
      <c r="IIT139" s="17"/>
      <c r="IIU139" s="9"/>
      <c r="IIV139" s="9"/>
      <c r="IIW139" s="18"/>
      <c r="IIX139" s="18"/>
      <c r="IIY139" s="18"/>
      <c r="IIZ139" s="18"/>
      <c r="IJA139" s="18"/>
      <c r="IJB139" s="17"/>
      <c r="IJC139" s="9"/>
      <c r="IJD139" s="9"/>
      <c r="IJE139" s="18"/>
      <c r="IJF139" s="18"/>
      <c r="IJG139" s="18"/>
      <c r="IJH139" s="18"/>
      <c r="IJI139" s="18"/>
      <c r="IJJ139" s="17"/>
      <c r="IJK139" s="9"/>
      <c r="IJL139" s="9"/>
      <c r="IJM139" s="18"/>
      <c r="IJN139" s="18"/>
      <c r="IJO139" s="18"/>
      <c r="IJP139" s="18"/>
      <c r="IJQ139" s="18"/>
      <c r="IJR139" s="17"/>
      <c r="IJS139" s="9"/>
      <c r="IJT139" s="9"/>
      <c r="IJU139" s="18"/>
      <c r="IJV139" s="18"/>
      <c r="IJW139" s="18"/>
      <c r="IJX139" s="18"/>
      <c r="IJY139" s="18"/>
      <c r="IJZ139" s="17"/>
      <c r="IKA139" s="9"/>
      <c r="IKB139" s="9"/>
      <c r="IKC139" s="18"/>
      <c r="IKD139" s="18"/>
      <c r="IKE139" s="18"/>
      <c r="IKF139" s="18"/>
      <c r="IKG139" s="18"/>
      <c r="IKH139" s="17"/>
      <c r="IKI139" s="9"/>
      <c r="IKJ139" s="9"/>
      <c r="IKK139" s="18"/>
      <c r="IKL139" s="18"/>
      <c r="IKM139" s="18"/>
      <c r="IKN139" s="18"/>
      <c r="IKO139" s="18"/>
      <c r="IKP139" s="17"/>
      <c r="IKQ139" s="9"/>
      <c r="IKR139" s="9"/>
      <c r="IKS139" s="18"/>
      <c r="IKT139" s="18"/>
      <c r="IKU139" s="18"/>
      <c r="IKV139" s="18"/>
      <c r="IKW139" s="18"/>
      <c r="IKX139" s="17"/>
      <c r="IKY139" s="9"/>
      <c r="IKZ139" s="9"/>
      <c r="ILA139" s="18"/>
      <c r="ILB139" s="18"/>
      <c r="ILC139" s="18"/>
      <c r="ILD139" s="18"/>
      <c r="ILE139" s="18"/>
      <c r="ILF139" s="17"/>
      <c r="ILG139" s="9"/>
      <c r="ILH139" s="9"/>
      <c r="ILI139" s="18"/>
      <c r="ILJ139" s="18"/>
      <c r="ILK139" s="18"/>
      <c r="ILL139" s="18"/>
      <c r="ILM139" s="18"/>
      <c r="ILN139" s="17"/>
      <c r="ILO139" s="9"/>
      <c r="ILP139" s="9"/>
      <c r="ILQ139" s="18"/>
      <c r="ILR139" s="18"/>
      <c r="ILS139" s="18"/>
      <c r="ILT139" s="18"/>
      <c r="ILU139" s="18"/>
      <c r="ILV139" s="17"/>
      <c r="ILW139" s="9"/>
      <c r="ILX139" s="9"/>
      <c r="ILY139" s="18"/>
      <c r="ILZ139" s="18"/>
      <c r="IMA139" s="18"/>
      <c r="IMB139" s="18"/>
      <c r="IMC139" s="18"/>
      <c r="IMD139" s="17"/>
      <c r="IME139" s="9"/>
      <c r="IMF139" s="9"/>
      <c r="IMG139" s="18"/>
      <c r="IMH139" s="18"/>
      <c r="IMI139" s="18"/>
      <c r="IMJ139" s="18"/>
      <c r="IMK139" s="18"/>
      <c r="IML139" s="17"/>
      <c r="IMM139" s="9"/>
      <c r="IMN139" s="9"/>
      <c r="IMO139" s="18"/>
      <c r="IMP139" s="18"/>
      <c r="IMQ139" s="18"/>
      <c r="IMR139" s="18"/>
      <c r="IMS139" s="18"/>
      <c r="IMT139" s="17"/>
      <c r="IMU139" s="9"/>
      <c r="IMV139" s="9"/>
      <c r="IMW139" s="18"/>
      <c r="IMX139" s="18"/>
      <c r="IMY139" s="18"/>
      <c r="IMZ139" s="18"/>
      <c r="INA139" s="18"/>
      <c r="INB139" s="17"/>
      <c r="INC139" s="9"/>
      <c r="IND139" s="9"/>
      <c r="INE139" s="18"/>
      <c r="INF139" s="18"/>
      <c r="ING139" s="18"/>
      <c r="INH139" s="18"/>
      <c r="INI139" s="18"/>
      <c r="INJ139" s="17"/>
      <c r="INK139" s="9"/>
      <c r="INL139" s="9"/>
      <c r="INM139" s="18"/>
      <c r="INN139" s="18"/>
      <c r="INO139" s="18"/>
      <c r="INP139" s="18"/>
      <c r="INQ139" s="18"/>
      <c r="INR139" s="17"/>
      <c r="INS139" s="9"/>
      <c r="INT139" s="9"/>
      <c r="INU139" s="18"/>
      <c r="INV139" s="18"/>
      <c r="INW139" s="18"/>
      <c r="INX139" s="18"/>
      <c r="INY139" s="18"/>
      <c r="INZ139" s="17"/>
      <c r="IOA139" s="9"/>
      <c r="IOB139" s="9"/>
      <c r="IOC139" s="18"/>
      <c r="IOD139" s="18"/>
      <c r="IOE139" s="18"/>
      <c r="IOF139" s="18"/>
      <c r="IOG139" s="18"/>
      <c r="IOH139" s="17"/>
      <c r="IOI139" s="9"/>
      <c r="IOJ139" s="9"/>
      <c r="IOK139" s="18"/>
      <c r="IOL139" s="18"/>
      <c r="IOM139" s="18"/>
      <c r="ION139" s="18"/>
      <c r="IOO139" s="18"/>
      <c r="IOP139" s="17"/>
      <c r="IOQ139" s="9"/>
      <c r="IOR139" s="9"/>
      <c r="IOS139" s="18"/>
      <c r="IOT139" s="18"/>
      <c r="IOU139" s="18"/>
      <c r="IOV139" s="18"/>
      <c r="IOW139" s="18"/>
      <c r="IOX139" s="17"/>
      <c r="IOY139" s="9"/>
      <c r="IOZ139" s="9"/>
      <c r="IPA139" s="18"/>
      <c r="IPB139" s="18"/>
      <c r="IPC139" s="18"/>
      <c r="IPD139" s="18"/>
      <c r="IPE139" s="18"/>
      <c r="IPF139" s="17"/>
      <c r="IPG139" s="9"/>
      <c r="IPH139" s="9"/>
      <c r="IPI139" s="18"/>
      <c r="IPJ139" s="18"/>
      <c r="IPK139" s="18"/>
      <c r="IPL139" s="18"/>
      <c r="IPM139" s="18"/>
      <c r="IPN139" s="17"/>
      <c r="IPO139" s="9"/>
      <c r="IPP139" s="9"/>
      <c r="IPQ139" s="18"/>
      <c r="IPR139" s="18"/>
      <c r="IPS139" s="18"/>
      <c r="IPT139" s="18"/>
      <c r="IPU139" s="18"/>
      <c r="IPV139" s="17"/>
      <c r="IPW139" s="9"/>
      <c r="IPX139" s="9"/>
      <c r="IPY139" s="18"/>
      <c r="IPZ139" s="18"/>
      <c r="IQA139" s="18"/>
      <c r="IQB139" s="18"/>
      <c r="IQC139" s="18"/>
      <c r="IQD139" s="17"/>
      <c r="IQE139" s="9"/>
      <c r="IQF139" s="9"/>
      <c r="IQG139" s="18"/>
      <c r="IQH139" s="18"/>
      <c r="IQI139" s="18"/>
      <c r="IQJ139" s="18"/>
      <c r="IQK139" s="18"/>
      <c r="IQL139" s="17"/>
      <c r="IQM139" s="9"/>
      <c r="IQN139" s="9"/>
      <c r="IQO139" s="18"/>
      <c r="IQP139" s="18"/>
      <c r="IQQ139" s="18"/>
      <c r="IQR139" s="18"/>
      <c r="IQS139" s="18"/>
      <c r="IQT139" s="17"/>
      <c r="IQU139" s="9"/>
      <c r="IQV139" s="9"/>
      <c r="IQW139" s="18"/>
      <c r="IQX139" s="18"/>
      <c r="IQY139" s="18"/>
      <c r="IQZ139" s="18"/>
      <c r="IRA139" s="18"/>
      <c r="IRB139" s="17"/>
      <c r="IRC139" s="9"/>
      <c r="IRD139" s="9"/>
      <c r="IRE139" s="18"/>
      <c r="IRF139" s="18"/>
      <c r="IRG139" s="18"/>
      <c r="IRH139" s="18"/>
      <c r="IRI139" s="18"/>
      <c r="IRJ139" s="17"/>
      <c r="IRK139" s="9"/>
      <c r="IRL139" s="9"/>
      <c r="IRM139" s="18"/>
      <c r="IRN139" s="18"/>
      <c r="IRO139" s="18"/>
      <c r="IRP139" s="18"/>
      <c r="IRQ139" s="18"/>
      <c r="IRR139" s="17"/>
      <c r="IRS139" s="9"/>
      <c r="IRT139" s="9"/>
      <c r="IRU139" s="18"/>
      <c r="IRV139" s="18"/>
      <c r="IRW139" s="18"/>
      <c r="IRX139" s="18"/>
      <c r="IRY139" s="18"/>
      <c r="IRZ139" s="17"/>
      <c r="ISA139" s="9"/>
      <c r="ISB139" s="9"/>
      <c r="ISC139" s="18"/>
      <c r="ISD139" s="18"/>
      <c r="ISE139" s="18"/>
      <c r="ISF139" s="18"/>
      <c r="ISG139" s="18"/>
      <c r="ISH139" s="17"/>
      <c r="ISI139" s="9"/>
      <c r="ISJ139" s="9"/>
      <c r="ISK139" s="18"/>
      <c r="ISL139" s="18"/>
      <c r="ISM139" s="18"/>
      <c r="ISN139" s="18"/>
      <c r="ISO139" s="18"/>
      <c r="ISP139" s="17"/>
      <c r="ISQ139" s="9"/>
      <c r="ISR139" s="9"/>
      <c r="ISS139" s="18"/>
      <c r="IST139" s="18"/>
      <c r="ISU139" s="18"/>
      <c r="ISV139" s="18"/>
      <c r="ISW139" s="18"/>
      <c r="ISX139" s="17"/>
      <c r="ISY139" s="9"/>
      <c r="ISZ139" s="9"/>
      <c r="ITA139" s="18"/>
      <c r="ITB139" s="18"/>
      <c r="ITC139" s="18"/>
      <c r="ITD139" s="18"/>
      <c r="ITE139" s="18"/>
      <c r="ITF139" s="17"/>
      <c r="ITG139" s="9"/>
      <c r="ITH139" s="9"/>
      <c r="ITI139" s="18"/>
      <c r="ITJ139" s="18"/>
      <c r="ITK139" s="18"/>
      <c r="ITL139" s="18"/>
      <c r="ITM139" s="18"/>
      <c r="ITN139" s="17"/>
      <c r="ITO139" s="9"/>
      <c r="ITP139" s="9"/>
      <c r="ITQ139" s="18"/>
      <c r="ITR139" s="18"/>
      <c r="ITS139" s="18"/>
      <c r="ITT139" s="18"/>
      <c r="ITU139" s="18"/>
      <c r="ITV139" s="17"/>
      <c r="ITW139" s="9"/>
      <c r="ITX139" s="9"/>
      <c r="ITY139" s="18"/>
      <c r="ITZ139" s="18"/>
      <c r="IUA139" s="18"/>
      <c r="IUB139" s="18"/>
      <c r="IUC139" s="18"/>
      <c r="IUD139" s="17"/>
      <c r="IUE139" s="9"/>
      <c r="IUF139" s="9"/>
      <c r="IUG139" s="18"/>
      <c r="IUH139" s="18"/>
      <c r="IUI139" s="18"/>
      <c r="IUJ139" s="18"/>
      <c r="IUK139" s="18"/>
      <c r="IUL139" s="17"/>
      <c r="IUM139" s="9"/>
      <c r="IUN139" s="9"/>
      <c r="IUO139" s="18"/>
      <c r="IUP139" s="18"/>
      <c r="IUQ139" s="18"/>
      <c r="IUR139" s="18"/>
      <c r="IUS139" s="18"/>
      <c r="IUT139" s="17"/>
      <c r="IUU139" s="9"/>
      <c r="IUV139" s="9"/>
      <c r="IUW139" s="18"/>
      <c r="IUX139" s="18"/>
      <c r="IUY139" s="18"/>
      <c r="IUZ139" s="18"/>
      <c r="IVA139" s="18"/>
      <c r="IVB139" s="17"/>
      <c r="IVC139" s="9"/>
      <c r="IVD139" s="9"/>
      <c r="IVE139" s="18"/>
      <c r="IVF139" s="18"/>
      <c r="IVG139" s="18"/>
      <c r="IVH139" s="18"/>
      <c r="IVI139" s="18"/>
      <c r="IVJ139" s="17"/>
      <c r="IVK139" s="9"/>
      <c r="IVL139" s="9"/>
      <c r="IVM139" s="18"/>
      <c r="IVN139" s="18"/>
      <c r="IVO139" s="18"/>
      <c r="IVP139" s="18"/>
      <c r="IVQ139" s="18"/>
      <c r="IVR139" s="17"/>
      <c r="IVS139" s="9"/>
      <c r="IVT139" s="9"/>
      <c r="IVU139" s="18"/>
      <c r="IVV139" s="18"/>
      <c r="IVW139" s="18"/>
      <c r="IVX139" s="18"/>
      <c r="IVY139" s="18"/>
      <c r="IVZ139" s="17"/>
      <c r="IWA139" s="9"/>
      <c r="IWB139" s="9"/>
      <c r="IWC139" s="18"/>
      <c r="IWD139" s="18"/>
      <c r="IWE139" s="18"/>
      <c r="IWF139" s="18"/>
      <c r="IWG139" s="18"/>
      <c r="IWH139" s="17"/>
      <c r="IWI139" s="9"/>
      <c r="IWJ139" s="9"/>
      <c r="IWK139" s="18"/>
      <c r="IWL139" s="18"/>
      <c r="IWM139" s="18"/>
      <c r="IWN139" s="18"/>
      <c r="IWO139" s="18"/>
      <c r="IWP139" s="17"/>
      <c r="IWQ139" s="9"/>
      <c r="IWR139" s="9"/>
      <c r="IWS139" s="18"/>
      <c r="IWT139" s="18"/>
      <c r="IWU139" s="18"/>
      <c r="IWV139" s="18"/>
      <c r="IWW139" s="18"/>
      <c r="IWX139" s="17"/>
      <c r="IWY139" s="9"/>
      <c r="IWZ139" s="9"/>
      <c r="IXA139" s="18"/>
      <c r="IXB139" s="18"/>
      <c r="IXC139" s="18"/>
      <c r="IXD139" s="18"/>
      <c r="IXE139" s="18"/>
      <c r="IXF139" s="17"/>
      <c r="IXG139" s="9"/>
      <c r="IXH139" s="9"/>
      <c r="IXI139" s="18"/>
      <c r="IXJ139" s="18"/>
      <c r="IXK139" s="18"/>
      <c r="IXL139" s="18"/>
      <c r="IXM139" s="18"/>
      <c r="IXN139" s="17"/>
      <c r="IXO139" s="9"/>
      <c r="IXP139" s="9"/>
      <c r="IXQ139" s="18"/>
      <c r="IXR139" s="18"/>
      <c r="IXS139" s="18"/>
      <c r="IXT139" s="18"/>
      <c r="IXU139" s="18"/>
      <c r="IXV139" s="17"/>
      <c r="IXW139" s="9"/>
      <c r="IXX139" s="9"/>
      <c r="IXY139" s="18"/>
      <c r="IXZ139" s="18"/>
      <c r="IYA139" s="18"/>
      <c r="IYB139" s="18"/>
      <c r="IYC139" s="18"/>
      <c r="IYD139" s="17"/>
      <c r="IYE139" s="9"/>
      <c r="IYF139" s="9"/>
      <c r="IYG139" s="18"/>
      <c r="IYH139" s="18"/>
      <c r="IYI139" s="18"/>
      <c r="IYJ139" s="18"/>
      <c r="IYK139" s="18"/>
      <c r="IYL139" s="17"/>
      <c r="IYM139" s="9"/>
      <c r="IYN139" s="9"/>
      <c r="IYO139" s="18"/>
      <c r="IYP139" s="18"/>
      <c r="IYQ139" s="18"/>
      <c r="IYR139" s="18"/>
      <c r="IYS139" s="18"/>
      <c r="IYT139" s="17"/>
      <c r="IYU139" s="9"/>
      <c r="IYV139" s="9"/>
      <c r="IYW139" s="18"/>
      <c r="IYX139" s="18"/>
      <c r="IYY139" s="18"/>
      <c r="IYZ139" s="18"/>
      <c r="IZA139" s="18"/>
      <c r="IZB139" s="17"/>
      <c r="IZC139" s="9"/>
      <c r="IZD139" s="9"/>
      <c r="IZE139" s="18"/>
      <c r="IZF139" s="18"/>
      <c r="IZG139" s="18"/>
      <c r="IZH139" s="18"/>
      <c r="IZI139" s="18"/>
      <c r="IZJ139" s="17"/>
      <c r="IZK139" s="9"/>
      <c r="IZL139" s="9"/>
      <c r="IZM139" s="18"/>
      <c r="IZN139" s="18"/>
      <c r="IZO139" s="18"/>
      <c r="IZP139" s="18"/>
      <c r="IZQ139" s="18"/>
      <c r="IZR139" s="17"/>
      <c r="IZS139" s="9"/>
      <c r="IZT139" s="9"/>
      <c r="IZU139" s="18"/>
      <c r="IZV139" s="18"/>
      <c r="IZW139" s="18"/>
      <c r="IZX139" s="18"/>
      <c r="IZY139" s="18"/>
      <c r="IZZ139" s="17"/>
      <c r="JAA139" s="9"/>
      <c r="JAB139" s="9"/>
      <c r="JAC139" s="18"/>
      <c r="JAD139" s="18"/>
      <c r="JAE139" s="18"/>
      <c r="JAF139" s="18"/>
      <c r="JAG139" s="18"/>
      <c r="JAH139" s="17"/>
      <c r="JAI139" s="9"/>
      <c r="JAJ139" s="9"/>
      <c r="JAK139" s="18"/>
      <c r="JAL139" s="18"/>
      <c r="JAM139" s="18"/>
      <c r="JAN139" s="18"/>
      <c r="JAO139" s="18"/>
      <c r="JAP139" s="17"/>
      <c r="JAQ139" s="9"/>
      <c r="JAR139" s="9"/>
      <c r="JAS139" s="18"/>
      <c r="JAT139" s="18"/>
      <c r="JAU139" s="18"/>
      <c r="JAV139" s="18"/>
      <c r="JAW139" s="18"/>
      <c r="JAX139" s="17"/>
      <c r="JAY139" s="9"/>
      <c r="JAZ139" s="9"/>
      <c r="JBA139" s="18"/>
      <c r="JBB139" s="18"/>
      <c r="JBC139" s="18"/>
      <c r="JBD139" s="18"/>
      <c r="JBE139" s="18"/>
      <c r="JBF139" s="17"/>
      <c r="JBG139" s="9"/>
      <c r="JBH139" s="9"/>
      <c r="JBI139" s="18"/>
      <c r="JBJ139" s="18"/>
      <c r="JBK139" s="18"/>
      <c r="JBL139" s="18"/>
      <c r="JBM139" s="18"/>
      <c r="JBN139" s="17"/>
      <c r="JBO139" s="9"/>
      <c r="JBP139" s="9"/>
      <c r="JBQ139" s="18"/>
      <c r="JBR139" s="18"/>
      <c r="JBS139" s="18"/>
      <c r="JBT139" s="18"/>
      <c r="JBU139" s="18"/>
      <c r="JBV139" s="17"/>
      <c r="JBW139" s="9"/>
      <c r="JBX139" s="9"/>
      <c r="JBY139" s="18"/>
      <c r="JBZ139" s="18"/>
      <c r="JCA139" s="18"/>
      <c r="JCB139" s="18"/>
      <c r="JCC139" s="18"/>
      <c r="JCD139" s="17"/>
      <c r="JCE139" s="9"/>
      <c r="JCF139" s="9"/>
      <c r="JCG139" s="18"/>
      <c r="JCH139" s="18"/>
      <c r="JCI139" s="18"/>
      <c r="JCJ139" s="18"/>
      <c r="JCK139" s="18"/>
      <c r="JCL139" s="17"/>
      <c r="JCM139" s="9"/>
      <c r="JCN139" s="9"/>
      <c r="JCO139" s="18"/>
      <c r="JCP139" s="18"/>
      <c r="JCQ139" s="18"/>
      <c r="JCR139" s="18"/>
      <c r="JCS139" s="18"/>
      <c r="JCT139" s="17"/>
      <c r="JCU139" s="9"/>
      <c r="JCV139" s="9"/>
      <c r="JCW139" s="18"/>
      <c r="JCX139" s="18"/>
      <c r="JCY139" s="18"/>
      <c r="JCZ139" s="18"/>
      <c r="JDA139" s="18"/>
      <c r="JDB139" s="17"/>
      <c r="JDC139" s="9"/>
      <c r="JDD139" s="9"/>
      <c r="JDE139" s="18"/>
      <c r="JDF139" s="18"/>
      <c r="JDG139" s="18"/>
      <c r="JDH139" s="18"/>
      <c r="JDI139" s="18"/>
      <c r="JDJ139" s="17"/>
      <c r="JDK139" s="9"/>
      <c r="JDL139" s="9"/>
      <c r="JDM139" s="18"/>
      <c r="JDN139" s="18"/>
      <c r="JDO139" s="18"/>
      <c r="JDP139" s="18"/>
      <c r="JDQ139" s="18"/>
      <c r="JDR139" s="17"/>
      <c r="JDS139" s="9"/>
      <c r="JDT139" s="9"/>
      <c r="JDU139" s="18"/>
      <c r="JDV139" s="18"/>
      <c r="JDW139" s="18"/>
      <c r="JDX139" s="18"/>
      <c r="JDY139" s="18"/>
      <c r="JDZ139" s="17"/>
      <c r="JEA139" s="9"/>
      <c r="JEB139" s="9"/>
      <c r="JEC139" s="18"/>
      <c r="JED139" s="18"/>
      <c r="JEE139" s="18"/>
      <c r="JEF139" s="18"/>
      <c r="JEG139" s="18"/>
      <c r="JEH139" s="17"/>
      <c r="JEI139" s="9"/>
      <c r="JEJ139" s="9"/>
      <c r="JEK139" s="18"/>
      <c r="JEL139" s="18"/>
      <c r="JEM139" s="18"/>
      <c r="JEN139" s="18"/>
      <c r="JEO139" s="18"/>
      <c r="JEP139" s="17"/>
      <c r="JEQ139" s="9"/>
      <c r="JER139" s="9"/>
      <c r="JES139" s="18"/>
      <c r="JET139" s="18"/>
      <c r="JEU139" s="18"/>
      <c r="JEV139" s="18"/>
      <c r="JEW139" s="18"/>
      <c r="JEX139" s="17"/>
      <c r="JEY139" s="9"/>
      <c r="JEZ139" s="9"/>
      <c r="JFA139" s="18"/>
      <c r="JFB139" s="18"/>
      <c r="JFC139" s="18"/>
      <c r="JFD139" s="18"/>
      <c r="JFE139" s="18"/>
      <c r="JFF139" s="17"/>
      <c r="JFG139" s="9"/>
      <c r="JFH139" s="9"/>
      <c r="JFI139" s="18"/>
      <c r="JFJ139" s="18"/>
      <c r="JFK139" s="18"/>
      <c r="JFL139" s="18"/>
      <c r="JFM139" s="18"/>
      <c r="JFN139" s="17"/>
      <c r="JFO139" s="9"/>
      <c r="JFP139" s="9"/>
      <c r="JFQ139" s="18"/>
      <c r="JFR139" s="18"/>
      <c r="JFS139" s="18"/>
      <c r="JFT139" s="18"/>
      <c r="JFU139" s="18"/>
      <c r="JFV139" s="17"/>
      <c r="JFW139" s="9"/>
      <c r="JFX139" s="9"/>
      <c r="JFY139" s="18"/>
      <c r="JFZ139" s="18"/>
      <c r="JGA139" s="18"/>
      <c r="JGB139" s="18"/>
      <c r="JGC139" s="18"/>
      <c r="JGD139" s="17"/>
      <c r="JGE139" s="9"/>
      <c r="JGF139" s="9"/>
      <c r="JGG139" s="18"/>
      <c r="JGH139" s="18"/>
      <c r="JGI139" s="18"/>
      <c r="JGJ139" s="18"/>
      <c r="JGK139" s="18"/>
      <c r="JGL139" s="17"/>
      <c r="JGM139" s="9"/>
      <c r="JGN139" s="9"/>
      <c r="JGO139" s="18"/>
      <c r="JGP139" s="18"/>
      <c r="JGQ139" s="18"/>
      <c r="JGR139" s="18"/>
      <c r="JGS139" s="18"/>
      <c r="JGT139" s="17"/>
      <c r="JGU139" s="9"/>
      <c r="JGV139" s="9"/>
      <c r="JGW139" s="18"/>
      <c r="JGX139" s="18"/>
      <c r="JGY139" s="18"/>
      <c r="JGZ139" s="18"/>
      <c r="JHA139" s="18"/>
      <c r="JHB139" s="17"/>
      <c r="JHC139" s="9"/>
      <c r="JHD139" s="9"/>
      <c r="JHE139" s="18"/>
      <c r="JHF139" s="18"/>
      <c r="JHG139" s="18"/>
      <c r="JHH139" s="18"/>
      <c r="JHI139" s="18"/>
      <c r="JHJ139" s="17"/>
      <c r="JHK139" s="9"/>
      <c r="JHL139" s="9"/>
      <c r="JHM139" s="18"/>
      <c r="JHN139" s="18"/>
      <c r="JHO139" s="18"/>
      <c r="JHP139" s="18"/>
      <c r="JHQ139" s="18"/>
      <c r="JHR139" s="17"/>
      <c r="JHS139" s="9"/>
      <c r="JHT139" s="9"/>
      <c r="JHU139" s="18"/>
      <c r="JHV139" s="18"/>
      <c r="JHW139" s="18"/>
      <c r="JHX139" s="18"/>
      <c r="JHY139" s="18"/>
      <c r="JHZ139" s="17"/>
      <c r="JIA139" s="9"/>
      <c r="JIB139" s="9"/>
      <c r="JIC139" s="18"/>
      <c r="JID139" s="18"/>
      <c r="JIE139" s="18"/>
      <c r="JIF139" s="18"/>
      <c r="JIG139" s="18"/>
      <c r="JIH139" s="17"/>
      <c r="JII139" s="9"/>
      <c r="JIJ139" s="9"/>
      <c r="JIK139" s="18"/>
      <c r="JIL139" s="18"/>
      <c r="JIM139" s="18"/>
      <c r="JIN139" s="18"/>
      <c r="JIO139" s="18"/>
      <c r="JIP139" s="17"/>
      <c r="JIQ139" s="9"/>
      <c r="JIR139" s="9"/>
      <c r="JIS139" s="18"/>
      <c r="JIT139" s="18"/>
      <c r="JIU139" s="18"/>
      <c r="JIV139" s="18"/>
      <c r="JIW139" s="18"/>
      <c r="JIX139" s="17"/>
      <c r="JIY139" s="9"/>
      <c r="JIZ139" s="9"/>
      <c r="JJA139" s="18"/>
      <c r="JJB139" s="18"/>
      <c r="JJC139" s="18"/>
      <c r="JJD139" s="18"/>
      <c r="JJE139" s="18"/>
      <c r="JJF139" s="17"/>
      <c r="JJG139" s="9"/>
      <c r="JJH139" s="9"/>
      <c r="JJI139" s="18"/>
      <c r="JJJ139" s="18"/>
      <c r="JJK139" s="18"/>
      <c r="JJL139" s="18"/>
      <c r="JJM139" s="18"/>
      <c r="JJN139" s="17"/>
      <c r="JJO139" s="9"/>
      <c r="JJP139" s="9"/>
      <c r="JJQ139" s="18"/>
      <c r="JJR139" s="18"/>
      <c r="JJS139" s="18"/>
      <c r="JJT139" s="18"/>
      <c r="JJU139" s="18"/>
      <c r="JJV139" s="17"/>
      <c r="JJW139" s="9"/>
      <c r="JJX139" s="9"/>
      <c r="JJY139" s="18"/>
      <c r="JJZ139" s="18"/>
      <c r="JKA139" s="18"/>
      <c r="JKB139" s="18"/>
      <c r="JKC139" s="18"/>
      <c r="JKD139" s="17"/>
      <c r="JKE139" s="9"/>
      <c r="JKF139" s="9"/>
      <c r="JKG139" s="18"/>
      <c r="JKH139" s="18"/>
      <c r="JKI139" s="18"/>
      <c r="JKJ139" s="18"/>
      <c r="JKK139" s="18"/>
      <c r="JKL139" s="17"/>
      <c r="JKM139" s="9"/>
      <c r="JKN139" s="9"/>
      <c r="JKO139" s="18"/>
      <c r="JKP139" s="18"/>
      <c r="JKQ139" s="18"/>
      <c r="JKR139" s="18"/>
      <c r="JKS139" s="18"/>
      <c r="JKT139" s="17"/>
      <c r="JKU139" s="9"/>
      <c r="JKV139" s="9"/>
      <c r="JKW139" s="18"/>
      <c r="JKX139" s="18"/>
      <c r="JKY139" s="18"/>
      <c r="JKZ139" s="18"/>
      <c r="JLA139" s="18"/>
      <c r="JLB139" s="17"/>
      <c r="JLC139" s="9"/>
      <c r="JLD139" s="9"/>
      <c r="JLE139" s="18"/>
      <c r="JLF139" s="18"/>
      <c r="JLG139" s="18"/>
      <c r="JLH139" s="18"/>
      <c r="JLI139" s="18"/>
      <c r="JLJ139" s="17"/>
      <c r="JLK139" s="9"/>
      <c r="JLL139" s="9"/>
      <c r="JLM139" s="18"/>
      <c r="JLN139" s="18"/>
      <c r="JLO139" s="18"/>
      <c r="JLP139" s="18"/>
      <c r="JLQ139" s="18"/>
      <c r="JLR139" s="17"/>
      <c r="JLS139" s="9"/>
      <c r="JLT139" s="9"/>
      <c r="JLU139" s="18"/>
      <c r="JLV139" s="18"/>
      <c r="JLW139" s="18"/>
      <c r="JLX139" s="18"/>
      <c r="JLY139" s="18"/>
      <c r="JLZ139" s="17"/>
      <c r="JMA139" s="9"/>
      <c r="JMB139" s="9"/>
      <c r="JMC139" s="18"/>
      <c r="JMD139" s="18"/>
      <c r="JME139" s="18"/>
      <c r="JMF139" s="18"/>
      <c r="JMG139" s="18"/>
      <c r="JMH139" s="17"/>
      <c r="JMI139" s="9"/>
      <c r="JMJ139" s="9"/>
      <c r="JMK139" s="18"/>
      <c r="JML139" s="18"/>
      <c r="JMM139" s="18"/>
      <c r="JMN139" s="18"/>
      <c r="JMO139" s="18"/>
      <c r="JMP139" s="17"/>
      <c r="JMQ139" s="9"/>
      <c r="JMR139" s="9"/>
      <c r="JMS139" s="18"/>
      <c r="JMT139" s="18"/>
      <c r="JMU139" s="18"/>
      <c r="JMV139" s="18"/>
      <c r="JMW139" s="18"/>
      <c r="JMX139" s="17"/>
      <c r="JMY139" s="9"/>
      <c r="JMZ139" s="9"/>
      <c r="JNA139" s="18"/>
      <c r="JNB139" s="18"/>
      <c r="JNC139" s="18"/>
      <c r="JND139" s="18"/>
      <c r="JNE139" s="18"/>
      <c r="JNF139" s="17"/>
      <c r="JNG139" s="9"/>
      <c r="JNH139" s="9"/>
      <c r="JNI139" s="18"/>
      <c r="JNJ139" s="18"/>
      <c r="JNK139" s="18"/>
      <c r="JNL139" s="18"/>
      <c r="JNM139" s="18"/>
      <c r="JNN139" s="17"/>
      <c r="JNO139" s="9"/>
      <c r="JNP139" s="9"/>
      <c r="JNQ139" s="18"/>
      <c r="JNR139" s="18"/>
      <c r="JNS139" s="18"/>
      <c r="JNT139" s="18"/>
      <c r="JNU139" s="18"/>
      <c r="JNV139" s="17"/>
      <c r="JNW139" s="9"/>
      <c r="JNX139" s="9"/>
      <c r="JNY139" s="18"/>
      <c r="JNZ139" s="18"/>
      <c r="JOA139" s="18"/>
      <c r="JOB139" s="18"/>
      <c r="JOC139" s="18"/>
      <c r="JOD139" s="17"/>
      <c r="JOE139" s="9"/>
      <c r="JOF139" s="9"/>
      <c r="JOG139" s="18"/>
      <c r="JOH139" s="18"/>
      <c r="JOI139" s="18"/>
      <c r="JOJ139" s="18"/>
      <c r="JOK139" s="18"/>
      <c r="JOL139" s="17"/>
      <c r="JOM139" s="9"/>
      <c r="JON139" s="9"/>
      <c r="JOO139" s="18"/>
      <c r="JOP139" s="18"/>
      <c r="JOQ139" s="18"/>
      <c r="JOR139" s="18"/>
      <c r="JOS139" s="18"/>
      <c r="JOT139" s="17"/>
      <c r="JOU139" s="9"/>
      <c r="JOV139" s="9"/>
      <c r="JOW139" s="18"/>
      <c r="JOX139" s="18"/>
      <c r="JOY139" s="18"/>
      <c r="JOZ139" s="18"/>
      <c r="JPA139" s="18"/>
      <c r="JPB139" s="17"/>
      <c r="JPC139" s="9"/>
      <c r="JPD139" s="9"/>
      <c r="JPE139" s="18"/>
      <c r="JPF139" s="18"/>
      <c r="JPG139" s="18"/>
      <c r="JPH139" s="18"/>
      <c r="JPI139" s="18"/>
      <c r="JPJ139" s="17"/>
      <c r="JPK139" s="9"/>
      <c r="JPL139" s="9"/>
      <c r="JPM139" s="18"/>
      <c r="JPN139" s="18"/>
      <c r="JPO139" s="18"/>
      <c r="JPP139" s="18"/>
      <c r="JPQ139" s="18"/>
      <c r="JPR139" s="17"/>
      <c r="JPS139" s="9"/>
      <c r="JPT139" s="9"/>
      <c r="JPU139" s="18"/>
      <c r="JPV139" s="18"/>
      <c r="JPW139" s="18"/>
      <c r="JPX139" s="18"/>
      <c r="JPY139" s="18"/>
      <c r="JPZ139" s="17"/>
      <c r="JQA139" s="9"/>
      <c r="JQB139" s="9"/>
      <c r="JQC139" s="18"/>
      <c r="JQD139" s="18"/>
      <c r="JQE139" s="18"/>
      <c r="JQF139" s="18"/>
      <c r="JQG139" s="18"/>
      <c r="JQH139" s="17"/>
      <c r="JQI139" s="9"/>
      <c r="JQJ139" s="9"/>
      <c r="JQK139" s="18"/>
      <c r="JQL139" s="18"/>
      <c r="JQM139" s="18"/>
      <c r="JQN139" s="18"/>
      <c r="JQO139" s="18"/>
      <c r="JQP139" s="17"/>
      <c r="JQQ139" s="9"/>
      <c r="JQR139" s="9"/>
      <c r="JQS139" s="18"/>
      <c r="JQT139" s="18"/>
      <c r="JQU139" s="18"/>
      <c r="JQV139" s="18"/>
      <c r="JQW139" s="18"/>
      <c r="JQX139" s="17"/>
      <c r="JQY139" s="9"/>
      <c r="JQZ139" s="9"/>
      <c r="JRA139" s="18"/>
      <c r="JRB139" s="18"/>
      <c r="JRC139" s="18"/>
      <c r="JRD139" s="18"/>
      <c r="JRE139" s="18"/>
      <c r="JRF139" s="17"/>
      <c r="JRG139" s="9"/>
      <c r="JRH139" s="9"/>
      <c r="JRI139" s="18"/>
      <c r="JRJ139" s="18"/>
      <c r="JRK139" s="18"/>
      <c r="JRL139" s="18"/>
      <c r="JRM139" s="18"/>
      <c r="JRN139" s="17"/>
      <c r="JRO139" s="9"/>
      <c r="JRP139" s="9"/>
      <c r="JRQ139" s="18"/>
      <c r="JRR139" s="18"/>
      <c r="JRS139" s="18"/>
      <c r="JRT139" s="18"/>
      <c r="JRU139" s="18"/>
      <c r="JRV139" s="17"/>
      <c r="JRW139" s="9"/>
      <c r="JRX139" s="9"/>
      <c r="JRY139" s="18"/>
      <c r="JRZ139" s="18"/>
      <c r="JSA139" s="18"/>
      <c r="JSB139" s="18"/>
      <c r="JSC139" s="18"/>
      <c r="JSD139" s="17"/>
      <c r="JSE139" s="9"/>
      <c r="JSF139" s="9"/>
      <c r="JSG139" s="18"/>
      <c r="JSH139" s="18"/>
      <c r="JSI139" s="18"/>
      <c r="JSJ139" s="18"/>
      <c r="JSK139" s="18"/>
      <c r="JSL139" s="17"/>
      <c r="JSM139" s="9"/>
      <c r="JSN139" s="9"/>
      <c r="JSO139" s="18"/>
      <c r="JSP139" s="18"/>
      <c r="JSQ139" s="18"/>
      <c r="JSR139" s="18"/>
      <c r="JSS139" s="18"/>
      <c r="JST139" s="17"/>
      <c r="JSU139" s="9"/>
      <c r="JSV139" s="9"/>
      <c r="JSW139" s="18"/>
      <c r="JSX139" s="18"/>
      <c r="JSY139" s="18"/>
      <c r="JSZ139" s="18"/>
      <c r="JTA139" s="18"/>
      <c r="JTB139" s="17"/>
      <c r="JTC139" s="9"/>
      <c r="JTD139" s="9"/>
      <c r="JTE139" s="18"/>
      <c r="JTF139" s="18"/>
      <c r="JTG139" s="18"/>
      <c r="JTH139" s="18"/>
      <c r="JTI139" s="18"/>
      <c r="JTJ139" s="17"/>
      <c r="JTK139" s="9"/>
      <c r="JTL139" s="9"/>
      <c r="JTM139" s="18"/>
      <c r="JTN139" s="18"/>
      <c r="JTO139" s="18"/>
      <c r="JTP139" s="18"/>
      <c r="JTQ139" s="18"/>
      <c r="JTR139" s="17"/>
      <c r="JTS139" s="9"/>
      <c r="JTT139" s="9"/>
      <c r="JTU139" s="18"/>
      <c r="JTV139" s="18"/>
      <c r="JTW139" s="18"/>
      <c r="JTX139" s="18"/>
      <c r="JTY139" s="18"/>
      <c r="JTZ139" s="17"/>
      <c r="JUA139" s="9"/>
      <c r="JUB139" s="9"/>
      <c r="JUC139" s="18"/>
      <c r="JUD139" s="18"/>
      <c r="JUE139" s="18"/>
      <c r="JUF139" s="18"/>
      <c r="JUG139" s="18"/>
      <c r="JUH139" s="17"/>
      <c r="JUI139" s="9"/>
      <c r="JUJ139" s="9"/>
      <c r="JUK139" s="18"/>
      <c r="JUL139" s="18"/>
      <c r="JUM139" s="18"/>
      <c r="JUN139" s="18"/>
      <c r="JUO139" s="18"/>
      <c r="JUP139" s="17"/>
      <c r="JUQ139" s="9"/>
      <c r="JUR139" s="9"/>
      <c r="JUS139" s="18"/>
      <c r="JUT139" s="18"/>
      <c r="JUU139" s="18"/>
      <c r="JUV139" s="18"/>
      <c r="JUW139" s="18"/>
      <c r="JUX139" s="17"/>
      <c r="JUY139" s="9"/>
      <c r="JUZ139" s="9"/>
      <c r="JVA139" s="18"/>
      <c r="JVB139" s="18"/>
      <c r="JVC139" s="18"/>
      <c r="JVD139" s="18"/>
      <c r="JVE139" s="18"/>
      <c r="JVF139" s="17"/>
      <c r="JVG139" s="9"/>
      <c r="JVH139" s="9"/>
      <c r="JVI139" s="18"/>
      <c r="JVJ139" s="18"/>
      <c r="JVK139" s="18"/>
      <c r="JVL139" s="18"/>
      <c r="JVM139" s="18"/>
      <c r="JVN139" s="17"/>
      <c r="JVO139" s="9"/>
      <c r="JVP139" s="9"/>
      <c r="JVQ139" s="18"/>
      <c r="JVR139" s="18"/>
      <c r="JVS139" s="18"/>
      <c r="JVT139" s="18"/>
      <c r="JVU139" s="18"/>
      <c r="JVV139" s="17"/>
      <c r="JVW139" s="9"/>
      <c r="JVX139" s="9"/>
      <c r="JVY139" s="18"/>
      <c r="JVZ139" s="18"/>
      <c r="JWA139" s="18"/>
      <c r="JWB139" s="18"/>
      <c r="JWC139" s="18"/>
      <c r="JWD139" s="17"/>
      <c r="JWE139" s="9"/>
      <c r="JWF139" s="9"/>
      <c r="JWG139" s="18"/>
      <c r="JWH139" s="18"/>
      <c r="JWI139" s="18"/>
      <c r="JWJ139" s="18"/>
      <c r="JWK139" s="18"/>
      <c r="JWL139" s="17"/>
      <c r="JWM139" s="9"/>
      <c r="JWN139" s="9"/>
      <c r="JWO139" s="18"/>
      <c r="JWP139" s="18"/>
      <c r="JWQ139" s="18"/>
      <c r="JWR139" s="18"/>
      <c r="JWS139" s="18"/>
      <c r="JWT139" s="17"/>
      <c r="JWU139" s="9"/>
      <c r="JWV139" s="9"/>
      <c r="JWW139" s="18"/>
      <c r="JWX139" s="18"/>
      <c r="JWY139" s="18"/>
      <c r="JWZ139" s="18"/>
      <c r="JXA139" s="18"/>
      <c r="JXB139" s="17"/>
      <c r="JXC139" s="9"/>
      <c r="JXD139" s="9"/>
      <c r="JXE139" s="18"/>
      <c r="JXF139" s="18"/>
      <c r="JXG139" s="18"/>
      <c r="JXH139" s="18"/>
      <c r="JXI139" s="18"/>
      <c r="JXJ139" s="17"/>
      <c r="JXK139" s="9"/>
      <c r="JXL139" s="9"/>
      <c r="JXM139" s="18"/>
      <c r="JXN139" s="18"/>
      <c r="JXO139" s="18"/>
      <c r="JXP139" s="18"/>
      <c r="JXQ139" s="18"/>
      <c r="JXR139" s="17"/>
      <c r="JXS139" s="9"/>
      <c r="JXT139" s="9"/>
      <c r="JXU139" s="18"/>
      <c r="JXV139" s="18"/>
      <c r="JXW139" s="18"/>
      <c r="JXX139" s="18"/>
      <c r="JXY139" s="18"/>
      <c r="JXZ139" s="17"/>
      <c r="JYA139" s="9"/>
      <c r="JYB139" s="9"/>
      <c r="JYC139" s="18"/>
      <c r="JYD139" s="18"/>
      <c r="JYE139" s="18"/>
      <c r="JYF139" s="18"/>
      <c r="JYG139" s="18"/>
      <c r="JYH139" s="17"/>
      <c r="JYI139" s="9"/>
      <c r="JYJ139" s="9"/>
      <c r="JYK139" s="18"/>
      <c r="JYL139" s="18"/>
      <c r="JYM139" s="18"/>
      <c r="JYN139" s="18"/>
      <c r="JYO139" s="18"/>
      <c r="JYP139" s="17"/>
      <c r="JYQ139" s="9"/>
      <c r="JYR139" s="9"/>
      <c r="JYS139" s="18"/>
      <c r="JYT139" s="18"/>
      <c r="JYU139" s="18"/>
      <c r="JYV139" s="18"/>
      <c r="JYW139" s="18"/>
      <c r="JYX139" s="17"/>
      <c r="JYY139" s="9"/>
      <c r="JYZ139" s="9"/>
      <c r="JZA139" s="18"/>
      <c r="JZB139" s="18"/>
      <c r="JZC139" s="18"/>
      <c r="JZD139" s="18"/>
      <c r="JZE139" s="18"/>
      <c r="JZF139" s="17"/>
      <c r="JZG139" s="9"/>
      <c r="JZH139" s="9"/>
      <c r="JZI139" s="18"/>
      <c r="JZJ139" s="18"/>
      <c r="JZK139" s="18"/>
      <c r="JZL139" s="18"/>
      <c r="JZM139" s="18"/>
      <c r="JZN139" s="17"/>
      <c r="JZO139" s="9"/>
      <c r="JZP139" s="9"/>
      <c r="JZQ139" s="18"/>
      <c r="JZR139" s="18"/>
      <c r="JZS139" s="18"/>
      <c r="JZT139" s="18"/>
      <c r="JZU139" s="18"/>
      <c r="JZV139" s="17"/>
      <c r="JZW139" s="9"/>
      <c r="JZX139" s="9"/>
      <c r="JZY139" s="18"/>
      <c r="JZZ139" s="18"/>
      <c r="KAA139" s="18"/>
      <c r="KAB139" s="18"/>
      <c r="KAC139" s="18"/>
      <c r="KAD139" s="17"/>
      <c r="KAE139" s="9"/>
      <c r="KAF139" s="9"/>
      <c r="KAG139" s="18"/>
      <c r="KAH139" s="18"/>
      <c r="KAI139" s="18"/>
      <c r="KAJ139" s="18"/>
      <c r="KAK139" s="18"/>
      <c r="KAL139" s="17"/>
      <c r="KAM139" s="9"/>
      <c r="KAN139" s="9"/>
      <c r="KAO139" s="18"/>
      <c r="KAP139" s="18"/>
      <c r="KAQ139" s="18"/>
      <c r="KAR139" s="18"/>
      <c r="KAS139" s="18"/>
      <c r="KAT139" s="17"/>
      <c r="KAU139" s="9"/>
      <c r="KAV139" s="9"/>
      <c r="KAW139" s="18"/>
      <c r="KAX139" s="18"/>
      <c r="KAY139" s="18"/>
      <c r="KAZ139" s="18"/>
      <c r="KBA139" s="18"/>
      <c r="KBB139" s="17"/>
      <c r="KBC139" s="9"/>
      <c r="KBD139" s="9"/>
      <c r="KBE139" s="18"/>
      <c r="KBF139" s="18"/>
      <c r="KBG139" s="18"/>
      <c r="KBH139" s="18"/>
      <c r="KBI139" s="18"/>
      <c r="KBJ139" s="17"/>
      <c r="KBK139" s="9"/>
      <c r="KBL139" s="9"/>
      <c r="KBM139" s="18"/>
      <c r="KBN139" s="18"/>
      <c r="KBO139" s="18"/>
      <c r="KBP139" s="18"/>
      <c r="KBQ139" s="18"/>
      <c r="KBR139" s="17"/>
      <c r="KBS139" s="9"/>
      <c r="KBT139" s="9"/>
      <c r="KBU139" s="18"/>
      <c r="KBV139" s="18"/>
      <c r="KBW139" s="18"/>
      <c r="KBX139" s="18"/>
      <c r="KBY139" s="18"/>
      <c r="KBZ139" s="17"/>
      <c r="KCA139" s="9"/>
      <c r="KCB139" s="9"/>
      <c r="KCC139" s="18"/>
      <c r="KCD139" s="18"/>
      <c r="KCE139" s="18"/>
      <c r="KCF139" s="18"/>
      <c r="KCG139" s="18"/>
      <c r="KCH139" s="17"/>
      <c r="KCI139" s="9"/>
      <c r="KCJ139" s="9"/>
      <c r="KCK139" s="18"/>
      <c r="KCL139" s="18"/>
      <c r="KCM139" s="18"/>
      <c r="KCN139" s="18"/>
      <c r="KCO139" s="18"/>
      <c r="KCP139" s="17"/>
      <c r="KCQ139" s="9"/>
      <c r="KCR139" s="9"/>
      <c r="KCS139" s="18"/>
      <c r="KCT139" s="18"/>
      <c r="KCU139" s="18"/>
      <c r="KCV139" s="18"/>
      <c r="KCW139" s="18"/>
      <c r="KCX139" s="17"/>
      <c r="KCY139" s="9"/>
      <c r="KCZ139" s="9"/>
      <c r="KDA139" s="18"/>
      <c r="KDB139" s="18"/>
      <c r="KDC139" s="18"/>
      <c r="KDD139" s="18"/>
      <c r="KDE139" s="18"/>
      <c r="KDF139" s="17"/>
      <c r="KDG139" s="9"/>
      <c r="KDH139" s="9"/>
      <c r="KDI139" s="18"/>
      <c r="KDJ139" s="18"/>
      <c r="KDK139" s="18"/>
      <c r="KDL139" s="18"/>
      <c r="KDM139" s="18"/>
      <c r="KDN139" s="17"/>
      <c r="KDO139" s="9"/>
      <c r="KDP139" s="9"/>
      <c r="KDQ139" s="18"/>
      <c r="KDR139" s="18"/>
      <c r="KDS139" s="18"/>
      <c r="KDT139" s="18"/>
      <c r="KDU139" s="18"/>
      <c r="KDV139" s="17"/>
      <c r="KDW139" s="9"/>
      <c r="KDX139" s="9"/>
      <c r="KDY139" s="18"/>
      <c r="KDZ139" s="18"/>
      <c r="KEA139" s="18"/>
      <c r="KEB139" s="18"/>
      <c r="KEC139" s="18"/>
      <c r="KED139" s="17"/>
      <c r="KEE139" s="9"/>
      <c r="KEF139" s="9"/>
      <c r="KEG139" s="18"/>
      <c r="KEH139" s="18"/>
      <c r="KEI139" s="18"/>
      <c r="KEJ139" s="18"/>
      <c r="KEK139" s="18"/>
      <c r="KEL139" s="17"/>
      <c r="KEM139" s="9"/>
      <c r="KEN139" s="9"/>
      <c r="KEO139" s="18"/>
      <c r="KEP139" s="18"/>
      <c r="KEQ139" s="18"/>
      <c r="KER139" s="18"/>
      <c r="KES139" s="18"/>
      <c r="KET139" s="17"/>
      <c r="KEU139" s="9"/>
      <c r="KEV139" s="9"/>
      <c r="KEW139" s="18"/>
      <c r="KEX139" s="18"/>
      <c r="KEY139" s="18"/>
      <c r="KEZ139" s="18"/>
      <c r="KFA139" s="18"/>
      <c r="KFB139" s="17"/>
      <c r="KFC139" s="9"/>
      <c r="KFD139" s="9"/>
      <c r="KFE139" s="18"/>
      <c r="KFF139" s="18"/>
      <c r="KFG139" s="18"/>
      <c r="KFH139" s="18"/>
      <c r="KFI139" s="18"/>
      <c r="KFJ139" s="17"/>
      <c r="KFK139" s="9"/>
      <c r="KFL139" s="9"/>
      <c r="KFM139" s="18"/>
      <c r="KFN139" s="18"/>
      <c r="KFO139" s="18"/>
      <c r="KFP139" s="18"/>
      <c r="KFQ139" s="18"/>
      <c r="KFR139" s="17"/>
      <c r="KFS139" s="9"/>
      <c r="KFT139" s="9"/>
      <c r="KFU139" s="18"/>
      <c r="KFV139" s="18"/>
      <c r="KFW139" s="18"/>
      <c r="KFX139" s="18"/>
      <c r="KFY139" s="18"/>
      <c r="KFZ139" s="17"/>
      <c r="KGA139" s="9"/>
      <c r="KGB139" s="9"/>
      <c r="KGC139" s="18"/>
      <c r="KGD139" s="18"/>
      <c r="KGE139" s="18"/>
      <c r="KGF139" s="18"/>
      <c r="KGG139" s="18"/>
      <c r="KGH139" s="17"/>
      <c r="KGI139" s="9"/>
      <c r="KGJ139" s="9"/>
      <c r="KGK139" s="18"/>
      <c r="KGL139" s="18"/>
      <c r="KGM139" s="18"/>
      <c r="KGN139" s="18"/>
      <c r="KGO139" s="18"/>
      <c r="KGP139" s="17"/>
      <c r="KGQ139" s="9"/>
      <c r="KGR139" s="9"/>
      <c r="KGS139" s="18"/>
      <c r="KGT139" s="18"/>
      <c r="KGU139" s="18"/>
      <c r="KGV139" s="18"/>
      <c r="KGW139" s="18"/>
      <c r="KGX139" s="17"/>
      <c r="KGY139" s="9"/>
      <c r="KGZ139" s="9"/>
      <c r="KHA139" s="18"/>
      <c r="KHB139" s="18"/>
      <c r="KHC139" s="18"/>
      <c r="KHD139" s="18"/>
      <c r="KHE139" s="18"/>
      <c r="KHF139" s="17"/>
      <c r="KHG139" s="9"/>
      <c r="KHH139" s="9"/>
      <c r="KHI139" s="18"/>
      <c r="KHJ139" s="18"/>
      <c r="KHK139" s="18"/>
      <c r="KHL139" s="18"/>
      <c r="KHM139" s="18"/>
      <c r="KHN139" s="17"/>
      <c r="KHO139" s="9"/>
      <c r="KHP139" s="9"/>
      <c r="KHQ139" s="18"/>
      <c r="KHR139" s="18"/>
      <c r="KHS139" s="18"/>
      <c r="KHT139" s="18"/>
      <c r="KHU139" s="18"/>
      <c r="KHV139" s="17"/>
      <c r="KHW139" s="9"/>
      <c r="KHX139" s="9"/>
      <c r="KHY139" s="18"/>
      <c r="KHZ139" s="18"/>
      <c r="KIA139" s="18"/>
      <c r="KIB139" s="18"/>
      <c r="KIC139" s="18"/>
      <c r="KID139" s="17"/>
      <c r="KIE139" s="9"/>
      <c r="KIF139" s="9"/>
      <c r="KIG139" s="18"/>
      <c r="KIH139" s="18"/>
      <c r="KII139" s="18"/>
      <c r="KIJ139" s="18"/>
      <c r="KIK139" s="18"/>
      <c r="KIL139" s="17"/>
      <c r="KIM139" s="9"/>
      <c r="KIN139" s="9"/>
      <c r="KIO139" s="18"/>
      <c r="KIP139" s="18"/>
      <c r="KIQ139" s="18"/>
      <c r="KIR139" s="18"/>
      <c r="KIS139" s="18"/>
      <c r="KIT139" s="17"/>
      <c r="KIU139" s="9"/>
      <c r="KIV139" s="9"/>
      <c r="KIW139" s="18"/>
      <c r="KIX139" s="18"/>
      <c r="KIY139" s="18"/>
      <c r="KIZ139" s="18"/>
      <c r="KJA139" s="18"/>
      <c r="KJB139" s="17"/>
      <c r="KJC139" s="9"/>
      <c r="KJD139" s="9"/>
      <c r="KJE139" s="18"/>
      <c r="KJF139" s="18"/>
      <c r="KJG139" s="18"/>
      <c r="KJH139" s="18"/>
      <c r="KJI139" s="18"/>
      <c r="KJJ139" s="17"/>
      <c r="KJK139" s="9"/>
      <c r="KJL139" s="9"/>
      <c r="KJM139" s="18"/>
      <c r="KJN139" s="18"/>
      <c r="KJO139" s="18"/>
      <c r="KJP139" s="18"/>
      <c r="KJQ139" s="18"/>
      <c r="KJR139" s="17"/>
      <c r="KJS139" s="9"/>
      <c r="KJT139" s="9"/>
      <c r="KJU139" s="18"/>
      <c r="KJV139" s="18"/>
      <c r="KJW139" s="18"/>
      <c r="KJX139" s="18"/>
      <c r="KJY139" s="18"/>
      <c r="KJZ139" s="17"/>
      <c r="KKA139" s="9"/>
      <c r="KKB139" s="9"/>
      <c r="KKC139" s="18"/>
      <c r="KKD139" s="18"/>
      <c r="KKE139" s="18"/>
      <c r="KKF139" s="18"/>
      <c r="KKG139" s="18"/>
      <c r="KKH139" s="17"/>
      <c r="KKI139" s="9"/>
      <c r="KKJ139" s="9"/>
      <c r="KKK139" s="18"/>
      <c r="KKL139" s="18"/>
      <c r="KKM139" s="18"/>
      <c r="KKN139" s="18"/>
      <c r="KKO139" s="18"/>
      <c r="KKP139" s="17"/>
      <c r="KKQ139" s="9"/>
      <c r="KKR139" s="9"/>
      <c r="KKS139" s="18"/>
      <c r="KKT139" s="18"/>
      <c r="KKU139" s="18"/>
      <c r="KKV139" s="18"/>
      <c r="KKW139" s="18"/>
      <c r="KKX139" s="17"/>
      <c r="KKY139" s="9"/>
      <c r="KKZ139" s="9"/>
      <c r="KLA139" s="18"/>
      <c r="KLB139" s="18"/>
      <c r="KLC139" s="18"/>
      <c r="KLD139" s="18"/>
      <c r="KLE139" s="18"/>
      <c r="KLF139" s="17"/>
      <c r="KLG139" s="9"/>
      <c r="KLH139" s="9"/>
      <c r="KLI139" s="18"/>
      <c r="KLJ139" s="18"/>
      <c r="KLK139" s="18"/>
      <c r="KLL139" s="18"/>
      <c r="KLM139" s="18"/>
      <c r="KLN139" s="17"/>
      <c r="KLO139" s="9"/>
      <c r="KLP139" s="9"/>
      <c r="KLQ139" s="18"/>
      <c r="KLR139" s="18"/>
      <c r="KLS139" s="18"/>
      <c r="KLT139" s="18"/>
      <c r="KLU139" s="18"/>
      <c r="KLV139" s="17"/>
      <c r="KLW139" s="9"/>
      <c r="KLX139" s="9"/>
      <c r="KLY139" s="18"/>
      <c r="KLZ139" s="18"/>
      <c r="KMA139" s="18"/>
      <c r="KMB139" s="18"/>
      <c r="KMC139" s="18"/>
      <c r="KMD139" s="17"/>
      <c r="KME139" s="9"/>
      <c r="KMF139" s="9"/>
      <c r="KMG139" s="18"/>
      <c r="KMH139" s="18"/>
      <c r="KMI139" s="18"/>
      <c r="KMJ139" s="18"/>
      <c r="KMK139" s="18"/>
      <c r="KML139" s="17"/>
      <c r="KMM139" s="9"/>
      <c r="KMN139" s="9"/>
      <c r="KMO139" s="18"/>
      <c r="KMP139" s="18"/>
      <c r="KMQ139" s="18"/>
      <c r="KMR139" s="18"/>
      <c r="KMS139" s="18"/>
      <c r="KMT139" s="17"/>
      <c r="KMU139" s="9"/>
      <c r="KMV139" s="9"/>
      <c r="KMW139" s="18"/>
      <c r="KMX139" s="18"/>
      <c r="KMY139" s="18"/>
      <c r="KMZ139" s="18"/>
      <c r="KNA139" s="18"/>
      <c r="KNB139" s="17"/>
      <c r="KNC139" s="9"/>
      <c r="KND139" s="9"/>
      <c r="KNE139" s="18"/>
      <c r="KNF139" s="18"/>
      <c r="KNG139" s="18"/>
      <c r="KNH139" s="18"/>
      <c r="KNI139" s="18"/>
      <c r="KNJ139" s="17"/>
      <c r="KNK139" s="9"/>
      <c r="KNL139" s="9"/>
      <c r="KNM139" s="18"/>
      <c r="KNN139" s="18"/>
      <c r="KNO139" s="18"/>
      <c r="KNP139" s="18"/>
      <c r="KNQ139" s="18"/>
      <c r="KNR139" s="17"/>
      <c r="KNS139" s="9"/>
      <c r="KNT139" s="9"/>
      <c r="KNU139" s="18"/>
      <c r="KNV139" s="18"/>
      <c r="KNW139" s="18"/>
      <c r="KNX139" s="18"/>
      <c r="KNY139" s="18"/>
      <c r="KNZ139" s="17"/>
      <c r="KOA139" s="9"/>
      <c r="KOB139" s="9"/>
      <c r="KOC139" s="18"/>
      <c r="KOD139" s="18"/>
      <c r="KOE139" s="18"/>
      <c r="KOF139" s="18"/>
      <c r="KOG139" s="18"/>
      <c r="KOH139" s="17"/>
      <c r="KOI139" s="9"/>
      <c r="KOJ139" s="9"/>
      <c r="KOK139" s="18"/>
      <c r="KOL139" s="18"/>
      <c r="KOM139" s="18"/>
      <c r="KON139" s="18"/>
      <c r="KOO139" s="18"/>
      <c r="KOP139" s="17"/>
      <c r="KOQ139" s="9"/>
      <c r="KOR139" s="9"/>
      <c r="KOS139" s="18"/>
      <c r="KOT139" s="18"/>
      <c r="KOU139" s="18"/>
      <c r="KOV139" s="18"/>
      <c r="KOW139" s="18"/>
      <c r="KOX139" s="17"/>
      <c r="KOY139" s="9"/>
      <c r="KOZ139" s="9"/>
      <c r="KPA139" s="18"/>
      <c r="KPB139" s="18"/>
      <c r="KPC139" s="18"/>
      <c r="KPD139" s="18"/>
      <c r="KPE139" s="18"/>
      <c r="KPF139" s="17"/>
      <c r="KPG139" s="9"/>
      <c r="KPH139" s="9"/>
      <c r="KPI139" s="18"/>
      <c r="KPJ139" s="18"/>
      <c r="KPK139" s="18"/>
      <c r="KPL139" s="18"/>
      <c r="KPM139" s="18"/>
      <c r="KPN139" s="17"/>
      <c r="KPO139" s="9"/>
      <c r="KPP139" s="9"/>
      <c r="KPQ139" s="18"/>
      <c r="KPR139" s="18"/>
      <c r="KPS139" s="18"/>
      <c r="KPT139" s="18"/>
      <c r="KPU139" s="18"/>
      <c r="KPV139" s="17"/>
      <c r="KPW139" s="9"/>
      <c r="KPX139" s="9"/>
      <c r="KPY139" s="18"/>
      <c r="KPZ139" s="18"/>
      <c r="KQA139" s="18"/>
      <c r="KQB139" s="18"/>
      <c r="KQC139" s="18"/>
      <c r="KQD139" s="17"/>
      <c r="KQE139" s="9"/>
      <c r="KQF139" s="9"/>
      <c r="KQG139" s="18"/>
      <c r="KQH139" s="18"/>
      <c r="KQI139" s="18"/>
      <c r="KQJ139" s="18"/>
      <c r="KQK139" s="18"/>
      <c r="KQL139" s="17"/>
      <c r="KQM139" s="9"/>
      <c r="KQN139" s="9"/>
      <c r="KQO139" s="18"/>
      <c r="KQP139" s="18"/>
      <c r="KQQ139" s="18"/>
      <c r="KQR139" s="18"/>
      <c r="KQS139" s="18"/>
      <c r="KQT139" s="17"/>
      <c r="KQU139" s="9"/>
      <c r="KQV139" s="9"/>
      <c r="KQW139" s="18"/>
      <c r="KQX139" s="18"/>
      <c r="KQY139" s="18"/>
      <c r="KQZ139" s="18"/>
      <c r="KRA139" s="18"/>
      <c r="KRB139" s="17"/>
      <c r="KRC139" s="9"/>
      <c r="KRD139" s="9"/>
      <c r="KRE139" s="18"/>
      <c r="KRF139" s="18"/>
      <c r="KRG139" s="18"/>
      <c r="KRH139" s="18"/>
      <c r="KRI139" s="18"/>
      <c r="KRJ139" s="17"/>
      <c r="KRK139" s="9"/>
      <c r="KRL139" s="9"/>
      <c r="KRM139" s="18"/>
      <c r="KRN139" s="18"/>
      <c r="KRO139" s="18"/>
      <c r="KRP139" s="18"/>
      <c r="KRQ139" s="18"/>
      <c r="KRR139" s="17"/>
      <c r="KRS139" s="9"/>
      <c r="KRT139" s="9"/>
      <c r="KRU139" s="18"/>
      <c r="KRV139" s="18"/>
      <c r="KRW139" s="18"/>
      <c r="KRX139" s="18"/>
      <c r="KRY139" s="18"/>
      <c r="KRZ139" s="17"/>
      <c r="KSA139" s="9"/>
      <c r="KSB139" s="9"/>
      <c r="KSC139" s="18"/>
      <c r="KSD139" s="18"/>
      <c r="KSE139" s="18"/>
      <c r="KSF139" s="18"/>
      <c r="KSG139" s="18"/>
      <c r="KSH139" s="17"/>
      <c r="KSI139" s="9"/>
      <c r="KSJ139" s="9"/>
      <c r="KSK139" s="18"/>
      <c r="KSL139" s="18"/>
      <c r="KSM139" s="18"/>
      <c r="KSN139" s="18"/>
      <c r="KSO139" s="18"/>
      <c r="KSP139" s="17"/>
      <c r="KSQ139" s="9"/>
      <c r="KSR139" s="9"/>
      <c r="KSS139" s="18"/>
      <c r="KST139" s="18"/>
      <c r="KSU139" s="18"/>
      <c r="KSV139" s="18"/>
      <c r="KSW139" s="18"/>
      <c r="KSX139" s="17"/>
      <c r="KSY139" s="9"/>
      <c r="KSZ139" s="9"/>
      <c r="KTA139" s="18"/>
      <c r="KTB139" s="18"/>
      <c r="KTC139" s="18"/>
      <c r="KTD139" s="18"/>
      <c r="KTE139" s="18"/>
      <c r="KTF139" s="17"/>
      <c r="KTG139" s="9"/>
      <c r="KTH139" s="9"/>
      <c r="KTI139" s="18"/>
      <c r="KTJ139" s="18"/>
      <c r="KTK139" s="18"/>
      <c r="KTL139" s="18"/>
      <c r="KTM139" s="18"/>
      <c r="KTN139" s="17"/>
      <c r="KTO139" s="9"/>
      <c r="KTP139" s="9"/>
      <c r="KTQ139" s="18"/>
      <c r="KTR139" s="18"/>
      <c r="KTS139" s="18"/>
      <c r="KTT139" s="18"/>
      <c r="KTU139" s="18"/>
      <c r="KTV139" s="17"/>
      <c r="KTW139" s="9"/>
      <c r="KTX139" s="9"/>
      <c r="KTY139" s="18"/>
      <c r="KTZ139" s="18"/>
      <c r="KUA139" s="18"/>
      <c r="KUB139" s="18"/>
      <c r="KUC139" s="18"/>
      <c r="KUD139" s="17"/>
      <c r="KUE139" s="9"/>
      <c r="KUF139" s="9"/>
      <c r="KUG139" s="18"/>
      <c r="KUH139" s="18"/>
      <c r="KUI139" s="18"/>
      <c r="KUJ139" s="18"/>
      <c r="KUK139" s="18"/>
      <c r="KUL139" s="17"/>
      <c r="KUM139" s="9"/>
      <c r="KUN139" s="9"/>
      <c r="KUO139" s="18"/>
      <c r="KUP139" s="18"/>
      <c r="KUQ139" s="18"/>
      <c r="KUR139" s="18"/>
      <c r="KUS139" s="18"/>
      <c r="KUT139" s="17"/>
      <c r="KUU139" s="9"/>
      <c r="KUV139" s="9"/>
      <c r="KUW139" s="18"/>
      <c r="KUX139" s="18"/>
      <c r="KUY139" s="18"/>
      <c r="KUZ139" s="18"/>
      <c r="KVA139" s="18"/>
      <c r="KVB139" s="17"/>
      <c r="KVC139" s="9"/>
      <c r="KVD139" s="9"/>
      <c r="KVE139" s="18"/>
      <c r="KVF139" s="18"/>
      <c r="KVG139" s="18"/>
      <c r="KVH139" s="18"/>
      <c r="KVI139" s="18"/>
      <c r="KVJ139" s="17"/>
      <c r="KVK139" s="9"/>
      <c r="KVL139" s="9"/>
      <c r="KVM139" s="18"/>
      <c r="KVN139" s="18"/>
      <c r="KVO139" s="18"/>
      <c r="KVP139" s="18"/>
      <c r="KVQ139" s="18"/>
      <c r="KVR139" s="17"/>
      <c r="KVS139" s="9"/>
      <c r="KVT139" s="9"/>
      <c r="KVU139" s="18"/>
      <c r="KVV139" s="18"/>
      <c r="KVW139" s="18"/>
      <c r="KVX139" s="18"/>
      <c r="KVY139" s="18"/>
      <c r="KVZ139" s="17"/>
      <c r="KWA139" s="9"/>
      <c r="KWB139" s="9"/>
      <c r="KWC139" s="18"/>
      <c r="KWD139" s="18"/>
      <c r="KWE139" s="18"/>
      <c r="KWF139" s="18"/>
      <c r="KWG139" s="18"/>
      <c r="KWH139" s="17"/>
      <c r="KWI139" s="9"/>
      <c r="KWJ139" s="9"/>
      <c r="KWK139" s="18"/>
      <c r="KWL139" s="18"/>
      <c r="KWM139" s="18"/>
      <c r="KWN139" s="18"/>
      <c r="KWO139" s="18"/>
      <c r="KWP139" s="17"/>
      <c r="KWQ139" s="9"/>
      <c r="KWR139" s="9"/>
      <c r="KWS139" s="18"/>
      <c r="KWT139" s="18"/>
      <c r="KWU139" s="18"/>
      <c r="KWV139" s="18"/>
      <c r="KWW139" s="18"/>
      <c r="KWX139" s="17"/>
      <c r="KWY139" s="9"/>
      <c r="KWZ139" s="9"/>
      <c r="KXA139" s="18"/>
      <c r="KXB139" s="18"/>
      <c r="KXC139" s="18"/>
      <c r="KXD139" s="18"/>
      <c r="KXE139" s="18"/>
      <c r="KXF139" s="17"/>
      <c r="KXG139" s="9"/>
      <c r="KXH139" s="9"/>
      <c r="KXI139" s="18"/>
      <c r="KXJ139" s="18"/>
      <c r="KXK139" s="18"/>
      <c r="KXL139" s="18"/>
      <c r="KXM139" s="18"/>
      <c r="KXN139" s="17"/>
      <c r="KXO139" s="9"/>
      <c r="KXP139" s="9"/>
      <c r="KXQ139" s="18"/>
      <c r="KXR139" s="18"/>
      <c r="KXS139" s="18"/>
      <c r="KXT139" s="18"/>
      <c r="KXU139" s="18"/>
      <c r="KXV139" s="17"/>
      <c r="KXW139" s="9"/>
      <c r="KXX139" s="9"/>
      <c r="KXY139" s="18"/>
      <c r="KXZ139" s="18"/>
      <c r="KYA139" s="18"/>
      <c r="KYB139" s="18"/>
      <c r="KYC139" s="18"/>
      <c r="KYD139" s="17"/>
      <c r="KYE139" s="9"/>
      <c r="KYF139" s="9"/>
      <c r="KYG139" s="18"/>
      <c r="KYH139" s="18"/>
      <c r="KYI139" s="18"/>
      <c r="KYJ139" s="18"/>
      <c r="KYK139" s="18"/>
      <c r="KYL139" s="17"/>
      <c r="KYM139" s="9"/>
      <c r="KYN139" s="9"/>
      <c r="KYO139" s="18"/>
      <c r="KYP139" s="18"/>
      <c r="KYQ139" s="18"/>
      <c r="KYR139" s="18"/>
      <c r="KYS139" s="18"/>
      <c r="KYT139" s="17"/>
      <c r="KYU139" s="9"/>
      <c r="KYV139" s="9"/>
      <c r="KYW139" s="18"/>
      <c r="KYX139" s="18"/>
      <c r="KYY139" s="18"/>
      <c r="KYZ139" s="18"/>
      <c r="KZA139" s="18"/>
      <c r="KZB139" s="17"/>
      <c r="KZC139" s="9"/>
      <c r="KZD139" s="9"/>
      <c r="KZE139" s="18"/>
      <c r="KZF139" s="18"/>
      <c r="KZG139" s="18"/>
      <c r="KZH139" s="18"/>
      <c r="KZI139" s="18"/>
      <c r="KZJ139" s="17"/>
      <c r="KZK139" s="9"/>
      <c r="KZL139" s="9"/>
      <c r="KZM139" s="18"/>
      <c r="KZN139" s="18"/>
      <c r="KZO139" s="18"/>
      <c r="KZP139" s="18"/>
      <c r="KZQ139" s="18"/>
      <c r="KZR139" s="17"/>
      <c r="KZS139" s="9"/>
      <c r="KZT139" s="9"/>
      <c r="KZU139" s="18"/>
      <c r="KZV139" s="18"/>
      <c r="KZW139" s="18"/>
      <c r="KZX139" s="18"/>
      <c r="KZY139" s="18"/>
      <c r="KZZ139" s="17"/>
      <c r="LAA139" s="9"/>
      <c r="LAB139" s="9"/>
      <c r="LAC139" s="18"/>
      <c r="LAD139" s="18"/>
      <c r="LAE139" s="18"/>
      <c r="LAF139" s="18"/>
      <c r="LAG139" s="18"/>
      <c r="LAH139" s="17"/>
      <c r="LAI139" s="9"/>
      <c r="LAJ139" s="9"/>
      <c r="LAK139" s="18"/>
      <c r="LAL139" s="18"/>
      <c r="LAM139" s="18"/>
      <c r="LAN139" s="18"/>
      <c r="LAO139" s="18"/>
      <c r="LAP139" s="17"/>
      <c r="LAQ139" s="9"/>
      <c r="LAR139" s="9"/>
      <c r="LAS139" s="18"/>
      <c r="LAT139" s="18"/>
      <c r="LAU139" s="18"/>
      <c r="LAV139" s="18"/>
      <c r="LAW139" s="18"/>
      <c r="LAX139" s="17"/>
      <c r="LAY139" s="9"/>
      <c r="LAZ139" s="9"/>
      <c r="LBA139" s="18"/>
      <c r="LBB139" s="18"/>
      <c r="LBC139" s="18"/>
      <c r="LBD139" s="18"/>
      <c r="LBE139" s="18"/>
      <c r="LBF139" s="17"/>
      <c r="LBG139" s="9"/>
      <c r="LBH139" s="9"/>
      <c r="LBI139" s="18"/>
      <c r="LBJ139" s="18"/>
      <c r="LBK139" s="18"/>
      <c r="LBL139" s="18"/>
      <c r="LBM139" s="18"/>
      <c r="LBN139" s="17"/>
      <c r="LBO139" s="9"/>
      <c r="LBP139" s="9"/>
      <c r="LBQ139" s="18"/>
      <c r="LBR139" s="18"/>
      <c r="LBS139" s="18"/>
      <c r="LBT139" s="18"/>
      <c r="LBU139" s="18"/>
      <c r="LBV139" s="17"/>
      <c r="LBW139" s="9"/>
      <c r="LBX139" s="9"/>
      <c r="LBY139" s="18"/>
      <c r="LBZ139" s="18"/>
      <c r="LCA139" s="18"/>
      <c r="LCB139" s="18"/>
      <c r="LCC139" s="18"/>
      <c r="LCD139" s="17"/>
      <c r="LCE139" s="9"/>
      <c r="LCF139" s="9"/>
      <c r="LCG139" s="18"/>
      <c r="LCH139" s="18"/>
      <c r="LCI139" s="18"/>
      <c r="LCJ139" s="18"/>
      <c r="LCK139" s="18"/>
      <c r="LCL139" s="17"/>
      <c r="LCM139" s="9"/>
      <c r="LCN139" s="9"/>
      <c r="LCO139" s="18"/>
      <c r="LCP139" s="18"/>
      <c r="LCQ139" s="18"/>
      <c r="LCR139" s="18"/>
      <c r="LCS139" s="18"/>
      <c r="LCT139" s="17"/>
      <c r="LCU139" s="9"/>
      <c r="LCV139" s="9"/>
      <c r="LCW139" s="18"/>
      <c r="LCX139" s="18"/>
      <c r="LCY139" s="18"/>
      <c r="LCZ139" s="18"/>
      <c r="LDA139" s="18"/>
      <c r="LDB139" s="17"/>
      <c r="LDC139" s="9"/>
      <c r="LDD139" s="9"/>
      <c r="LDE139" s="18"/>
      <c r="LDF139" s="18"/>
      <c r="LDG139" s="18"/>
      <c r="LDH139" s="18"/>
      <c r="LDI139" s="18"/>
      <c r="LDJ139" s="17"/>
      <c r="LDK139" s="9"/>
      <c r="LDL139" s="9"/>
      <c r="LDM139" s="18"/>
      <c r="LDN139" s="18"/>
      <c r="LDO139" s="18"/>
      <c r="LDP139" s="18"/>
      <c r="LDQ139" s="18"/>
      <c r="LDR139" s="17"/>
      <c r="LDS139" s="9"/>
      <c r="LDT139" s="9"/>
      <c r="LDU139" s="18"/>
      <c r="LDV139" s="18"/>
      <c r="LDW139" s="18"/>
      <c r="LDX139" s="18"/>
      <c r="LDY139" s="18"/>
      <c r="LDZ139" s="17"/>
      <c r="LEA139" s="9"/>
      <c r="LEB139" s="9"/>
      <c r="LEC139" s="18"/>
      <c r="LED139" s="18"/>
      <c r="LEE139" s="18"/>
      <c r="LEF139" s="18"/>
      <c r="LEG139" s="18"/>
      <c r="LEH139" s="17"/>
      <c r="LEI139" s="9"/>
      <c r="LEJ139" s="9"/>
      <c r="LEK139" s="18"/>
      <c r="LEL139" s="18"/>
      <c r="LEM139" s="18"/>
      <c r="LEN139" s="18"/>
      <c r="LEO139" s="18"/>
      <c r="LEP139" s="17"/>
      <c r="LEQ139" s="9"/>
      <c r="LER139" s="9"/>
      <c r="LES139" s="18"/>
      <c r="LET139" s="18"/>
      <c r="LEU139" s="18"/>
      <c r="LEV139" s="18"/>
      <c r="LEW139" s="18"/>
      <c r="LEX139" s="17"/>
      <c r="LEY139" s="9"/>
      <c r="LEZ139" s="9"/>
      <c r="LFA139" s="18"/>
      <c r="LFB139" s="18"/>
      <c r="LFC139" s="18"/>
      <c r="LFD139" s="18"/>
      <c r="LFE139" s="18"/>
      <c r="LFF139" s="17"/>
      <c r="LFG139" s="9"/>
      <c r="LFH139" s="9"/>
      <c r="LFI139" s="18"/>
      <c r="LFJ139" s="18"/>
      <c r="LFK139" s="18"/>
      <c r="LFL139" s="18"/>
      <c r="LFM139" s="18"/>
      <c r="LFN139" s="17"/>
      <c r="LFO139" s="9"/>
      <c r="LFP139" s="9"/>
      <c r="LFQ139" s="18"/>
      <c r="LFR139" s="18"/>
      <c r="LFS139" s="18"/>
      <c r="LFT139" s="18"/>
      <c r="LFU139" s="18"/>
      <c r="LFV139" s="17"/>
      <c r="LFW139" s="9"/>
      <c r="LFX139" s="9"/>
      <c r="LFY139" s="18"/>
      <c r="LFZ139" s="18"/>
      <c r="LGA139" s="18"/>
      <c r="LGB139" s="18"/>
      <c r="LGC139" s="18"/>
      <c r="LGD139" s="17"/>
      <c r="LGE139" s="9"/>
      <c r="LGF139" s="9"/>
      <c r="LGG139" s="18"/>
      <c r="LGH139" s="18"/>
      <c r="LGI139" s="18"/>
      <c r="LGJ139" s="18"/>
      <c r="LGK139" s="18"/>
      <c r="LGL139" s="17"/>
      <c r="LGM139" s="9"/>
      <c r="LGN139" s="9"/>
      <c r="LGO139" s="18"/>
      <c r="LGP139" s="18"/>
      <c r="LGQ139" s="18"/>
      <c r="LGR139" s="18"/>
      <c r="LGS139" s="18"/>
      <c r="LGT139" s="17"/>
      <c r="LGU139" s="9"/>
      <c r="LGV139" s="9"/>
      <c r="LGW139" s="18"/>
      <c r="LGX139" s="18"/>
      <c r="LGY139" s="18"/>
      <c r="LGZ139" s="18"/>
      <c r="LHA139" s="18"/>
      <c r="LHB139" s="17"/>
      <c r="LHC139" s="9"/>
      <c r="LHD139" s="9"/>
      <c r="LHE139" s="18"/>
      <c r="LHF139" s="18"/>
      <c r="LHG139" s="18"/>
      <c r="LHH139" s="18"/>
      <c r="LHI139" s="18"/>
      <c r="LHJ139" s="17"/>
      <c r="LHK139" s="9"/>
      <c r="LHL139" s="9"/>
      <c r="LHM139" s="18"/>
      <c r="LHN139" s="18"/>
      <c r="LHO139" s="18"/>
      <c r="LHP139" s="18"/>
      <c r="LHQ139" s="18"/>
      <c r="LHR139" s="17"/>
      <c r="LHS139" s="9"/>
      <c r="LHT139" s="9"/>
      <c r="LHU139" s="18"/>
      <c r="LHV139" s="18"/>
      <c r="LHW139" s="18"/>
      <c r="LHX139" s="18"/>
      <c r="LHY139" s="18"/>
      <c r="LHZ139" s="17"/>
      <c r="LIA139" s="9"/>
      <c r="LIB139" s="9"/>
      <c r="LIC139" s="18"/>
      <c r="LID139" s="18"/>
      <c r="LIE139" s="18"/>
      <c r="LIF139" s="18"/>
      <c r="LIG139" s="18"/>
      <c r="LIH139" s="17"/>
      <c r="LII139" s="9"/>
      <c r="LIJ139" s="9"/>
      <c r="LIK139" s="18"/>
      <c r="LIL139" s="18"/>
      <c r="LIM139" s="18"/>
      <c r="LIN139" s="18"/>
      <c r="LIO139" s="18"/>
      <c r="LIP139" s="17"/>
      <c r="LIQ139" s="9"/>
      <c r="LIR139" s="9"/>
      <c r="LIS139" s="18"/>
      <c r="LIT139" s="18"/>
      <c r="LIU139" s="18"/>
      <c r="LIV139" s="18"/>
      <c r="LIW139" s="18"/>
      <c r="LIX139" s="17"/>
      <c r="LIY139" s="9"/>
      <c r="LIZ139" s="9"/>
      <c r="LJA139" s="18"/>
      <c r="LJB139" s="18"/>
      <c r="LJC139" s="18"/>
      <c r="LJD139" s="18"/>
      <c r="LJE139" s="18"/>
      <c r="LJF139" s="17"/>
      <c r="LJG139" s="9"/>
      <c r="LJH139" s="9"/>
      <c r="LJI139" s="18"/>
      <c r="LJJ139" s="18"/>
      <c r="LJK139" s="18"/>
      <c r="LJL139" s="18"/>
      <c r="LJM139" s="18"/>
      <c r="LJN139" s="17"/>
      <c r="LJO139" s="9"/>
      <c r="LJP139" s="9"/>
      <c r="LJQ139" s="18"/>
      <c r="LJR139" s="18"/>
      <c r="LJS139" s="18"/>
      <c r="LJT139" s="18"/>
      <c r="LJU139" s="18"/>
      <c r="LJV139" s="17"/>
      <c r="LJW139" s="9"/>
      <c r="LJX139" s="9"/>
      <c r="LJY139" s="18"/>
      <c r="LJZ139" s="18"/>
      <c r="LKA139" s="18"/>
      <c r="LKB139" s="18"/>
      <c r="LKC139" s="18"/>
      <c r="LKD139" s="17"/>
      <c r="LKE139" s="9"/>
      <c r="LKF139" s="9"/>
      <c r="LKG139" s="18"/>
      <c r="LKH139" s="18"/>
      <c r="LKI139" s="18"/>
      <c r="LKJ139" s="18"/>
      <c r="LKK139" s="18"/>
      <c r="LKL139" s="17"/>
      <c r="LKM139" s="9"/>
      <c r="LKN139" s="9"/>
      <c r="LKO139" s="18"/>
      <c r="LKP139" s="18"/>
      <c r="LKQ139" s="18"/>
      <c r="LKR139" s="18"/>
      <c r="LKS139" s="18"/>
      <c r="LKT139" s="17"/>
      <c r="LKU139" s="9"/>
      <c r="LKV139" s="9"/>
      <c r="LKW139" s="18"/>
      <c r="LKX139" s="18"/>
      <c r="LKY139" s="18"/>
      <c r="LKZ139" s="18"/>
      <c r="LLA139" s="18"/>
      <c r="LLB139" s="17"/>
      <c r="LLC139" s="9"/>
      <c r="LLD139" s="9"/>
      <c r="LLE139" s="18"/>
      <c r="LLF139" s="18"/>
      <c r="LLG139" s="18"/>
      <c r="LLH139" s="18"/>
      <c r="LLI139" s="18"/>
      <c r="LLJ139" s="17"/>
      <c r="LLK139" s="9"/>
      <c r="LLL139" s="9"/>
      <c r="LLM139" s="18"/>
      <c r="LLN139" s="18"/>
      <c r="LLO139" s="18"/>
      <c r="LLP139" s="18"/>
      <c r="LLQ139" s="18"/>
      <c r="LLR139" s="17"/>
      <c r="LLS139" s="9"/>
      <c r="LLT139" s="9"/>
      <c r="LLU139" s="18"/>
      <c r="LLV139" s="18"/>
      <c r="LLW139" s="18"/>
      <c r="LLX139" s="18"/>
      <c r="LLY139" s="18"/>
      <c r="LLZ139" s="17"/>
      <c r="LMA139" s="9"/>
      <c r="LMB139" s="9"/>
      <c r="LMC139" s="18"/>
      <c r="LMD139" s="18"/>
      <c r="LME139" s="18"/>
      <c r="LMF139" s="18"/>
      <c r="LMG139" s="18"/>
      <c r="LMH139" s="17"/>
      <c r="LMI139" s="9"/>
      <c r="LMJ139" s="9"/>
      <c r="LMK139" s="18"/>
      <c r="LML139" s="18"/>
      <c r="LMM139" s="18"/>
      <c r="LMN139" s="18"/>
      <c r="LMO139" s="18"/>
      <c r="LMP139" s="17"/>
      <c r="LMQ139" s="9"/>
      <c r="LMR139" s="9"/>
      <c r="LMS139" s="18"/>
      <c r="LMT139" s="18"/>
      <c r="LMU139" s="18"/>
      <c r="LMV139" s="18"/>
      <c r="LMW139" s="18"/>
      <c r="LMX139" s="17"/>
      <c r="LMY139" s="9"/>
      <c r="LMZ139" s="9"/>
      <c r="LNA139" s="18"/>
      <c r="LNB139" s="18"/>
      <c r="LNC139" s="18"/>
      <c r="LND139" s="18"/>
      <c r="LNE139" s="18"/>
      <c r="LNF139" s="17"/>
      <c r="LNG139" s="9"/>
      <c r="LNH139" s="9"/>
      <c r="LNI139" s="18"/>
      <c r="LNJ139" s="18"/>
      <c r="LNK139" s="18"/>
      <c r="LNL139" s="18"/>
      <c r="LNM139" s="18"/>
      <c r="LNN139" s="17"/>
      <c r="LNO139" s="9"/>
      <c r="LNP139" s="9"/>
      <c r="LNQ139" s="18"/>
      <c r="LNR139" s="18"/>
      <c r="LNS139" s="18"/>
      <c r="LNT139" s="18"/>
      <c r="LNU139" s="18"/>
      <c r="LNV139" s="17"/>
      <c r="LNW139" s="9"/>
      <c r="LNX139" s="9"/>
      <c r="LNY139" s="18"/>
      <c r="LNZ139" s="18"/>
      <c r="LOA139" s="18"/>
      <c r="LOB139" s="18"/>
      <c r="LOC139" s="18"/>
      <c r="LOD139" s="17"/>
      <c r="LOE139" s="9"/>
      <c r="LOF139" s="9"/>
      <c r="LOG139" s="18"/>
      <c r="LOH139" s="18"/>
      <c r="LOI139" s="18"/>
      <c r="LOJ139" s="18"/>
      <c r="LOK139" s="18"/>
      <c r="LOL139" s="17"/>
      <c r="LOM139" s="9"/>
      <c r="LON139" s="9"/>
      <c r="LOO139" s="18"/>
      <c r="LOP139" s="18"/>
      <c r="LOQ139" s="18"/>
      <c r="LOR139" s="18"/>
      <c r="LOS139" s="18"/>
      <c r="LOT139" s="17"/>
      <c r="LOU139" s="9"/>
      <c r="LOV139" s="9"/>
      <c r="LOW139" s="18"/>
      <c r="LOX139" s="18"/>
      <c r="LOY139" s="18"/>
      <c r="LOZ139" s="18"/>
      <c r="LPA139" s="18"/>
      <c r="LPB139" s="17"/>
      <c r="LPC139" s="9"/>
      <c r="LPD139" s="9"/>
      <c r="LPE139" s="18"/>
      <c r="LPF139" s="18"/>
      <c r="LPG139" s="18"/>
      <c r="LPH139" s="18"/>
      <c r="LPI139" s="18"/>
      <c r="LPJ139" s="17"/>
      <c r="LPK139" s="9"/>
      <c r="LPL139" s="9"/>
      <c r="LPM139" s="18"/>
      <c r="LPN139" s="18"/>
      <c r="LPO139" s="18"/>
      <c r="LPP139" s="18"/>
      <c r="LPQ139" s="18"/>
      <c r="LPR139" s="17"/>
      <c r="LPS139" s="9"/>
      <c r="LPT139" s="9"/>
      <c r="LPU139" s="18"/>
      <c r="LPV139" s="18"/>
      <c r="LPW139" s="18"/>
      <c r="LPX139" s="18"/>
      <c r="LPY139" s="18"/>
      <c r="LPZ139" s="17"/>
      <c r="LQA139" s="9"/>
      <c r="LQB139" s="9"/>
      <c r="LQC139" s="18"/>
      <c r="LQD139" s="18"/>
      <c r="LQE139" s="18"/>
      <c r="LQF139" s="18"/>
      <c r="LQG139" s="18"/>
      <c r="LQH139" s="17"/>
      <c r="LQI139" s="9"/>
      <c r="LQJ139" s="9"/>
      <c r="LQK139" s="18"/>
      <c r="LQL139" s="18"/>
      <c r="LQM139" s="18"/>
      <c r="LQN139" s="18"/>
      <c r="LQO139" s="18"/>
      <c r="LQP139" s="17"/>
      <c r="LQQ139" s="9"/>
      <c r="LQR139" s="9"/>
      <c r="LQS139" s="18"/>
      <c r="LQT139" s="18"/>
      <c r="LQU139" s="18"/>
      <c r="LQV139" s="18"/>
      <c r="LQW139" s="18"/>
      <c r="LQX139" s="17"/>
      <c r="LQY139" s="9"/>
      <c r="LQZ139" s="9"/>
      <c r="LRA139" s="18"/>
      <c r="LRB139" s="18"/>
      <c r="LRC139" s="18"/>
      <c r="LRD139" s="18"/>
      <c r="LRE139" s="18"/>
      <c r="LRF139" s="17"/>
      <c r="LRG139" s="9"/>
      <c r="LRH139" s="9"/>
      <c r="LRI139" s="18"/>
      <c r="LRJ139" s="18"/>
      <c r="LRK139" s="18"/>
      <c r="LRL139" s="18"/>
      <c r="LRM139" s="18"/>
      <c r="LRN139" s="17"/>
      <c r="LRO139" s="9"/>
      <c r="LRP139" s="9"/>
      <c r="LRQ139" s="18"/>
      <c r="LRR139" s="18"/>
      <c r="LRS139" s="18"/>
      <c r="LRT139" s="18"/>
      <c r="LRU139" s="18"/>
      <c r="LRV139" s="17"/>
      <c r="LRW139" s="9"/>
      <c r="LRX139" s="9"/>
      <c r="LRY139" s="18"/>
      <c r="LRZ139" s="18"/>
      <c r="LSA139" s="18"/>
      <c r="LSB139" s="18"/>
      <c r="LSC139" s="18"/>
      <c r="LSD139" s="17"/>
      <c r="LSE139" s="9"/>
      <c r="LSF139" s="9"/>
      <c r="LSG139" s="18"/>
      <c r="LSH139" s="18"/>
      <c r="LSI139" s="18"/>
      <c r="LSJ139" s="18"/>
      <c r="LSK139" s="18"/>
      <c r="LSL139" s="17"/>
      <c r="LSM139" s="9"/>
      <c r="LSN139" s="9"/>
      <c r="LSO139" s="18"/>
      <c r="LSP139" s="18"/>
      <c r="LSQ139" s="18"/>
      <c r="LSR139" s="18"/>
      <c r="LSS139" s="18"/>
      <c r="LST139" s="17"/>
      <c r="LSU139" s="9"/>
      <c r="LSV139" s="9"/>
      <c r="LSW139" s="18"/>
      <c r="LSX139" s="18"/>
      <c r="LSY139" s="18"/>
      <c r="LSZ139" s="18"/>
      <c r="LTA139" s="18"/>
      <c r="LTB139" s="17"/>
      <c r="LTC139" s="9"/>
      <c r="LTD139" s="9"/>
      <c r="LTE139" s="18"/>
      <c r="LTF139" s="18"/>
      <c r="LTG139" s="18"/>
      <c r="LTH139" s="18"/>
      <c r="LTI139" s="18"/>
      <c r="LTJ139" s="17"/>
      <c r="LTK139" s="9"/>
      <c r="LTL139" s="9"/>
      <c r="LTM139" s="18"/>
      <c r="LTN139" s="18"/>
      <c r="LTO139" s="18"/>
      <c r="LTP139" s="18"/>
      <c r="LTQ139" s="18"/>
      <c r="LTR139" s="17"/>
      <c r="LTS139" s="9"/>
      <c r="LTT139" s="9"/>
      <c r="LTU139" s="18"/>
      <c r="LTV139" s="18"/>
      <c r="LTW139" s="18"/>
      <c r="LTX139" s="18"/>
      <c r="LTY139" s="18"/>
      <c r="LTZ139" s="17"/>
      <c r="LUA139" s="9"/>
      <c r="LUB139" s="9"/>
      <c r="LUC139" s="18"/>
      <c r="LUD139" s="18"/>
      <c r="LUE139" s="18"/>
      <c r="LUF139" s="18"/>
      <c r="LUG139" s="18"/>
      <c r="LUH139" s="17"/>
      <c r="LUI139" s="9"/>
      <c r="LUJ139" s="9"/>
      <c r="LUK139" s="18"/>
      <c r="LUL139" s="18"/>
      <c r="LUM139" s="18"/>
      <c r="LUN139" s="18"/>
      <c r="LUO139" s="18"/>
      <c r="LUP139" s="17"/>
      <c r="LUQ139" s="9"/>
      <c r="LUR139" s="9"/>
      <c r="LUS139" s="18"/>
      <c r="LUT139" s="18"/>
      <c r="LUU139" s="18"/>
      <c r="LUV139" s="18"/>
      <c r="LUW139" s="18"/>
      <c r="LUX139" s="17"/>
      <c r="LUY139" s="9"/>
      <c r="LUZ139" s="9"/>
      <c r="LVA139" s="18"/>
      <c r="LVB139" s="18"/>
      <c r="LVC139" s="18"/>
      <c r="LVD139" s="18"/>
      <c r="LVE139" s="18"/>
      <c r="LVF139" s="17"/>
      <c r="LVG139" s="9"/>
      <c r="LVH139" s="9"/>
      <c r="LVI139" s="18"/>
      <c r="LVJ139" s="18"/>
      <c r="LVK139" s="18"/>
      <c r="LVL139" s="18"/>
      <c r="LVM139" s="18"/>
      <c r="LVN139" s="17"/>
      <c r="LVO139" s="9"/>
      <c r="LVP139" s="9"/>
      <c r="LVQ139" s="18"/>
      <c r="LVR139" s="18"/>
      <c r="LVS139" s="18"/>
      <c r="LVT139" s="18"/>
      <c r="LVU139" s="18"/>
      <c r="LVV139" s="17"/>
      <c r="LVW139" s="9"/>
      <c r="LVX139" s="9"/>
      <c r="LVY139" s="18"/>
      <c r="LVZ139" s="18"/>
      <c r="LWA139" s="18"/>
      <c r="LWB139" s="18"/>
      <c r="LWC139" s="18"/>
      <c r="LWD139" s="17"/>
      <c r="LWE139" s="9"/>
      <c r="LWF139" s="9"/>
      <c r="LWG139" s="18"/>
      <c r="LWH139" s="18"/>
      <c r="LWI139" s="18"/>
      <c r="LWJ139" s="18"/>
      <c r="LWK139" s="18"/>
      <c r="LWL139" s="17"/>
      <c r="LWM139" s="9"/>
      <c r="LWN139" s="9"/>
      <c r="LWO139" s="18"/>
      <c r="LWP139" s="18"/>
      <c r="LWQ139" s="18"/>
      <c r="LWR139" s="18"/>
      <c r="LWS139" s="18"/>
      <c r="LWT139" s="17"/>
      <c r="LWU139" s="9"/>
      <c r="LWV139" s="9"/>
      <c r="LWW139" s="18"/>
      <c r="LWX139" s="18"/>
      <c r="LWY139" s="18"/>
      <c r="LWZ139" s="18"/>
      <c r="LXA139" s="18"/>
      <c r="LXB139" s="17"/>
      <c r="LXC139" s="9"/>
      <c r="LXD139" s="9"/>
      <c r="LXE139" s="18"/>
      <c r="LXF139" s="18"/>
      <c r="LXG139" s="18"/>
      <c r="LXH139" s="18"/>
      <c r="LXI139" s="18"/>
      <c r="LXJ139" s="17"/>
      <c r="LXK139" s="9"/>
      <c r="LXL139" s="9"/>
      <c r="LXM139" s="18"/>
      <c r="LXN139" s="18"/>
      <c r="LXO139" s="18"/>
      <c r="LXP139" s="18"/>
      <c r="LXQ139" s="18"/>
      <c r="LXR139" s="17"/>
      <c r="LXS139" s="9"/>
      <c r="LXT139" s="9"/>
      <c r="LXU139" s="18"/>
      <c r="LXV139" s="18"/>
      <c r="LXW139" s="18"/>
      <c r="LXX139" s="18"/>
      <c r="LXY139" s="18"/>
      <c r="LXZ139" s="17"/>
      <c r="LYA139" s="9"/>
      <c r="LYB139" s="9"/>
      <c r="LYC139" s="18"/>
      <c r="LYD139" s="18"/>
      <c r="LYE139" s="18"/>
      <c r="LYF139" s="18"/>
      <c r="LYG139" s="18"/>
      <c r="LYH139" s="17"/>
      <c r="LYI139" s="9"/>
      <c r="LYJ139" s="9"/>
      <c r="LYK139" s="18"/>
      <c r="LYL139" s="18"/>
      <c r="LYM139" s="18"/>
      <c r="LYN139" s="18"/>
      <c r="LYO139" s="18"/>
      <c r="LYP139" s="17"/>
      <c r="LYQ139" s="9"/>
      <c r="LYR139" s="9"/>
      <c r="LYS139" s="18"/>
      <c r="LYT139" s="18"/>
      <c r="LYU139" s="18"/>
      <c r="LYV139" s="18"/>
      <c r="LYW139" s="18"/>
      <c r="LYX139" s="17"/>
      <c r="LYY139" s="9"/>
      <c r="LYZ139" s="9"/>
      <c r="LZA139" s="18"/>
      <c r="LZB139" s="18"/>
      <c r="LZC139" s="18"/>
      <c r="LZD139" s="18"/>
      <c r="LZE139" s="18"/>
      <c r="LZF139" s="17"/>
      <c r="LZG139" s="9"/>
      <c r="LZH139" s="9"/>
      <c r="LZI139" s="18"/>
      <c r="LZJ139" s="18"/>
      <c r="LZK139" s="18"/>
      <c r="LZL139" s="18"/>
      <c r="LZM139" s="18"/>
      <c r="LZN139" s="17"/>
      <c r="LZO139" s="9"/>
      <c r="LZP139" s="9"/>
      <c r="LZQ139" s="18"/>
      <c r="LZR139" s="18"/>
      <c r="LZS139" s="18"/>
      <c r="LZT139" s="18"/>
      <c r="LZU139" s="18"/>
      <c r="LZV139" s="17"/>
      <c r="LZW139" s="9"/>
      <c r="LZX139" s="9"/>
      <c r="LZY139" s="18"/>
      <c r="LZZ139" s="18"/>
      <c r="MAA139" s="18"/>
      <c r="MAB139" s="18"/>
      <c r="MAC139" s="18"/>
      <c r="MAD139" s="17"/>
      <c r="MAE139" s="9"/>
      <c r="MAF139" s="9"/>
      <c r="MAG139" s="18"/>
      <c r="MAH139" s="18"/>
      <c r="MAI139" s="18"/>
      <c r="MAJ139" s="18"/>
      <c r="MAK139" s="18"/>
      <c r="MAL139" s="17"/>
      <c r="MAM139" s="9"/>
      <c r="MAN139" s="9"/>
      <c r="MAO139" s="18"/>
      <c r="MAP139" s="18"/>
      <c r="MAQ139" s="18"/>
      <c r="MAR139" s="18"/>
      <c r="MAS139" s="18"/>
      <c r="MAT139" s="17"/>
      <c r="MAU139" s="9"/>
      <c r="MAV139" s="9"/>
      <c r="MAW139" s="18"/>
      <c r="MAX139" s="18"/>
      <c r="MAY139" s="18"/>
      <c r="MAZ139" s="18"/>
      <c r="MBA139" s="18"/>
      <c r="MBB139" s="17"/>
      <c r="MBC139" s="9"/>
      <c r="MBD139" s="9"/>
      <c r="MBE139" s="18"/>
      <c r="MBF139" s="18"/>
      <c r="MBG139" s="18"/>
      <c r="MBH139" s="18"/>
      <c r="MBI139" s="18"/>
      <c r="MBJ139" s="17"/>
      <c r="MBK139" s="9"/>
      <c r="MBL139" s="9"/>
      <c r="MBM139" s="18"/>
      <c r="MBN139" s="18"/>
      <c r="MBO139" s="18"/>
      <c r="MBP139" s="18"/>
      <c r="MBQ139" s="18"/>
      <c r="MBR139" s="17"/>
      <c r="MBS139" s="9"/>
      <c r="MBT139" s="9"/>
      <c r="MBU139" s="18"/>
      <c r="MBV139" s="18"/>
      <c r="MBW139" s="18"/>
      <c r="MBX139" s="18"/>
      <c r="MBY139" s="18"/>
      <c r="MBZ139" s="17"/>
      <c r="MCA139" s="9"/>
      <c r="MCB139" s="9"/>
      <c r="MCC139" s="18"/>
      <c r="MCD139" s="18"/>
      <c r="MCE139" s="18"/>
      <c r="MCF139" s="18"/>
      <c r="MCG139" s="18"/>
      <c r="MCH139" s="17"/>
      <c r="MCI139" s="9"/>
      <c r="MCJ139" s="9"/>
      <c r="MCK139" s="18"/>
      <c r="MCL139" s="18"/>
      <c r="MCM139" s="18"/>
      <c r="MCN139" s="18"/>
      <c r="MCO139" s="18"/>
      <c r="MCP139" s="17"/>
      <c r="MCQ139" s="9"/>
      <c r="MCR139" s="9"/>
      <c r="MCS139" s="18"/>
      <c r="MCT139" s="18"/>
      <c r="MCU139" s="18"/>
      <c r="MCV139" s="18"/>
      <c r="MCW139" s="18"/>
      <c r="MCX139" s="17"/>
      <c r="MCY139" s="9"/>
      <c r="MCZ139" s="9"/>
      <c r="MDA139" s="18"/>
      <c r="MDB139" s="18"/>
      <c r="MDC139" s="18"/>
      <c r="MDD139" s="18"/>
      <c r="MDE139" s="18"/>
      <c r="MDF139" s="17"/>
      <c r="MDG139" s="9"/>
      <c r="MDH139" s="9"/>
      <c r="MDI139" s="18"/>
      <c r="MDJ139" s="18"/>
      <c r="MDK139" s="18"/>
      <c r="MDL139" s="18"/>
      <c r="MDM139" s="18"/>
      <c r="MDN139" s="17"/>
      <c r="MDO139" s="9"/>
      <c r="MDP139" s="9"/>
      <c r="MDQ139" s="18"/>
      <c r="MDR139" s="18"/>
      <c r="MDS139" s="18"/>
      <c r="MDT139" s="18"/>
      <c r="MDU139" s="18"/>
      <c r="MDV139" s="17"/>
      <c r="MDW139" s="9"/>
      <c r="MDX139" s="9"/>
      <c r="MDY139" s="18"/>
      <c r="MDZ139" s="18"/>
      <c r="MEA139" s="18"/>
      <c r="MEB139" s="18"/>
      <c r="MEC139" s="18"/>
      <c r="MED139" s="17"/>
      <c r="MEE139" s="9"/>
      <c r="MEF139" s="9"/>
      <c r="MEG139" s="18"/>
      <c r="MEH139" s="18"/>
      <c r="MEI139" s="18"/>
      <c r="MEJ139" s="18"/>
      <c r="MEK139" s="18"/>
      <c r="MEL139" s="17"/>
      <c r="MEM139" s="9"/>
      <c r="MEN139" s="9"/>
      <c r="MEO139" s="18"/>
      <c r="MEP139" s="18"/>
      <c r="MEQ139" s="18"/>
      <c r="MER139" s="18"/>
      <c r="MES139" s="18"/>
      <c r="MET139" s="17"/>
      <c r="MEU139" s="9"/>
      <c r="MEV139" s="9"/>
      <c r="MEW139" s="18"/>
      <c r="MEX139" s="18"/>
      <c r="MEY139" s="18"/>
      <c r="MEZ139" s="18"/>
      <c r="MFA139" s="18"/>
      <c r="MFB139" s="17"/>
      <c r="MFC139" s="9"/>
      <c r="MFD139" s="9"/>
      <c r="MFE139" s="18"/>
      <c r="MFF139" s="18"/>
      <c r="MFG139" s="18"/>
      <c r="MFH139" s="18"/>
      <c r="MFI139" s="18"/>
      <c r="MFJ139" s="17"/>
      <c r="MFK139" s="9"/>
      <c r="MFL139" s="9"/>
      <c r="MFM139" s="18"/>
      <c r="MFN139" s="18"/>
      <c r="MFO139" s="18"/>
      <c r="MFP139" s="18"/>
      <c r="MFQ139" s="18"/>
      <c r="MFR139" s="17"/>
      <c r="MFS139" s="9"/>
      <c r="MFT139" s="9"/>
      <c r="MFU139" s="18"/>
      <c r="MFV139" s="18"/>
      <c r="MFW139" s="18"/>
      <c r="MFX139" s="18"/>
      <c r="MFY139" s="18"/>
      <c r="MFZ139" s="17"/>
      <c r="MGA139" s="9"/>
      <c r="MGB139" s="9"/>
      <c r="MGC139" s="18"/>
      <c r="MGD139" s="18"/>
      <c r="MGE139" s="18"/>
      <c r="MGF139" s="18"/>
      <c r="MGG139" s="18"/>
      <c r="MGH139" s="17"/>
      <c r="MGI139" s="9"/>
      <c r="MGJ139" s="9"/>
      <c r="MGK139" s="18"/>
      <c r="MGL139" s="18"/>
      <c r="MGM139" s="18"/>
      <c r="MGN139" s="18"/>
      <c r="MGO139" s="18"/>
      <c r="MGP139" s="17"/>
      <c r="MGQ139" s="9"/>
      <c r="MGR139" s="9"/>
      <c r="MGS139" s="18"/>
      <c r="MGT139" s="18"/>
      <c r="MGU139" s="18"/>
      <c r="MGV139" s="18"/>
      <c r="MGW139" s="18"/>
      <c r="MGX139" s="17"/>
      <c r="MGY139" s="9"/>
      <c r="MGZ139" s="9"/>
      <c r="MHA139" s="18"/>
      <c r="MHB139" s="18"/>
      <c r="MHC139" s="18"/>
      <c r="MHD139" s="18"/>
      <c r="MHE139" s="18"/>
      <c r="MHF139" s="17"/>
      <c r="MHG139" s="9"/>
      <c r="MHH139" s="9"/>
      <c r="MHI139" s="18"/>
      <c r="MHJ139" s="18"/>
      <c r="MHK139" s="18"/>
      <c r="MHL139" s="18"/>
      <c r="MHM139" s="18"/>
      <c r="MHN139" s="17"/>
      <c r="MHO139" s="9"/>
      <c r="MHP139" s="9"/>
      <c r="MHQ139" s="18"/>
      <c r="MHR139" s="18"/>
      <c r="MHS139" s="18"/>
      <c r="MHT139" s="18"/>
      <c r="MHU139" s="18"/>
      <c r="MHV139" s="17"/>
      <c r="MHW139" s="9"/>
      <c r="MHX139" s="9"/>
      <c r="MHY139" s="18"/>
      <c r="MHZ139" s="18"/>
      <c r="MIA139" s="18"/>
      <c r="MIB139" s="18"/>
      <c r="MIC139" s="18"/>
      <c r="MID139" s="17"/>
      <c r="MIE139" s="9"/>
      <c r="MIF139" s="9"/>
      <c r="MIG139" s="18"/>
      <c r="MIH139" s="18"/>
      <c r="MII139" s="18"/>
      <c r="MIJ139" s="18"/>
      <c r="MIK139" s="18"/>
      <c r="MIL139" s="17"/>
      <c r="MIM139" s="9"/>
      <c r="MIN139" s="9"/>
      <c r="MIO139" s="18"/>
      <c r="MIP139" s="18"/>
      <c r="MIQ139" s="18"/>
      <c r="MIR139" s="18"/>
      <c r="MIS139" s="18"/>
      <c r="MIT139" s="17"/>
      <c r="MIU139" s="9"/>
      <c r="MIV139" s="9"/>
      <c r="MIW139" s="18"/>
      <c r="MIX139" s="18"/>
      <c r="MIY139" s="18"/>
      <c r="MIZ139" s="18"/>
      <c r="MJA139" s="18"/>
      <c r="MJB139" s="17"/>
      <c r="MJC139" s="9"/>
      <c r="MJD139" s="9"/>
      <c r="MJE139" s="18"/>
      <c r="MJF139" s="18"/>
      <c r="MJG139" s="18"/>
      <c r="MJH139" s="18"/>
      <c r="MJI139" s="18"/>
      <c r="MJJ139" s="17"/>
      <c r="MJK139" s="9"/>
      <c r="MJL139" s="9"/>
      <c r="MJM139" s="18"/>
      <c r="MJN139" s="18"/>
      <c r="MJO139" s="18"/>
      <c r="MJP139" s="18"/>
      <c r="MJQ139" s="18"/>
      <c r="MJR139" s="17"/>
      <c r="MJS139" s="9"/>
      <c r="MJT139" s="9"/>
      <c r="MJU139" s="18"/>
      <c r="MJV139" s="18"/>
      <c r="MJW139" s="18"/>
      <c r="MJX139" s="18"/>
      <c r="MJY139" s="18"/>
      <c r="MJZ139" s="17"/>
      <c r="MKA139" s="9"/>
      <c r="MKB139" s="9"/>
      <c r="MKC139" s="18"/>
      <c r="MKD139" s="18"/>
      <c r="MKE139" s="18"/>
      <c r="MKF139" s="18"/>
      <c r="MKG139" s="18"/>
      <c r="MKH139" s="17"/>
      <c r="MKI139" s="9"/>
      <c r="MKJ139" s="9"/>
      <c r="MKK139" s="18"/>
      <c r="MKL139" s="18"/>
      <c r="MKM139" s="18"/>
      <c r="MKN139" s="18"/>
      <c r="MKO139" s="18"/>
      <c r="MKP139" s="17"/>
      <c r="MKQ139" s="9"/>
      <c r="MKR139" s="9"/>
      <c r="MKS139" s="18"/>
      <c r="MKT139" s="18"/>
      <c r="MKU139" s="18"/>
      <c r="MKV139" s="18"/>
      <c r="MKW139" s="18"/>
      <c r="MKX139" s="17"/>
      <c r="MKY139" s="9"/>
      <c r="MKZ139" s="9"/>
      <c r="MLA139" s="18"/>
      <c r="MLB139" s="18"/>
      <c r="MLC139" s="18"/>
      <c r="MLD139" s="18"/>
      <c r="MLE139" s="18"/>
      <c r="MLF139" s="17"/>
      <c r="MLG139" s="9"/>
      <c r="MLH139" s="9"/>
      <c r="MLI139" s="18"/>
      <c r="MLJ139" s="18"/>
      <c r="MLK139" s="18"/>
      <c r="MLL139" s="18"/>
      <c r="MLM139" s="18"/>
      <c r="MLN139" s="17"/>
      <c r="MLO139" s="9"/>
      <c r="MLP139" s="9"/>
      <c r="MLQ139" s="18"/>
      <c r="MLR139" s="18"/>
      <c r="MLS139" s="18"/>
      <c r="MLT139" s="18"/>
      <c r="MLU139" s="18"/>
      <c r="MLV139" s="17"/>
      <c r="MLW139" s="9"/>
      <c r="MLX139" s="9"/>
      <c r="MLY139" s="18"/>
      <c r="MLZ139" s="18"/>
      <c r="MMA139" s="18"/>
      <c r="MMB139" s="18"/>
      <c r="MMC139" s="18"/>
      <c r="MMD139" s="17"/>
      <c r="MME139" s="9"/>
      <c r="MMF139" s="9"/>
      <c r="MMG139" s="18"/>
      <c r="MMH139" s="18"/>
      <c r="MMI139" s="18"/>
      <c r="MMJ139" s="18"/>
      <c r="MMK139" s="18"/>
      <c r="MML139" s="17"/>
      <c r="MMM139" s="9"/>
      <c r="MMN139" s="9"/>
      <c r="MMO139" s="18"/>
      <c r="MMP139" s="18"/>
      <c r="MMQ139" s="18"/>
      <c r="MMR139" s="18"/>
      <c r="MMS139" s="18"/>
      <c r="MMT139" s="17"/>
      <c r="MMU139" s="9"/>
      <c r="MMV139" s="9"/>
      <c r="MMW139" s="18"/>
      <c r="MMX139" s="18"/>
      <c r="MMY139" s="18"/>
      <c r="MMZ139" s="18"/>
      <c r="MNA139" s="18"/>
      <c r="MNB139" s="17"/>
      <c r="MNC139" s="9"/>
      <c r="MND139" s="9"/>
      <c r="MNE139" s="18"/>
      <c r="MNF139" s="18"/>
      <c r="MNG139" s="18"/>
      <c r="MNH139" s="18"/>
      <c r="MNI139" s="18"/>
      <c r="MNJ139" s="17"/>
      <c r="MNK139" s="9"/>
      <c r="MNL139" s="9"/>
      <c r="MNM139" s="18"/>
      <c r="MNN139" s="18"/>
      <c r="MNO139" s="18"/>
      <c r="MNP139" s="18"/>
      <c r="MNQ139" s="18"/>
      <c r="MNR139" s="17"/>
      <c r="MNS139" s="9"/>
      <c r="MNT139" s="9"/>
      <c r="MNU139" s="18"/>
      <c r="MNV139" s="18"/>
      <c r="MNW139" s="18"/>
      <c r="MNX139" s="18"/>
      <c r="MNY139" s="18"/>
      <c r="MNZ139" s="17"/>
      <c r="MOA139" s="9"/>
      <c r="MOB139" s="9"/>
      <c r="MOC139" s="18"/>
      <c r="MOD139" s="18"/>
      <c r="MOE139" s="18"/>
      <c r="MOF139" s="18"/>
      <c r="MOG139" s="18"/>
      <c r="MOH139" s="17"/>
      <c r="MOI139" s="9"/>
      <c r="MOJ139" s="9"/>
      <c r="MOK139" s="18"/>
      <c r="MOL139" s="18"/>
      <c r="MOM139" s="18"/>
      <c r="MON139" s="18"/>
      <c r="MOO139" s="18"/>
      <c r="MOP139" s="17"/>
      <c r="MOQ139" s="9"/>
      <c r="MOR139" s="9"/>
      <c r="MOS139" s="18"/>
      <c r="MOT139" s="18"/>
      <c r="MOU139" s="18"/>
      <c r="MOV139" s="18"/>
      <c r="MOW139" s="18"/>
      <c r="MOX139" s="17"/>
      <c r="MOY139" s="9"/>
      <c r="MOZ139" s="9"/>
      <c r="MPA139" s="18"/>
      <c r="MPB139" s="18"/>
      <c r="MPC139" s="18"/>
      <c r="MPD139" s="18"/>
      <c r="MPE139" s="18"/>
      <c r="MPF139" s="17"/>
      <c r="MPG139" s="9"/>
      <c r="MPH139" s="9"/>
      <c r="MPI139" s="18"/>
      <c r="MPJ139" s="18"/>
      <c r="MPK139" s="18"/>
      <c r="MPL139" s="18"/>
      <c r="MPM139" s="18"/>
      <c r="MPN139" s="17"/>
      <c r="MPO139" s="9"/>
      <c r="MPP139" s="9"/>
      <c r="MPQ139" s="18"/>
      <c r="MPR139" s="18"/>
      <c r="MPS139" s="18"/>
      <c r="MPT139" s="18"/>
      <c r="MPU139" s="18"/>
      <c r="MPV139" s="17"/>
      <c r="MPW139" s="9"/>
      <c r="MPX139" s="9"/>
      <c r="MPY139" s="18"/>
      <c r="MPZ139" s="18"/>
      <c r="MQA139" s="18"/>
      <c r="MQB139" s="18"/>
      <c r="MQC139" s="18"/>
      <c r="MQD139" s="17"/>
      <c r="MQE139" s="9"/>
      <c r="MQF139" s="9"/>
      <c r="MQG139" s="18"/>
      <c r="MQH139" s="18"/>
      <c r="MQI139" s="18"/>
      <c r="MQJ139" s="18"/>
      <c r="MQK139" s="18"/>
      <c r="MQL139" s="17"/>
      <c r="MQM139" s="9"/>
      <c r="MQN139" s="9"/>
      <c r="MQO139" s="18"/>
      <c r="MQP139" s="18"/>
      <c r="MQQ139" s="18"/>
      <c r="MQR139" s="18"/>
      <c r="MQS139" s="18"/>
      <c r="MQT139" s="17"/>
      <c r="MQU139" s="9"/>
      <c r="MQV139" s="9"/>
      <c r="MQW139" s="18"/>
      <c r="MQX139" s="18"/>
      <c r="MQY139" s="18"/>
      <c r="MQZ139" s="18"/>
      <c r="MRA139" s="18"/>
      <c r="MRB139" s="17"/>
      <c r="MRC139" s="9"/>
      <c r="MRD139" s="9"/>
      <c r="MRE139" s="18"/>
      <c r="MRF139" s="18"/>
      <c r="MRG139" s="18"/>
      <c r="MRH139" s="18"/>
      <c r="MRI139" s="18"/>
      <c r="MRJ139" s="17"/>
      <c r="MRK139" s="9"/>
      <c r="MRL139" s="9"/>
      <c r="MRM139" s="18"/>
      <c r="MRN139" s="18"/>
      <c r="MRO139" s="18"/>
      <c r="MRP139" s="18"/>
      <c r="MRQ139" s="18"/>
      <c r="MRR139" s="17"/>
      <c r="MRS139" s="9"/>
      <c r="MRT139" s="9"/>
      <c r="MRU139" s="18"/>
      <c r="MRV139" s="18"/>
      <c r="MRW139" s="18"/>
      <c r="MRX139" s="18"/>
      <c r="MRY139" s="18"/>
      <c r="MRZ139" s="17"/>
      <c r="MSA139" s="9"/>
      <c r="MSB139" s="9"/>
      <c r="MSC139" s="18"/>
      <c r="MSD139" s="18"/>
      <c r="MSE139" s="18"/>
      <c r="MSF139" s="18"/>
      <c r="MSG139" s="18"/>
      <c r="MSH139" s="17"/>
      <c r="MSI139" s="9"/>
      <c r="MSJ139" s="9"/>
      <c r="MSK139" s="18"/>
      <c r="MSL139" s="18"/>
      <c r="MSM139" s="18"/>
      <c r="MSN139" s="18"/>
      <c r="MSO139" s="18"/>
      <c r="MSP139" s="17"/>
      <c r="MSQ139" s="9"/>
      <c r="MSR139" s="9"/>
      <c r="MSS139" s="18"/>
      <c r="MST139" s="18"/>
      <c r="MSU139" s="18"/>
      <c r="MSV139" s="18"/>
      <c r="MSW139" s="18"/>
      <c r="MSX139" s="17"/>
      <c r="MSY139" s="9"/>
      <c r="MSZ139" s="9"/>
      <c r="MTA139" s="18"/>
      <c r="MTB139" s="18"/>
      <c r="MTC139" s="18"/>
      <c r="MTD139" s="18"/>
      <c r="MTE139" s="18"/>
      <c r="MTF139" s="17"/>
      <c r="MTG139" s="9"/>
      <c r="MTH139" s="9"/>
      <c r="MTI139" s="18"/>
      <c r="MTJ139" s="18"/>
      <c r="MTK139" s="18"/>
      <c r="MTL139" s="18"/>
      <c r="MTM139" s="18"/>
      <c r="MTN139" s="17"/>
      <c r="MTO139" s="9"/>
      <c r="MTP139" s="9"/>
      <c r="MTQ139" s="18"/>
      <c r="MTR139" s="18"/>
      <c r="MTS139" s="18"/>
      <c r="MTT139" s="18"/>
      <c r="MTU139" s="18"/>
      <c r="MTV139" s="17"/>
      <c r="MTW139" s="9"/>
      <c r="MTX139" s="9"/>
      <c r="MTY139" s="18"/>
      <c r="MTZ139" s="18"/>
      <c r="MUA139" s="18"/>
      <c r="MUB139" s="18"/>
      <c r="MUC139" s="18"/>
      <c r="MUD139" s="17"/>
      <c r="MUE139" s="9"/>
      <c r="MUF139" s="9"/>
      <c r="MUG139" s="18"/>
      <c r="MUH139" s="18"/>
      <c r="MUI139" s="18"/>
      <c r="MUJ139" s="18"/>
      <c r="MUK139" s="18"/>
      <c r="MUL139" s="17"/>
      <c r="MUM139" s="9"/>
      <c r="MUN139" s="9"/>
      <c r="MUO139" s="18"/>
      <c r="MUP139" s="18"/>
      <c r="MUQ139" s="18"/>
      <c r="MUR139" s="18"/>
      <c r="MUS139" s="18"/>
      <c r="MUT139" s="17"/>
      <c r="MUU139" s="9"/>
      <c r="MUV139" s="9"/>
      <c r="MUW139" s="18"/>
      <c r="MUX139" s="18"/>
      <c r="MUY139" s="18"/>
      <c r="MUZ139" s="18"/>
      <c r="MVA139" s="18"/>
      <c r="MVB139" s="17"/>
      <c r="MVC139" s="9"/>
      <c r="MVD139" s="9"/>
      <c r="MVE139" s="18"/>
      <c r="MVF139" s="18"/>
      <c r="MVG139" s="18"/>
      <c r="MVH139" s="18"/>
      <c r="MVI139" s="18"/>
      <c r="MVJ139" s="17"/>
      <c r="MVK139" s="9"/>
      <c r="MVL139" s="9"/>
      <c r="MVM139" s="18"/>
      <c r="MVN139" s="18"/>
      <c r="MVO139" s="18"/>
      <c r="MVP139" s="18"/>
      <c r="MVQ139" s="18"/>
      <c r="MVR139" s="17"/>
      <c r="MVS139" s="9"/>
      <c r="MVT139" s="9"/>
      <c r="MVU139" s="18"/>
      <c r="MVV139" s="18"/>
      <c r="MVW139" s="18"/>
      <c r="MVX139" s="18"/>
      <c r="MVY139" s="18"/>
      <c r="MVZ139" s="17"/>
      <c r="MWA139" s="9"/>
      <c r="MWB139" s="9"/>
      <c r="MWC139" s="18"/>
      <c r="MWD139" s="18"/>
      <c r="MWE139" s="18"/>
      <c r="MWF139" s="18"/>
      <c r="MWG139" s="18"/>
      <c r="MWH139" s="17"/>
      <c r="MWI139" s="9"/>
      <c r="MWJ139" s="9"/>
      <c r="MWK139" s="18"/>
      <c r="MWL139" s="18"/>
      <c r="MWM139" s="18"/>
      <c r="MWN139" s="18"/>
      <c r="MWO139" s="18"/>
      <c r="MWP139" s="17"/>
      <c r="MWQ139" s="9"/>
      <c r="MWR139" s="9"/>
      <c r="MWS139" s="18"/>
      <c r="MWT139" s="18"/>
      <c r="MWU139" s="18"/>
      <c r="MWV139" s="18"/>
      <c r="MWW139" s="18"/>
      <c r="MWX139" s="17"/>
      <c r="MWY139" s="9"/>
      <c r="MWZ139" s="9"/>
      <c r="MXA139" s="18"/>
      <c r="MXB139" s="18"/>
      <c r="MXC139" s="18"/>
      <c r="MXD139" s="18"/>
      <c r="MXE139" s="18"/>
      <c r="MXF139" s="17"/>
      <c r="MXG139" s="9"/>
      <c r="MXH139" s="9"/>
      <c r="MXI139" s="18"/>
      <c r="MXJ139" s="18"/>
      <c r="MXK139" s="18"/>
      <c r="MXL139" s="18"/>
      <c r="MXM139" s="18"/>
      <c r="MXN139" s="17"/>
      <c r="MXO139" s="9"/>
      <c r="MXP139" s="9"/>
      <c r="MXQ139" s="18"/>
      <c r="MXR139" s="18"/>
      <c r="MXS139" s="18"/>
      <c r="MXT139" s="18"/>
      <c r="MXU139" s="18"/>
      <c r="MXV139" s="17"/>
      <c r="MXW139" s="9"/>
      <c r="MXX139" s="9"/>
      <c r="MXY139" s="18"/>
      <c r="MXZ139" s="18"/>
      <c r="MYA139" s="18"/>
      <c r="MYB139" s="18"/>
      <c r="MYC139" s="18"/>
      <c r="MYD139" s="17"/>
      <c r="MYE139" s="9"/>
      <c r="MYF139" s="9"/>
      <c r="MYG139" s="18"/>
      <c r="MYH139" s="18"/>
      <c r="MYI139" s="18"/>
      <c r="MYJ139" s="18"/>
      <c r="MYK139" s="18"/>
      <c r="MYL139" s="17"/>
      <c r="MYM139" s="9"/>
      <c r="MYN139" s="9"/>
      <c r="MYO139" s="18"/>
      <c r="MYP139" s="18"/>
      <c r="MYQ139" s="18"/>
      <c r="MYR139" s="18"/>
      <c r="MYS139" s="18"/>
      <c r="MYT139" s="17"/>
      <c r="MYU139" s="9"/>
      <c r="MYV139" s="9"/>
      <c r="MYW139" s="18"/>
      <c r="MYX139" s="18"/>
      <c r="MYY139" s="18"/>
      <c r="MYZ139" s="18"/>
      <c r="MZA139" s="18"/>
      <c r="MZB139" s="17"/>
      <c r="MZC139" s="9"/>
      <c r="MZD139" s="9"/>
      <c r="MZE139" s="18"/>
      <c r="MZF139" s="18"/>
      <c r="MZG139" s="18"/>
      <c r="MZH139" s="18"/>
      <c r="MZI139" s="18"/>
      <c r="MZJ139" s="17"/>
      <c r="MZK139" s="9"/>
      <c r="MZL139" s="9"/>
      <c r="MZM139" s="18"/>
      <c r="MZN139" s="18"/>
      <c r="MZO139" s="18"/>
      <c r="MZP139" s="18"/>
      <c r="MZQ139" s="18"/>
      <c r="MZR139" s="17"/>
      <c r="MZS139" s="9"/>
      <c r="MZT139" s="9"/>
      <c r="MZU139" s="18"/>
      <c r="MZV139" s="18"/>
      <c r="MZW139" s="18"/>
      <c r="MZX139" s="18"/>
      <c r="MZY139" s="18"/>
      <c r="MZZ139" s="17"/>
      <c r="NAA139" s="9"/>
      <c r="NAB139" s="9"/>
      <c r="NAC139" s="18"/>
      <c r="NAD139" s="18"/>
      <c r="NAE139" s="18"/>
      <c r="NAF139" s="18"/>
      <c r="NAG139" s="18"/>
      <c r="NAH139" s="17"/>
      <c r="NAI139" s="9"/>
      <c r="NAJ139" s="9"/>
      <c r="NAK139" s="18"/>
      <c r="NAL139" s="18"/>
      <c r="NAM139" s="18"/>
      <c r="NAN139" s="18"/>
      <c r="NAO139" s="18"/>
      <c r="NAP139" s="17"/>
      <c r="NAQ139" s="9"/>
      <c r="NAR139" s="9"/>
      <c r="NAS139" s="18"/>
      <c r="NAT139" s="18"/>
      <c r="NAU139" s="18"/>
      <c r="NAV139" s="18"/>
      <c r="NAW139" s="18"/>
      <c r="NAX139" s="17"/>
      <c r="NAY139" s="9"/>
      <c r="NAZ139" s="9"/>
      <c r="NBA139" s="18"/>
      <c r="NBB139" s="18"/>
      <c r="NBC139" s="18"/>
      <c r="NBD139" s="18"/>
      <c r="NBE139" s="18"/>
      <c r="NBF139" s="17"/>
      <c r="NBG139" s="9"/>
      <c r="NBH139" s="9"/>
      <c r="NBI139" s="18"/>
      <c r="NBJ139" s="18"/>
      <c r="NBK139" s="18"/>
      <c r="NBL139" s="18"/>
      <c r="NBM139" s="18"/>
      <c r="NBN139" s="17"/>
      <c r="NBO139" s="9"/>
      <c r="NBP139" s="9"/>
      <c r="NBQ139" s="18"/>
      <c r="NBR139" s="18"/>
      <c r="NBS139" s="18"/>
      <c r="NBT139" s="18"/>
      <c r="NBU139" s="18"/>
      <c r="NBV139" s="17"/>
      <c r="NBW139" s="9"/>
      <c r="NBX139" s="9"/>
      <c r="NBY139" s="18"/>
      <c r="NBZ139" s="18"/>
      <c r="NCA139" s="18"/>
      <c r="NCB139" s="18"/>
      <c r="NCC139" s="18"/>
      <c r="NCD139" s="17"/>
      <c r="NCE139" s="9"/>
      <c r="NCF139" s="9"/>
      <c r="NCG139" s="18"/>
      <c r="NCH139" s="18"/>
      <c r="NCI139" s="18"/>
      <c r="NCJ139" s="18"/>
      <c r="NCK139" s="18"/>
      <c r="NCL139" s="17"/>
      <c r="NCM139" s="9"/>
      <c r="NCN139" s="9"/>
      <c r="NCO139" s="18"/>
      <c r="NCP139" s="18"/>
      <c r="NCQ139" s="18"/>
      <c r="NCR139" s="18"/>
      <c r="NCS139" s="18"/>
      <c r="NCT139" s="17"/>
      <c r="NCU139" s="9"/>
      <c r="NCV139" s="9"/>
      <c r="NCW139" s="18"/>
      <c r="NCX139" s="18"/>
      <c r="NCY139" s="18"/>
      <c r="NCZ139" s="18"/>
      <c r="NDA139" s="18"/>
      <c r="NDB139" s="17"/>
      <c r="NDC139" s="9"/>
      <c r="NDD139" s="9"/>
      <c r="NDE139" s="18"/>
      <c r="NDF139" s="18"/>
      <c r="NDG139" s="18"/>
      <c r="NDH139" s="18"/>
      <c r="NDI139" s="18"/>
      <c r="NDJ139" s="17"/>
      <c r="NDK139" s="9"/>
      <c r="NDL139" s="9"/>
      <c r="NDM139" s="18"/>
      <c r="NDN139" s="18"/>
      <c r="NDO139" s="18"/>
      <c r="NDP139" s="18"/>
      <c r="NDQ139" s="18"/>
      <c r="NDR139" s="17"/>
      <c r="NDS139" s="9"/>
      <c r="NDT139" s="9"/>
      <c r="NDU139" s="18"/>
      <c r="NDV139" s="18"/>
      <c r="NDW139" s="18"/>
      <c r="NDX139" s="18"/>
      <c r="NDY139" s="18"/>
      <c r="NDZ139" s="17"/>
      <c r="NEA139" s="9"/>
      <c r="NEB139" s="9"/>
      <c r="NEC139" s="18"/>
      <c r="NED139" s="18"/>
      <c r="NEE139" s="18"/>
      <c r="NEF139" s="18"/>
      <c r="NEG139" s="18"/>
      <c r="NEH139" s="17"/>
      <c r="NEI139" s="9"/>
      <c r="NEJ139" s="9"/>
      <c r="NEK139" s="18"/>
      <c r="NEL139" s="18"/>
      <c r="NEM139" s="18"/>
      <c r="NEN139" s="18"/>
      <c r="NEO139" s="18"/>
      <c r="NEP139" s="17"/>
      <c r="NEQ139" s="9"/>
      <c r="NER139" s="9"/>
      <c r="NES139" s="18"/>
      <c r="NET139" s="18"/>
      <c r="NEU139" s="18"/>
      <c r="NEV139" s="18"/>
      <c r="NEW139" s="18"/>
      <c r="NEX139" s="17"/>
      <c r="NEY139" s="9"/>
      <c r="NEZ139" s="9"/>
      <c r="NFA139" s="18"/>
      <c r="NFB139" s="18"/>
      <c r="NFC139" s="18"/>
      <c r="NFD139" s="18"/>
      <c r="NFE139" s="18"/>
      <c r="NFF139" s="17"/>
      <c r="NFG139" s="9"/>
      <c r="NFH139" s="9"/>
      <c r="NFI139" s="18"/>
      <c r="NFJ139" s="18"/>
      <c r="NFK139" s="18"/>
      <c r="NFL139" s="18"/>
      <c r="NFM139" s="18"/>
      <c r="NFN139" s="17"/>
      <c r="NFO139" s="9"/>
      <c r="NFP139" s="9"/>
      <c r="NFQ139" s="18"/>
      <c r="NFR139" s="18"/>
      <c r="NFS139" s="18"/>
      <c r="NFT139" s="18"/>
      <c r="NFU139" s="18"/>
      <c r="NFV139" s="17"/>
      <c r="NFW139" s="9"/>
      <c r="NFX139" s="9"/>
      <c r="NFY139" s="18"/>
      <c r="NFZ139" s="18"/>
      <c r="NGA139" s="18"/>
      <c r="NGB139" s="18"/>
      <c r="NGC139" s="18"/>
      <c r="NGD139" s="17"/>
      <c r="NGE139" s="9"/>
      <c r="NGF139" s="9"/>
      <c r="NGG139" s="18"/>
      <c r="NGH139" s="18"/>
      <c r="NGI139" s="18"/>
      <c r="NGJ139" s="18"/>
      <c r="NGK139" s="18"/>
      <c r="NGL139" s="17"/>
      <c r="NGM139" s="9"/>
      <c r="NGN139" s="9"/>
      <c r="NGO139" s="18"/>
      <c r="NGP139" s="18"/>
      <c r="NGQ139" s="18"/>
      <c r="NGR139" s="18"/>
      <c r="NGS139" s="18"/>
      <c r="NGT139" s="17"/>
      <c r="NGU139" s="9"/>
      <c r="NGV139" s="9"/>
      <c r="NGW139" s="18"/>
      <c r="NGX139" s="18"/>
      <c r="NGY139" s="18"/>
      <c r="NGZ139" s="18"/>
      <c r="NHA139" s="18"/>
      <c r="NHB139" s="17"/>
      <c r="NHC139" s="9"/>
      <c r="NHD139" s="9"/>
      <c r="NHE139" s="18"/>
      <c r="NHF139" s="18"/>
      <c r="NHG139" s="18"/>
      <c r="NHH139" s="18"/>
      <c r="NHI139" s="18"/>
      <c r="NHJ139" s="17"/>
      <c r="NHK139" s="9"/>
      <c r="NHL139" s="9"/>
      <c r="NHM139" s="18"/>
      <c r="NHN139" s="18"/>
      <c r="NHO139" s="18"/>
      <c r="NHP139" s="18"/>
      <c r="NHQ139" s="18"/>
      <c r="NHR139" s="17"/>
      <c r="NHS139" s="9"/>
      <c r="NHT139" s="9"/>
      <c r="NHU139" s="18"/>
      <c r="NHV139" s="18"/>
      <c r="NHW139" s="18"/>
      <c r="NHX139" s="18"/>
      <c r="NHY139" s="18"/>
      <c r="NHZ139" s="17"/>
      <c r="NIA139" s="9"/>
      <c r="NIB139" s="9"/>
      <c r="NIC139" s="18"/>
      <c r="NID139" s="18"/>
      <c r="NIE139" s="18"/>
      <c r="NIF139" s="18"/>
      <c r="NIG139" s="18"/>
      <c r="NIH139" s="17"/>
      <c r="NII139" s="9"/>
      <c r="NIJ139" s="9"/>
      <c r="NIK139" s="18"/>
      <c r="NIL139" s="18"/>
      <c r="NIM139" s="18"/>
      <c r="NIN139" s="18"/>
      <c r="NIO139" s="18"/>
      <c r="NIP139" s="17"/>
      <c r="NIQ139" s="9"/>
      <c r="NIR139" s="9"/>
      <c r="NIS139" s="18"/>
      <c r="NIT139" s="18"/>
      <c r="NIU139" s="18"/>
      <c r="NIV139" s="18"/>
      <c r="NIW139" s="18"/>
      <c r="NIX139" s="17"/>
      <c r="NIY139" s="9"/>
      <c r="NIZ139" s="9"/>
      <c r="NJA139" s="18"/>
      <c r="NJB139" s="18"/>
      <c r="NJC139" s="18"/>
      <c r="NJD139" s="18"/>
      <c r="NJE139" s="18"/>
      <c r="NJF139" s="17"/>
      <c r="NJG139" s="9"/>
      <c r="NJH139" s="9"/>
      <c r="NJI139" s="18"/>
      <c r="NJJ139" s="18"/>
      <c r="NJK139" s="18"/>
      <c r="NJL139" s="18"/>
      <c r="NJM139" s="18"/>
      <c r="NJN139" s="17"/>
      <c r="NJO139" s="9"/>
      <c r="NJP139" s="9"/>
      <c r="NJQ139" s="18"/>
      <c r="NJR139" s="18"/>
      <c r="NJS139" s="18"/>
      <c r="NJT139" s="18"/>
      <c r="NJU139" s="18"/>
      <c r="NJV139" s="17"/>
      <c r="NJW139" s="9"/>
      <c r="NJX139" s="9"/>
      <c r="NJY139" s="18"/>
      <c r="NJZ139" s="18"/>
      <c r="NKA139" s="18"/>
      <c r="NKB139" s="18"/>
      <c r="NKC139" s="18"/>
      <c r="NKD139" s="17"/>
      <c r="NKE139" s="9"/>
      <c r="NKF139" s="9"/>
      <c r="NKG139" s="18"/>
      <c r="NKH139" s="18"/>
      <c r="NKI139" s="18"/>
      <c r="NKJ139" s="18"/>
      <c r="NKK139" s="18"/>
      <c r="NKL139" s="17"/>
      <c r="NKM139" s="9"/>
      <c r="NKN139" s="9"/>
      <c r="NKO139" s="18"/>
      <c r="NKP139" s="18"/>
      <c r="NKQ139" s="18"/>
      <c r="NKR139" s="18"/>
      <c r="NKS139" s="18"/>
      <c r="NKT139" s="17"/>
      <c r="NKU139" s="9"/>
      <c r="NKV139" s="9"/>
      <c r="NKW139" s="18"/>
      <c r="NKX139" s="18"/>
      <c r="NKY139" s="18"/>
      <c r="NKZ139" s="18"/>
      <c r="NLA139" s="18"/>
      <c r="NLB139" s="17"/>
      <c r="NLC139" s="9"/>
      <c r="NLD139" s="9"/>
      <c r="NLE139" s="18"/>
      <c r="NLF139" s="18"/>
      <c r="NLG139" s="18"/>
      <c r="NLH139" s="18"/>
      <c r="NLI139" s="18"/>
      <c r="NLJ139" s="17"/>
      <c r="NLK139" s="9"/>
      <c r="NLL139" s="9"/>
      <c r="NLM139" s="18"/>
      <c r="NLN139" s="18"/>
      <c r="NLO139" s="18"/>
      <c r="NLP139" s="18"/>
      <c r="NLQ139" s="18"/>
      <c r="NLR139" s="17"/>
      <c r="NLS139" s="9"/>
      <c r="NLT139" s="9"/>
      <c r="NLU139" s="18"/>
      <c r="NLV139" s="18"/>
      <c r="NLW139" s="18"/>
      <c r="NLX139" s="18"/>
      <c r="NLY139" s="18"/>
      <c r="NLZ139" s="17"/>
      <c r="NMA139" s="9"/>
      <c r="NMB139" s="9"/>
      <c r="NMC139" s="18"/>
      <c r="NMD139" s="18"/>
      <c r="NME139" s="18"/>
      <c r="NMF139" s="18"/>
      <c r="NMG139" s="18"/>
      <c r="NMH139" s="17"/>
      <c r="NMI139" s="9"/>
      <c r="NMJ139" s="9"/>
      <c r="NMK139" s="18"/>
      <c r="NML139" s="18"/>
      <c r="NMM139" s="18"/>
      <c r="NMN139" s="18"/>
      <c r="NMO139" s="18"/>
      <c r="NMP139" s="17"/>
      <c r="NMQ139" s="9"/>
      <c r="NMR139" s="9"/>
      <c r="NMS139" s="18"/>
      <c r="NMT139" s="18"/>
      <c r="NMU139" s="18"/>
      <c r="NMV139" s="18"/>
      <c r="NMW139" s="18"/>
      <c r="NMX139" s="17"/>
      <c r="NMY139" s="9"/>
      <c r="NMZ139" s="9"/>
      <c r="NNA139" s="18"/>
      <c r="NNB139" s="18"/>
      <c r="NNC139" s="18"/>
      <c r="NND139" s="18"/>
      <c r="NNE139" s="18"/>
      <c r="NNF139" s="17"/>
      <c r="NNG139" s="9"/>
      <c r="NNH139" s="9"/>
      <c r="NNI139" s="18"/>
      <c r="NNJ139" s="18"/>
      <c r="NNK139" s="18"/>
      <c r="NNL139" s="18"/>
      <c r="NNM139" s="18"/>
      <c r="NNN139" s="17"/>
      <c r="NNO139" s="9"/>
      <c r="NNP139" s="9"/>
      <c r="NNQ139" s="18"/>
      <c r="NNR139" s="18"/>
      <c r="NNS139" s="18"/>
      <c r="NNT139" s="18"/>
      <c r="NNU139" s="18"/>
      <c r="NNV139" s="17"/>
      <c r="NNW139" s="9"/>
      <c r="NNX139" s="9"/>
      <c r="NNY139" s="18"/>
      <c r="NNZ139" s="18"/>
      <c r="NOA139" s="18"/>
      <c r="NOB139" s="18"/>
      <c r="NOC139" s="18"/>
      <c r="NOD139" s="17"/>
      <c r="NOE139" s="9"/>
      <c r="NOF139" s="9"/>
      <c r="NOG139" s="18"/>
      <c r="NOH139" s="18"/>
      <c r="NOI139" s="18"/>
      <c r="NOJ139" s="18"/>
      <c r="NOK139" s="18"/>
      <c r="NOL139" s="17"/>
      <c r="NOM139" s="9"/>
      <c r="NON139" s="9"/>
      <c r="NOO139" s="18"/>
      <c r="NOP139" s="18"/>
      <c r="NOQ139" s="18"/>
      <c r="NOR139" s="18"/>
      <c r="NOS139" s="18"/>
      <c r="NOT139" s="17"/>
      <c r="NOU139" s="9"/>
      <c r="NOV139" s="9"/>
      <c r="NOW139" s="18"/>
      <c r="NOX139" s="18"/>
      <c r="NOY139" s="18"/>
      <c r="NOZ139" s="18"/>
      <c r="NPA139" s="18"/>
      <c r="NPB139" s="17"/>
      <c r="NPC139" s="9"/>
      <c r="NPD139" s="9"/>
      <c r="NPE139" s="18"/>
      <c r="NPF139" s="18"/>
      <c r="NPG139" s="18"/>
      <c r="NPH139" s="18"/>
      <c r="NPI139" s="18"/>
      <c r="NPJ139" s="17"/>
      <c r="NPK139" s="9"/>
      <c r="NPL139" s="9"/>
      <c r="NPM139" s="18"/>
      <c r="NPN139" s="18"/>
      <c r="NPO139" s="18"/>
      <c r="NPP139" s="18"/>
      <c r="NPQ139" s="18"/>
      <c r="NPR139" s="17"/>
      <c r="NPS139" s="9"/>
      <c r="NPT139" s="9"/>
      <c r="NPU139" s="18"/>
      <c r="NPV139" s="18"/>
      <c r="NPW139" s="18"/>
      <c r="NPX139" s="18"/>
      <c r="NPY139" s="18"/>
      <c r="NPZ139" s="17"/>
      <c r="NQA139" s="9"/>
      <c r="NQB139" s="9"/>
      <c r="NQC139" s="18"/>
      <c r="NQD139" s="18"/>
      <c r="NQE139" s="18"/>
      <c r="NQF139" s="18"/>
      <c r="NQG139" s="18"/>
      <c r="NQH139" s="17"/>
      <c r="NQI139" s="9"/>
      <c r="NQJ139" s="9"/>
      <c r="NQK139" s="18"/>
      <c r="NQL139" s="18"/>
      <c r="NQM139" s="18"/>
      <c r="NQN139" s="18"/>
      <c r="NQO139" s="18"/>
      <c r="NQP139" s="17"/>
      <c r="NQQ139" s="9"/>
      <c r="NQR139" s="9"/>
      <c r="NQS139" s="18"/>
      <c r="NQT139" s="18"/>
      <c r="NQU139" s="18"/>
      <c r="NQV139" s="18"/>
      <c r="NQW139" s="18"/>
      <c r="NQX139" s="17"/>
      <c r="NQY139" s="9"/>
      <c r="NQZ139" s="9"/>
      <c r="NRA139" s="18"/>
      <c r="NRB139" s="18"/>
      <c r="NRC139" s="18"/>
      <c r="NRD139" s="18"/>
      <c r="NRE139" s="18"/>
      <c r="NRF139" s="17"/>
      <c r="NRG139" s="9"/>
      <c r="NRH139" s="9"/>
      <c r="NRI139" s="18"/>
      <c r="NRJ139" s="18"/>
      <c r="NRK139" s="18"/>
      <c r="NRL139" s="18"/>
      <c r="NRM139" s="18"/>
      <c r="NRN139" s="17"/>
      <c r="NRO139" s="9"/>
      <c r="NRP139" s="9"/>
      <c r="NRQ139" s="18"/>
      <c r="NRR139" s="18"/>
      <c r="NRS139" s="18"/>
      <c r="NRT139" s="18"/>
      <c r="NRU139" s="18"/>
      <c r="NRV139" s="17"/>
      <c r="NRW139" s="9"/>
      <c r="NRX139" s="9"/>
      <c r="NRY139" s="18"/>
      <c r="NRZ139" s="18"/>
      <c r="NSA139" s="18"/>
      <c r="NSB139" s="18"/>
      <c r="NSC139" s="18"/>
      <c r="NSD139" s="17"/>
      <c r="NSE139" s="9"/>
      <c r="NSF139" s="9"/>
      <c r="NSG139" s="18"/>
      <c r="NSH139" s="18"/>
      <c r="NSI139" s="18"/>
      <c r="NSJ139" s="18"/>
      <c r="NSK139" s="18"/>
      <c r="NSL139" s="17"/>
      <c r="NSM139" s="9"/>
      <c r="NSN139" s="9"/>
      <c r="NSO139" s="18"/>
      <c r="NSP139" s="18"/>
      <c r="NSQ139" s="18"/>
      <c r="NSR139" s="18"/>
      <c r="NSS139" s="18"/>
      <c r="NST139" s="17"/>
      <c r="NSU139" s="9"/>
      <c r="NSV139" s="9"/>
      <c r="NSW139" s="18"/>
      <c r="NSX139" s="18"/>
      <c r="NSY139" s="18"/>
      <c r="NSZ139" s="18"/>
      <c r="NTA139" s="18"/>
      <c r="NTB139" s="17"/>
      <c r="NTC139" s="9"/>
      <c r="NTD139" s="9"/>
      <c r="NTE139" s="18"/>
      <c r="NTF139" s="18"/>
      <c r="NTG139" s="18"/>
      <c r="NTH139" s="18"/>
      <c r="NTI139" s="18"/>
      <c r="NTJ139" s="17"/>
      <c r="NTK139" s="9"/>
      <c r="NTL139" s="9"/>
      <c r="NTM139" s="18"/>
      <c r="NTN139" s="18"/>
      <c r="NTO139" s="18"/>
      <c r="NTP139" s="18"/>
      <c r="NTQ139" s="18"/>
      <c r="NTR139" s="17"/>
      <c r="NTS139" s="9"/>
      <c r="NTT139" s="9"/>
      <c r="NTU139" s="18"/>
      <c r="NTV139" s="18"/>
      <c r="NTW139" s="18"/>
      <c r="NTX139" s="18"/>
      <c r="NTY139" s="18"/>
      <c r="NTZ139" s="17"/>
      <c r="NUA139" s="9"/>
      <c r="NUB139" s="9"/>
      <c r="NUC139" s="18"/>
      <c r="NUD139" s="18"/>
      <c r="NUE139" s="18"/>
      <c r="NUF139" s="18"/>
      <c r="NUG139" s="18"/>
      <c r="NUH139" s="17"/>
      <c r="NUI139" s="9"/>
      <c r="NUJ139" s="9"/>
      <c r="NUK139" s="18"/>
      <c r="NUL139" s="18"/>
      <c r="NUM139" s="18"/>
      <c r="NUN139" s="18"/>
      <c r="NUO139" s="18"/>
      <c r="NUP139" s="17"/>
      <c r="NUQ139" s="9"/>
      <c r="NUR139" s="9"/>
      <c r="NUS139" s="18"/>
      <c r="NUT139" s="18"/>
      <c r="NUU139" s="18"/>
      <c r="NUV139" s="18"/>
      <c r="NUW139" s="18"/>
      <c r="NUX139" s="17"/>
      <c r="NUY139" s="9"/>
      <c r="NUZ139" s="9"/>
      <c r="NVA139" s="18"/>
      <c r="NVB139" s="18"/>
      <c r="NVC139" s="18"/>
      <c r="NVD139" s="18"/>
      <c r="NVE139" s="18"/>
      <c r="NVF139" s="17"/>
      <c r="NVG139" s="9"/>
      <c r="NVH139" s="9"/>
      <c r="NVI139" s="18"/>
      <c r="NVJ139" s="18"/>
      <c r="NVK139" s="18"/>
      <c r="NVL139" s="18"/>
      <c r="NVM139" s="18"/>
      <c r="NVN139" s="17"/>
      <c r="NVO139" s="9"/>
      <c r="NVP139" s="9"/>
      <c r="NVQ139" s="18"/>
      <c r="NVR139" s="18"/>
      <c r="NVS139" s="18"/>
      <c r="NVT139" s="18"/>
      <c r="NVU139" s="18"/>
      <c r="NVV139" s="17"/>
      <c r="NVW139" s="9"/>
      <c r="NVX139" s="9"/>
      <c r="NVY139" s="18"/>
      <c r="NVZ139" s="18"/>
      <c r="NWA139" s="18"/>
      <c r="NWB139" s="18"/>
      <c r="NWC139" s="18"/>
      <c r="NWD139" s="17"/>
      <c r="NWE139" s="9"/>
      <c r="NWF139" s="9"/>
      <c r="NWG139" s="18"/>
      <c r="NWH139" s="18"/>
      <c r="NWI139" s="18"/>
      <c r="NWJ139" s="18"/>
      <c r="NWK139" s="18"/>
      <c r="NWL139" s="17"/>
      <c r="NWM139" s="9"/>
      <c r="NWN139" s="9"/>
      <c r="NWO139" s="18"/>
      <c r="NWP139" s="18"/>
      <c r="NWQ139" s="18"/>
      <c r="NWR139" s="18"/>
      <c r="NWS139" s="18"/>
      <c r="NWT139" s="17"/>
      <c r="NWU139" s="9"/>
      <c r="NWV139" s="9"/>
      <c r="NWW139" s="18"/>
      <c r="NWX139" s="18"/>
      <c r="NWY139" s="18"/>
      <c r="NWZ139" s="18"/>
      <c r="NXA139" s="18"/>
      <c r="NXB139" s="17"/>
      <c r="NXC139" s="9"/>
      <c r="NXD139" s="9"/>
      <c r="NXE139" s="18"/>
      <c r="NXF139" s="18"/>
      <c r="NXG139" s="18"/>
      <c r="NXH139" s="18"/>
      <c r="NXI139" s="18"/>
      <c r="NXJ139" s="17"/>
      <c r="NXK139" s="9"/>
      <c r="NXL139" s="9"/>
      <c r="NXM139" s="18"/>
      <c r="NXN139" s="18"/>
      <c r="NXO139" s="18"/>
      <c r="NXP139" s="18"/>
      <c r="NXQ139" s="18"/>
      <c r="NXR139" s="17"/>
      <c r="NXS139" s="9"/>
      <c r="NXT139" s="9"/>
      <c r="NXU139" s="18"/>
      <c r="NXV139" s="18"/>
      <c r="NXW139" s="18"/>
      <c r="NXX139" s="18"/>
      <c r="NXY139" s="18"/>
      <c r="NXZ139" s="17"/>
      <c r="NYA139" s="9"/>
      <c r="NYB139" s="9"/>
      <c r="NYC139" s="18"/>
      <c r="NYD139" s="18"/>
      <c r="NYE139" s="18"/>
      <c r="NYF139" s="18"/>
      <c r="NYG139" s="18"/>
      <c r="NYH139" s="17"/>
      <c r="NYI139" s="9"/>
      <c r="NYJ139" s="9"/>
      <c r="NYK139" s="18"/>
      <c r="NYL139" s="18"/>
      <c r="NYM139" s="18"/>
      <c r="NYN139" s="18"/>
      <c r="NYO139" s="18"/>
      <c r="NYP139" s="17"/>
      <c r="NYQ139" s="9"/>
      <c r="NYR139" s="9"/>
      <c r="NYS139" s="18"/>
      <c r="NYT139" s="18"/>
      <c r="NYU139" s="18"/>
      <c r="NYV139" s="18"/>
      <c r="NYW139" s="18"/>
      <c r="NYX139" s="17"/>
      <c r="NYY139" s="9"/>
      <c r="NYZ139" s="9"/>
      <c r="NZA139" s="18"/>
      <c r="NZB139" s="18"/>
      <c r="NZC139" s="18"/>
      <c r="NZD139" s="18"/>
      <c r="NZE139" s="18"/>
      <c r="NZF139" s="17"/>
      <c r="NZG139" s="9"/>
      <c r="NZH139" s="9"/>
      <c r="NZI139" s="18"/>
      <c r="NZJ139" s="18"/>
      <c r="NZK139" s="18"/>
      <c r="NZL139" s="18"/>
      <c r="NZM139" s="18"/>
      <c r="NZN139" s="17"/>
      <c r="NZO139" s="9"/>
      <c r="NZP139" s="9"/>
      <c r="NZQ139" s="18"/>
      <c r="NZR139" s="18"/>
      <c r="NZS139" s="18"/>
      <c r="NZT139" s="18"/>
      <c r="NZU139" s="18"/>
      <c r="NZV139" s="17"/>
      <c r="NZW139" s="9"/>
      <c r="NZX139" s="9"/>
      <c r="NZY139" s="18"/>
      <c r="NZZ139" s="18"/>
      <c r="OAA139" s="18"/>
      <c r="OAB139" s="18"/>
      <c r="OAC139" s="18"/>
      <c r="OAD139" s="17"/>
      <c r="OAE139" s="9"/>
      <c r="OAF139" s="9"/>
      <c r="OAG139" s="18"/>
      <c r="OAH139" s="18"/>
      <c r="OAI139" s="18"/>
      <c r="OAJ139" s="18"/>
      <c r="OAK139" s="18"/>
      <c r="OAL139" s="17"/>
      <c r="OAM139" s="9"/>
      <c r="OAN139" s="9"/>
      <c r="OAO139" s="18"/>
      <c r="OAP139" s="18"/>
      <c r="OAQ139" s="18"/>
      <c r="OAR139" s="18"/>
      <c r="OAS139" s="18"/>
      <c r="OAT139" s="17"/>
      <c r="OAU139" s="9"/>
      <c r="OAV139" s="9"/>
      <c r="OAW139" s="18"/>
      <c r="OAX139" s="18"/>
      <c r="OAY139" s="18"/>
      <c r="OAZ139" s="18"/>
      <c r="OBA139" s="18"/>
      <c r="OBB139" s="17"/>
      <c r="OBC139" s="9"/>
      <c r="OBD139" s="9"/>
      <c r="OBE139" s="18"/>
      <c r="OBF139" s="18"/>
      <c r="OBG139" s="18"/>
      <c r="OBH139" s="18"/>
      <c r="OBI139" s="18"/>
      <c r="OBJ139" s="17"/>
      <c r="OBK139" s="9"/>
      <c r="OBL139" s="9"/>
      <c r="OBM139" s="18"/>
      <c r="OBN139" s="18"/>
      <c r="OBO139" s="18"/>
      <c r="OBP139" s="18"/>
      <c r="OBQ139" s="18"/>
      <c r="OBR139" s="17"/>
      <c r="OBS139" s="9"/>
      <c r="OBT139" s="9"/>
      <c r="OBU139" s="18"/>
      <c r="OBV139" s="18"/>
      <c r="OBW139" s="18"/>
      <c r="OBX139" s="18"/>
      <c r="OBY139" s="18"/>
      <c r="OBZ139" s="17"/>
      <c r="OCA139" s="9"/>
      <c r="OCB139" s="9"/>
      <c r="OCC139" s="18"/>
      <c r="OCD139" s="18"/>
      <c r="OCE139" s="18"/>
      <c r="OCF139" s="18"/>
      <c r="OCG139" s="18"/>
      <c r="OCH139" s="17"/>
      <c r="OCI139" s="9"/>
      <c r="OCJ139" s="9"/>
      <c r="OCK139" s="18"/>
      <c r="OCL139" s="18"/>
      <c r="OCM139" s="18"/>
      <c r="OCN139" s="18"/>
      <c r="OCO139" s="18"/>
      <c r="OCP139" s="17"/>
      <c r="OCQ139" s="9"/>
      <c r="OCR139" s="9"/>
      <c r="OCS139" s="18"/>
      <c r="OCT139" s="18"/>
      <c r="OCU139" s="18"/>
      <c r="OCV139" s="18"/>
      <c r="OCW139" s="18"/>
      <c r="OCX139" s="17"/>
      <c r="OCY139" s="9"/>
      <c r="OCZ139" s="9"/>
      <c r="ODA139" s="18"/>
      <c r="ODB139" s="18"/>
      <c r="ODC139" s="18"/>
      <c r="ODD139" s="18"/>
      <c r="ODE139" s="18"/>
      <c r="ODF139" s="17"/>
      <c r="ODG139" s="9"/>
      <c r="ODH139" s="9"/>
      <c r="ODI139" s="18"/>
      <c r="ODJ139" s="18"/>
      <c r="ODK139" s="18"/>
      <c r="ODL139" s="18"/>
      <c r="ODM139" s="18"/>
      <c r="ODN139" s="17"/>
      <c r="ODO139" s="9"/>
      <c r="ODP139" s="9"/>
      <c r="ODQ139" s="18"/>
      <c r="ODR139" s="18"/>
      <c r="ODS139" s="18"/>
      <c r="ODT139" s="18"/>
      <c r="ODU139" s="18"/>
      <c r="ODV139" s="17"/>
      <c r="ODW139" s="9"/>
      <c r="ODX139" s="9"/>
      <c r="ODY139" s="18"/>
      <c r="ODZ139" s="18"/>
      <c r="OEA139" s="18"/>
      <c r="OEB139" s="18"/>
      <c r="OEC139" s="18"/>
      <c r="OED139" s="17"/>
      <c r="OEE139" s="9"/>
      <c r="OEF139" s="9"/>
      <c r="OEG139" s="18"/>
      <c r="OEH139" s="18"/>
      <c r="OEI139" s="18"/>
      <c r="OEJ139" s="18"/>
      <c r="OEK139" s="18"/>
      <c r="OEL139" s="17"/>
      <c r="OEM139" s="9"/>
      <c r="OEN139" s="9"/>
      <c r="OEO139" s="18"/>
      <c r="OEP139" s="18"/>
      <c r="OEQ139" s="18"/>
      <c r="OER139" s="18"/>
      <c r="OES139" s="18"/>
      <c r="OET139" s="17"/>
      <c r="OEU139" s="9"/>
      <c r="OEV139" s="9"/>
      <c r="OEW139" s="18"/>
      <c r="OEX139" s="18"/>
      <c r="OEY139" s="18"/>
      <c r="OEZ139" s="18"/>
      <c r="OFA139" s="18"/>
      <c r="OFB139" s="17"/>
      <c r="OFC139" s="9"/>
      <c r="OFD139" s="9"/>
      <c r="OFE139" s="18"/>
      <c r="OFF139" s="18"/>
      <c r="OFG139" s="18"/>
      <c r="OFH139" s="18"/>
      <c r="OFI139" s="18"/>
      <c r="OFJ139" s="17"/>
      <c r="OFK139" s="9"/>
      <c r="OFL139" s="9"/>
      <c r="OFM139" s="18"/>
      <c r="OFN139" s="18"/>
      <c r="OFO139" s="18"/>
      <c r="OFP139" s="18"/>
      <c r="OFQ139" s="18"/>
      <c r="OFR139" s="17"/>
      <c r="OFS139" s="9"/>
      <c r="OFT139" s="9"/>
      <c r="OFU139" s="18"/>
      <c r="OFV139" s="18"/>
      <c r="OFW139" s="18"/>
      <c r="OFX139" s="18"/>
      <c r="OFY139" s="18"/>
      <c r="OFZ139" s="17"/>
      <c r="OGA139" s="9"/>
      <c r="OGB139" s="9"/>
      <c r="OGC139" s="18"/>
      <c r="OGD139" s="18"/>
      <c r="OGE139" s="18"/>
      <c r="OGF139" s="18"/>
      <c r="OGG139" s="18"/>
      <c r="OGH139" s="17"/>
      <c r="OGI139" s="9"/>
      <c r="OGJ139" s="9"/>
      <c r="OGK139" s="18"/>
      <c r="OGL139" s="18"/>
      <c r="OGM139" s="18"/>
      <c r="OGN139" s="18"/>
      <c r="OGO139" s="18"/>
      <c r="OGP139" s="17"/>
      <c r="OGQ139" s="9"/>
      <c r="OGR139" s="9"/>
      <c r="OGS139" s="18"/>
      <c r="OGT139" s="18"/>
      <c r="OGU139" s="18"/>
      <c r="OGV139" s="18"/>
      <c r="OGW139" s="18"/>
      <c r="OGX139" s="17"/>
      <c r="OGY139" s="9"/>
      <c r="OGZ139" s="9"/>
      <c r="OHA139" s="18"/>
      <c r="OHB139" s="18"/>
      <c r="OHC139" s="18"/>
      <c r="OHD139" s="18"/>
      <c r="OHE139" s="18"/>
      <c r="OHF139" s="17"/>
      <c r="OHG139" s="9"/>
      <c r="OHH139" s="9"/>
      <c r="OHI139" s="18"/>
      <c r="OHJ139" s="18"/>
      <c r="OHK139" s="18"/>
      <c r="OHL139" s="18"/>
      <c r="OHM139" s="18"/>
      <c r="OHN139" s="17"/>
      <c r="OHO139" s="9"/>
      <c r="OHP139" s="9"/>
      <c r="OHQ139" s="18"/>
      <c r="OHR139" s="18"/>
      <c r="OHS139" s="18"/>
      <c r="OHT139" s="18"/>
      <c r="OHU139" s="18"/>
      <c r="OHV139" s="17"/>
      <c r="OHW139" s="9"/>
      <c r="OHX139" s="9"/>
      <c r="OHY139" s="18"/>
      <c r="OHZ139" s="18"/>
      <c r="OIA139" s="18"/>
      <c r="OIB139" s="18"/>
      <c r="OIC139" s="18"/>
      <c r="OID139" s="17"/>
      <c r="OIE139" s="9"/>
      <c r="OIF139" s="9"/>
      <c r="OIG139" s="18"/>
      <c r="OIH139" s="18"/>
      <c r="OII139" s="18"/>
      <c r="OIJ139" s="18"/>
      <c r="OIK139" s="18"/>
      <c r="OIL139" s="17"/>
      <c r="OIM139" s="9"/>
      <c r="OIN139" s="9"/>
      <c r="OIO139" s="18"/>
      <c r="OIP139" s="18"/>
      <c r="OIQ139" s="18"/>
      <c r="OIR139" s="18"/>
      <c r="OIS139" s="18"/>
      <c r="OIT139" s="17"/>
      <c r="OIU139" s="9"/>
      <c r="OIV139" s="9"/>
      <c r="OIW139" s="18"/>
      <c r="OIX139" s="18"/>
      <c r="OIY139" s="18"/>
      <c r="OIZ139" s="18"/>
      <c r="OJA139" s="18"/>
      <c r="OJB139" s="17"/>
      <c r="OJC139" s="9"/>
      <c r="OJD139" s="9"/>
      <c r="OJE139" s="18"/>
      <c r="OJF139" s="18"/>
      <c r="OJG139" s="18"/>
      <c r="OJH139" s="18"/>
      <c r="OJI139" s="18"/>
      <c r="OJJ139" s="17"/>
      <c r="OJK139" s="9"/>
      <c r="OJL139" s="9"/>
      <c r="OJM139" s="18"/>
      <c r="OJN139" s="18"/>
      <c r="OJO139" s="18"/>
      <c r="OJP139" s="18"/>
      <c r="OJQ139" s="18"/>
      <c r="OJR139" s="17"/>
      <c r="OJS139" s="9"/>
      <c r="OJT139" s="9"/>
      <c r="OJU139" s="18"/>
      <c r="OJV139" s="18"/>
      <c r="OJW139" s="18"/>
      <c r="OJX139" s="18"/>
      <c r="OJY139" s="18"/>
      <c r="OJZ139" s="17"/>
      <c r="OKA139" s="9"/>
      <c r="OKB139" s="9"/>
      <c r="OKC139" s="18"/>
      <c r="OKD139" s="18"/>
      <c r="OKE139" s="18"/>
      <c r="OKF139" s="18"/>
      <c r="OKG139" s="18"/>
      <c r="OKH139" s="17"/>
      <c r="OKI139" s="9"/>
      <c r="OKJ139" s="9"/>
      <c r="OKK139" s="18"/>
      <c r="OKL139" s="18"/>
      <c r="OKM139" s="18"/>
      <c r="OKN139" s="18"/>
      <c r="OKO139" s="18"/>
      <c r="OKP139" s="17"/>
      <c r="OKQ139" s="9"/>
      <c r="OKR139" s="9"/>
      <c r="OKS139" s="18"/>
      <c r="OKT139" s="18"/>
      <c r="OKU139" s="18"/>
      <c r="OKV139" s="18"/>
      <c r="OKW139" s="18"/>
      <c r="OKX139" s="17"/>
      <c r="OKY139" s="9"/>
      <c r="OKZ139" s="9"/>
      <c r="OLA139" s="18"/>
      <c r="OLB139" s="18"/>
      <c r="OLC139" s="18"/>
      <c r="OLD139" s="18"/>
      <c r="OLE139" s="18"/>
      <c r="OLF139" s="17"/>
      <c r="OLG139" s="9"/>
      <c r="OLH139" s="9"/>
      <c r="OLI139" s="18"/>
      <c r="OLJ139" s="18"/>
      <c r="OLK139" s="18"/>
      <c r="OLL139" s="18"/>
      <c r="OLM139" s="18"/>
      <c r="OLN139" s="17"/>
      <c r="OLO139" s="9"/>
      <c r="OLP139" s="9"/>
      <c r="OLQ139" s="18"/>
      <c r="OLR139" s="18"/>
      <c r="OLS139" s="18"/>
      <c r="OLT139" s="18"/>
      <c r="OLU139" s="18"/>
      <c r="OLV139" s="17"/>
      <c r="OLW139" s="9"/>
      <c r="OLX139" s="9"/>
      <c r="OLY139" s="18"/>
      <c r="OLZ139" s="18"/>
      <c r="OMA139" s="18"/>
      <c r="OMB139" s="18"/>
      <c r="OMC139" s="18"/>
      <c r="OMD139" s="17"/>
      <c r="OME139" s="9"/>
      <c r="OMF139" s="9"/>
      <c r="OMG139" s="18"/>
      <c r="OMH139" s="18"/>
      <c r="OMI139" s="18"/>
      <c r="OMJ139" s="18"/>
      <c r="OMK139" s="18"/>
      <c r="OML139" s="17"/>
      <c r="OMM139" s="9"/>
      <c r="OMN139" s="9"/>
      <c r="OMO139" s="18"/>
      <c r="OMP139" s="18"/>
      <c r="OMQ139" s="18"/>
      <c r="OMR139" s="18"/>
      <c r="OMS139" s="18"/>
      <c r="OMT139" s="17"/>
      <c r="OMU139" s="9"/>
      <c r="OMV139" s="9"/>
      <c r="OMW139" s="18"/>
      <c r="OMX139" s="18"/>
      <c r="OMY139" s="18"/>
      <c r="OMZ139" s="18"/>
      <c r="ONA139" s="18"/>
      <c r="ONB139" s="17"/>
      <c r="ONC139" s="9"/>
      <c r="OND139" s="9"/>
      <c r="ONE139" s="18"/>
      <c r="ONF139" s="18"/>
      <c r="ONG139" s="18"/>
      <c r="ONH139" s="18"/>
      <c r="ONI139" s="18"/>
      <c r="ONJ139" s="17"/>
      <c r="ONK139" s="9"/>
      <c r="ONL139" s="9"/>
      <c r="ONM139" s="18"/>
      <c r="ONN139" s="18"/>
      <c r="ONO139" s="18"/>
      <c r="ONP139" s="18"/>
      <c r="ONQ139" s="18"/>
      <c r="ONR139" s="17"/>
      <c r="ONS139" s="9"/>
      <c r="ONT139" s="9"/>
      <c r="ONU139" s="18"/>
      <c r="ONV139" s="18"/>
      <c r="ONW139" s="18"/>
      <c r="ONX139" s="18"/>
      <c r="ONY139" s="18"/>
      <c r="ONZ139" s="17"/>
      <c r="OOA139" s="9"/>
      <c r="OOB139" s="9"/>
      <c r="OOC139" s="18"/>
      <c r="OOD139" s="18"/>
      <c r="OOE139" s="18"/>
      <c r="OOF139" s="18"/>
      <c r="OOG139" s="18"/>
      <c r="OOH139" s="17"/>
      <c r="OOI139" s="9"/>
      <c r="OOJ139" s="9"/>
      <c r="OOK139" s="18"/>
      <c r="OOL139" s="18"/>
      <c r="OOM139" s="18"/>
      <c r="OON139" s="18"/>
      <c r="OOO139" s="18"/>
      <c r="OOP139" s="17"/>
      <c r="OOQ139" s="9"/>
      <c r="OOR139" s="9"/>
      <c r="OOS139" s="18"/>
      <c r="OOT139" s="18"/>
      <c r="OOU139" s="18"/>
      <c r="OOV139" s="18"/>
      <c r="OOW139" s="18"/>
      <c r="OOX139" s="17"/>
      <c r="OOY139" s="9"/>
      <c r="OOZ139" s="9"/>
      <c r="OPA139" s="18"/>
      <c r="OPB139" s="18"/>
      <c r="OPC139" s="18"/>
      <c r="OPD139" s="18"/>
      <c r="OPE139" s="18"/>
      <c r="OPF139" s="17"/>
      <c r="OPG139" s="9"/>
      <c r="OPH139" s="9"/>
      <c r="OPI139" s="18"/>
      <c r="OPJ139" s="18"/>
      <c r="OPK139" s="18"/>
      <c r="OPL139" s="18"/>
      <c r="OPM139" s="18"/>
      <c r="OPN139" s="17"/>
      <c r="OPO139" s="9"/>
      <c r="OPP139" s="9"/>
      <c r="OPQ139" s="18"/>
      <c r="OPR139" s="18"/>
      <c r="OPS139" s="18"/>
      <c r="OPT139" s="18"/>
      <c r="OPU139" s="18"/>
      <c r="OPV139" s="17"/>
      <c r="OPW139" s="9"/>
      <c r="OPX139" s="9"/>
      <c r="OPY139" s="18"/>
      <c r="OPZ139" s="18"/>
      <c r="OQA139" s="18"/>
      <c r="OQB139" s="18"/>
      <c r="OQC139" s="18"/>
      <c r="OQD139" s="17"/>
      <c r="OQE139" s="9"/>
      <c r="OQF139" s="9"/>
      <c r="OQG139" s="18"/>
      <c r="OQH139" s="18"/>
      <c r="OQI139" s="18"/>
      <c r="OQJ139" s="18"/>
      <c r="OQK139" s="18"/>
      <c r="OQL139" s="17"/>
      <c r="OQM139" s="9"/>
      <c r="OQN139" s="9"/>
      <c r="OQO139" s="18"/>
      <c r="OQP139" s="18"/>
      <c r="OQQ139" s="18"/>
      <c r="OQR139" s="18"/>
      <c r="OQS139" s="18"/>
      <c r="OQT139" s="17"/>
      <c r="OQU139" s="9"/>
      <c r="OQV139" s="9"/>
      <c r="OQW139" s="18"/>
      <c r="OQX139" s="18"/>
      <c r="OQY139" s="18"/>
      <c r="OQZ139" s="18"/>
      <c r="ORA139" s="18"/>
      <c r="ORB139" s="17"/>
      <c r="ORC139" s="9"/>
      <c r="ORD139" s="9"/>
      <c r="ORE139" s="18"/>
      <c r="ORF139" s="18"/>
      <c r="ORG139" s="18"/>
      <c r="ORH139" s="18"/>
      <c r="ORI139" s="18"/>
      <c r="ORJ139" s="17"/>
      <c r="ORK139" s="9"/>
      <c r="ORL139" s="9"/>
      <c r="ORM139" s="18"/>
      <c r="ORN139" s="18"/>
      <c r="ORO139" s="18"/>
      <c r="ORP139" s="18"/>
      <c r="ORQ139" s="18"/>
      <c r="ORR139" s="17"/>
      <c r="ORS139" s="9"/>
      <c r="ORT139" s="9"/>
      <c r="ORU139" s="18"/>
      <c r="ORV139" s="18"/>
      <c r="ORW139" s="18"/>
      <c r="ORX139" s="18"/>
      <c r="ORY139" s="18"/>
      <c r="ORZ139" s="17"/>
      <c r="OSA139" s="9"/>
      <c r="OSB139" s="9"/>
      <c r="OSC139" s="18"/>
      <c r="OSD139" s="18"/>
      <c r="OSE139" s="18"/>
      <c r="OSF139" s="18"/>
      <c r="OSG139" s="18"/>
      <c r="OSH139" s="17"/>
      <c r="OSI139" s="9"/>
      <c r="OSJ139" s="9"/>
      <c r="OSK139" s="18"/>
      <c r="OSL139" s="18"/>
      <c r="OSM139" s="18"/>
      <c r="OSN139" s="18"/>
      <c r="OSO139" s="18"/>
      <c r="OSP139" s="17"/>
      <c r="OSQ139" s="9"/>
      <c r="OSR139" s="9"/>
      <c r="OSS139" s="18"/>
      <c r="OST139" s="18"/>
      <c r="OSU139" s="18"/>
      <c r="OSV139" s="18"/>
      <c r="OSW139" s="18"/>
      <c r="OSX139" s="17"/>
      <c r="OSY139" s="9"/>
      <c r="OSZ139" s="9"/>
      <c r="OTA139" s="18"/>
      <c r="OTB139" s="18"/>
      <c r="OTC139" s="18"/>
      <c r="OTD139" s="18"/>
      <c r="OTE139" s="18"/>
      <c r="OTF139" s="17"/>
      <c r="OTG139" s="9"/>
      <c r="OTH139" s="9"/>
      <c r="OTI139" s="18"/>
      <c r="OTJ139" s="18"/>
      <c r="OTK139" s="18"/>
      <c r="OTL139" s="18"/>
      <c r="OTM139" s="18"/>
      <c r="OTN139" s="17"/>
      <c r="OTO139" s="9"/>
      <c r="OTP139" s="9"/>
      <c r="OTQ139" s="18"/>
      <c r="OTR139" s="18"/>
      <c r="OTS139" s="18"/>
      <c r="OTT139" s="18"/>
      <c r="OTU139" s="18"/>
      <c r="OTV139" s="17"/>
      <c r="OTW139" s="9"/>
      <c r="OTX139" s="9"/>
      <c r="OTY139" s="18"/>
      <c r="OTZ139" s="18"/>
      <c r="OUA139" s="18"/>
      <c r="OUB139" s="18"/>
      <c r="OUC139" s="18"/>
      <c r="OUD139" s="17"/>
      <c r="OUE139" s="9"/>
      <c r="OUF139" s="9"/>
      <c r="OUG139" s="18"/>
      <c r="OUH139" s="18"/>
      <c r="OUI139" s="18"/>
      <c r="OUJ139" s="18"/>
      <c r="OUK139" s="18"/>
      <c r="OUL139" s="17"/>
      <c r="OUM139" s="9"/>
      <c r="OUN139" s="9"/>
      <c r="OUO139" s="18"/>
      <c r="OUP139" s="18"/>
      <c r="OUQ139" s="18"/>
      <c r="OUR139" s="18"/>
      <c r="OUS139" s="18"/>
      <c r="OUT139" s="17"/>
      <c r="OUU139" s="9"/>
      <c r="OUV139" s="9"/>
      <c r="OUW139" s="18"/>
      <c r="OUX139" s="18"/>
      <c r="OUY139" s="18"/>
      <c r="OUZ139" s="18"/>
      <c r="OVA139" s="18"/>
      <c r="OVB139" s="17"/>
      <c r="OVC139" s="9"/>
      <c r="OVD139" s="9"/>
      <c r="OVE139" s="18"/>
      <c r="OVF139" s="18"/>
      <c r="OVG139" s="18"/>
      <c r="OVH139" s="18"/>
      <c r="OVI139" s="18"/>
      <c r="OVJ139" s="17"/>
      <c r="OVK139" s="9"/>
      <c r="OVL139" s="9"/>
      <c r="OVM139" s="18"/>
      <c r="OVN139" s="18"/>
      <c r="OVO139" s="18"/>
      <c r="OVP139" s="18"/>
      <c r="OVQ139" s="18"/>
      <c r="OVR139" s="17"/>
      <c r="OVS139" s="9"/>
      <c r="OVT139" s="9"/>
      <c r="OVU139" s="18"/>
      <c r="OVV139" s="18"/>
      <c r="OVW139" s="18"/>
      <c r="OVX139" s="18"/>
      <c r="OVY139" s="18"/>
      <c r="OVZ139" s="17"/>
      <c r="OWA139" s="9"/>
      <c r="OWB139" s="9"/>
      <c r="OWC139" s="18"/>
      <c r="OWD139" s="18"/>
      <c r="OWE139" s="18"/>
      <c r="OWF139" s="18"/>
      <c r="OWG139" s="18"/>
      <c r="OWH139" s="17"/>
      <c r="OWI139" s="9"/>
      <c r="OWJ139" s="9"/>
      <c r="OWK139" s="18"/>
      <c r="OWL139" s="18"/>
      <c r="OWM139" s="18"/>
      <c r="OWN139" s="18"/>
      <c r="OWO139" s="18"/>
      <c r="OWP139" s="17"/>
      <c r="OWQ139" s="9"/>
      <c r="OWR139" s="9"/>
      <c r="OWS139" s="18"/>
      <c r="OWT139" s="18"/>
      <c r="OWU139" s="18"/>
      <c r="OWV139" s="18"/>
      <c r="OWW139" s="18"/>
      <c r="OWX139" s="17"/>
      <c r="OWY139" s="9"/>
      <c r="OWZ139" s="9"/>
      <c r="OXA139" s="18"/>
      <c r="OXB139" s="18"/>
      <c r="OXC139" s="18"/>
      <c r="OXD139" s="18"/>
      <c r="OXE139" s="18"/>
      <c r="OXF139" s="17"/>
      <c r="OXG139" s="9"/>
      <c r="OXH139" s="9"/>
      <c r="OXI139" s="18"/>
      <c r="OXJ139" s="18"/>
      <c r="OXK139" s="18"/>
      <c r="OXL139" s="18"/>
      <c r="OXM139" s="18"/>
      <c r="OXN139" s="17"/>
      <c r="OXO139" s="9"/>
      <c r="OXP139" s="9"/>
      <c r="OXQ139" s="18"/>
      <c r="OXR139" s="18"/>
      <c r="OXS139" s="18"/>
      <c r="OXT139" s="18"/>
      <c r="OXU139" s="18"/>
      <c r="OXV139" s="17"/>
      <c r="OXW139" s="9"/>
      <c r="OXX139" s="9"/>
      <c r="OXY139" s="18"/>
      <c r="OXZ139" s="18"/>
      <c r="OYA139" s="18"/>
      <c r="OYB139" s="18"/>
      <c r="OYC139" s="18"/>
      <c r="OYD139" s="17"/>
      <c r="OYE139" s="9"/>
      <c r="OYF139" s="9"/>
      <c r="OYG139" s="18"/>
      <c r="OYH139" s="18"/>
      <c r="OYI139" s="18"/>
      <c r="OYJ139" s="18"/>
      <c r="OYK139" s="18"/>
      <c r="OYL139" s="17"/>
      <c r="OYM139" s="9"/>
      <c r="OYN139" s="9"/>
      <c r="OYO139" s="18"/>
      <c r="OYP139" s="18"/>
      <c r="OYQ139" s="18"/>
      <c r="OYR139" s="18"/>
      <c r="OYS139" s="18"/>
      <c r="OYT139" s="17"/>
      <c r="OYU139" s="9"/>
      <c r="OYV139" s="9"/>
      <c r="OYW139" s="18"/>
      <c r="OYX139" s="18"/>
      <c r="OYY139" s="18"/>
      <c r="OYZ139" s="18"/>
      <c r="OZA139" s="18"/>
      <c r="OZB139" s="17"/>
      <c r="OZC139" s="9"/>
      <c r="OZD139" s="9"/>
      <c r="OZE139" s="18"/>
      <c r="OZF139" s="18"/>
      <c r="OZG139" s="18"/>
      <c r="OZH139" s="18"/>
      <c r="OZI139" s="18"/>
      <c r="OZJ139" s="17"/>
      <c r="OZK139" s="9"/>
      <c r="OZL139" s="9"/>
      <c r="OZM139" s="18"/>
      <c r="OZN139" s="18"/>
      <c r="OZO139" s="18"/>
      <c r="OZP139" s="18"/>
      <c r="OZQ139" s="18"/>
      <c r="OZR139" s="17"/>
      <c r="OZS139" s="9"/>
      <c r="OZT139" s="9"/>
      <c r="OZU139" s="18"/>
      <c r="OZV139" s="18"/>
      <c r="OZW139" s="18"/>
      <c r="OZX139" s="18"/>
      <c r="OZY139" s="18"/>
      <c r="OZZ139" s="17"/>
      <c r="PAA139" s="9"/>
      <c r="PAB139" s="9"/>
      <c r="PAC139" s="18"/>
      <c r="PAD139" s="18"/>
      <c r="PAE139" s="18"/>
      <c r="PAF139" s="18"/>
      <c r="PAG139" s="18"/>
      <c r="PAH139" s="17"/>
      <c r="PAI139" s="9"/>
      <c r="PAJ139" s="9"/>
      <c r="PAK139" s="18"/>
      <c r="PAL139" s="18"/>
      <c r="PAM139" s="18"/>
      <c r="PAN139" s="18"/>
      <c r="PAO139" s="18"/>
      <c r="PAP139" s="17"/>
      <c r="PAQ139" s="9"/>
      <c r="PAR139" s="9"/>
      <c r="PAS139" s="18"/>
      <c r="PAT139" s="18"/>
      <c r="PAU139" s="18"/>
      <c r="PAV139" s="18"/>
      <c r="PAW139" s="18"/>
      <c r="PAX139" s="17"/>
      <c r="PAY139" s="9"/>
      <c r="PAZ139" s="9"/>
      <c r="PBA139" s="18"/>
      <c r="PBB139" s="18"/>
      <c r="PBC139" s="18"/>
      <c r="PBD139" s="18"/>
      <c r="PBE139" s="18"/>
      <c r="PBF139" s="17"/>
      <c r="PBG139" s="9"/>
      <c r="PBH139" s="9"/>
      <c r="PBI139" s="18"/>
      <c r="PBJ139" s="18"/>
      <c r="PBK139" s="18"/>
      <c r="PBL139" s="18"/>
      <c r="PBM139" s="18"/>
      <c r="PBN139" s="17"/>
      <c r="PBO139" s="9"/>
      <c r="PBP139" s="9"/>
      <c r="PBQ139" s="18"/>
      <c r="PBR139" s="18"/>
      <c r="PBS139" s="18"/>
      <c r="PBT139" s="18"/>
      <c r="PBU139" s="18"/>
      <c r="PBV139" s="17"/>
      <c r="PBW139" s="9"/>
      <c r="PBX139" s="9"/>
      <c r="PBY139" s="18"/>
      <c r="PBZ139" s="18"/>
      <c r="PCA139" s="18"/>
      <c r="PCB139" s="18"/>
      <c r="PCC139" s="18"/>
      <c r="PCD139" s="17"/>
      <c r="PCE139" s="9"/>
      <c r="PCF139" s="9"/>
      <c r="PCG139" s="18"/>
      <c r="PCH139" s="18"/>
      <c r="PCI139" s="18"/>
      <c r="PCJ139" s="18"/>
      <c r="PCK139" s="18"/>
      <c r="PCL139" s="17"/>
      <c r="PCM139" s="9"/>
      <c r="PCN139" s="9"/>
      <c r="PCO139" s="18"/>
      <c r="PCP139" s="18"/>
      <c r="PCQ139" s="18"/>
      <c r="PCR139" s="18"/>
      <c r="PCS139" s="18"/>
      <c r="PCT139" s="17"/>
      <c r="PCU139" s="9"/>
      <c r="PCV139" s="9"/>
      <c r="PCW139" s="18"/>
      <c r="PCX139" s="18"/>
      <c r="PCY139" s="18"/>
      <c r="PCZ139" s="18"/>
      <c r="PDA139" s="18"/>
      <c r="PDB139" s="17"/>
      <c r="PDC139" s="9"/>
      <c r="PDD139" s="9"/>
      <c r="PDE139" s="18"/>
      <c r="PDF139" s="18"/>
      <c r="PDG139" s="18"/>
      <c r="PDH139" s="18"/>
      <c r="PDI139" s="18"/>
      <c r="PDJ139" s="17"/>
      <c r="PDK139" s="9"/>
      <c r="PDL139" s="9"/>
      <c r="PDM139" s="18"/>
      <c r="PDN139" s="18"/>
      <c r="PDO139" s="18"/>
      <c r="PDP139" s="18"/>
      <c r="PDQ139" s="18"/>
      <c r="PDR139" s="17"/>
      <c r="PDS139" s="9"/>
      <c r="PDT139" s="9"/>
      <c r="PDU139" s="18"/>
      <c r="PDV139" s="18"/>
      <c r="PDW139" s="18"/>
      <c r="PDX139" s="18"/>
      <c r="PDY139" s="18"/>
      <c r="PDZ139" s="17"/>
      <c r="PEA139" s="9"/>
      <c r="PEB139" s="9"/>
      <c r="PEC139" s="18"/>
      <c r="PED139" s="18"/>
      <c r="PEE139" s="18"/>
      <c r="PEF139" s="18"/>
      <c r="PEG139" s="18"/>
      <c r="PEH139" s="17"/>
      <c r="PEI139" s="9"/>
      <c r="PEJ139" s="9"/>
      <c r="PEK139" s="18"/>
      <c r="PEL139" s="18"/>
      <c r="PEM139" s="18"/>
      <c r="PEN139" s="18"/>
      <c r="PEO139" s="18"/>
      <c r="PEP139" s="17"/>
      <c r="PEQ139" s="9"/>
      <c r="PER139" s="9"/>
      <c r="PES139" s="18"/>
      <c r="PET139" s="18"/>
      <c r="PEU139" s="18"/>
      <c r="PEV139" s="18"/>
      <c r="PEW139" s="18"/>
      <c r="PEX139" s="17"/>
      <c r="PEY139" s="9"/>
      <c r="PEZ139" s="9"/>
      <c r="PFA139" s="18"/>
      <c r="PFB139" s="18"/>
      <c r="PFC139" s="18"/>
      <c r="PFD139" s="18"/>
      <c r="PFE139" s="18"/>
      <c r="PFF139" s="17"/>
      <c r="PFG139" s="9"/>
      <c r="PFH139" s="9"/>
      <c r="PFI139" s="18"/>
      <c r="PFJ139" s="18"/>
      <c r="PFK139" s="18"/>
      <c r="PFL139" s="18"/>
      <c r="PFM139" s="18"/>
      <c r="PFN139" s="17"/>
      <c r="PFO139" s="9"/>
      <c r="PFP139" s="9"/>
      <c r="PFQ139" s="18"/>
      <c r="PFR139" s="18"/>
      <c r="PFS139" s="18"/>
      <c r="PFT139" s="18"/>
      <c r="PFU139" s="18"/>
      <c r="PFV139" s="17"/>
      <c r="PFW139" s="9"/>
      <c r="PFX139" s="9"/>
      <c r="PFY139" s="18"/>
      <c r="PFZ139" s="18"/>
      <c r="PGA139" s="18"/>
      <c r="PGB139" s="18"/>
      <c r="PGC139" s="18"/>
      <c r="PGD139" s="17"/>
      <c r="PGE139" s="9"/>
      <c r="PGF139" s="9"/>
      <c r="PGG139" s="18"/>
      <c r="PGH139" s="18"/>
      <c r="PGI139" s="18"/>
      <c r="PGJ139" s="18"/>
      <c r="PGK139" s="18"/>
      <c r="PGL139" s="17"/>
      <c r="PGM139" s="9"/>
      <c r="PGN139" s="9"/>
      <c r="PGO139" s="18"/>
      <c r="PGP139" s="18"/>
      <c r="PGQ139" s="18"/>
      <c r="PGR139" s="18"/>
      <c r="PGS139" s="18"/>
      <c r="PGT139" s="17"/>
      <c r="PGU139" s="9"/>
      <c r="PGV139" s="9"/>
      <c r="PGW139" s="18"/>
      <c r="PGX139" s="18"/>
      <c r="PGY139" s="18"/>
      <c r="PGZ139" s="18"/>
      <c r="PHA139" s="18"/>
      <c r="PHB139" s="17"/>
      <c r="PHC139" s="9"/>
      <c r="PHD139" s="9"/>
      <c r="PHE139" s="18"/>
      <c r="PHF139" s="18"/>
      <c r="PHG139" s="18"/>
      <c r="PHH139" s="18"/>
      <c r="PHI139" s="18"/>
      <c r="PHJ139" s="17"/>
      <c r="PHK139" s="9"/>
      <c r="PHL139" s="9"/>
      <c r="PHM139" s="18"/>
      <c r="PHN139" s="18"/>
      <c r="PHO139" s="18"/>
      <c r="PHP139" s="18"/>
      <c r="PHQ139" s="18"/>
      <c r="PHR139" s="17"/>
      <c r="PHS139" s="9"/>
      <c r="PHT139" s="9"/>
      <c r="PHU139" s="18"/>
      <c r="PHV139" s="18"/>
      <c r="PHW139" s="18"/>
      <c r="PHX139" s="18"/>
      <c r="PHY139" s="18"/>
      <c r="PHZ139" s="17"/>
      <c r="PIA139" s="9"/>
      <c r="PIB139" s="9"/>
      <c r="PIC139" s="18"/>
      <c r="PID139" s="18"/>
      <c r="PIE139" s="18"/>
      <c r="PIF139" s="18"/>
      <c r="PIG139" s="18"/>
      <c r="PIH139" s="17"/>
      <c r="PII139" s="9"/>
      <c r="PIJ139" s="9"/>
      <c r="PIK139" s="18"/>
      <c r="PIL139" s="18"/>
      <c r="PIM139" s="18"/>
      <c r="PIN139" s="18"/>
      <c r="PIO139" s="18"/>
      <c r="PIP139" s="17"/>
      <c r="PIQ139" s="9"/>
      <c r="PIR139" s="9"/>
      <c r="PIS139" s="18"/>
      <c r="PIT139" s="18"/>
      <c r="PIU139" s="18"/>
      <c r="PIV139" s="18"/>
      <c r="PIW139" s="18"/>
      <c r="PIX139" s="17"/>
      <c r="PIY139" s="9"/>
      <c r="PIZ139" s="9"/>
      <c r="PJA139" s="18"/>
      <c r="PJB139" s="18"/>
      <c r="PJC139" s="18"/>
      <c r="PJD139" s="18"/>
      <c r="PJE139" s="18"/>
      <c r="PJF139" s="17"/>
      <c r="PJG139" s="9"/>
      <c r="PJH139" s="9"/>
      <c r="PJI139" s="18"/>
      <c r="PJJ139" s="18"/>
      <c r="PJK139" s="18"/>
      <c r="PJL139" s="18"/>
      <c r="PJM139" s="18"/>
      <c r="PJN139" s="17"/>
      <c r="PJO139" s="9"/>
      <c r="PJP139" s="9"/>
      <c r="PJQ139" s="18"/>
      <c r="PJR139" s="18"/>
      <c r="PJS139" s="18"/>
      <c r="PJT139" s="18"/>
      <c r="PJU139" s="18"/>
      <c r="PJV139" s="17"/>
      <c r="PJW139" s="9"/>
      <c r="PJX139" s="9"/>
      <c r="PJY139" s="18"/>
      <c r="PJZ139" s="18"/>
      <c r="PKA139" s="18"/>
      <c r="PKB139" s="18"/>
      <c r="PKC139" s="18"/>
      <c r="PKD139" s="17"/>
      <c r="PKE139" s="9"/>
      <c r="PKF139" s="9"/>
      <c r="PKG139" s="18"/>
      <c r="PKH139" s="18"/>
      <c r="PKI139" s="18"/>
      <c r="PKJ139" s="18"/>
      <c r="PKK139" s="18"/>
      <c r="PKL139" s="17"/>
      <c r="PKM139" s="9"/>
      <c r="PKN139" s="9"/>
      <c r="PKO139" s="18"/>
      <c r="PKP139" s="18"/>
      <c r="PKQ139" s="18"/>
      <c r="PKR139" s="18"/>
      <c r="PKS139" s="18"/>
      <c r="PKT139" s="17"/>
      <c r="PKU139" s="9"/>
      <c r="PKV139" s="9"/>
      <c r="PKW139" s="18"/>
      <c r="PKX139" s="18"/>
      <c r="PKY139" s="18"/>
      <c r="PKZ139" s="18"/>
      <c r="PLA139" s="18"/>
      <c r="PLB139" s="17"/>
      <c r="PLC139" s="9"/>
      <c r="PLD139" s="9"/>
      <c r="PLE139" s="18"/>
      <c r="PLF139" s="18"/>
      <c r="PLG139" s="18"/>
      <c r="PLH139" s="18"/>
      <c r="PLI139" s="18"/>
      <c r="PLJ139" s="17"/>
      <c r="PLK139" s="9"/>
      <c r="PLL139" s="9"/>
      <c r="PLM139" s="18"/>
      <c r="PLN139" s="18"/>
      <c r="PLO139" s="18"/>
      <c r="PLP139" s="18"/>
      <c r="PLQ139" s="18"/>
      <c r="PLR139" s="17"/>
      <c r="PLS139" s="9"/>
      <c r="PLT139" s="9"/>
      <c r="PLU139" s="18"/>
      <c r="PLV139" s="18"/>
      <c r="PLW139" s="18"/>
      <c r="PLX139" s="18"/>
      <c r="PLY139" s="18"/>
      <c r="PLZ139" s="17"/>
      <c r="PMA139" s="9"/>
      <c r="PMB139" s="9"/>
      <c r="PMC139" s="18"/>
      <c r="PMD139" s="18"/>
      <c r="PME139" s="18"/>
      <c r="PMF139" s="18"/>
      <c r="PMG139" s="18"/>
      <c r="PMH139" s="17"/>
      <c r="PMI139" s="9"/>
      <c r="PMJ139" s="9"/>
      <c r="PMK139" s="18"/>
      <c r="PML139" s="18"/>
      <c r="PMM139" s="18"/>
      <c r="PMN139" s="18"/>
      <c r="PMO139" s="18"/>
      <c r="PMP139" s="17"/>
      <c r="PMQ139" s="9"/>
      <c r="PMR139" s="9"/>
      <c r="PMS139" s="18"/>
      <c r="PMT139" s="18"/>
      <c r="PMU139" s="18"/>
      <c r="PMV139" s="18"/>
      <c r="PMW139" s="18"/>
      <c r="PMX139" s="17"/>
      <c r="PMY139" s="9"/>
      <c r="PMZ139" s="9"/>
      <c r="PNA139" s="18"/>
      <c r="PNB139" s="18"/>
      <c r="PNC139" s="18"/>
      <c r="PND139" s="18"/>
      <c r="PNE139" s="18"/>
      <c r="PNF139" s="17"/>
      <c r="PNG139" s="9"/>
      <c r="PNH139" s="9"/>
      <c r="PNI139" s="18"/>
      <c r="PNJ139" s="18"/>
      <c r="PNK139" s="18"/>
      <c r="PNL139" s="18"/>
      <c r="PNM139" s="18"/>
      <c r="PNN139" s="17"/>
      <c r="PNO139" s="9"/>
      <c r="PNP139" s="9"/>
      <c r="PNQ139" s="18"/>
      <c r="PNR139" s="18"/>
      <c r="PNS139" s="18"/>
      <c r="PNT139" s="18"/>
      <c r="PNU139" s="18"/>
      <c r="PNV139" s="17"/>
      <c r="PNW139" s="9"/>
      <c r="PNX139" s="9"/>
      <c r="PNY139" s="18"/>
      <c r="PNZ139" s="18"/>
      <c r="POA139" s="18"/>
      <c r="POB139" s="18"/>
      <c r="POC139" s="18"/>
      <c r="POD139" s="17"/>
      <c r="POE139" s="9"/>
      <c r="POF139" s="9"/>
      <c r="POG139" s="18"/>
      <c r="POH139" s="18"/>
      <c r="POI139" s="18"/>
      <c r="POJ139" s="18"/>
      <c r="POK139" s="18"/>
      <c r="POL139" s="17"/>
      <c r="POM139" s="9"/>
      <c r="PON139" s="9"/>
      <c r="POO139" s="18"/>
      <c r="POP139" s="18"/>
      <c r="POQ139" s="18"/>
      <c r="POR139" s="18"/>
      <c r="POS139" s="18"/>
      <c r="POT139" s="17"/>
      <c r="POU139" s="9"/>
      <c r="POV139" s="9"/>
      <c r="POW139" s="18"/>
      <c r="POX139" s="18"/>
      <c r="POY139" s="18"/>
      <c r="POZ139" s="18"/>
      <c r="PPA139" s="18"/>
      <c r="PPB139" s="17"/>
      <c r="PPC139" s="9"/>
      <c r="PPD139" s="9"/>
      <c r="PPE139" s="18"/>
      <c r="PPF139" s="18"/>
      <c r="PPG139" s="18"/>
      <c r="PPH139" s="18"/>
      <c r="PPI139" s="18"/>
      <c r="PPJ139" s="17"/>
      <c r="PPK139" s="9"/>
      <c r="PPL139" s="9"/>
      <c r="PPM139" s="18"/>
      <c r="PPN139" s="18"/>
      <c r="PPO139" s="18"/>
      <c r="PPP139" s="18"/>
      <c r="PPQ139" s="18"/>
      <c r="PPR139" s="17"/>
      <c r="PPS139" s="9"/>
      <c r="PPT139" s="9"/>
      <c r="PPU139" s="18"/>
      <c r="PPV139" s="18"/>
      <c r="PPW139" s="18"/>
      <c r="PPX139" s="18"/>
      <c r="PPY139" s="18"/>
      <c r="PPZ139" s="17"/>
      <c r="PQA139" s="9"/>
      <c r="PQB139" s="9"/>
      <c r="PQC139" s="18"/>
      <c r="PQD139" s="18"/>
      <c r="PQE139" s="18"/>
      <c r="PQF139" s="18"/>
      <c r="PQG139" s="18"/>
      <c r="PQH139" s="17"/>
      <c r="PQI139" s="9"/>
      <c r="PQJ139" s="9"/>
      <c r="PQK139" s="18"/>
      <c r="PQL139" s="18"/>
      <c r="PQM139" s="18"/>
      <c r="PQN139" s="18"/>
      <c r="PQO139" s="18"/>
      <c r="PQP139" s="17"/>
      <c r="PQQ139" s="9"/>
      <c r="PQR139" s="9"/>
      <c r="PQS139" s="18"/>
      <c r="PQT139" s="18"/>
      <c r="PQU139" s="18"/>
      <c r="PQV139" s="18"/>
      <c r="PQW139" s="18"/>
      <c r="PQX139" s="17"/>
      <c r="PQY139" s="9"/>
      <c r="PQZ139" s="9"/>
      <c r="PRA139" s="18"/>
      <c r="PRB139" s="18"/>
      <c r="PRC139" s="18"/>
      <c r="PRD139" s="18"/>
      <c r="PRE139" s="18"/>
      <c r="PRF139" s="17"/>
      <c r="PRG139" s="9"/>
      <c r="PRH139" s="9"/>
      <c r="PRI139" s="18"/>
      <c r="PRJ139" s="18"/>
      <c r="PRK139" s="18"/>
      <c r="PRL139" s="18"/>
      <c r="PRM139" s="18"/>
      <c r="PRN139" s="17"/>
      <c r="PRO139" s="9"/>
      <c r="PRP139" s="9"/>
      <c r="PRQ139" s="18"/>
      <c r="PRR139" s="18"/>
      <c r="PRS139" s="18"/>
      <c r="PRT139" s="18"/>
      <c r="PRU139" s="18"/>
      <c r="PRV139" s="17"/>
      <c r="PRW139" s="9"/>
      <c r="PRX139" s="9"/>
      <c r="PRY139" s="18"/>
      <c r="PRZ139" s="18"/>
      <c r="PSA139" s="18"/>
      <c r="PSB139" s="18"/>
      <c r="PSC139" s="18"/>
      <c r="PSD139" s="17"/>
      <c r="PSE139" s="9"/>
      <c r="PSF139" s="9"/>
      <c r="PSG139" s="18"/>
      <c r="PSH139" s="18"/>
      <c r="PSI139" s="18"/>
      <c r="PSJ139" s="18"/>
      <c r="PSK139" s="18"/>
      <c r="PSL139" s="17"/>
      <c r="PSM139" s="9"/>
      <c r="PSN139" s="9"/>
      <c r="PSO139" s="18"/>
      <c r="PSP139" s="18"/>
      <c r="PSQ139" s="18"/>
      <c r="PSR139" s="18"/>
      <c r="PSS139" s="18"/>
      <c r="PST139" s="17"/>
      <c r="PSU139" s="9"/>
      <c r="PSV139" s="9"/>
      <c r="PSW139" s="18"/>
      <c r="PSX139" s="18"/>
      <c r="PSY139" s="18"/>
      <c r="PSZ139" s="18"/>
      <c r="PTA139" s="18"/>
      <c r="PTB139" s="17"/>
      <c r="PTC139" s="9"/>
      <c r="PTD139" s="9"/>
      <c r="PTE139" s="18"/>
      <c r="PTF139" s="18"/>
      <c r="PTG139" s="18"/>
      <c r="PTH139" s="18"/>
      <c r="PTI139" s="18"/>
      <c r="PTJ139" s="17"/>
      <c r="PTK139" s="9"/>
      <c r="PTL139" s="9"/>
      <c r="PTM139" s="18"/>
      <c r="PTN139" s="18"/>
      <c r="PTO139" s="18"/>
      <c r="PTP139" s="18"/>
      <c r="PTQ139" s="18"/>
      <c r="PTR139" s="17"/>
      <c r="PTS139" s="9"/>
      <c r="PTT139" s="9"/>
      <c r="PTU139" s="18"/>
      <c r="PTV139" s="18"/>
      <c r="PTW139" s="18"/>
      <c r="PTX139" s="18"/>
      <c r="PTY139" s="18"/>
      <c r="PTZ139" s="17"/>
      <c r="PUA139" s="9"/>
      <c r="PUB139" s="9"/>
      <c r="PUC139" s="18"/>
      <c r="PUD139" s="18"/>
      <c r="PUE139" s="18"/>
      <c r="PUF139" s="18"/>
      <c r="PUG139" s="18"/>
      <c r="PUH139" s="17"/>
      <c r="PUI139" s="9"/>
      <c r="PUJ139" s="9"/>
      <c r="PUK139" s="18"/>
      <c r="PUL139" s="18"/>
      <c r="PUM139" s="18"/>
      <c r="PUN139" s="18"/>
      <c r="PUO139" s="18"/>
      <c r="PUP139" s="17"/>
      <c r="PUQ139" s="9"/>
      <c r="PUR139" s="9"/>
      <c r="PUS139" s="18"/>
      <c r="PUT139" s="18"/>
      <c r="PUU139" s="18"/>
      <c r="PUV139" s="18"/>
      <c r="PUW139" s="18"/>
      <c r="PUX139" s="17"/>
      <c r="PUY139" s="9"/>
      <c r="PUZ139" s="9"/>
      <c r="PVA139" s="18"/>
      <c r="PVB139" s="18"/>
      <c r="PVC139" s="18"/>
      <c r="PVD139" s="18"/>
      <c r="PVE139" s="18"/>
      <c r="PVF139" s="17"/>
      <c r="PVG139" s="9"/>
      <c r="PVH139" s="9"/>
      <c r="PVI139" s="18"/>
      <c r="PVJ139" s="18"/>
      <c r="PVK139" s="18"/>
      <c r="PVL139" s="18"/>
      <c r="PVM139" s="18"/>
      <c r="PVN139" s="17"/>
      <c r="PVO139" s="9"/>
      <c r="PVP139" s="9"/>
      <c r="PVQ139" s="18"/>
      <c r="PVR139" s="18"/>
      <c r="PVS139" s="18"/>
      <c r="PVT139" s="18"/>
      <c r="PVU139" s="18"/>
      <c r="PVV139" s="17"/>
      <c r="PVW139" s="9"/>
      <c r="PVX139" s="9"/>
      <c r="PVY139" s="18"/>
      <c r="PVZ139" s="18"/>
      <c r="PWA139" s="18"/>
      <c r="PWB139" s="18"/>
      <c r="PWC139" s="18"/>
      <c r="PWD139" s="17"/>
      <c r="PWE139" s="9"/>
      <c r="PWF139" s="9"/>
      <c r="PWG139" s="18"/>
      <c r="PWH139" s="18"/>
      <c r="PWI139" s="18"/>
      <c r="PWJ139" s="18"/>
      <c r="PWK139" s="18"/>
      <c r="PWL139" s="17"/>
      <c r="PWM139" s="9"/>
      <c r="PWN139" s="9"/>
      <c r="PWO139" s="18"/>
      <c r="PWP139" s="18"/>
      <c r="PWQ139" s="18"/>
      <c r="PWR139" s="18"/>
      <c r="PWS139" s="18"/>
      <c r="PWT139" s="17"/>
      <c r="PWU139" s="9"/>
      <c r="PWV139" s="9"/>
      <c r="PWW139" s="18"/>
      <c r="PWX139" s="18"/>
      <c r="PWY139" s="18"/>
      <c r="PWZ139" s="18"/>
      <c r="PXA139" s="18"/>
      <c r="PXB139" s="17"/>
      <c r="PXC139" s="9"/>
      <c r="PXD139" s="9"/>
      <c r="PXE139" s="18"/>
      <c r="PXF139" s="18"/>
      <c r="PXG139" s="18"/>
      <c r="PXH139" s="18"/>
      <c r="PXI139" s="18"/>
      <c r="PXJ139" s="17"/>
      <c r="PXK139" s="9"/>
      <c r="PXL139" s="9"/>
      <c r="PXM139" s="18"/>
      <c r="PXN139" s="18"/>
      <c r="PXO139" s="18"/>
      <c r="PXP139" s="18"/>
      <c r="PXQ139" s="18"/>
      <c r="PXR139" s="17"/>
      <c r="PXS139" s="9"/>
      <c r="PXT139" s="9"/>
      <c r="PXU139" s="18"/>
      <c r="PXV139" s="18"/>
      <c r="PXW139" s="18"/>
      <c r="PXX139" s="18"/>
      <c r="PXY139" s="18"/>
      <c r="PXZ139" s="17"/>
      <c r="PYA139" s="9"/>
      <c r="PYB139" s="9"/>
      <c r="PYC139" s="18"/>
      <c r="PYD139" s="18"/>
      <c r="PYE139" s="18"/>
      <c r="PYF139" s="18"/>
      <c r="PYG139" s="18"/>
      <c r="PYH139" s="17"/>
      <c r="PYI139" s="9"/>
      <c r="PYJ139" s="9"/>
      <c r="PYK139" s="18"/>
      <c r="PYL139" s="18"/>
      <c r="PYM139" s="18"/>
      <c r="PYN139" s="18"/>
      <c r="PYO139" s="18"/>
      <c r="PYP139" s="17"/>
      <c r="PYQ139" s="9"/>
      <c r="PYR139" s="9"/>
      <c r="PYS139" s="18"/>
      <c r="PYT139" s="18"/>
      <c r="PYU139" s="18"/>
      <c r="PYV139" s="18"/>
      <c r="PYW139" s="18"/>
      <c r="PYX139" s="17"/>
      <c r="PYY139" s="9"/>
      <c r="PYZ139" s="9"/>
      <c r="PZA139" s="18"/>
      <c r="PZB139" s="18"/>
      <c r="PZC139" s="18"/>
      <c r="PZD139" s="18"/>
      <c r="PZE139" s="18"/>
      <c r="PZF139" s="17"/>
      <c r="PZG139" s="9"/>
      <c r="PZH139" s="9"/>
      <c r="PZI139" s="18"/>
      <c r="PZJ139" s="18"/>
      <c r="PZK139" s="18"/>
      <c r="PZL139" s="18"/>
      <c r="PZM139" s="18"/>
      <c r="PZN139" s="17"/>
      <c r="PZO139" s="9"/>
      <c r="PZP139" s="9"/>
      <c r="PZQ139" s="18"/>
      <c r="PZR139" s="18"/>
      <c r="PZS139" s="18"/>
      <c r="PZT139" s="18"/>
      <c r="PZU139" s="18"/>
      <c r="PZV139" s="17"/>
      <c r="PZW139" s="9"/>
      <c r="PZX139" s="9"/>
      <c r="PZY139" s="18"/>
      <c r="PZZ139" s="18"/>
      <c r="QAA139" s="18"/>
      <c r="QAB139" s="18"/>
      <c r="QAC139" s="18"/>
      <c r="QAD139" s="17"/>
      <c r="QAE139" s="9"/>
      <c r="QAF139" s="9"/>
      <c r="QAG139" s="18"/>
      <c r="QAH139" s="18"/>
      <c r="QAI139" s="18"/>
      <c r="QAJ139" s="18"/>
      <c r="QAK139" s="18"/>
      <c r="QAL139" s="17"/>
      <c r="QAM139" s="9"/>
      <c r="QAN139" s="9"/>
      <c r="QAO139" s="18"/>
      <c r="QAP139" s="18"/>
      <c r="QAQ139" s="18"/>
      <c r="QAR139" s="18"/>
      <c r="QAS139" s="18"/>
      <c r="QAT139" s="17"/>
      <c r="QAU139" s="9"/>
      <c r="QAV139" s="9"/>
      <c r="QAW139" s="18"/>
      <c r="QAX139" s="18"/>
      <c r="QAY139" s="18"/>
      <c r="QAZ139" s="18"/>
      <c r="QBA139" s="18"/>
      <c r="QBB139" s="17"/>
      <c r="QBC139" s="9"/>
      <c r="QBD139" s="9"/>
      <c r="QBE139" s="18"/>
      <c r="QBF139" s="18"/>
      <c r="QBG139" s="18"/>
      <c r="QBH139" s="18"/>
      <c r="QBI139" s="18"/>
      <c r="QBJ139" s="17"/>
      <c r="QBK139" s="9"/>
      <c r="QBL139" s="9"/>
      <c r="QBM139" s="18"/>
      <c r="QBN139" s="18"/>
      <c r="QBO139" s="18"/>
      <c r="QBP139" s="18"/>
      <c r="QBQ139" s="18"/>
      <c r="QBR139" s="17"/>
      <c r="QBS139" s="9"/>
      <c r="QBT139" s="9"/>
      <c r="QBU139" s="18"/>
      <c r="QBV139" s="18"/>
      <c r="QBW139" s="18"/>
      <c r="QBX139" s="18"/>
      <c r="QBY139" s="18"/>
      <c r="QBZ139" s="17"/>
      <c r="QCA139" s="9"/>
      <c r="QCB139" s="9"/>
      <c r="QCC139" s="18"/>
      <c r="QCD139" s="18"/>
      <c r="QCE139" s="18"/>
      <c r="QCF139" s="18"/>
      <c r="QCG139" s="18"/>
      <c r="QCH139" s="17"/>
      <c r="QCI139" s="9"/>
      <c r="QCJ139" s="9"/>
      <c r="QCK139" s="18"/>
      <c r="QCL139" s="18"/>
      <c r="QCM139" s="18"/>
      <c r="QCN139" s="18"/>
      <c r="QCO139" s="18"/>
      <c r="QCP139" s="17"/>
      <c r="QCQ139" s="9"/>
      <c r="QCR139" s="9"/>
      <c r="QCS139" s="18"/>
      <c r="QCT139" s="18"/>
      <c r="QCU139" s="18"/>
      <c r="QCV139" s="18"/>
      <c r="QCW139" s="18"/>
      <c r="QCX139" s="17"/>
      <c r="QCY139" s="9"/>
      <c r="QCZ139" s="9"/>
      <c r="QDA139" s="18"/>
      <c r="QDB139" s="18"/>
      <c r="QDC139" s="18"/>
      <c r="QDD139" s="18"/>
      <c r="QDE139" s="18"/>
      <c r="QDF139" s="17"/>
      <c r="QDG139" s="9"/>
      <c r="QDH139" s="9"/>
      <c r="QDI139" s="18"/>
      <c r="QDJ139" s="18"/>
      <c r="QDK139" s="18"/>
      <c r="QDL139" s="18"/>
      <c r="QDM139" s="18"/>
      <c r="QDN139" s="17"/>
      <c r="QDO139" s="9"/>
      <c r="QDP139" s="9"/>
      <c r="QDQ139" s="18"/>
      <c r="QDR139" s="18"/>
      <c r="QDS139" s="18"/>
      <c r="QDT139" s="18"/>
      <c r="QDU139" s="18"/>
      <c r="QDV139" s="17"/>
      <c r="QDW139" s="9"/>
      <c r="QDX139" s="9"/>
      <c r="QDY139" s="18"/>
      <c r="QDZ139" s="18"/>
      <c r="QEA139" s="18"/>
      <c r="QEB139" s="18"/>
      <c r="QEC139" s="18"/>
      <c r="QED139" s="17"/>
      <c r="QEE139" s="9"/>
      <c r="QEF139" s="9"/>
      <c r="QEG139" s="18"/>
      <c r="QEH139" s="18"/>
      <c r="QEI139" s="18"/>
      <c r="QEJ139" s="18"/>
      <c r="QEK139" s="18"/>
      <c r="QEL139" s="17"/>
      <c r="QEM139" s="9"/>
      <c r="QEN139" s="9"/>
      <c r="QEO139" s="18"/>
      <c r="QEP139" s="18"/>
      <c r="QEQ139" s="18"/>
      <c r="QER139" s="18"/>
      <c r="QES139" s="18"/>
      <c r="QET139" s="17"/>
      <c r="QEU139" s="9"/>
      <c r="QEV139" s="9"/>
      <c r="QEW139" s="18"/>
      <c r="QEX139" s="18"/>
      <c r="QEY139" s="18"/>
      <c r="QEZ139" s="18"/>
      <c r="QFA139" s="18"/>
      <c r="QFB139" s="17"/>
      <c r="QFC139" s="9"/>
      <c r="QFD139" s="9"/>
      <c r="QFE139" s="18"/>
      <c r="QFF139" s="18"/>
      <c r="QFG139" s="18"/>
      <c r="QFH139" s="18"/>
      <c r="QFI139" s="18"/>
      <c r="QFJ139" s="17"/>
      <c r="QFK139" s="9"/>
      <c r="QFL139" s="9"/>
      <c r="QFM139" s="18"/>
      <c r="QFN139" s="18"/>
      <c r="QFO139" s="18"/>
      <c r="QFP139" s="18"/>
      <c r="QFQ139" s="18"/>
      <c r="QFR139" s="17"/>
      <c r="QFS139" s="9"/>
      <c r="QFT139" s="9"/>
      <c r="QFU139" s="18"/>
      <c r="QFV139" s="18"/>
      <c r="QFW139" s="18"/>
      <c r="QFX139" s="18"/>
      <c r="QFY139" s="18"/>
      <c r="QFZ139" s="17"/>
      <c r="QGA139" s="9"/>
      <c r="QGB139" s="9"/>
      <c r="QGC139" s="18"/>
      <c r="QGD139" s="18"/>
      <c r="QGE139" s="18"/>
      <c r="QGF139" s="18"/>
      <c r="QGG139" s="18"/>
      <c r="QGH139" s="17"/>
      <c r="QGI139" s="9"/>
      <c r="QGJ139" s="9"/>
      <c r="QGK139" s="18"/>
      <c r="QGL139" s="18"/>
      <c r="QGM139" s="18"/>
      <c r="QGN139" s="18"/>
      <c r="QGO139" s="18"/>
      <c r="QGP139" s="17"/>
      <c r="QGQ139" s="9"/>
      <c r="QGR139" s="9"/>
      <c r="QGS139" s="18"/>
      <c r="QGT139" s="18"/>
      <c r="QGU139" s="18"/>
      <c r="QGV139" s="18"/>
      <c r="QGW139" s="18"/>
      <c r="QGX139" s="17"/>
      <c r="QGY139" s="9"/>
      <c r="QGZ139" s="9"/>
      <c r="QHA139" s="18"/>
      <c r="QHB139" s="18"/>
      <c r="QHC139" s="18"/>
      <c r="QHD139" s="18"/>
      <c r="QHE139" s="18"/>
      <c r="QHF139" s="17"/>
      <c r="QHG139" s="9"/>
      <c r="QHH139" s="9"/>
      <c r="QHI139" s="18"/>
      <c r="QHJ139" s="18"/>
      <c r="QHK139" s="18"/>
      <c r="QHL139" s="18"/>
      <c r="QHM139" s="18"/>
      <c r="QHN139" s="17"/>
      <c r="QHO139" s="9"/>
      <c r="QHP139" s="9"/>
      <c r="QHQ139" s="18"/>
      <c r="QHR139" s="18"/>
      <c r="QHS139" s="18"/>
      <c r="QHT139" s="18"/>
      <c r="QHU139" s="18"/>
      <c r="QHV139" s="17"/>
      <c r="QHW139" s="9"/>
      <c r="QHX139" s="9"/>
      <c r="QHY139" s="18"/>
      <c r="QHZ139" s="18"/>
      <c r="QIA139" s="18"/>
      <c r="QIB139" s="18"/>
      <c r="QIC139" s="18"/>
      <c r="QID139" s="17"/>
      <c r="QIE139" s="9"/>
      <c r="QIF139" s="9"/>
      <c r="QIG139" s="18"/>
      <c r="QIH139" s="18"/>
      <c r="QII139" s="18"/>
      <c r="QIJ139" s="18"/>
      <c r="QIK139" s="18"/>
      <c r="QIL139" s="17"/>
      <c r="QIM139" s="9"/>
      <c r="QIN139" s="9"/>
      <c r="QIO139" s="18"/>
      <c r="QIP139" s="18"/>
      <c r="QIQ139" s="18"/>
      <c r="QIR139" s="18"/>
      <c r="QIS139" s="18"/>
      <c r="QIT139" s="17"/>
      <c r="QIU139" s="9"/>
      <c r="QIV139" s="9"/>
      <c r="QIW139" s="18"/>
      <c r="QIX139" s="18"/>
      <c r="QIY139" s="18"/>
      <c r="QIZ139" s="18"/>
      <c r="QJA139" s="18"/>
      <c r="QJB139" s="17"/>
      <c r="QJC139" s="9"/>
      <c r="QJD139" s="9"/>
      <c r="QJE139" s="18"/>
      <c r="QJF139" s="18"/>
      <c r="QJG139" s="18"/>
      <c r="QJH139" s="18"/>
      <c r="QJI139" s="18"/>
      <c r="QJJ139" s="17"/>
      <c r="QJK139" s="9"/>
      <c r="QJL139" s="9"/>
      <c r="QJM139" s="18"/>
      <c r="QJN139" s="18"/>
      <c r="QJO139" s="18"/>
      <c r="QJP139" s="18"/>
      <c r="QJQ139" s="18"/>
      <c r="QJR139" s="17"/>
      <c r="QJS139" s="9"/>
      <c r="QJT139" s="9"/>
      <c r="QJU139" s="18"/>
      <c r="QJV139" s="18"/>
      <c r="QJW139" s="18"/>
      <c r="QJX139" s="18"/>
      <c r="QJY139" s="18"/>
      <c r="QJZ139" s="17"/>
      <c r="QKA139" s="9"/>
      <c r="QKB139" s="9"/>
      <c r="QKC139" s="18"/>
      <c r="QKD139" s="18"/>
      <c r="QKE139" s="18"/>
      <c r="QKF139" s="18"/>
      <c r="QKG139" s="18"/>
      <c r="QKH139" s="17"/>
      <c r="QKI139" s="9"/>
      <c r="QKJ139" s="9"/>
      <c r="QKK139" s="18"/>
      <c r="QKL139" s="18"/>
      <c r="QKM139" s="18"/>
      <c r="QKN139" s="18"/>
      <c r="QKO139" s="18"/>
      <c r="QKP139" s="17"/>
      <c r="QKQ139" s="9"/>
      <c r="QKR139" s="9"/>
      <c r="QKS139" s="18"/>
      <c r="QKT139" s="18"/>
      <c r="QKU139" s="18"/>
      <c r="QKV139" s="18"/>
      <c r="QKW139" s="18"/>
      <c r="QKX139" s="17"/>
      <c r="QKY139" s="9"/>
      <c r="QKZ139" s="9"/>
      <c r="QLA139" s="18"/>
      <c r="QLB139" s="18"/>
      <c r="QLC139" s="18"/>
      <c r="QLD139" s="18"/>
      <c r="QLE139" s="18"/>
      <c r="QLF139" s="17"/>
      <c r="QLG139" s="9"/>
      <c r="QLH139" s="9"/>
      <c r="QLI139" s="18"/>
      <c r="QLJ139" s="18"/>
      <c r="QLK139" s="18"/>
      <c r="QLL139" s="18"/>
      <c r="QLM139" s="18"/>
      <c r="QLN139" s="17"/>
      <c r="QLO139" s="9"/>
      <c r="QLP139" s="9"/>
      <c r="QLQ139" s="18"/>
      <c r="QLR139" s="18"/>
      <c r="QLS139" s="18"/>
      <c r="QLT139" s="18"/>
      <c r="QLU139" s="18"/>
      <c r="QLV139" s="17"/>
      <c r="QLW139" s="9"/>
      <c r="QLX139" s="9"/>
      <c r="QLY139" s="18"/>
      <c r="QLZ139" s="18"/>
      <c r="QMA139" s="18"/>
      <c r="QMB139" s="18"/>
      <c r="QMC139" s="18"/>
      <c r="QMD139" s="17"/>
      <c r="QME139" s="9"/>
      <c r="QMF139" s="9"/>
      <c r="QMG139" s="18"/>
      <c r="QMH139" s="18"/>
      <c r="QMI139" s="18"/>
      <c r="QMJ139" s="18"/>
      <c r="QMK139" s="18"/>
      <c r="QML139" s="17"/>
      <c r="QMM139" s="9"/>
      <c r="QMN139" s="9"/>
      <c r="QMO139" s="18"/>
      <c r="QMP139" s="18"/>
      <c r="QMQ139" s="18"/>
      <c r="QMR139" s="18"/>
      <c r="QMS139" s="18"/>
      <c r="QMT139" s="17"/>
      <c r="QMU139" s="9"/>
      <c r="QMV139" s="9"/>
      <c r="QMW139" s="18"/>
      <c r="QMX139" s="18"/>
      <c r="QMY139" s="18"/>
      <c r="QMZ139" s="18"/>
      <c r="QNA139" s="18"/>
      <c r="QNB139" s="17"/>
      <c r="QNC139" s="9"/>
      <c r="QND139" s="9"/>
      <c r="QNE139" s="18"/>
      <c r="QNF139" s="18"/>
      <c r="QNG139" s="18"/>
      <c r="QNH139" s="18"/>
      <c r="QNI139" s="18"/>
      <c r="QNJ139" s="17"/>
      <c r="QNK139" s="9"/>
      <c r="QNL139" s="9"/>
      <c r="QNM139" s="18"/>
      <c r="QNN139" s="18"/>
      <c r="QNO139" s="18"/>
      <c r="QNP139" s="18"/>
      <c r="QNQ139" s="18"/>
      <c r="QNR139" s="17"/>
      <c r="QNS139" s="9"/>
      <c r="QNT139" s="9"/>
      <c r="QNU139" s="18"/>
      <c r="QNV139" s="18"/>
      <c r="QNW139" s="18"/>
      <c r="QNX139" s="18"/>
      <c r="QNY139" s="18"/>
      <c r="QNZ139" s="17"/>
      <c r="QOA139" s="9"/>
      <c r="QOB139" s="9"/>
      <c r="QOC139" s="18"/>
      <c r="QOD139" s="18"/>
      <c r="QOE139" s="18"/>
      <c r="QOF139" s="18"/>
      <c r="QOG139" s="18"/>
      <c r="QOH139" s="17"/>
      <c r="QOI139" s="9"/>
      <c r="QOJ139" s="9"/>
      <c r="QOK139" s="18"/>
      <c r="QOL139" s="18"/>
      <c r="QOM139" s="18"/>
      <c r="QON139" s="18"/>
      <c r="QOO139" s="18"/>
      <c r="QOP139" s="17"/>
      <c r="QOQ139" s="9"/>
      <c r="QOR139" s="9"/>
      <c r="QOS139" s="18"/>
      <c r="QOT139" s="18"/>
      <c r="QOU139" s="18"/>
      <c r="QOV139" s="18"/>
      <c r="QOW139" s="18"/>
      <c r="QOX139" s="17"/>
      <c r="QOY139" s="9"/>
      <c r="QOZ139" s="9"/>
      <c r="QPA139" s="18"/>
      <c r="QPB139" s="18"/>
      <c r="QPC139" s="18"/>
      <c r="QPD139" s="18"/>
      <c r="QPE139" s="18"/>
      <c r="QPF139" s="17"/>
      <c r="QPG139" s="9"/>
      <c r="QPH139" s="9"/>
      <c r="QPI139" s="18"/>
      <c r="QPJ139" s="18"/>
      <c r="QPK139" s="18"/>
      <c r="QPL139" s="18"/>
      <c r="QPM139" s="18"/>
      <c r="QPN139" s="17"/>
      <c r="QPO139" s="9"/>
      <c r="QPP139" s="9"/>
      <c r="QPQ139" s="18"/>
      <c r="QPR139" s="18"/>
      <c r="QPS139" s="18"/>
      <c r="QPT139" s="18"/>
      <c r="QPU139" s="18"/>
      <c r="QPV139" s="17"/>
      <c r="QPW139" s="9"/>
      <c r="QPX139" s="9"/>
      <c r="QPY139" s="18"/>
      <c r="QPZ139" s="18"/>
      <c r="QQA139" s="18"/>
      <c r="QQB139" s="18"/>
      <c r="QQC139" s="18"/>
      <c r="QQD139" s="17"/>
      <c r="QQE139" s="9"/>
      <c r="QQF139" s="9"/>
      <c r="QQG139" s="18"/>
      <c r="QQH139" s="18"/>
      <c r="QQI139" s="18"/>
      <c r="QQJ139" s="18"/>
      <c r="QQK139" s="18"/>
      <c r="QQL139" s="17"/>
      <c r="QQM139" s="9"/>
      <c r="QQN139" s="9"/>
      <c r="QQO139" s="18"/>
      <c r="QQP139" s="18"/>
      <c r="QQQ139" s="18"/>
      <c r="QQR139" s="18"/>
      <c r="QQS139" s="18"/>
      <c r="QQT139" s="17"/>
      <c r="QQU139" s="9"/>
      <c r="QQV139" s="9"/>
      <c r="QQW139" s="18"/>
      <c r="QQX139" s="18"/>
      <c r="QQY139" s="18"/>
      <c r="QQZ139" s="18"/>
      <c r="QRA139" s="18"/>
      <c r="QRB139" s="17"/>
      <c r="QRC139" s="9"/>
      <c r="QRD139" s="9"/>
      <c r="QRE139" s="18"/>
      <c r="QRF139" s="18"/>
      <c r="QRG139" s="18"/>
      <c r="QRH139" s="18"/>
      <c r="QRI139" s="18"/>
      <c r="QRJ139" s="17"/>
      <c r="QRK139" s="9"/>
      <c r="QRL139" s="9"/>
      <c r="QRM139" s="18"/>
      <c r="QRN139" s="18"/>
      <c r="QRO139" s="18"/>
      <c r="QRP139" s="18"/>
      <c r="QRQ139" s="18"/>
      <c r="QRR139" s="17"/>
      <c r="QRS139" s="9"/>
      <c r="QRT139" s="9"/>
      <c r="QRU139" s="18"/>
      <c r="QRV139" s="18"/>
      <c r="QRW139" s="18"/>
      <c r="QRX139" s="18"/>
      <c r="QRY139" s="18"/>
      <c r="QRZ139" s="17"/>
      <c r="QSA139" s="9"/>
      <c r="QSB139" s="9"/>
      <c r="QSC139" s="18"/>
      <c r="QSD139" s="18"/>
      <c r="QSE139" s="18"/>
      <c r="QSF139" s="18"/>
      <c r="QSG139" s="18"/>
      <c r="QSH139" s="17"/>
      <c r="QSI139" s="9"/>
      <c r="QSJ139" s="9"/>
      <c r="QSK139" s="18"/>
      <c r="QSL139" s="18"/>
      <c r="QSM139" s="18"/>
      <c r="QSN139" s="18"/>
      <c r="QSO139" s="18"/>
      <c r="QSP139" s="17"/>
      <c r="QSQ139" s="9"/>
      <c r="QSR139" s="9"/>
      <c r="QSS139" s="18"/>
      <c r="QST139" s="18"/>
      <c r="QSU139" s="18"/>
      <c r="QSV139" s="18"/>
      <c r="QSW139" s="18"/>
      <c r="QSX139" s="17"/>
      <c r="QSY139" s="9"/>
      <c r="QSZ139" s="9"/>
      <c r="QTA139" s="18"/>
      <c r="QTB139" s="18"/>
      <c r="QTC139" s="18"/>
      <c r="QTD139" s="18"/>
      <c r="QTE139" s="18"/>
      <c r="QTF139" s="17"/>
      <c r="QTG139" s="9"/>
      <c r="QTH139" s="9"/>
      <c r="QTI139" s="18"/>
      <c r="QTJ139" s="18"/>
      <c r="QTK139" s="18"/>
      <c r="QTL139" s="18"/>
      <c r="QTM139" s="18"/>
      <c r="QTN139" s="17"/>
      <c r="QTO139" s="9"/>
      <c r="QTP139" s="9"/>
      <c r="QTQ139" s="18"/>
      <c r="QTR139" s="18"/>
      <c r="QTS139" s="18"/>
      <c r="QTT139" s="18"/>
      <c r="QTU139" s="18"/>
      <c r="QTV139" s="17"/>
      <c r="QTW139" s="9"/>
      <c r="QTX139" s="9"/>
      <c r="QTY139" s="18"/>
      <c r="QTZ139" s="18"/>
      <c r="QUA139" s="18"/>
      <c r="QUB139" s="18"/>
      <c r="QUC139" s="18"/>
      <c r="QUD139" s="17"/>
      <c r="QUE139" s="9"/>
      <c r="QUF139" s="9"/>
      <c r="QUG139" s="18"/>
      <c r="QUH139" s="18"/>
      <c r="QUI139" s="18"/>
      <c r="QUJ139" s="18"/>
      <c r="QUK139" s="18"/>
      <c r="QUL139" s="17"/>
      <c r="QUM139" s="9"/>
      <c r="QUN139" s="9"/>
      <c r="QUO139" s="18"/>
      <c r="QUP139" s="18"/>
      <c r="QUQ139" s="18"/>
      <c r="QUR139" s="18"/>
      <c r="QUS139" s="18"/>
      <c r="QUT139" s="17"/>
      <c r="QUU139" s="9"/>
      <c r="QUV139" s="9"/>
      <c r="QUW139" s="18"/>
      <c r="QUX139" s="18"/>
      <c r="QUY139" s="18"/>
      <c r="QUZ139" s="18"/>
      <c r="QVA139" s="18"/>
      <c r="QVB139" s="17"/>
      <c r="QVC139" s="9"/>
      <c r="QVD139" s="9"/>
      <c r="QVE139" s="18"/>
      <c r="QVF139" s="18"/>
      <c r="QVG139" s="18"/>
      <c r="QVH139" s="18"/>
      <c r="QVI139" s="18"/>
      <c r="QVJ139" s="17"/>
      <c r="QVK139" s="9"/>
      <c r="QVL139" s="9"/>
      <c r="QVM139" s="18"/>
      <c r="QVN139" s="18"/>
      <c r="QVO139" s="18"/>
      <c r="QVP139" s="18"/>
      <c r="QVQ139" s="18"/>
      <c r="QVR139" s="17"/>
      <c r="QVS139" s="9"/>
      <c r="QVT139" s="9"/>
      <c r="QVU139" s="18"/>
      <c r="QVV139" s="18"/>
      <c r="QVW139" s="18"/>
      <c r="QVX139" s="18"/>
      <c r="QVY139" s="18"/>
      <c r="QVZ139" s="17"/>
      <c r="QWA139" s="9"/>
      <c r="QWB139" s="9"/>
      <c r="QWC139" s="18"/>
      <c r="QWD139" s="18"/>
      <c r="QWE139" s="18"/>
      <c r="QWF139" s="18"/>
      <c r="QWG139" s="18"/>
      <c r="QWH139" s="17"/>
      <c r="QWI139" s="9"/>
      <c r="QWJ139" s="9"/>
      <c r="QWK139" s="18"/>
      <c r="QWL139" s="18"/>
      <c r="QWM139" s="18"/>
      <c r="QWN139" s="18"/>
      <c r="QWO139" s="18"/>
      <c r="QWP139" s="17"/>
      <c r="QWQ139" s="9"/>
      <c r="QWR139" s="9"/>
      <c r="QWS139" s="18"/>
      <c r="QWT139" s="18"/>
      <c r="QWU139" s="18"/>
      <c r="QWV139" s="18"/>
      <c r="QWW139" s="18"/>
      <c r="QWX139" s="17"/>
      <c r="QWY139" s="9"/>
      <c r="QWZ139" s="9"/>
      <c r="QXA139" s="18"/>
      <c r="QXB139" s="18"/>
      <c r="QXC139" s="18"/>
      <c r="QXD139" s="18"/>
      <c r="QXE139" s="18"/>
      <c r="QXF139" s="17"/>
      <c r="QXG139" s="9"/>
      <c r="QXH139" s="9"/>
      <c r="QXI139" s="18"/>
      <c r="QXJ139" s="18"/>
      <c r="QXK139" s="18"/>
      <c r="QXL139" s="18"/>
      <c r="QXM139" s="18"/>
      <c r="QXN139" s="17"/>
      <c r="QXO139" s="9"/>
      <c r="QXP139" s="9"/>
      <c r="QXQ139" s="18"/>
      <c r="QXR139" s="18"/>
      <c r="QXS139" s="18"/>
      <c r="QXT139" s="18"/>
      <c r="QXU139" s="18"/>
      <c r="QXV139" s="17"/>
      <c r="QXW139" s="9"/>
      <c r="QXX139" s="9"/>
      <c r="QXY139" s="18"/>
      <c r="QXZ139" s="18"/>
      <c r="QYA139" s="18"/>
      <c r="QYB139" s="18"/>
      <c r="QYC139" s="18"/>
      <c r="QYD139" s="17"/>
      <c r="QYE139" s="9"/>
      <c r="QYF139" s="9"/>
      <c r="QYG139" s="18"/>
      <c r="QYH139" s="18"/>
      <c r="QYI139" s="18"/>
      <c r="QYJ139" s="18"/>
      <c r="QYK139" s="18"/>
      <c r="QYL139" s="17"/>
      <c r="QYM139" s="9"/>
      <c r="QYN139" s="9"/>
      <c r="QYO139" s="18"/>
      <c r="QYP139" s="18"/>
      <c r="QYQ139" s="18"/>
      <c r="QYR139" s="18"/>
      <c r="QYS139" s="18"/>
      <c r="QYT139" s="17"/>
      <c r="QYU139" s="9"/>
      <c r="QYV139" s="9"/>
      <c r="QYW139" s="18"/>
      <c r="QYX139" s="18"/>
      <c r="QYY139" s="18"/>
      <c r="QYZ139" s="18"/>
      <c r="QZA139" s="18"/>
      <c r="QZB139" s="17"/>
      <c r="QZC139" s="9"/>
      <c r="QZD139" s="9"/>
      <c r="QZE139" s="18"/>
      <c r="QZF139" s="18"/>
      <c r="QZG139" s="18"/>
      <c r="QZH139" s="18"/>
      <c r="QZI139" s="18"/>
      <c r="QZJ139" s="17"/>
      <c r="QZK139" s="9"/>
      <c r="QZL139" s="9"/>
      <c r="QZM139" s="18"/>
      <c r="QZN139" s="18"/>
      <c r="QZO139" s="18"/>
      <c r="QZP139" s="18"/>
      <c r="QZQ139" s="18"/>
      <c r="QZR139" s="17"/>
      <c r="QZS139" s="9"/>
      <c r="QZT139" s="9"/>
      <c r="QZU139" s="18"/>
      <c r="QZV139" s="18"/>
      <c r="QZW139" s="18"/>
      <c r="QZX139" s="18"/>
      <c r="QZY139" s="18"/>
      <c r="QZZ139" s="17"/>
      <c r="RAA139" s="9"/>
      <c r="RAB139" s="9"/>
      <c r="RAC139" s="18"/>
      <c r="RAD139" s="18"/>
      <c r="RAE139" s="18"/>
      <c r="RAF139" s="18"/>
      <c r="RAG139" s="18"/>
      <c r="RAH139" s="17"/>
      <c r="RAI139" s="9"/>
      <c r="RAJ139" s="9"/>
      <c r="RAK139" s="18"/>
      <c r="RAL139" s="18"/>
      <c r="RAM139" s="18"/>
      <c r="RAN139" s="18"/>
      <c r="RAO139" s="18"/>
      <c r="RAP139" s="17"/>
      <c r="RAQ139" s="9"/>
      <c r="RAR139" s="9"/>
      <c r="RAS139" s="18"/>
      <c r="RAT139" s="18"/>
      <c r="RAU139" s="18"/>
      <c r="RAV139" s="18"/>
      <c r="RAW139" s="18"/>
      <c r="RAX139" s="17"/>
      <c r="RAY139" s="9"/>
      <c r="RAZ139" s="9"/>
      <c r="RBA139" s="18"/>
      <c r="RBB139" s="18"/>
      <c r="RBC139" s="18"/>
      <c r="RBD139" s="18"/>
      <c r="RBE139" s="18"/>
      <c r="RBF139" s="17"/>
      <c r="RBG139" s="9"/>
      <c r="RBH139" s="9"/>
      <c r="RBI139" s="18"/>
      <c r="RBJ139" s="18"/>
      <c r="RBK139" s="18"/>
      <c r="RBL139" s="18"/>
      <c r="RBM139" s="18"/>
      <c r="RBN139" s="17"/>
      <c r="RBO139" s="9"/>
      <c r="RBP139" s="9"/>
      <c r="RBQ139" s="18"/>
      <c r="RBR139" s="18"/>
      <c r="RBS139" s="18"/>
      <c r="RBT139" s="18"/>
      <c r="RBU139" s="18"/>
      <c r="RBV139" s="17"/>
      <c r="RBW139" s="9"/>
      <c r="RBX139" s="9"/>
      <c r="RBY139" s="18"/>
      <c r="RBZ139" s="18"/>
      <c r="RCA139" s="18"/>
      <c r="RCB139" s="18"/>
      <c r="RCC139" s="18"/>
      <c r="RCD139" s="17"/>
      <c r="RCE139" s="9"/>
      <c r="RCF139" s="9"/>
      <c r="RCG139" s="18"/>
      <c r="RCH139" s="18"/>
      <c r="RCI139" s="18"/>
      <c r="RCJ139" s="18"/>
      <c r="RCK139" s="18"/>
      <c r="RCL139" s="17"/>
      <c r="RCM139" s="9"/>
      <c r="RCN139" s="9"/>
      <c r="RCO139" s="18"/>
      <c r="RCP139" s="18"/>
      <c r="RCQ139" s="18"/>
      <c r="RCR139" s="18"/>
      <c r="RCS139" s="18"/>
      <c r="RCT139" s="17"/>
      <c r="RCU139" s="9"/>
      <c r="RCV139" s="9"/>
      <c r="RCW139" s="18"/>
      <c r="RCX139" s="18"/>
      <c r="RCY139" s="18"/>
      <c r="RCZ139" s="18"/>
      <c r="RDA139" s="18"/>
      <c r="RDB139" s="17"/>
      <c r="RDC139" s="9"/>
      <c r="RDD139" s="9"/>
      <c r="RDE139" s="18"/>
      <c r="RDF139" s="18"/>
      <c r="RDG139" s="18"/>
      <c r="RDH139" s="18"/>
      <c r="RDI139" s="18"/>
      <c r="RDJ139" s="17"/>
      <c r="RDK139" s="9"/>
      <c r="RDL139" s="9"/>
      <c r="RDM139" s="18"/>
      <c r="RDN139" s="18"/>
      <c r="RDO139" s="18"/>
      <c r="RDP139" s="18"/>
      <c r="RDQ139" s="18"/>
      <c r="RDR139" s="17"/>
      <c r="RDS139" s="9"/>
      <c r="RDT139" s="9"/>
      <c r="RDU139" s="18"/>
      <c r="RDV139" s="18"/>
      <c r="RDW139" s="18"/>
      <c r="RDX139" s="18"/>
      <c r="RDY139" s="18"/>
      <c r="RDZ139" s="17"/>
      <c r="REA139" s="9"/>
      <c r="REB139" s="9"/>
      <c r="REC139" s="18"/>
      <c r="RED139" s="18"/>
      <c r="REE139" s="18"/>
      <c r="REF139" s="18"/>
      <c r="REG139" s="18"/>
      <c r="REH139" s="17"/>
      <c r="REI139" s="9"/>
      <c r="REJ139" s="9"/>
      <c r="REK139" s="18"/>
      <c r="REL139" s="18"/>
      <c r="REM139" s="18"/>
      <c r="REN139" s="18"/>
      <c r="REO139" s="18"/>
      <c r="REP139" s="17"/>
      <c r="REQ139" s="9"/>
      <c r="RER139" s="9"/>
      <c r="RES139" s="18"/>
      <c r="RET139" s="18"/>
      <c r="REU139" s="18"/>
      <c r="REV139" s="18"/>
      <c r="REW139" s="18"/>
      <c r="REX139" s="17"/>
      <c r="REY139" s="9"/>
      <c r="REZ139" s="9"/>
      <c r="RFA139" s="18"/>
      <c r="RFB139" s="18"/>
      <c r="RFC139" s="18"/>
      <c r="RFD139" s="18"/>
      <c r="RFE139" s="18"/>
      <c r="RFF139" s="17"/>
      <c r="RFG139" s="9"/>
      <c r="RFH139" s="9"/>
      <c r="RFI139" s="18"/>
      <c r="RFJ139" s="18"/>
      <c r="RFK139" s="18"/>
      <c r="RFL139" s="18"/>
      <c r="RFM139" s="18"/>
      <c r="RFN139" s="17"/>
      <c r="RFO139" s="9"/>
      <c r="RFP139" s="9"/>
      <c r="RFQ139" s="18"/>
      <c r="RFR139" s="18"/>
      <c r="RFS139" s="18"/>
      <c r="RFT139" s="18"/>
      <c r="RFU139" s="18"/>
      <c r="RFV139" s="17"/>
      <c r="RFW139" s="9"/>
      <c r="RFX139" s="9"/>
      <c r="RFY139" s="18"/>
      <c r="RFZ139" s="18"/>
      <c r="RGA139" s="18"/>
      <c r="RGB139" s="18"/>
      <c r="RGC139" s="18"/>
      <c r="RGD139" s="17"/>
      <c r="RGE139" s="9"/>
      <c r="RGF139" s="9"/>
      <c r="RGG139" s="18"/>
      <c r="RGH139" s="18"/>
      <c r="RGI139" s="18"/>
      <c r="RGJ139" s="18"/>
      <c r="RGK139" s="18"/>
      <c r="RGL139" s="17"/>
      <c r="RGM139" s="9"/>
      <c r="RGN139" s="9"/>
      <c r="RGO139" s="18"/>
      <c r="RGP139" s="18"/>
      <c r="RGQ139" s="18"/>
      <c r="RGR139" s="18"/>
      <c r="RGS139" s="18"/>
      <c r="RGT139" s="17"/>
      <c r="RGU139" s="9"/>
      <c r="RGV139" s="9"/>
      <c r="RGW139" s="18"/>
      <c r="RGX139" s="18"/>
      <c r="RGY139" s="18"/>
      <c r="RGZ139" s="18"/>
      <c r="RHA139" s="18"/>
      <c r="RHB139" s="17"/>
      <c r="RHC139" s="9"/>
      <c r="RHD139" s="9"/>
      <c r="RHE139" s="18"/>
      <c r="RHF139" s="18"/>
      <c r="RHG139" s="18"/>
      <c r="RHH139" s="18"/>
      <c r="RHI139" s="18"/>
      <c r="RHJ139" s="17"/>
      <c r="RHK139" s="9"/>
      <c r="RHL139" s="9"/>
      <c r="RHM139" s="18"/>
      <c r="RHN139" s="18"/>
      <c r="RHO139" s="18"/>
      <c r="RHP139" s="18"/>
      <c r="RHQ139" s="18"/>
      <c r="RHR139" s="17"/>
      <c r="RHS139" s="9"/>
      <c r="RHT139" s="9"/>
      <c r="RHU139" s="18"/>
      <c r="RHV139" s="18"/>
      <c r="RHW139" s="18"/>
      <c r="RHX139" s="18"/>
      <c r="RHY139" s="18"/>
      <c r="RHZ139" s="17"/>
      <c r="RIA139" s="9"/>
      <c r="RIB139" s="9"/>
      <c r="RIC139" s="18"/>
      <c r="RID139" s="18"/>
      <c r="RIE139" s="18"/>
      <c r="RIF139" s="18"/>
      <c r="RIG139" s="18"/>
      <c r="RIH139" s="17"/>
      <c r="RII139" s="9"/>
      <c r="RIJ139" s="9"/>
      <c r="RIK139" s="18"/>
      <c r="RIL139" s="18"/>
      <c r="RIM139" s="18"/>
      <c r="RIN139" s="18"/>
      <c r="RIO139" s="18"/>
      <c r="RIP139" s="17"/>
      <c r="RIQ139" s="9"/>
      <c r="RIR139" s="9"/>
      <c r="RIS139" s="18"/>
      <c r="RIT139" s="18"/>
      <c r="RIU139" s="18"/>
      <c r="RIV139" s="18"/>
      <c r="RIW139" s="18"/>
      <c r="RIX139" s="17"/>
      <c r="RIY139" s="9"/>
      <c r="RIZ139" s="9"/>
      <c r="RJA139" s="18"/>
      <c r="RJB139" s="18"/>
      <c r="RJC139" s="18"/>
      <c r="RJD139" s="18"/>
      <c r="RJE139" s="18"/>
      <c r="RJF139" s="17"/>
      <c r="RJG139" s="9"/>
      <c r="RJH139" s="9"/>
      <c r="RJI139" s="18"/>
      <c r="RJJ139" s="18"/>
      <c r="RJK139" s="18"/>
      <c r="RJL139" s="18"/>
      <c r="RJM139" s="18"/>
      <c r="RJN139" s="17"/>
      <c r="RJO139" s="9"/>
      <c r="RJP139" s="9"/>
      <c r="RJQ139" s="18"/>
      <c r="RJR139" s="18"/>
      <c r="RJS139" s="18"/>
      <c r="RJT139" s="18"/>
      <c r="RJU139" s="18"/>
      <c r="RJV139" s="17"/>
      <c r="RJW139" s="9"/>
      <c r="RJX139" s="9"/>
      <c r="RJY139" s="18"/>
      <c r="RJZ139" s="18"/>
      <c r="RKA139" s="18"/>
      <c r="RKB139" s="18"/>
      <c r="RKC139" s="18"/>
      <c r="RKD139" s="17"/>
      <c r="RKE139" s="9"/>
      <c r="RKF139" s="9"/>
      <c r="RKG139" s="18"/>
      <c r="RKH139" s="18"/>
      <c r="RKI139" s="18"/>
      <c r="RKJ139" s="18"/>
      <c r="RKK139" s="18"/>
      <c r="RKL139" s="17"/>
      <c r="RKM139" s="9"/>
      <c r="RKN139" s="9"/>
      <c r="RKO139" s="18"/>
      <c r="RKP139" s="18"/>
      <c r="RKQ139" s="18"/>
      <c r="RKR139" s="18"/>
      <c r="RKS139" s="18"/>
      <c r="RKT139" s="17"/>
      <c r="RKU139" s="9"/>
      <c r="RKV139" s="9"/>
      <c r="RKW139" s="18"/>
      <c r="RKX139" s="18"/>
      <c r="RKY139" s="18"/>
      <c r="RKZ139" s="18"/>
      <c r="RLA139" s="18"/>
      <c r="RLB139" s="17"/>
      <c r="RLC139" s="9"/>
      <c r="RLD139" s="9"/>
      <c r="RLE139" s="18"/>
      <c r="RLF139" s="18"/>
      <c r="RLG139" s="18"/>
      <c r="RLH139" s="18"/>
      <c r="RLI139" s="18"/>
      <c r="RLJ139" s="17"/>
      <c r="RLK139" s="9"/>
      <c r="RLL139" s="9"/>
      <c r="RLM139" s="18"/>
      <c r="RLN139" s="18"/>
      <c r="RLO139" s="18"/>
      <c r="RLP139" s="18"/>
      <c r="RLQ139" s="18"/>
      <c r="RLR139" s="17"/>
      <c r="RLS139" s="9"/>
      <c r="RLT139" s="9"/>
      <c r="RLU139" s="18"/>
      <c r="RLV139" s="18"/>
      <c r="RLW139" s="18"/>
      <c r="RLX139" s="18"/>
      <c r="RLY139" s="18"/>
      <c r="RLZ139" s="17"/>
      <c r="RMA139" s="9"/>
      <c r="RMB139" s="9"/>
      <c r="RMC139" s="18"/>
      <c r="RMD139" s="18"/>
      <c r="RME139" s="18"/>
      <c r="RMF139" s="18"/>
      <c r="RMG139" s="18"/>
      <c r="RMH139" s="17"/>
      <c r="RMI139" s="9"/>
      <c r="RMJ139" s="9"/>
      <c r="RMK139" s="18"/>
      <c r="RML139" s="18"/>
      <c r="RMM139" s="18"/>
      <c r="RMN139" s="18"/>
      <c r="RMO139" s="18"/>
      <c r="RMP139" s="17"/>
      <c r="RMQ139" s="9"/>
      <c r="RMR139" s="9"/>
      <c r="RMS139" s="18"/>
      <c r="RMT139" s="18"/>
      <c r="RMU139" s="18"/>
      <c r="RMV139" s="18"/>
      <c r="RMW139" s="18"/>
      <c r="RMX139" s="17"/>
      <c r="RMY139" s="9"/>
      <c r="RMZ139" s="9"/>
      <c r="RNA139" s="18"/>
      <c r="RNB139" s="18"/>
      <c r="RNC139" s="18"/>
      <c r="RND139" s="18"/>
      <c r="RNE139" s="18"/>
      <c r="RNF139" s="17"/>
      <c r="RNG139" s="9"/>
      <c r="RNH139" s="9"/>
      <c r="RNI139" s="18"/>
      <c r="RNJ139" s="18"/>
      <c r="RNK139" s="18"/>
      <c r="RNL139" s="18"/>
      <c r="RNM139" s="18"/>
      <c r="RNN139" s="17"/>
      <c r="RNO139" s="9"/>
      <c r="RNP139" s="9"/>
      <c r="RNQ139" s="18"/>
      <c r="RNR139" s="18"/>
      <c r="RNS139" s="18"/>
      <c r="RNT139" s="18"/>
      <c r="RNU139" s="18"/>
      <c r="RNV139" s="17"/>
      <c r="RNW139" s="9"/>
      <c r="RNX139" s="9"/>
      <c r="RNY139" s="18"/>
      <c r="RNZ139" s="18"/>
      <c r="ROA139" s="18"/>
      <c r="ROB139" s="18"/>
      <c r="ROC139" s="18"/>
      <c r="ROD139" s="17"/>
      <c r="ROE139" s="9"/>
      <c r="ROF139" s="9"/>
      <c r="ROG139" s="18"/>
      <c r="ROH139" s="18"/>
      <c r="ROI139" s="18"/>
      <c r="ROJ139" s="18"/>
      <c r="ROK139" s="18"/>
      <c r="ROL139" s="17"/>
      <c r="ROM139" s="9"/>
      <c r="RON139" s="9"/>
      <c r="ROO139" s="18"/>
      <c r="ROP139" s="18"/>
      <c r="ROQ139" s="18"/>
      <c r="ROR139" s="18"/>
      <c r="ROS139" s="18"/>
      <c r="ROT139" s="17"/>
      <c r="ROU139" s="9"/>
      <c r="ROV139" s="9"/>
      <c r="ROW139" s="18"/>
      <c r="ROX139" s="18"/>
      <c r="ROY139" s="18"/>
      <c r="ROZ139" s="18"/>
      <c r="RPA139" s="18"/>
      <c r="RPB139" s="17"/>
      <c r="RPC139" s="9"/>
      <c r="RPD139" s="9"/>
      <c r="RPE139" s="18"/>
      <c r="RPF139" s="18"/>
      <c r="RPG139" s="18"/>
      <c r="RPH139" s="18"/>
      <c r="RPI139" s="18"/>
      <c r="RPJ139" s="17"/>
      <c r="RPK139" s="9"/>
      <c r="RPL139" s="9"/>
      <c r="RPM139" s="18"/>
      <c r="RPN139" s="18"/>
      <c r="RPO139" s="18"/>
      <c r="RPP139" s="18"/>
      <c r="RPQ139" s="18"/>
      <c r="RPR139" s="17"/>
      <c r="RPS139" s="9"/>
      <c r="RPT139" s="9"/>
      <c r="RPU139" s="18"/>
      <c r="RPV139" s="18"/>
      <c r="RPW139" s="18"/>
      <c r="RPX139" s="18"/>
      <c r="RPY139" s="18"/>
      <c r="RPZ139" s="17"/>
      <c r="RQA139" s="9"/>
      <c r="RQB139" s="9"/>
      <c r="RQC139" s="18"/>
      <c r="RQD139" s="18"/>
      <c r="RQE139" s="18"/>
      <c r="RQF139" s="18"/>
      <c r="RQG139" s="18"/>
      <c r="RQH139" s="17"/>
      <c r="RQI139" s="9"/>
      <c r="RQJ139" s="9"/>
      <c r="RQK139" s="18"/>
      <c r="RQL139" s="18"/>
      <c r="RQM139" s="18"/>
      <c r="RQN139" s="18"/>
      <c r="RQO139" s="18"/>
      <c r="RQP139" s="17"/>
      <c r="RQQ139" s="9"/>
      <c r="RQR139" s="9"/>
      <c r="RQS139" s="18"/>
      <c r="RQT139" s="18"/>
      <c r="RQU139" s="18"/>
      <c r="RQV139" s="18"/>
      <c r="RQW139" s="18"/>
      <c r="RQX139" s="17"/>
      <c r="RQY139" s="9"/>
      <c r="RQZ139" s="9"/>
      <c r="RRA139" s="18"/>
      <c r="RRB139" s="18"/>
      <c r="RRC139" s="18"/>
      <c r="RRD139" s="18"/>
      <c r="RRE139" s="18"/>
      <c r="RRF139" s="17"/>
      <c r="RRG139" s="9"/>
      <c r="RRH139" s="9"/>
      <c r="RRI139" s="18"/>
      <c r="RRJ139" s="18"/>
      <c r="RRK139" s="18"/>
      <c r="RRL139" s="18"/>
      <c r="RRM139" s="18"/>
      <c r="RRN139" s="17"/>
      <c r="RRO139" s="9"/>
      <c r="RRP139" s="9"/>
      <c r="RRQ139" s="18"/>
      <c r="RRR139" s="18"/>
      <c r="RRS139" s="18"/>
      <c r="RRT139" s="18"/>
      <c r="RRU139" s="18"/>
      <c r="RRV139" s="17"/>
      <c r="RRW139" s="9"/>
      <c r="RRX139" s="9"/>
      <c r="RRY139" s="18"/>
      <c r="RRZ139" s="18"/>
      <c r="RSA139" s="18"/>
      <c r="RSB139" s="18"/>
      <c r="RSC139" s="18"/>
      <c r="RSD139" s="17"/>
      <c r="RSE139" s="9"/>
      <c r="RSF139" s="9"/>
      <c r="RSG139" s="18"/>
      <c r="RSH139" s="18"/>
      <c r="RSI139" s="18"/>
      <c r="RSJ139" s="18"/>
      <c r="RSK139" s="18"/>
      <c r="RSL139" s="17"/>
      <c r="RSM139" s="9"/>
      <c r="RSN139" s="9"/>
      <c r="RSO139" s="18"/>
      <c r="RSP139" s="18"/>
      <c r="RSQ139" s="18"/>
      <c r="RSR139" s="18"/>
      <c r="RSS139" s="18"/>
      <c r="RST139" s="17"/>
      <c r="RSU139" s="9"/>
      <c r="RSV139" s="9"/>
      <c r="RSW139" s="18"/>
      <c r="RSX139" s="18"/>
      <c r="RSY139" s="18"/>
      <c r="RSZ139" s="18"/>
      <c r="RTA139" s="18"/>
      <c r="RTB139" s="17"/>
      <c r="RTC139" s="9"/>
      <c r="RTD139" s="9"/>
      <c r="RTE139" s="18"/>
      <c r="RTF139" s="18"/>
      <c r="RTG139" s="18"/>
      <c r="RTH139" s="18"/>
      <c r="RTI139" s="18"/>
      <c r="RTJ139" s="17"/>
      <c r="RTK139" s="9"/>
      <c r="RTL139" s="9"/>
      <c r="RTM139" s="18"/>
      <c r="RTN139" s="18"/>
      <c r="RTO139" s="18"/>
      <c r="RTP139" s="18"/>
      <c r="RTQ139" s="18"/>
      <c r="RTR139" s="17"/>
      <c r="RTS139" s="9"/>
      <c r="RTT139" s="9"/>
      <c r="RTU139" s="18"/>
      <c r="RTV139" s="18"/>
      <c r="RTW139" s="18"/>
      <c r="RTX139" s="18"/>
      <c r="RTY139" s="18"/>
      <c r="RTZ139" s="17"/>
      <c r="RUA139" s="9"/>
      <c r="RUB139" s="9"/>
      <c r="RUC139" s="18"/>
      <c r="RUD139" s="18"/>
      <c r="RUE139" s="18"/>
      <c r="RUF139" s="18"/>
      <c r="RUG139" s="18"/>
      <c r="RUH139" s="17"/>
      <c r="RUI139" s="9"/>
      <c r="RUJ139" s="9"/>
      <c r="RUK139" s="18"/>
      <c r="RUL139" s="18"/>
      <c r="RUM139" s="18"/>
      <c r="RUN139" s="18"/>
      <c r="RUO139" s="18"/>
      <c r="RUP139" s="17"/>
      <c r="RUQ139" s="9"/>
      <c r="RUR139" s="9"/>
      <c r="RUS139" s="18"/>
      <c r="RUT139" s="18"/>
      <c r="RUU139" s="18"/>
      <c r="RUV139" s="18"/>
      <c r="RUW139" s="18"/>
      <c r="RUX139" s="17"/>
      <c r="RUY139" s="9"/>
      <c r="RUZ139" s="9"/>
      <c r="RVA139" s="18"/>
      <c r="RVB139" s="18"/>
      <c r="RVC139" s="18"/>
      <c r="RVD139" s="18"/>
      <c r="RVE139" s="18"/>
      <c r="RVF139" s="17"/>
      <c r="RVG139" s="9"/>
      <c r="RVH139" s="9"/>
      <c r="RVI139" s="18"/>
      <c r="RVJ139" s="18"/>
      <c r="RVK139" s="18"/>
      <c r="RVL139" s="18"/>
      <c r="RVM139" s="18"/>
      <c r="RVN139" s="17"/>
      <c r="RVO139" s="9"/>
      <c r="RVP139" s="9"/>
      <c r="RVQ139" s="18"/>
      <c r="RVR139" s="18"/>
      <c r="RVS139" s="18"/>
      <c r="RVT139" s="18"/>
      <c r="RVU139" s="18"/>
      <c r="RVV139" s="17"/>
      <c r="RVW139" s="9"/>
      <c r="RVX139" s="9"/>
      <c r="RVY139" s="18"/>
      <c r="RVZ139" s="18"/>
      <c r="RWA139" s="18"/>
      <c r="RWB139" s="18"/>
      <c r="RWC139" s="18"/>
      <c r="RWD139" s="17"/>
      <c r="RWE139" s="9"/>
      <c r="RWF139" s="9"/>
      <c r="RWG139" s="18"/>
      <c r="RWH139" s="18"/>
      <c r="RWI139" s="18"/>
      <c r="RWJ139" s="18"/>
      <c r="RWK139" s="18"/>
      <c r="RWL139" s="17"/>
      <c r="RWM139" s="9"/>
      <c r="RWN139" s="9"/>
      <c r="RWO139" s="18"/>
      <c r="RWP139" s="18"/>
      <c r="RWQ139" s="18"/>
      <c r="RWR139" s="18"/>
      <c r="RWS139" s="18"/>
      <c r="RWT139" s="17"/>
      <c r="RWU139" s="9"/>
      <c r="RWV139" s="9"/>
      <c r="RWW139" s="18"/>
      <c r="RWX139" s="18"/>
      <c r="RWY139" s="18"/>
      <c r="RWZ139" s="18"/>
      <c r="RXA139" s="18"/>
      <c r="RXB139" s="17"/>
      <c r="RXC139" s="9"/>
      <c r="RXD139" s="9"/>
      <c r="RXE139" s="18"/>
      <c r="RXF139" s="18"/>
      <c r="RXG139" s="18"/>
      <c r="RXH139" s="18"/>
      <c r="RXI139" s="18"/>
      <c r="RXJ139" s="17"/>
      <c r="RXK139" s="9"/>
      <c r="RXL139" s="9"/>
      <c r="RXM139" s="18"/>
      <c r="RXN139" s="18"/>
      <c r="RXO139" s="18"/>
      <c r="RXP139" s="18"/>
      <c r="RXQ139" s="18"/>
      <c r="RXR139" s="17"/>
      <c r="RXS139" s="9"/>
      <c r="RXT139" s="9"/>
      <c r="RXU139" s="18"/>
      <c r="RXV139" s="18"/>
      <c r="RXW139" s="18"/>
      <c r="RXX139" s="18"/>
      <c r="RXY139" s="18"/>
      <c r="RXZ139" s="17"/>
      <c r="RYA139" s="9"/>
      <c r="RYB139" s="9"/>
      <c r="RYC139" s="18"/>
      <c r="RYD139" s="18"/>
      <c r="RYE139" s="18"/>
      <c r="RYF139" s="18"/>
      <c r="RYG139" s="18"/>
      <c r="RYH139" s="17"/>
      <c r="RYI139" s="9"/>
      <c r="RYJ139" s="9"/>
      <c r="RYK139" s="18"/>
      <c r="RYL139" s="18"/>
      <c r="RYM139" s="18"/>
      <c r="RYN139" s="18"/>
      <c r="RYO139" s="18"/>
      <c r="RYP139" s="17"/>
      <c r="RYQ139" s="9"/>
      <c r="RYR139" s="9"/>
      <c r="RYS139" s="18"/>
      <c r="RYT139" s="18"/>
      <c r="RYU139" s="18"/>
      <c r="RYV139" s="18"/>
      <c r="RYW139" s="18"/>
      <c r="RYX139" s="17"/>
      <c r="RYY139" s="9"/>
      <c r="RYZ139" s="9"/>
      <c r="RZA139" s="18"/>
      <c r="RZB139" s="18"/>
      <c r="RZC139" s="18"/>
      <c r="RZD139" s="18"/>
      <c r="RZE139" s="18"/>
      <c r="RZF139" s="17"/>
      <c r="RZG139" s="9"/>
      <c r="RZH139" s="9"/>
      <c r="RZI139" s="18"/>
      <c r="RZJ139" s="18"/>
      <c r="RZK139" s="18"/>
      <c r="RZL139" s="18"/>
      <c r="RZM139" s="18"/>
      <c r="RZN139" s="17"/>
      <c r="RZO139" s="9"/>
      <c r="RZP139" s="9"/>
      <c r="RZQ139" s="18"/>
      <c r="RZR139" s="18"/>
      <c r="RZS139" s="18"/>
      <c r="RZT139" s="18"/>
      <c r="RZU139" s="18"/>
      <c r="RZV139" s="17"/>
      <c r="RZW139" s="9"/>
      <c r="RZX139" s="9"/>
      <c r="RZY139" s="18"/>
      <c r="RZZ139" s="18"/>
      <c r="SAA139" s="18"/>
      <c r="SAB139" s="18"/>
      <c r="SAC139" s="18"/>
      <c r="SAD139" s="17"/>
      <c r="SAE139" s="9"/>
      <c r="SAF139" s="9"/>
      <c r="SAG139" s="18"/>
      <c r="SAH139" s="18"/>
      <c r="SAI139" s="18"/>
      <c r="SAJ139" s="18"/>
      <c r="SAK139" s="18"/>
      <c r="SAL139" s="17"/>
      <c r="SAM139" s="9"/>
      <c r="SAN139" s="9"/>
      <c r="SAO139" s="18"/>
      <c r="SAP139" s="18"/>
      <c r="SAQ139" s="18"/>
      <c r="SAR139" s="18"/>
      <c r="SAS139" s="18"/>
      <c r="SAT139" s="17"/>
      <c r="SAU139" s="9"/>
      <c r="SAV139" s="9"/>
      <c r="SAW139" s="18"/>
      <c r="SAX139" s="18"/>
      <c r="SAY139" s="18"/>
      <c r="SAZ139" s="18"/>
      <c r="SBA139" s="18"/>
      <c r="SBB139" s="17"/>
      <c r="SBC139" s="9"/>
      <c r="SBD139" s="9"/>
      <c r="SBE139" s="18"/>
      <c r="SBF139" s="18"/>
      <c r="SBG139" s="18"/>
      <c r="SBH139" s="18"/>
      <c r="SBI139" s="18"/>
      <c r="SBJ139" s="17"/>
      <c r="SBK139" s="9"/>
      <c r="SBL139" s="9"/>
      <c r="SBM139" s="18"/>
      <c r="SBN139" s="18"/>
      <c r="SBO139" s="18"/>
      <c r="SBP139" s="18"/>
      <c r="SBQ139" s="18"/>
      <c r="SBR139" s="17"/>
      <c r="SBS139" s="9"/>
      <c r="SBT139" s="9"/>
      <c r="SBU139" s="18"/>
      <c r="SBV139" s="18"/>
      <c r="SBW139" s="18"/>
      <c r="SBX139" s="18"/>
      <c r="SBY139" s="18"/>
      <c r="SBZ139" s="17"/>
      <c r="SCA139" s="9"/>
      <c r="SCB139" s="9"/>
      <c r="SCC139" s="18"/>
      <c r="SCD139" s="18"/>
      <c r="SCE139" s="18"/>
      <c r="SCF139" s="18"/>
      <c r="SCG139" s="18"/>
      <c r="SCH139" s="17"/>
      <c r="SCI139" s="9"/>
      <c r="SCJ139" s="9"/>
      <c r="SCK139" s="18"/>
      <c r="SCL139" s="18"/>
      <c r="SCM139" s="18"/>
      <c r="SCN139" s="18"/>
      <c r="SCO139" s="18"/>
      <c r="SCP139" s="17"/>
      <c r="SCQ139" s="9"/>
      <c r="SCR139" s="9"/>
      <c r="SCS139" s="18"/>
      <c r="SCT139" s="18"/>
      <c r="SCU139" s="18"/>
      <c r="SCV139" s="18"/>
      <c r="SCW139" s="18"/>
      <c r="SCX139" s="17"/>
      <c r="SCY139" s="9"/>
      <c r="SCZ139" s="9"/>
      <c r="SDA139" s="18"/>
      <c r="SDB139" s="18"/>
      <c r="SDC139" s="18"/>
      <c r="SDD139" s="18"/>
      <c r="SDE139" s="18"/>
      <c r="SDF139" s="17"/>
      <c r="SDG139" s="9"/>
      <c r="SDH139" s="9"/>
      <c r="SDI139" s="18"/>
      <c r="SDJ139" s="18"/>
      <c r="SDK139" s="18"/>
      <c r="SDL139" s="18"/>
      <c r="SDM139" s="18"/>
      <c r="SDN139" s="17"/>
      <c r="SDO139" s="9"/>
      <c r="SDP139" s="9"/>
      <c r="SDQ139" s="18"/>
      <c r="SDR139" s="18"/>
      <c r="SDS139" s="18"/>
      <c r="SDT139" s="18"/>
      <c r="SDU139" s="18"/>
      <c r="SDV139" s="17"/>
      <c r="SDW139" s="9"/>
      <c r="SDX139" s="9"/>
      <c r="SDY139" s="18"/>
      <c r="SDZ139" s="18"/>
      <c r="SEA139" s="18"/>
      <c r="SEB139" s="18"/>
      <c r="SEC139" s="18"/>
      <c r="SED139" s="17"/>
      <c r="SEE139" s="9"/>
      <c r="SEF139" s="9"/>
      <c r="SEG139" s="18"/>
      <c r="SEH139" s="18"/>
      <c r="SEI139" s="18"/>
      <c r="SEJ139" s="18"/>
      <c r="SEK139" s="18"/>
      <c r="SEL139" s="17"/>
      <c r="SEM139" s="9"/>
      <c r="SEN139" s="9"/>
      <c r="SEO139" s="18"/>
      <c r="SEP139" s="18"/>
      <c r="SEQ139" s="18"/>
      <c r="SER139" s="18"/>
      <c r="SES139" s="18"/>
      <c r="SET139" s="17"/>
      <c r="SEU139" s="9"/>
      <c r="SEV139" s="9"/>
      <c r="SEW139" s="18"/>
      <c r="SEX139" s="18"/>
      <c r="SEY139" s="18"/>
      <c r="SEZ139" s="18"/>
      <c r="SFA139" s="18"/>
      <c r="SFB139" s="17"/>
      <c r="SFC139" s="9"/>
      <c r="SFD139" s="9"/>
      <c r="SFE139" s="18"/>
      <c r="SFF139" s="18"/>
      <c r="SFG139" s="18"/>
      <c r="SFH139" s="18"/>
      <c r="SFI139" s="18"/>
      <c r="SFJ139" s="17"/>
      <c r="SFK139" s="9"/>
      <c r="SFL139" s="9"/>
      <c r="SFM139" s="18"/>
      <c r="SFN139" s="18"/>
      <c r="SFO139" s="18"/>
      <c r="SFP139" s="18"/>
      <c r="SFQ139" s="18"/>
      <c r="SFR139" s="17"/>
      <c r="SFS139" s="9"/>
      <c r="SFT139" s="9"/>
      <c r="SFU139" s="18"/>
      <c r="SFV139" s="18"/>
      <c r="SFW139" s="18"/>
      <c r="SFX139" s="18"/>
      <c r="SFY139" s="18"/>
      <c r="SFZ139" s="17"/>
      <c r="SGA139" s="9"/>
      <c r="SGB139" s="9"/>
      <c r="SGC139" s="18"/>
      <c r="SGD139" s="18"/>
      <c r="SGE139" s="18"/>
      <c r="SGF139" s="18"/>
      <c r="SGG139" s="18"/>
      <c r="SGH139" s="17"/>
      <c r="SGI139" s="9"/>
      <c r="SGJ139" s="9"/>
      <c r="SGK139" s="18"/>
      <c r="SGL139" s="18"/>
      <c r="SGM139" s="18"/>
      <c r="SGN139" s="18"/>
      <c r="SGO139" s="18"/>
      <c r="SGP139" s="17"/>
      <c r="SGQ139" s="9"/>
      <c r="SGR139" s="9"/>
      <c r="SGS139" s="18"/>
      <c r="SGT139" s="18"/>
      <c r="SGU139" s="18"/>
      <c r="SGV139" s="18"/>
      <c r="SGW139" s="18"/>
      <c r="SGX139" s="17"/>
      <c r="SGY139" s="9"/>
      <c r="SGZ139" s="9"/>
      <c r="SHA139" s="18"/>
      <c r="SHB139" s="18"/>
      <c r="SHC139" s="18"/>
      <c r="SHD139" s="18"/>
      <c r="SHE139" s="18"/>
      <c r="SHF139" s="17"/>
      <c r="SHG139" s="9"/>
      <c r="SHH139" s="9"/>
      <c r="SHI139" s="18"/>
      <c r="SHJ139" s="18"/>
      <c r="SHK139" s="18"/>
      <c r="SHL139" s="18"/>
      <c r="SHM139" s="18"/>
      <c r="SHN139" s="17"/>
      <c r="SHO139" s="9"/>
      <c r="SHP139" s="9"/>
      <c r="SHQ139" s="18"/>
      <c r="SHR139" s="18"/>
      <c r="SHS139" s="18"/>
      <c r="SHT139" s="18"/>
      <c r="SHU139" s="18"/>
      <c r="SHV139" s="17"/>
      <c r="SHW139" s="9"/>
      <c r="SHX139" s="9"/>
      <c r="SHY139" s="18"/>
      <c r="SHZ139" s="18"/>
      <c r="SIA139" s="18"/>
      <c r="SIB139" s="18"/>
      <c r="SIC139" s="18"/>
      <c r="SID139" s="17"/>
      <c r="SIE139" s="9"/>
      <c r="SIF139" s="9"/>
      <c r="SIG139" s="18"/>
      <c r="SIH139" s="18"/>
      <c r="SII139" s="18"/>
      <c r="SIJ139" s="18"/>
      <c r="SIK139" s="18"/>
      <c r="SIL139" s="17"/>
      <c r="SIM139" s="9"/>
      <c r="SIN139" s="9"/>
      <c r="SIO139" s="18"/>
      <c r="SIP139" s="18"/>
      <c r="SIQ139" s="18"/>
      <c r="SIR139" s="18"/>
      <c r="SIS139" s="18"/>
      <c r="SIT139" s="17"/>
      <c r="SIU139" s="9"/>
      <c r="SIV139" s="9"/>
      <c r="SIW139" s="18"/>
      <c r="SIX139" s="18"/>
      <c r="SIY139" s="18"/>
      <c r="SIZ139" s="18"/>
      <c r="SJA139" s="18"/>
      <c r="SJB139" s="17"/>
      <c r="SJC139" s="9"/>
      <c r="SJD139" s="9"/>
      <c r="SJE139" s="18"/>
      <c r="SJF139" s="18"/>
      <c r="SJG139" s="18"/>
      <c r="SJH139" s="18"/>
      <c r="SJI139" s="18"/>
      <c r="SJJ139" s="17"/>
      <c r="SJK139" s="9"/>
      <c r="SJL139" s="9"/>
      <c r="SJM139" s="18"/>
      <c r="SJN139" s="18"/>
      <c r="SJO139" s="18"/>
      <c r="SJP139" s="18"/>
      <c r="SJQ139" s="18"/>
      <c r="SJR139" s="17"/>
      <c r="SJS139" s="9"/>
      <c r="SJT139" s="9"/>
      <c r="SJU139" s="18"/>
      <c r="SJV139" s="18"/>
      <c r="SJW139" s="18"/>
      <c r="SJX139" s="18"/>
      <c r="SJY139" s="18"/>
      <c r="SJZ139" s="17"/>
      <c r="SKA139" s="9"/>
      <c r="SKB139" s="9"/>
      <c r="SKC139" s="18"/>
      <c r="SKD139" s="18"/>
      <c r="SKE139" s="18"/>
      <c r="SKF139" s="18"/>
      <c r="SKG139" s="18"/>
      <c r="SKH139" s="17"/>
      <c r="SKI139" s="9"/>
      <c r="SKJ139" s="9"/>
      <c r="SKK139" s="18"/>
      <c r="SKL139" s="18"/>
      <c r="SKM139" s="18"/>
      <c r="SKN139" s="18"/>
      <c r="SKO139" s="18"/>
      <c r="SKP139" s="17"/>
      <c r="SKQ139" s="9"/>
      <c r="SKR139" s="9"/>
      <c r="SKS139" s="18"/>
      <c r="SKT139" s="18"/>
      <c r="SKU139" s="18"/>
      <c r="SKV139" s="18"/>
      <c r="SKW139" s="18"/>
      <c r="SKX139" s="17"/>
      <c r="SKY139" s="9"/>
      <c r="SKZ139" s="9"/>
      <c r="SLA139" s="18"/>
      <c r="SLB139" s="18"/>
      <c r="SLC139" s="18"/>
      <c r="SLD139" s="18"/>
      <c r="SLE139" s="18"/>
      <c r="SLF139" s="17"/>
      <c r="SLG139" s="9"/>
      <c r="SLH139" s="9"/>
      <c r="SLI139" s="18"/>
      <c r="SLJ139" s="18"/>
      <c r="SLK139" s="18"/>
      <c r="SLL139" s="18"/>
      <c r="SLM139" s="18"/>
      <c r="SLN139" s="17"/>
      <c r="SLO139" s="9"/>
      <c r="SLP139" s="9"/>
      <c r="SLQ139" s="18"/>
      <c r="SLR139" s="18"/>
      <c r="SLS139" s="18"/>
      <c r="SLT139" s="18"/>
      <c r="SLU139" s="18"/>
      <c r="SLV139" s="17"/>
      <c r="SLW139" s="9"/>
      <c r="SLX139" s="9"/>
      <c r="SLY139" s="18"/>
      <c r="SLZ139" s="18"/>
      <c r="SMA139" s="18"/>
      <c r="SMB139" s="18"/>
      <c r="SMC139" s="18"/>
      <c r="SMD139" s="17"/>
      <c r="SME139" s="9"/>
      <c r="SMF139" s="9"/>
      <c r="SMG139" s="18"/>
      <c r="SMH139" s="18"/>
      <c r="SMI139" s="18"/>
      <c r="SMJ139" s="18"/>
      <c r="SMK139" s="18"/>
      <c r="SML139" s="17"/>
      <c r="SMM139" s="9"/>
      <c r="SMN139" s="9"/>
      <c r="SMO139" s="18"/>
      <c r="SMP139" s="18"/>
      <c r="SMQ139" s="18"/>
      <c r="SMR139" s="18"/>
      <c r="SMS139" s="18"/>
      <c r="SMT139" s="17"/>
      <c r="SMU139" s="9"/>
      <c r="SMV139" s="9"/>
      <c r="SMW139" s="18"/>
      <c r="SMX139" s="18"/>
      <c r="SMY139" s="18"/>
      <c r="SMZ139" s="18"/>
      <c r="SNA139" s="18"/>
      <c r="SNB139" s="17"/>
      <c r="SNC139" s="9"/>
      <c r="SND139" s="9"/>
      <c r="SNE139" s="18"/>
      <c r="SNF139" s="18"/>
      <c r="SNG139" s="18"/>
      <c r="SNH139" s="18"/>
      <c r="SNI139" s="18"/>
      <c r="SNJ139" s="17"/>
      <c r="SNK139" s="9"/>
      <c r="SNL139" s="9"/>
      <c r="SNM139" s="18"/>
      <c r="SNN139" s="18"/>
      <c r="SNO139" s="18"/>
      <c r="SNP139" s="18"/>
      <c r="SNQ139" s="18"/>
      <c r="SNR139" s="17"/>
      <c r="SNS139" s="9"/>
      <c r="SNT139" s="9"/>
      <c r="SNU139" s="18"/>
      <c r="SNV139" s="18"/>
      <c r="SNW139" s="18"/>
      <c r="SNX139" s="18"/>
      <c r="SNY139" s="18"/>
      <c r="SNZ139" s="17"/>
      <c r="SOA139" s="9"/>
      <c r="SOB139" s="9"/>
      <c r="SOC139" s="18"/>
      <c r="SOD139" s="18"/>
      <c r="SOE139" s="18"/>
      <c r="SOF139" s="18"/>
      <c r="SOG139" s="18"/>
      <c r="SOH139" s="17"/>
      <c r="SOI139" s="9"/>
      <c r="SOJ139" s="9"/>
      <c r="SOK139" s="18"/>
      <c r="SOL139" s="18"/>
      <c r="SOM139" s="18"/>
      <c r="SON139" s="18"/>
      <c r="SOO139" s="18"/>
      <c r="SOP139" s="17"/>
      <c r="SOQ139" s="9"/>
      <c r="SOR139" s="9"/>
      <c r="SOS139" s="18"/>
      <c r="SOT139" s="18"/>
      <c r="SOU139" s="18"/>
      <c r="SOV139" s="18"/>
      <c r="SOW139" s="18"/>
      <c r="SOX139" s="17"/>
      <c r="SOY139" s="9"/>
      <c r="SOZ139" s="9"/>
      <c r="SPA139" s="18"/>
      <c r="SPB139" s="18"/>
      <c r="SPC139" s="18"/>
      <c r="SPD139" s="18"/>
      <c r="SPE139" s="18"/>
      <c r="SPF139" s="17"/>
      <c r="SPG139" s="9"/>
      <c r="SPH139" s="9"/>
      <c r="SPI139" s="18"/>
      <c r="SPJ139" s="18"/>
      <c r="SPK139" s="18"/>
      <c r="SPL139" s="18"/>
      <c r="SPM139" s="18"/>
      <c r="SPN139" s="17"/>
      <c r="SPO139" s="9"/>
      <c r="SPP139" s="9"/>
      <c r="SPQ139" s="18"/>
      <c r="SPR139" s="18"/>
      <c r="SPS139" s="18"/>
      <c r="SPT139" s="18"/>
      <c r="SPU139" s="18"/>
      <c r="SPV139" s="17"/>
      <c r="SPW139" s="9"/>
      <c r="SPX139" s="9"/>
      <c r="SPY139" s="18"/>
      <c r="SPZ139" s="18"/>
      <c r="SQA139" s="18"/>
      <c r="SQB139" s="18"/>
      <c r="SQC139" s="18"/>
      <c r="SQD139" s="17"/>
      <c r="SQE139" s="9"/>
      <c r="SQF139" s="9"/>
      <c r="SQG139" s="18"/>
      <c r="SQH139" s="18"/>
      <c r="SQI139" s="18"/>
      <c r="SQJ139" s="18"/>
      <c r="SQK139" s="18"/>
      <c r="SQL139" s="17"/>
      <c r="SQM139" s="9"/>
      <c r="SQN139" s="9"/>
      <c r="SQO139" s="18"/>
      <c r="SQP139" s="18"/>
      <c r="SQQ139" s="18"/>
      <c r="SQR139" s="18"/>
      <c r="SQS139" s="18"/>
      <c r="SQT139" s="17"/>
      <c r="SQU139" s="9"/>
      <c r="SQV139" s="9"/>
      <c r="SQW139" s="18"/>
      <c r="SQX139" s="18"/>
      <c r="SQY139" s="18"/>
      <c r="SQZ139" s="18"/>
      <c r="SRA139" s="18"/>
      <c r="SRB139" s="17"/>
      <c r="SRC139" s="9"/>
      <c r="SRD139" s="9"/>
      <c r="SRE139" s="18"/>
      <c r="SRF139" s="18"/>
      <c r="SRG139" s="18"/>
      <c r="SRH139" s="18"/>
      <c r="SRI139" s="18"/>
      <c r="SRJ139" s="17"/>
      <c r="SRK139" s="9"/>
      <c r="SRL139" s="9"/>
      <c r="SRM139" s="18"/>
      <c r="SRN139" s="18"/>
      <c r="SRO139" s="18"/>
      <c r="SRP139" s="18"/>
      <c r="SRQ139" s="18"/>
      <c r="SRR139" s="17"/>
      <c r="SRS139" s="9"/>
      <c r="SRT139" s="9"/>
      <c r="SRU139" s="18"/>
      <c r="SRV139" s="18"/>
      <c r="SRW139" s="18"/>
      <c r="SRX139" s="18"/>
      <c r="SRY139" s="18"/>
      <c r="SRZ139" s="17"/>
      <c r="SSA139" s="9"/>
      <c r="SSB139" s="9"/>
      <c r="SSC139" s="18"/>
      <c r="SSD139" s="18"/>
      <c r="SSE139" s="18"/>
      <c r="SSF139" s="18"/>
      <c r="SSG139" s="18"/>
      <c r="SSH139" s="17"/>
      <c r="SSI139" s="9"/>
      <c r="SSJ139" s="9"/>
      <c r="SSK139" s="18"/>
      <c r="SSL139" s="18"/>
      <c r="SSM139" s="18"/>
      <c r="SSN139" s="18"/>
      <c r="SSO139" s="18"/>
      <c r="SSP139" s="17"/>
      <c r="SSQ139" s="9"/>
      <c r="SSR139" s="9"/>
      <c r="SSS139" s="18"/>
      <c r="SST139" s="18"/>
      <c r="SSU139" s="18"/>
      <c r="SSV139" s="18"/>
      <c r="SSW139" s="18"/>
      <c r="SSX139" s="17"/>
      <c r="SSY139" s="9"/>
      <c r="SSZ139" s="9"/>
      <c r="STA139" s="18"/>
      <c r="STB139" s="18"/>
      <c r="STC139" s="18"/>
      <c r="STD139" s="18"/>
      <c r="STE139" s="18"/>
      <c r="STF139" s="17"/>
      <c r="STG139" s="9"/>
      <c r="STH139" s="9"/>
      <c r="STI139" s="18"/>
      <c r="STJ139" s="18"/>
      <c r="STK139" s="18"/>
      <c r="STL139" s="18"/>
      <c r="STM139" s="18"/>
      <c r="STN139" s="17"/>
      <c r="STO139" s="9"/>
      <c r="STP139" s="9"/>
      <c r="STQ139" s="18"/>
      <c r="STR139" s="18"/>
      <c r="STS139" s="18"/>
      <c r="STT139" s="18"/>
      <c r="STU139" s="18"/>
      <c r="STV139" s="17"/>
      <c r="STW139" s="9"/>
      <c r="STX139" s="9"/>
      <c r="STY139" s="18"/>
      <c r="STZ139" s="18"/>
      <c r="SUA139" s="18"/>
      <c r="SUB139" s="18"/>
      <c r="SUC139" s="18"/>
      <c r="SUD139" s="17"/>
      <c r="SUE139" s="9"/>
      <c r="SUF139" s="9"/>
      <c r="SUG139" s="18"/>
      <c r="SUH139" s="18"/>
      <c r="SUI139" s="18"/>
      <c r="SUJ139" s="18"/>
      <c r="SUK139" s="18"/>
      <c r="SUL139" s="17"/>
      <c r="SUM139" s="9"/>
      <c r="SUN139" s="9"/>
      <c r="SUO139" s="18"/>
      <c r="SUP139" s="18"/>
      <c r="SUQ139" s="18"/>
      <c r="SUR139" s="18"/>
      <c r="SUS139" s="18"/>
      <c r="SUT139" s="17"/>
      <c r="SUU139" s="9"/>
      <c r="SUV139" s="9"/>
      <c r="SUW139" s="18"/>
      <c r="SUX139" s="18"/>
      <c r="SUY139" s="18"/>
      <c r="SUZ139" s="18"/>
      <c r="SVA139" s="18"/>
      <c r="SVB139" s="17"/>
      <c r="SVC139" s="9"/>
      <c r="SVD139" s="9"/>
      <c r="SVE139" s="18"/>
      <c r="SVF139" s="18"/>
      <c r="SVG139" s="18"/>
      <c r="SVH139" s="18"/>
      <c r="SVI139" s="18"/>
      <c r="SVJ139" s="17"/>
      <c r="SVK139" s="9"/>
      <c r="SVL139" s="9"/>
      <c r="SVM139" s="18"/>
      <c r="SVN139" s="18"/>
      <c r="SVO139" s="18"/>
      <c r="SVP139" s="18"/>
      <c r="SVQ139" s="18"/>
      <c r="SVR139" s="17"/>
      <c r="SVS139" s="9"/>
      <c r="SVT139" s="9"/>
      <c r="SVU139" s="18"/>
      <c r="SVV139" s="18"/>
      <c r="SVW139" s="18"/>
      <c r="SVX139" s="18"/>
      <c r="SVY139" s="18"/>
      <c r="SVZ139" s="17"/>
      <c r="SWA139" s="9"/>
      <c r="SWB139" s="9"/>
      <c r="SWC139" s="18"/>
      <c r="SWD139" s="18"/>
      <c r="SWE139" s="18"/>
      <c r="SWF139" s="18"/>
      <c r="SWG139" s="18"/>
      <c r="SWH139" s="17"/>
      <c r="SWI139" s="9"/>
      <c r="SWJ139" s="9"/>
      <c r="SWK139" s="18"/>
      <c r="SWL139" s="18"/>
      <c r="SWM139" s="18"/>
      <c r="SWN139" s="18"/>
      <c r="SWO139" s="18"/>
      <c r="SWP139" s="17"/>
      <c r="SWQ139" s="9"/>
      <c r="SWR139" s="9"/>
      <c r="SWS139" s="18"/>
      <c r="SWT139" s="18"/>
      <c r="SWU139" s="18"/>
      <c r="SWV139" s="18"/>
      <c r="SWW139" s="18"/>
      <c r="SWX139" s="17"/>
      <c r="SWY139" s="9"/>
      <c r="SWZ139" s="9"/>
      <c r="SXA139" s="18"/>
      <c r="SXB139" s="18"/>
      <c r="SXC139" s="18"/>
      <c r="SXD139" s="18"/>
      <c r="SXE139" s="18"/>
      <c r="SXF139" s="17"/>
      <c r="SXG139" s="9"/>
      <c r="SXH139" s="9"/>
      <c r="SXI139" s="18"/>
      <c r="SXJ139" s="18"/>
      <c r="SXK139" s="18"/>
      <c r="SXL139" s="18"/>
      <c r="SXM139" s="18"/>
      <c r="SXN139" s="17"/>
      <c r="SXO139" s="9"/>
      <c r="SXP139" s="9"/>
      <c r="SXQ139" s="18"/>
      <c r="SXR139" s="18"/>
      <c r="SXS139" s="18"/>
      <c r="SXT139" s="18"/>
      <c r="SXU139" s="18"/>
      <c r="SXV139" s="17"/>
      <c r="SXW139" s="9"/>
      <c r="SXX139" s="9"/>
      <c r="SXY139" s="18"/>
      <c r="SXZ139" s="18"/>
      <c r="SYA139" s="18"/>
      <c r="SYB139" s="18"/>
      <c r="SYC139" s="18"/>
      <c r="SYD139" s="17"/>
      <c r="SYE139" s="9"/>
      <c r="SYF139" s="9"/>
      <c r="SYG139" s="18"/>
      <c r="SYH139" s="18"/>
      <c r="SYI139" s="18"/>
      <c r="SYJ139" s="18"/>
      <c r="SYK139" s="18"/>
      <c r="SYL139" s="17"/>
      <c r="SYM139" s="9"/>
      <c r="SYN139" s="9"/>
      <c r="SYO139" s="18"/>
      <c r="SYP139" s="18"/>
      <c r="SYQ139" s="18"/>
      <c r="SYR139" s="18"/>
      <c r="SYS139" s="18"/>
      <c r="SYT139" s="17"/>
      <c r="SYU139" s="9"/>
      <c r="SYV139" s="9"/>
      <c r="SYW139" s="18"/>
      <c r="SYX139" s="18"/>
      <c r="SYY139" s="18"/>
      <c r="SYZ139" s="18"/>
      <c r="SZA139" s="18"/>
      <c r="SZB139" s="17"/>
      <c r="SZC139" s="9"/>
      <c r="SZD139" s="9"/>
      <c r="SZE139" s="18"/>
      <c r="SZF139" s="18"/>
      <c r="SZG139" s="18"/>
      <c r="SZH139" s="18"/>
      <c r="SZI139" s="18"/>
      <c r="SZJ139" s="17"/>
      <c r="SZK139" s="9"/>
      <c r="SZL139" s="9"/>
      <c r="SZM139" s="18"/>
      <c r="SZN139" s="18"/>
      <c r="SZO139" s="18"/>
      <c r="SZP139" s="18"/>
      <c r="SZQ139" s="18"/>
      <c r="SZR139" s="17"/>
      <c r="SZS139" s="9"/>
      <c r="SZT139" s="9"/>
      <c r="SZU139" s="18"/>
      <c r="SZV139" s="18"/>
      <c r="SZW139" s="18"/>
      <c r="SZX139" s="18"/>
      <c r="SZY139" s="18"/>
      <c r="SZZ139" s="17"/>
      <c r="TAA139" s="9"/>
      <c r="TAB139" s="9"/>
      <c r="TAC139" s="18"/>
      <c r="TAD139" s="18"/>
      <c r="TAE139" s="18"/>
      <c r="TAF139" s="18"/>
      <c r="TAG139" s="18"/>
      <c r="TAH139" s="17"/>
      <c r="TAI139" s="9"/>
      <c r="TAJ139" s="9"/>
      <c r="TAK139" s="18"/>
      <c r="TAL139" s="18"/>
      <c r="TAM139" s="18"/>
      <c r="TAN139" s="18"/>
      <c r="TAO139" s="18"/>
      <c r="TAP139" s="17"/>
      <c r="TAQ139" s="9"/>
      <c r="TAR139" s="9"/>
      <c r="TAS139" s="18"/>
      <c r="TAT139" s="18"/>
      <c r="TAU139" s="18"/>
      <c r="TAV139" s="18"/>
      <c r="TAW139" s="18"/>
      <c r="TAX139" s="17"/>
      <c r="TAY139" s="9"/>
      <c r="TAZ139" s="9"/>
      <c r="TBA139" s="18"/>
      <c r="TBB139" s="18"/>
      <c r="TBC139" s="18"/>
      <c r="TBD139" s="18"/>
      <c r="TBE139" s="18"/>
      <c r="TBF139" s="17"/>
      <c r="TBG139" s="9"/>
      <c r="TBH139" s="9"/>
      <c r="TBI139" s="18"/>
      <c r="TBJ139" s="18"/>
      <c r="TBK139" s="18"/>
      <c r="TBL139" s="18"/>
      <c r="TBM139" s="18"/>
      <c r="TBN139" s="17"/>
      <c r="TBO139" s="9"/>
      <c r="TBP139" s="9"/>
      <c r="TBQ139" s="18"/>
      <c r="TBR139" s="18"/>
      <c r="TBS139" s="18"/>
      <c r="TBT139" s="18"/>
      <c r="TBU139" s="18"/>
      <c r="TBV139" s="17"/>
      <c r="TBW139" s="9"/>
      <c r="TBX139" s="9"/>
      <c r="TBY139" s="18"/>
      <c r="TBZ139" s="18"/>
      <c r="TCA139" s="18"/>
      <c r="TCB139" s="18"/>
      <c r="TCC139" s="18"/>
      <c r="TCD139" s="17"/>
      <c r="TCE139" s="9"/>
      <c r="TCF139" s="9"/>
      <c r="TCG139" s="18"/>
      <c r="TCH139" s="18"/>
      <c r="TCI139" s="18"/>
      <c r="TCJ139" s="18"/>
      <c r="TCK139" s="18"/>
      <c r="TCL139" s="17"/>
      <c r="TCM139" s="9"/>
      <c r="TCN139" s="9"/>
      <c r="TCO139" s="18"/>
      <c r="TCP139" s="18"/>
      <c r="TCQ139" s="18"/>
      <c r="TCR139" s="18"/>
      <c r="TCS139" s="18"/>
      <c r="TCT139" s="17"/>
      <c r="TCU139" s="9"/>
      <c r="TCV139" s="9"/>
      <c r="TCW139" s="18"/>
      <c r="TCX139" s="18"/>
      <c r="TCY139" s="18"/>
      <c r="TCZ139" s="18"/>
      <c r="TDA139" s="18"/>
      <c r="TDB139" s="17"/>
      <c r="TDC139" s="9"/>
      <c r="TDD139" s="9"/>
      <c r="TDE139" s="18"/>
      <c r="TDF139" s="18"/>
      <c r="TDG139" s="18"/>
      <c r="TDH139" s="18"/>
      <c r="TDI139" s="18"/>
      <c r="TDJ139" s="17"/>
      <c r="TDK139" s="9"/>
      <c r="TDL139" s="9"/>
      <c r="TDM139" s="18"/>
      <c r="TDN139" s="18"/>
      <c r="TDO139" s="18"/>
      <c r="TDP139" s="18"/>
      <c r="TDQ139" s="18"/>
      <c r="TDR139" s="17"/>
      <c r="TDS139" s="9"/>
      <c r="TDT139" s="9"/>
      <c r="TDU139" s="18"/>
      <c r="TDV139" s="18"/>
      <c r="TDW139" s="18"/>
      <c r="TDX139" s="18"/>
      <c r="TDY139" s="18"/>
      <c r="TDZ139" s="17"/>
      <c r="TEA139" s="9"/>
      <c r="TEB139" s="9"/>
      <c r="TEC139" s="18"/>
      <c r="TED139" s="18"/>
      <c r="TEE139" s="18"/>
      <c r="TEF139" s="18"/>
      <c r="TEG139" s="18"/>
      <c r="TEH139" s="17"/>
      <c r="TEI139" s="9"/>
      <c r="TEJ139" s="9"/>
      <c r="TEK139" s="18"/>
      <c r="TEL139" s="18"/>
      <c r="TEM139" s="18"/>
      <c r="TEN139" s="18"/>
      <c r="TEO139" s="18"/>
      <c r="TEP139" s="17"/>
      <c r="TEQ139" s="9"/>
      <c r="TER139" s="9"/>
      <c r="TES139" s="18"/>
      <c r="TET139" s="18"/>
      <c r="TEU139" s="18"/>
      <c r="TEV139" s="18"/>
      <c r="TEW139" s="18"/>
      <c r="TEX139" s="17"/>
      <c r="TEY139" s="9"/>
      <c r="TEZ139" s="9"/>
      <c r="TFA139" s="18"/>
      <c r="TFB139" s="18"/>
      <c r="TFC139" s="18"/>
      <c r="TFD139" s="18"/>
      <c r="TFE139" s="18"/>
      <c r="TFF139" s="17"/>
      <c r="TFG139" s="9"/>
      <c r="TFH139" s="9"/>
      <c r="TFI139" s="18"/>
      <c r="TFJ139" s="18"/>
      <c r="TFK139" s="18"/>
      <c r="TFL139" s="18"/>
      <c r="TFM139" s="18"/>
      <c r="TFN139" s="17"/>
      <c r="TFO139" s="9"/>
      <c r="TFP139" s="9"/>
      <c r="TFQ139" s="18"/>
      <c r="TFR139" s="18"/>
      <c r="TFS139" s="18"/>
      <c r="TFT139" s="18"/>
      <c r="TFU139" s="18"/>
      <c r="TFV139" s="17"/>
      <c r="TFW139" s="9"/>
      <c r="TFX139" s="9"/>
      <c r="TFY139" s="18"/>
      <c r="TFZ139" s="18"/>
      <c r="TGA139" s="18"/>
      <c r="TGB139" s="18"/>
      <c r="TGC139" s="18"/>
      <c r="TGD139" s="17"/>
      <c r="TGE139" s="9"/>
      <c r="TGF139" s="9"/>
      <c r="TGG139" s="18"/>
      <c r="TGH139" s="18"/>
      <c r="TGI139" s="18"/>
      <c r="TGJ139" s="18"/>
      <c r="TGK139" s="18"/>
      <c r="TGL139" s="17"/>
      <c r="TGM139" s="9"/>
      <c r="TGN139" s="9"/>
      <c r="TGO139" s="18"/>
      <c r="TGP139" s="18"/>
      <c r="TGQ139" s="18"/>
      <c r="TGR139" s="18"/>
      <c r="TGS139" s="18"/>
      <c r="TGT139" s="17"/>
      <c r="TGU139" s="9"/>
      <c r="TGV139" s="9"/>
      <c r="TGW139" s="18"/>
      <c r="TGX139" s="18"/>
      <c r="TGY139" s="18"/>
      <c r="TGZ139" s="18"/>
      <c r="THA139" s="18"/>
      <c r="THB139" s="17"/>
      <c r="THC139" s="9"/>
      <c r="THD139" s="9"/>
      <c r="THE139" s="18"/>
      <c r="THF139" s="18"/>
      <c r="THG139" s="18"/>
      <c r="THH139" s="18"/>
      <c r="THI139" s="18"/>
      <c r="THJ139" s="17"/>
      <c r="THK139" s="9"/>
      <c r="THL139" s="9"/>
      <c r="THM139" s="18"/>
      <c r="THN139" s="18"/>
      <c r="THO139" s="18"/>
      <c r="THP139" s="18"/>
      <c r="THQ139" s="18"/>
      <c r="THR139" s="17"/>
      <c r="THS139" s="9"/>
      <c r="THT139" s="9"/>
      <c r="THU139" s="18"/>
      <c r="THV139" s="18"/>
      <c r="THW139" s="18"/>
      <c r="THX139" s="18"/>
      <c r="THY139" s="18"/>
      <c r="THZ139" s="17"/>
      <c r="TIA139" s="9"/>
      <c r="TIB139" s="9"/>
      <c r="TIC139" s="18"/>
      <c r="TID139" s="18"/>
      <c r="TIE139" s="18"/>
      <c r="TIF139" s="18"/>
      <c r="TIG139" s="18"/>
      <c r="TIH139" s="17"/>
      <c r="TII139" s="9"/>
      <c r="TIJ139" s="9"/>
      <c r="TIK139" s="18"/>
      <c r="TIL139" s="18"/>
      <c r="TIM139" s="18"/>
      <c r="TIN139" s="18"/>
      <c r="TIO139" s="18"/>
      <c r="TIP139" s="17"/>
      <c r="TIQ139" s="9"/>
      <c r="TIR139" s="9"/>
      <c r="TIS139" s="18"/>
      <c r="TIT139" s="18"/>
      <c r="TIU139" s="18"/>
      <c r="TIV139" s="18"/>
      <c r="TIW139" s="18"/>
      <c r="TIX139" s="17"/>
      <c r="TIY139" s="9"/>
      <c r="TIZ139" s="9"/>
      <c r="TJA139" s="18"/>
      <c r="TJB139" s="18"/>
      <c r="TJC139" s="18"/>
      <c r="TJD139" s="18"/>
      <c r="TJE139" s="18"/>
      <c r="TJF139" s="17"/>
      <c r="TJG139" s="9"/>
      <c r="TJH139" s="9"/>
      <c r="TJI139" s="18"/>
      <c r="TJJ139" s="18"/>
      <c r="TJK139" s="18"/>
      <c r="TJL139" s="18"/>
      <c r="TJM139" s="18"/>
      <c r="TJN139" s="17"/>
      <c r="TJO139" s="9"/>
      <c r="TJP139" s="9"/>
      <c r="TJQ139" s="18"/>
      <c r="TJR139" s="18"/>
      <c r="TJS139" s="18"/>
      <c r="TJT139" s="18"/>
      <c r="TJU139" s="18"/>
      <c r="TJV139" s="17"/>
      <c r="TJW139" s="9"/>
      <c r="TJX139" s="9"/>
      <c r="TJY139" s="18"/>
      <c r="TJZ139" s="18"/>
      <c r="TKA139" s="18"/>
      <c r="TKB139" s="18"/>
      <c r="TKC139" s="18"/>
      <c r="TKD139" s="17"/>
      <c r="TKE139" s="9"/>
      <c r="TKF139" s="9"/>
      <c r="TKG139" s="18"/>
      <c r="TKH139" s="18"/>
      <c r="TKI139" s="18"/>
      <c r="TKJ139" s="18"/>
      <c r="TKK139" s="18"/>
      <c r="TKL139" s="17"/>
      <c r="TKM139" s="9"/>
      <c r="TKN139" s="9"/>
      <c r="TKO139" s="18"/>
      <c r="TKP139" s="18"/>
      <c r="TKQ139" s="18"/>
      <c r="TKR139" s="18"/>
      <c r="TKS139" s="18"/>
      <c r="TKT139" s="17"/>
      <c r="TKU139" s="9"/>
      <c r="TKV139" s="9"/>
      <c r="TKW139" s="18"/>
      <c r="TKX139" s="18"/>
      <c r="TKY139" s="18"/>
      <c r="TKZ139" s="18"/>
      <c r="TLA139" s="18"/>
      <c r="TLB139" s="17"/>
      <c r="TLC139" s="9"/>
      <c r="TLD139" s="9"/>
      <c r="TLE139" s="18"/>
      <c r="TLF139" s="18"/>
      <c r="TLG139" s="18"/>
      <c r="TLH139" s="18"/>
      <c r="TLI139" s="18"/>
      <c r="TLJ139" s="17"/>
      <c r="TLK139" s="9"/>
      <c r="TLL139" s="9"/>
      <c r="TLM139" s="18"/>
      <c r="TLN139" s="18"/>
      <c r="TLO139" s="18"/>
      <c r="TLP139" s="18"/>
      <c r="TLQ139" s="18"/>
      <c r="TLR139" s="17"/>
      <c r="TLS139" s="9"/>
      <c r="TLT139" s="9"/>
      <c r="TLU139" s="18"/>
      <c r="TLV139" s="18"/>
      <c r="TLW139" s="18"/>
      <c r="TLX139" s="18"/>
      <c r="TLY139" s="18"/>
      <c r="TLZ139" s="17"/>
      <c r="TMA139" s="9"/>
      <c r="TMB139" s="9"/>
      <c r="TMC139" s="18"/>
      <c r="TMD139" s="18"/>
      <c r="TME139" s="18"/>
      <c r="TMF139" s="18"/>
      <c r="TMG139" s="18"/>
      <c r="TMH139" s="17"/>
      <c r="TMI139" s="9"/>
      <c r="TMJ139" s="9"/>
      <c r="TMK139" s="18"/>
      <c r="TML139" s="18"/>
      <c r="TMM139" s="18"/>
      <c r="TMN139" s="18"/>
      <c r="TMO139" s="18"/>
      <c r="TMP139" s="17"/>
      <c r="TMQ139" s="9"/>
      <c r="TMR139" s="9"/>
      <c r="TMS139" s="18"/>
      <c r="TMT139" s="18"/>
      <c r="TMU139" s="18"/>
      <c r="TMV139" s="18"/>
      <c r="TMW139" s="18"/>
      <c r="TMX139" s="17"/>
      <c r="TMY139" s="9"/>
      <c r="TMZ139" s="9"/>
      <c r="TNA139" s="18"/>
      <c r="TNB139" s="18"/>
      <c r="TNC139" s="18"/>
      <c r="TND139" s="18"/>
      <c r="TNE139" s="18"/>
      <c r="TNF139" s="17"/>
      <c r="TNG139" s="9"/>
      <c r="TNH139" s="9"/>
      <c r="TNI139" s="18"/>
      <c r="TNJ139" s="18"/>
      <c r="TNK139" s="18"/>
      <c r="TNL139" s="18"/>
      <c r="TNM139" s="18"/>
      <c r="TNN139" s="17"/>
      <c r="TNO139" s="9"/>
      <c r="TNP139" s="9"/>
      <c r="TNQ139" s="18"/>
      <c r="TNR139" s="18"/>
      <c r="TNS139" s="18"/>
      <c r="TNT139" s="18"/>
      <c r="TNU139" s="18"/>
      <c r="TNV139" s="17"/>
      <c r="TNW139" s="9"/>
      <c r="TNX139" s="9"/>
      <c r="TNY139" s="18"/>
      <c r="TNZ139" s="18"/>
      <c r="TOA139" s="18"/>
      <c r="TOB139" s="18"/>
      <c r="TOC139" s="18"/>
      <c r="TOD139" s="17"/>
      <c r="TOE139" s="9"/>
      <c r="TOF139" s="9"/>
      <c r="TOG139" s="18"/>
      <c r="TOH139" s="18"/>
      <c r="TOI139" s="18"/>
      <c r="TOJ139" s="18"/>
      <c r="TOK139" s="18"/>
      <c r="TOL139" s="17"/>
      <c r="TOM139" s="9"/>
      <c r="TON139" s="9"/>
      <c r="TOO139" s="18"/>
      <c r="TOP139" s="18"/>
      <c r="TOQ139" s="18"/>
      <c r="TOR139" s="18"/>
      <c r="TOS139" s="18"/>
      <c r="TOT139" s="17"/>
      <c r="TOU139" s="9"/>
      <c r="TOV139" s="9"/>
      <c r="TOW139" s="18"/>
      <c r="TOX139" s="18"/>
      <c r="TOY139" s="18"/>
      <c r="TOZ139" s="18"/>
      <c r="TPA139" s="18"/>
      <c r="TPB139" s="17"/>
      <c r="TPC139" s="9"/>
      <c r="TPD139" s="9"/>
      <c r="TPE139" s="18"/>
      <c r="TPF139" s="18"/>
      <c r="TPG139" s="18"/>
      <c r="TPH139" s="18"/>
      <c r="TPI139" s="18"/>
      <c r="TPJ139" s="17"/>
      <c r="TPK139" s="9"/>
      <c r="TPL139" s="9"/>
      <c r="TPM139" s="18"/>
      <c r="TPN139" s="18"/>
      <c r="TPO139" s="18"/>
      <c r="TPP139" s="18"/>
      <c r="TPQ139" s="18"/>
      <c r="TPR139" s="17"/>
      <c r="TPS139" s="9"/>
      <c r="TPT139" s="9"/>
      <c r="TPU139" s="18"/>
      <c r="TPV139" s="18"/>
      <c r="TPW139" s="18"/>
      <c r="TPX139" s="18"/>
      <c r="TPY139" s="18"/>
      <c r="TPZ139" s="17"/>
      <c r="TQA139" s="9"/>
      <c r="TQB139" s="9"/>
      <c r="TQC139" s="18"/>
      <c r="TQD139" s="18"/>
      <c r="TQE139" s="18"/>
      <c r="TQF139" s="18"/>
      <c r="TQG139" s="18"/>
      <c r="TQH139" s="17"/>
      <c r="TQI139" s="9"/>
      <c r="TQJ139" s="9"/>
      <c r="TQK139" s="18"/>
      <c r="TQL139" s="18"/>
      <c r="TQM139" s="18"/>
      <c r="TQN139" s="18"/>
      <c r="TQO139" s="18"/>
      <c r="TQP139" s="17"/>
      <c r="TQQ139" s="9"/>
      <c r="TQR139" s="9"/>
      <c r="TQS139" s="18"/>
      <c r="TQT139" s="18"/>
      <c r="TQU139" s="18"/>
      <c r="TQV139" s="18"/>
      <c r="TQW139" s="18"/>
      <c r="TQX139" s="17"/>
      <c r="TQY139" s="9"/>
      <c r="TQZ139" s="9"/>
      <c r="TRA139" s="18"/>
      <c r="TRB139" s="18"/>
      <c r="TRC139" s="18"/>
      <c r="TRD139" s="18"/>
      <c r="TRE139" s="18"/>
      <c r="TRF139" s="17"/>
      <c r="TRG139" s="9"/>
      <c r="TRH139" s="9"/>
      <c r="TRI139" s="18"/>
      <c r="TRJ139" s="18"/>
      <c r="TRK139" s="18"/>
      <c r="TRL139" s="18"/>
      <c r="TRM139" s="18"/>
      <c r="TRN139" s="17"/>
      <c r="TRO139" s="9"/>
      <c r="TRP139" s="9"/>
      <c r="TRQ139" s="18"/>
      <c r="TRR139" s="18"/>
      <c r="TRS139" s="18"/>
      <c r="TRT139" s="18"/>
      <c r="TRU139" s="18"/>
      <c r="TRV139" s="17"/>
      <c r="TRW139" s="9"/>
      <c r="TRX139" s="9"/>
      <c r="TRY139" s="18"/>
      <c r="TRZ139" s="18"/>
      <c r="TSA139" s="18"/>
      <c r="TSB139" s="18"/>
      <c r="TSC139" s="18"/>
      <c r="TSD139" s="17"/>
      <c r="TSE139" s="9"/>
      <c r="TSF139" s="9"/>
      <c r="TSG139" s="18"/>
      <c r="TSH139" s="18"/>
      <c r="TSI139" s="18"/>
      <c r="TSJ139" s="18"/>
      <c r="TSK139" s="18"/>
      <c r="TSL139" s="17"/>
      <c r="TSM139" s="9"/>
      <c r="TSN139" s="9"/>
      <c r="TSO139" s="18"/>
      <c r="TSP139" s="18"/>
      <c r="TSQ139" s="18"/>
      <c r="TSR139" s="18"/>
      <c r="TSS139" s="18"/>
      <c r="TST139" s="17"/>
      <c r="TSU139" s="9"/>
      <c r="TSV139" s="9"/>
      <c r="TSW139" s="18"/>
      <c r="TSX139" s="18"/>
      <c r="TSY139" s="18"/>
      <c r="TSZ139" s="18"/>
      <c r="TTA139" s="18"/>
      <c r="TTB139" s="17"/>
      <c r="TTC139" s="9"/>
      <c r="TTD139" s="9"/>
      <c r="TTE139" s="18"/>
      <c r="TTF139" s="18"/>
      <c r="TTG139" s="18"/>
      <c r="TTH139" s="18"/>
      <c r="TTI139" s="18"/>
      <c r="TTJ139" s="17"/>
      <c r="TTK139" s="9"/>
      <c r="TTL139" s="9"/>
      <c r="TTM139" s="18"/>
      <c r="TTN139" s="18"/>
      <c r="TTO139" s="18"/>
      <c r="TTP139" s="18"/>
      <c r="TTQ139" s="18"/>
      <c r="TTR139" s="17"/>
      <c r="TTS139" s="9"/>
      <c r="TTT139" s="9"/>
      <c r="TTU139" s="18"/>
      <c r="TTV139" s="18"/>
      <c r="TTW139" s="18"/>
      <c r="TTX139" s="18"/>
      <c r="TTY139" s="18"/>
      <c r="TTZ139" s="17"/>
      <c r="TUA139" s="9"/>
      <c r="TUB139" s="9"/>
      <c r="TUC139" s="18"/>
      <c r="TUD139" s="18"/>
      <c r="TUE139" s="18"/>
      <c r="TUF139" s="18"/>
      <c r="TUG139" s="18"/>
      <c r="TUH139" s="17"/>
      <c r="TUI139" s="9"/>
      <c r="TUJ139" s="9"/>
      <c r="TUK139" s="18"/>
      <c r="TUL139" s="18"/>
      <c r="TUM139" s="18"/>
      <c r="TUN139" s="18"/>
      <c r="TUO139" s="18"/>
      <c r="TUP139" s="17"/>
      <c r="TUQ139" s="9"/>
      <c r="TUR139" s="9"/>
      <c r="TUS139" s="18"/>
      <c r="TUT139" s="18"/>
      <c r="TUU139" s="18"/>
      <c r="TUV139" s="18"/>
      <c r="TUW139" s="18"/>
      <c r="TUX139" s="17"/>
      <c r="TUY139" s="9"/>
      <c r="TUZ139" s="9"/>
      <c r="TVA139" s="18"/>
      <c r="TVB139" s="18"/>
      <c r="TVC139" s="18"/>
      <c r="TVD139" s="18"/>
      <c r="TVE139" s="18"/>
      <c r="TVF139" s="17"/>
      <c r="TVG139" s="9"/>
      <c r="TVH139" s="9"/>
      <c r="TVI139" s="18"/>
      <c r="TVJ139" s="18"/>
      <c r="TVK139" s="18"/>
      <c r="TVL139" s="18"/>
      <c r="TVM139" s="18"/>
      <c r="TVN139" s="17"/>
      <c r="TVO139" s="9"/>
      <c r="TVP139" s="9"/>
      <c r="TVQ139" s="18"/>
      <c r="TVR139" s="18"/>
      <c r="TVS139" s="18"/>
      <c r="TVT139" s="18"/>
      <c r="TVU139" s="18"/>
      <c r="TVV139" s="17"/>
      <c r="TVW139" s="9"/>
      <c r="TVX139" s="9"/>
      <c r="TVY139" s="18"/>
      <c r="TVZ139" s="18"/>
      <c r="TWA139" s="18"/>
      <c r="TWB139" s="18"/>
      <c r="TWC139" s="18"/>
      <c r="TWD139" s="17"/>
      <c r="TWE139" s="9"/>
      <c r="TWF139" s="9"/>
      <c r="TWG139" s="18"/>
      <c r="TWH139" s="18"/>
      <c r="TWI139" s="18"/>
      <c r="TWJ139" s="18"/>
      <c r="TWK139" s="18"/>
      <c r="TWL139" s="17"/>
      <c r="TWM139" s="9"/>
      <c r="TWN139" s="9"/>
      <c r="TWO139" s="18"/>
      <c r="TWP139" s="18"/>
      <c r="TWQ139" s="18"/>
      <c r="TWR139" s="18"/>
      <c r="TWS139" s="18"/>
      <c r="TWT139" s="17"/>
      <c r="TWU139" s="9"/>
      <c r="TWV139" s="9"/>
      <c r="TWW139" s="18"/>
      <c r="TWX139" s="18"/>
      <c r="TWY139" s="18"/>
      <c r="TWZ139" s="18"/>
      <c r="TXA139" s="18"/>
      <c r="TXB139" s="17"/>
      <c r="TXC139" s="9"/>
      <c r="TXD139" s="9"/>
      <c r="TXE139" s="18"/>
      <c r="TXF139" s="18"/>
      <c r="TXG139" s="18"/>
      <c r="TXH139" s="18"/>
      <c r="TXI139" s="18"/>
      <c r="TXJ139" s="17"/>
      <c r="TXK139" s="9"/>
      <c r="TXL139" s="9"/>
      <c r="TXM139" s="18"/>
      <c r="TXN139" s="18"/>
      <c r="TXO139" s="18"/>
      <c r="TXP139" s="18"/>
      <c r="TXQ139" s="18"/>
      <c r="TXR139" s="17"/>
      <c r="TXS139" s="9"/>
      <c r="TXT139" s="9"/>
      <c r="TXU139" s="18"/>
      <c r="TXV139" s="18"/>
      <c r="TXW139" s="18"/>
      <c r="TXX139" s="18"/>
      <c r="TXY139" s="18"/>
      <c r="TXZ139" s="17"/>
      <c r="TYA139" s="9"/>
      <c r="TYB139" s="9"/>
      <c r="TYC139" s="18"/>
      <c r="TYD139" s="18"/>
      <c r="TYE139" s="18"/>
      <c r="TYF139" s="18"/>
      <c r="TYG139" s="18"/>
      <c r="TYH139" s="17"/>
      <c r="TYI139" s="9"/>
      <c r="TYJ139" s="9"/>
      <c r="TYK139" s="18"/>
      <c r="TYL139" s="18"/>
      <c r="TYM139" s="18"/>
      <c r="TYN139" s="18"/>
      <c r="TYO139" s="18"/>
      <c r="TYP139" s="17"/>
      <c r="TYQ139" s="9"/>
      <c r="TYR139" s="9"/>
      <c r="TYS139" s="18"/>
      <c r="TYT139" s="18"/>
      <c r="TYU139" s="18"/>
      <c r="TYV139" s="18"/>
      <c r="TYW139" s="18"/>
      <c r="TYX139" s="17"/>
      <c r="TYY139" s="9"/>
      <c r="TYZ139" s="9"/>
      <c r="TZA139" s="18"/>
      <c r="TZB139" s="18"/>
      <c r="TZC139" s="18"/>
      <c r="TZD139" s="18"/>
      <c r="TZE139" s="18"/>
      <c r="TZF139" s="17"/>
      <c r="TZG139" s="9"/>
      <c r="TZH139" s="9"/>
      <c r="TZI139" s="18"/>
      <c r="TZJ139" s="18"/>
      <c r="TZK139" s="18"/>
      <c r="TZL139" s="18"/>
      <c r="TZM139" s="18"/>
      <c r="TZN139" s="17"/>
      <c r="TZO139" s="9"/>
      <c r="TZP139" s="9"/>
      <c r="TZQ139" s="18"/>
      <c r="TZR139" s="18"/>
      <c r="TZS139" s="18"/>
      <c r="TZT139" s="18"/>
      <c r="TZU139" s="18"/>
      <c r="TZV139" s="17"/>
      <c r="TZW139" s="9"/>
      <c r="TZX139" s="9"/>
      <c r="TZY139" s="18"/>
      <c r="TZZ139" s="18"/>
      <c r="UAA139" s="18"/>
      <c r="UAB139" s="18"/>
      <c r="UAC139" s="18"/>
      <c r="UAD139" s="17"/>
      <c r="UAE139" s="9"/>
      <c r="UAF139" s="9"/>
      <c r="UAG139" s="18"/>
      <c r="UAH139" s="18"/>
      <c r="UAI139" s="18"/>
      <c r="UAJ139" s="18"/>
      <c r="UAK139" s="18"/>
      <c r="UAL139" s="17"/>
      <c r="UAM139" s="9"/>
      <c r="UAN139" s="9"/>
      <c r="UAO139" s="18"/>
      <c r="UAP139" s="18"/>
      <c r="UAQ139" s="18"/>
      <c r="UAR139" s="18"/>
      <c r="UAS139" s="18"/>
      <c r="UAT139" s="17"/>
      <c r="UAU139" s="9"/>
      <c r="UAV139" s="9"/>
      <c r="UAW139" s="18"/>
      <c r="UAX139" s="18"/>
      <c r="UAY139" s="18"/>
      <c r="UAZ139" s="18"/>
      <c r="UBA139" s="18"/>
      <c r="UBB139" s="17"/>
      <c r="UBC139" s="9"/>
      <c r="UBD139" s="9"/>
      <c r="UBE139" s="18"/>
      <c r="UBF139" s="18"/>
      <c r="UBG139" s="18"/>
      <c r="UBH139" s="18"/>
      <c r="UBI139" s="18"/>
      <c r="UBJ139" s="17"/>
      <c r="UBK139" s="9"/>
      <c r="UBL139" s="9"/>
      <c r="UBM139" s="18"/>
      <c r="UBN139" s="18"/>
      <c r="UBO139" s="18"/>
      <c r="UBP139" s="18"/>
      <c r="UBQ139" s="18"/>
      <c r="UBR139" s="17"/>
      <c r="UBS139" s="9"/>
      <c r="UBT139" s="9"/>
      <c r="UBU139" s="18"/>
      <c r="UBV139" s="18"/>
      <c r="UBW139" s="18"/>
      <c r="UBX139" s="18"/>
      <c r="UBY139" s="18"/>
      <c r="UBZ139" s="17"/>
      <c r="UCA139" s="9"/>
      <c r="UCB139" s="9"/>
      <c r="UCC139" s="18"/>
      <c r="UCD139" s="18"/>
      <c r="UCE139" s="18"/>
      <c r="UCF139" s="18"/>
      <c r="UCG139" s="18"/>
      <c r="UCH139" s="17"/>
      <c r="UCI139" s="9"/>
      <c r="UCJ139" s="9"/>
      <c r="UCK139" s="18"/>
      <c r="UCL139" s="18"/>
      <c r="UCM139" s="18"/>
      <c r="UCN139" s="18"/>
      <c r="UCO139" s="18"/>
      <c r="UCP139" s="17"/>
      <c r="UCQ139" s="9"/>
      <c r="UCR139" s="9"/>
      <c r="UCS139" s="18"/>
      <c r="UCT139" s="18"/>
      <c r="UCU139" s="18"/>
      <c r="UCV139" s="18"/>
      <c r="UCW139" s="18"/>
      <c r="UCX139" s="17"/>
      <c r="UCY139" s="9"/>
      <c r="UCZ139" s="9"/>
      <c r="UDA139" s="18"/>
      <c r="UDB139" s="18"/>
      <c r="UDC139" s="18"/>
      <c r="UDD139" s="18"/>
      <c r="UDE139" s="18"/>
      <c r="UDF139" s="17"/>
      <c r="UDG139" s="9"/>
      <c r="UDH139" s="9"/>
      <c r="UDI139" s="18"/>
      <c r="UDJ139" s="18"/>
      <c r="UDK139" s="18"/>
      <c r="UDL139" s="18"/>
      <c r="UDM139" s="18"/>
      <c r="UDN139" s="17"/>
      <c r="UDO139" s="9"/>
      <c r="UDP139" s="9"/>
      <c r="UDQ139" s="18"/>
      <c r="UDR139" s="18"/>
      <c r="UDS139" s="18"/>
      <c r="UDT139" s="18"/>
      <c r="UDU139" s="18"/>
      <c r="UDV139" s="17"/>
      <c r="UDW139" s="9"/>
      <c r="UDX139" s="9"/>
      <c r="UDY139" s="18"/>
      <c r="UDZ139" s="18"/>
      <c r="UEA139" s="18"/>
      <c r="UEB139" s="18"/>
      <c r="UEC139" s="18"/>
      <c r="UED139" s="17"/>
      <c r="UEE139" s="9"/>
      <c r="UEF139" s="9"/>
      <c r="UEG139" s="18"/>
      <c r="UEH139" s="18"/>
      <c r="UEI139" s="18"/>
      <c r="UEJ139" s="18"/>
      <c r="UEK139" s="18"/>
      <c r="UEL139" s="17"/>
      <c r="UEM139" s="9"/>
      <c r="UEN139" s="9"/>
      <c r="UEO139" s="18"/>
      <c r="UEP139" s="18"/>
      <c r="UEQ139" s="18"/>
      <c r="UER139" s="18"/>
      <c r="UES139" s="18"/>
      <c r="UET139" s="17"/>
      <c r="UEU139" s="9"/>
      <c r="UEV139" s="9"/>
      <c r="UEW139" s="18"/>
      <c r="UEX139" s="18"/>
      <c r="UEY139" s="18"/>
      <c r="UEZ139" s="18"/>
      <c r="UFA139" s="18"/>
      <c r="UFB139" s="17"/>
      <c r="UFC139" s="9"/>
      <c r="UFD139" s="9"/>
      <c r="UFE139" s="18"/>
      <c r="UFF139" s="18"/>
      <c r="UFG139" s="18"/>
      <c r="UFH139" s="18"/>
      <c r="UFI139" s="18"/>
      <c r="UFJ139" s="17"/>
      <c r="UFK139" s="9"/>
      <c r="UFL139" s="9"/>
      <c r="UFM139" s="18"/>
      <c r="UFN139" s="18"/>
      <c r="UFO139" s="18"/>
      <c r="UFP139" s="18"/>
      <c r="UFQ139" s="18"/>
      <c r="UFR139" s="17"/>
      <c r="UFS139" s="9"/>
      <c r="UFT139" s="9"/>
      <c r="UFU139" s="18"/>
      <c r="UFV139" s="18"/>
      <c r="UFW139" s="18"/>
      <c r="UFX139" s="18"/>
      <c r="UFY139" s="18"/>
      <c r="UFZ139" s="17"/>
      <c r="UGA139" s="9"/>
      <c r="UGB139" s="9"/>
      <c r="UGC139" s="18"/>
      <c r="UGD139" s="18"/>
      <c r="UGE139" s="18"/>
      <c r="UGF139" s="18"/>
      <c r="UGG139" s="18"/>
      <c r="UGH139" s="17"/>
      <c r="UGI139" s="9"/>
      <c r="UGJ139" s="9"/>
      <c r="UGK139" s="18"/>
      <c r="UGL139" s="18"/>
      <c r="UGM139" s="18"/>
      <c r="UGN139" s="18"/>
      <c r="UGO139" s="18"/>
      <c r="UGP139" s="17"/>
      <c r="UGQ139" s="9"/>
      <c r="UGR139" s="9"/>
      <c r="UGS139" s="18"/>
      <c r="UGT139" s="18"/>
      <c r="UGU139" s="18"/>
      <c r="UGV139" s="18"/>
      <c r="UGW139" s="18"/>
      <c r="UGX139" s="17"/>
      <c r="UGY139" s="9"/>
      <c r="UGZ139" s="9"/>
      <c r="UHA139" s="18"/>
      <c r="UHB139" s="18"/>
      <c r="UHC139" s="18"/>
      <c r="UHD139" s="18"/>
      <c r="UHE139" s="18"/>
      <c r="UHF139" s="17"/>
      <c r="UHG139" s="9"/>
      <c r="UHH139" s="9"/>
      <c r="UHI139" s="18"/>
      <c r="UHJ139" s="18"/>
      <c r="UHK139" s="18"/>
      <c r="UHL139" s="18"/>
      <c r="UHM139" s="18"/>
      <c r="UHN139" s="17"/>
      <c r="UHO139" s="9"/>
      <c r="UHP139" s="9"/>
      <c r="UHQ139" s="18"/>
      <c r="UHR139" s="18"/>
      <c r="UHS139" s="18"/>
      <c r="UHT139" s="18"/>
      <c r="UHU139" s="18"/>
      <c r="UHV139" s="17"/>
      <c r="UHW139" s="9"/>
      <c r="UHX139" s="9"/>
      <c r="UHY139" s="18"/>
      <c r="UHZ139" s="18"/>
      <c r="UIA139" s="18"/>
      <c r="UIB139" s="18"/>
      <c r="UIC139" s="18"/>
      <c r="UID139" s="17"/>
      <c r="UIE139" s="9"/>
      <c r="UIF139" s="9"/>
      <c r="UIG139" s="18"/>
      <c r="UIH139" s="18"/>
      <c r="UII139" s="18"/>
      <c r="UIJ139" s="18"/>
      <c r="UIK139" s="18"/>
      <c r="UIL139" s="17"/>
      <c r="UIM139" s="9"/>
      <c r="UIN139" s="9"/>
      <c r="UIO139" s="18"/>
      <c r="UIP139" s="18"/>
      <c r="UIQ139" s="18"/>
      <c r="UIR139" s="18"/>
      <c r="UIS139" s="18"/>
      <c r="UIT139" s="17"/>
      <c r="UIU139" s="9"/>
      <c r="UIV139" s="9"/>
      <c r="UIW139" s="18"/>
      <c r="UIX139" s="18"/>
      <c r="UIY139" s="18"/>
      <c r="UIZ139" s="18"/>
      <c r="UJA139" s="18"/>
      <c r="UJB139" s="17"/>
      <c r="UJC139" s="9"/>
      <c r="UJD139" s="9"/>
      <c r="UJE139" s="18"/>
      <c r="UJF139" s="18"/>
      <c r="UJG139" s="18"/>
      <c r="UJH139" s="18"/>
      <c r="UJI139" s="18"/>
      <c r="UJJ139" s="17"/>
      <c r="UJK139" s="9"/>
      <c r="UJL139" s="9"/>
      <c r="UJM139" s="18"/>
      <c r="UJN139" s="18"/>
      <c r="UJO139" s="18"/>
      <c r="UJP139" s="18"/>
      <c r="UJQ139" s="18"/>
      <c r="UJR139" s="17"/>
      <c r="UJS139" s="9"/>
      <c r="UJT139" s="9"/>
      <c r="UJU139" s="18"/>
      <c r="UJV139" s="18"/>
      <c r="UJW139" s="18"/>
      <c r="UJX139" s="18"/>
      <c r="UJY139" s="18"/>
      <c r="UJZ139" s="17"/>
      <c r="UKA139" s="9"/>
      <c r="UKB139" s="9"/>
      <c r="UKC139" s="18"/>
      <c r="UKD139" s="18"/>
      <c r="UKE139" s="18"/>
      <c r="UKF139" s="18"/>
      <c r="UKG139" s="18"/>
      <c r="UKH139" s="17"/>
      <c r="UKI139" s="9"/>
      <c r="UKJ139" s="9"/>
      <c r="UKK139" s="18"/>
      <c r="UKL139" s="18"/>
      <c r="UKM139" s="18"/>
      <c r="UKN139" s="18"/>
      <c r="UKO139" s="18"/>
      <c r="UKP139" s="17"/>
      <c r="UKQ139" s="9"/>
      <c r="UKR139" s="9"/>
      <c r="UKS139" s="18"/>
      <c r="UKT139" s="18"/>
      <c r="UKU139" s="18"/>
      <c r="UKV139" s="18"/>
      <c r="UKW139" s="18"/>
      <c r="UKX139" s="17"/>
      <c r="UKY139" s="9"/>
      <c r="UKZ139" s="9"/>
      <c r="ULA139" s="18"/>
      <c r="ULB139" s="18"/>
      <c r="ULC139" s="18"/>
      <c r="ULD139" s="18"/>
      <c r="ULE139" s="18"/>
      <c r="ULF139" s="17"/>
      <c r="ULG139" s="9"/>
      <c r="ULH139" s="9"/>
      <c r="ULI139" s="18"/>
      <c r="ULJ139" s="18"/>
      <c r="ULK139" s="18"/>
      <c r="ULL139" s="18"/>
      <c r="ULM139" s="18"/>
      <c r="ULN139" s="17"/>
      <c r="ULO139" s="9"/>
      <c r="ULP139" s="9"/>
      <c r="ULQ139" s="18"/>
      <c r="ULR139" s="18"/>
      <c r="ULS139" s="18"/>
      <c r="ULT139" s="18"/>
      <c r="ULU139" s="18"/>
      <c r="ULV139" s="17"/>
      <c r="ULW139" s="9"/>
      <c r="ULX139" s="9"/>
      <c r="ULY139" s="18"/>
      <c r="ULZ139" s="18"/>
      <c r="UMA139" s="18"/>
      <c r="UMB139" s="18"/>
      <c r="UMC139" s="18"/>
      <c r="UMD139" s="17"/>
      <c r="UME139" s="9"/>
      <c r="UMF139" s="9"/>
      <c r="UMG139" s="18"/>
      <c r="UMH139" s="18"/>
      <c r="UMI139" s="18"/>
      <c r="UMJ139" s="18"/>
      <c r="UMK139" s="18"/>
      <c r="UML139" s="17"/>
      <c r="UMM139" s="9"/>
      <c r="UMN139" s="9"/>
      <c r="UMO139" s="18"/>
      <c r="UMP139" s="18"/>
      <c r="UMQ139" s="18"/>
      <c r="UMR139" s="18"/>
      <c r="UMS139" s="18"/>
      <c r="UMT139" s="17"/>
      <c r="UMU139" s="9"/>
      <c r="UMV139" s="9"/>
      <c r="UMW139" s="18"/>
      <c r="UMX139" s="18"/>
      <c r="UMY139" s="18"/>
      <c r="UMZ139" s="18"/>
      <c r="UNA139" s="18"/>
      <c r="UNB139" s="17"/>
      <c r="UNC139" s="9"/>
      <c r="UND139" s="9"/>
      <c r="UNE139" s="18"/>
      <c r="UNF139" s="18"/>
      <c r="UNG139" s="18"/>
      <c r="UNH139" s="18"/>
      <c r="UNI139" s="18"/>
      <c r="UNJ139" s="17"/>
      <c r="UNK139" s="9"/>
      <c r="UNL139" s="9"/>
      <c r="UNM139" s="18"/>
      <c r="UNN139" s="18"/>
      <c r="UNO139" s="18"/>
      <c r="UNP139" s="18"/>
      <c r="UNQ139" s="18"/>
      <c r="UNR139" s="17"/>
      <c r="UNS139" s="9"/>
      <c r="UNT139" s="9"/>
      <c r="UNU139" s="18"/>
      <c r="UNV139" s="18"/>
      <c r="UNW139" s="18"/>
      <c r="UNX139" s="18"/>
      <c r="UNY139" s="18"/>
      <c r="UNZ139" s="17"/>
      <c r="UOA139" s="9"/>
      <c r="UOB139" s="9"/>
      <c r="UOC139" s="18"/>
      <c r="UOD139" s="18"/>
      <c r="UOE139" s="18"/>
      <c r="UOF139" s="18"/>
      <c r="UOG139" s="18"/>
      <c r="UOH139" s="17"/>
      <c r="UOI139" s="9"/>
      <c r="UOJ139" s="9"/>
      <c r="UOK139" s="18"/>
      <c r="UOL139" s="18"/>
      <c r="UOM139" s="18"/>
      <c r="UON139" s="18"/>
      <c r="UOO139" s="18"/>
      <c r="UOP139" s="17"/>
      <c r="UOQ139" s="9"/>
      <c r="UOR139" s="9"/>
      <c r="UOS139" s="18"/>
      <c r="UOT139" s="18"/>
      <c r="UOU139" s="18"/>
      <c r="UOV139" s="18"/>
      <c r="UOW139" s="18"/>
      <c r="UOX139" s="17"/>
      <c r="UOY139" s="9"/>
      <c r="UOZ139" s="9"/>
      <c r="UPA139" s="18"/>
      <c r="UPB139" s="18"/>
      <c r="UPC139" s="18"/>
      <c r="UPD139" s="18"/>
      <c r="UPE139" s="18"/>
      <c r="UPF139" s="17"/>
      <c r="UPG139" s="9"/>
      <c r="UPH139" s="9"/>
      <c r="UPI139" s="18"/>
      <c r="UPJ139" s="18"/>
      <c r="UPK139" s="18"/>
      <c r="UPL139" s="18"/>
      <c r="UPM139" s="18"/>
      <c r="UPN139" s="17"/>
      <c r="UPO139" s="9"/>
      <c r="UPP139" s="9"/>
      <c r="UPQ139" s="18"/>
      <c r="UPR139" s="18"/>
      <c r="UPS139" s="18"/>
      <c r="UPT139" s="18"/>
      <c r="UPU139" s="18"/>
      <c r="UPV139" s="17"/>
      <c r="UPW139" s="9"/>
      <c r="UPX139" s="9"/>
      <c r="UPY139" s="18"/>
      <c r="UPZ139" s="18"/>
      <c r="UQA139" s="18"/>
      <c r="UQB139" s="18"/>
      <c r="UQC139" s="18"/>
      <c r="UQD139" s="17"/>
      <c r="UQE139" s="9"/>
      <c r="UQF139" s="9"/>
      <c r="UQG139" s="18"/>
      <c r="UQH139" s="18"/>
      <c r="UQI139" s="18"/>
      <c r="UQJ139" s="18"/>
      <c r="UQK139" s="18"/>
      <c r="UQL139" s="17"/>
      <c r="UQM139" s="9"/>
      <c r="UQN139" s="9"/>
      <c r="UQO139" s="18"/>
      <c r="UQP139" s="18"/>
      <c r="UQQ139" s="18"/>
      <c r="UQR139" s="18"/>
      <c r="UQS139" s="18"/>
      <c r="UQT139" s="17"/>
      <c r="UQU139" s="9"/>
      <c r="UQV139" s="9"/>
      <c r="UQW139" s="18"/>
      <c r="UQX139" s="18"/>
      <c r="UQY139" s="18"/>
      <c r="UQZ139" s="18"/>
      <c r="URA139" s="18"/>
      <c r="URB139" s="17"/>
      <c r="URC139" s="9"/>
      <c r="URD139" s="9"/>
      <c r="URE139" s="18"/>
      <c r="URF139" s="18"/>
      <c r="URG139" s="18"/>
      <c r="URH139" s="18"/>
      <c r="URI139" s="18"/>
      <c r="URJ139" s="17"/>
      <c r="URK139" s="9"/>
      <c r="URL139" s="9"/>
      <c r="URM139" s="18"/>
      <c r="URN139" s="18"/>
      <c r="URO139" s="18"/>
      <c r="URP139" s="18"/>
      <c r="URQ139" s="18"/>
      <c r="URR139" s="17"/>
      <c r="URS139" s="9"/>
      <c r="URT139" s="9"/>
      <c r="URU139" s="18"/>
      <c r="URV139" s="18"/>
      <c r="URW139" s="18"/>
      <c r="URX139" s="18"/>
      <c r="URY139" s="18"/>
      <c r="URZ139" s="17"/>
      <c r="USA139" s="9"/>
      <c r="USB139" s="9"/>
      <c r="USC139" s="18"/>
      <c r="USD139" s="18"/>
      <c r="USE139" s="18"/>
      <c r="USF139" s="18"/>
      <c r="USG139" s="18"/>
      <c r="USH139" s="17"/>
      <c r="USI139" s="9"/>
      <c r="USJ139" s="9"/>
      <c r="USK139" s="18"/>
      <c r="USL139" s="18"/>
      <c r="USM139" s="18"/>
      <c r="USN139" s="18"/>
      <c r="USO139" s="18"/>
      <c r="USP139" s="17"/>
      <c r="USQ139" s="9"/>
      <c r="USR139" s="9"/>
      <c r="USS139" s="18"/>
      <c r="UST139" s="18"/>
      <c r="USU139" s="18"/>
      <c r="USV139" s="18"/>
      <c r="USW139" s="18"/>
      <c r="USX139" s="17"/>
      <c r="USY139" s="9"/>
      <c r="USZ139" s="9"/>
      <c r="UTA139" s="18"/>
      <c r="UTB139" s="18"/>
      <c r="UTC139" s="18"/>
      <c r="UTD139" s="18"/>
      <c r="UTE139" s="18"/>
      <c r="UTF139" s="17"/>
      <c r="UTG139" s="9"/>
      <c r="UTH139" s="9"/>
      <c r="UTI139" s="18"/>
      <c r="UTJ139" s="18"/>
      <c r="UTK139" s="18"/>
      <c r="UTL139" s="18"/>
      <c r="UTM139" s="18"/>
      <c r="UTN139" s="17"/>
      <c r="UTO139" s="9"/>
      <c r="UTP139" s="9"/>
      <c r="UTQ139" s="18"/>
      <c r="UTR139" s="18"/>
      <c r="UTS139" s="18"/>
      <c r="UTT139" s="18"/>
      <c r="UTU139" s="18"/>
      <c r="UTV139" s="17"/>
      <c r="UTW139" s="9"/>
      <c r="UTX139" s="9"/>
      <c r="UTY139" s="18"/>
      <c r="UTZ139" s="18"/>
      <c r="UUA139" s="18"/>
      <c r="UUB139" s="18"/>
      <c r="UUC139" s="18"/>
      <c r="UUD139" s="17"/>
      <c r="UUE139" s="9"/>
      <c r="UUF139" s="9"/>
      <c r="UUG139" s="18"/>
      <c r="UUH139" s="18"/>
      <c r="UUI139" s="18"/>
      <c r="UUJ139" s="18"/>
      <c r="UUK139" s="18"/>
      <c r="UUL139" s="17"/>
      <c r="UUM139" s="9"/>
      <c r="UUN139" s="9"/>
      <c r="UUO139" s="18"/>
      <c r="UUP139" s="18"/>
      <c r="UUQ139" s="18"/>
      <c r="UUR139" s="18"/>
      <c r="UUS139" s="18"/>
      <c r="UUT139" s="17"/>
      <c r="UUU139" s="9"/>
      <c r="UUV139" s="9"/>
      <c r="UUW139" s="18"/>
      <c r="UUX139" s="18"/>
      <c r="UUY139" s="18"/>
      <c r="UUZ139" s="18"/>
      <c r="UVA139" s="18"/>
      <c r="UVB139" s="17"/>
      <c r="UVC139" s="9"/>
      <c r="UVD139" s="9"/>
      <c r="UVE139" s="18"/>
      <c r="UVF139" s="18"/>
      <c r="UVG139" s="18"/>
      <c r="UVH139" s="18"/>
      <c r="UVI139" s="18"/>
      <c r="UVJ139" s="17"/>
      <c r="UVK139" s="9"/>
      <c r="UVL139" s="9"/>
      <c r="UVM139" s="18"/>
      <c r="UVN139" s="18"/>
      <c r="UVO139" s="18"/>
      <c r="UVP139" s="18"/>
      <c r="UVQ139" s="18"/>
      <c r="UVR139" s="17"/>
      <c r="UVS139" s="9"/>
      <c r="UVT139" s="9"/>
      <c r="UVU139" s="18"/>
      <c r="UVV139" s="18"/>
      <c r="UVW139" s="18"/>
      <c r="UVX139" s="18"/>
      <c r="UVY139" s="18"/>
      <c r="UVZ139" s="17"/>
      <c r="UWA139" s="9"/>
      <c r="UWB139" s="9"/>
      <c r="UWC139" s="18"/>
      <c r="UWD139" s="18"/>
      <c r="UWE139" s="18"/>
      <c r="UWF139" s="18"/>
      <c r="UWG139" s="18"/>
      <c r="UWH139" s="17"/>
      <c r="UWI139" s="9"/>
      <c r="UWJ139" s="9"/>
      <c r="UWK139" s="18"/>
      <c r="UWL139" s="18"/>
      <c r="UWM139" s="18"/>
      <c r="UWN139" s="18"/>
      <c r="UWO139" s="18"/>
      <c r="UWP139" s="17"/>
      <c r="UWQ139" s="9"/>
      <c r="UWR139" s="9"/>
      <c r="UWS139" s="18"/>
      <c r="UWT139" s="18"/>
      <c r="UWU139" s="18"/>
      <c r="UWV139" s="18"/>
      <c r="UWW139" s="18"/>
      <c r="UWX139" s="17"/>
      <c r="UWY139" s="9"/>
      <c r="UWZ139" s="9"/>
      <c r="UXA139" s="18"/>
      <c r="UXB139" s="18"/>
      <c r="UXC139" s="18"/>
      <c r="UXD139" s="18"/>
      <c r="UXE139" s="18"/>
      <c r="UXF139" s="17"/>
      <c r="UXG139" s="9"/>
      <c r="UXH139" s="9"/>
      <c r="UXI139" s="18"/>
      <c r="UXJ139" s="18"/>
      <c r="UXK139" s="18"/>
      <c r="UXL139" s="18"/>
      <c r="UXM139" s="18"/>
      <c r="UXN139" s="17"/>
      <c r="UXO139" s="9"/>
      <c r="UXP139" s="9"/>
      <c r="UXQ139" s="18"/>
      <c r="UXR139" s="18"/>
      <c r="UXS139" s="18"/>
      <c r="UXT139" s="18"/>
      <c r="UXU139" s="18"/>
      <c r="UXV139" s="17"/>
      <c r="UXW139" s="9"/>
      <c r="UXX139" s="9"/>
      <c r="UXY139" s="18"/>
      <c r="UXZ139" s="18"/>
      <c r="UYA139" s="18"/>
      <c r="UYB139" s="18"/>
      <c r="UYC139" s="18"/>
      <c r="UYD139" s="17"/>
      <c r="UYE139" s="9"/>
      <c r="UYF139" s="9"/>
      <c r="UYG139" s="18"/>
      <c r="UYH139" s="18"/>
      <c r="UYI139" s="18"/>
      <c r="UYJ139" s="18"/>
      <c r="UYK139" s="18"/>
      <c r="UYL139" s="17"/>
      <c r="UYM139" s="9"/>
      <c r="UYN139" s="9"/>
      <c r="UYO139" s="18"/>
      <c r="UYP139" s="18"/>
      <c r="UYQ139" s="18"/>
      <c r="UYR139" s="18"/>
      <c r="UYS139" s="18"/>
      <c r="UYT139" s="17"/>
      <c r="UYU139" s="9"/>
      <c r="UYV139" s="9"/>
      <c r="UYW139" s="18"/>
      <c r="UYX139" s="18"/>
      <c r="UYY139" s="18"/>
      <c r="UYZ139" s="18"/>
      <c r="UZA139" s="18"/>
      <c r="UZB139" s="17"/>
      <c r="UZC139" s="9"/>
      <c r="UZD139" s="9"/>
      <c r="UZE139" s="18"/>
      <c r="UZF139" s="18"/>
      <c r="UZG139" s="18"/>
      <c r="UZH139" s="18"/>
      <c r="UZI139" s="18"/>
      <c r="UZJ139" s="17"/>
      <c r="UZK139" s="9"/>
      <c r="UZL139" s="9"/>
      <c r="UZM139" s="18"/>
      <c r="UZN139" s="18"/>
      <c r="UZO139" s="18"/>
      <c r="UZP139" s="18"/>
      <c r="UZQ139" s="18"/>
      <c r="UZR139" s="17"/>
      <c r="UZS139" s="9"/>
      <c r="UZT139" s="9"/>
      <c r="UZU139" s="18"/>
      <c r="UZV139" s="18"/>
      <c r="UZW139" s="18"/>
      <c r="UZX139" s="18"/>
      <c r="UZY139" s="18"/>
      <c r="UZZ139" s="17"/>
      <c r="VAA139" s="9"/>
      <c r="VAB139" s="9"/>
      <c r="VAC139" s="18"/>
      <c r="VAD139" s="18"/>
      <c r="VAE139" s="18"/>
      <c r="VAF139" s="18"/>
      <c r="VAG139" s="18"/>
      <c r="VAH139" s="17"/>
      <c r="VAI139" s="9"/>
      <c r="VAJ139" s="9"/>
      <c r="VAK139" s="18"/>
      <c r="VAL139" s="18"/>
      <c r="VAM139" s="18"/>
      <c r="VAN139" s="18"/>
      <c r="VAO139" s="18"/>
      <c r="VAP139" s="17"/>
      <c r="VAQ139" s="9"/>
      <c r="VAR139" s="9"/>
      <c r="VAS139" s="18"/>
      <c r="VAT139" s="18"/>
      <c r="VAU139" s="18"/>
      <c r="VAV139" s="18"/>
      <c r="VAW139" s="18"/>
      <c r="VAX139" s="17"/>
      <c r="VAY139" s="9"/>
      <c r="VAZ139" s="9"/>
      <c r="VBA139" s="18"/>
      <c r="VBB139" s="18"/>
      <c r="VBC139" s="18"/>
      <c r="VBD139" s="18"/>
      <c r="VBE139" s="18"/>
      <c r="VBF139" s="17"/>
      <c r="VBG139" s="9"/>
      <c r="VBH139" s="9"/>
      <c r="VBI139" s="18"/>
      <c r="VBJ139" s="18"/>
      <c r="VBK139" s="18"/>
      <c r="VBL139" s="18"/>
      <c r="VBM139" s="18"/>
      <c r="VBN139" s="17"/>
      <c r="VBO139" s="9"/>
      <c r="VBP139" s="9"/>
      <c r="VBQ139" s="18"/>
      <c r="VBR139" s="18"/>
      <c r="VBS139" s="18"/>
      <c r="VBT139" s="18"/>
      <c r="VBU139" s="18"/>
      <c r="VBV139" s="17"/>
      <c r="VBW139" s="9"/>
      <c r="VBX139" s="9"/>
      <c r="VBY139" s="18"/>
      <c r="VBZ139" s="18"/>
      <c r="VCA139" s="18"/>
      <c r="VCB139" s="18"/>
      <c r="VCC139" s="18"/>
      <c r="VCD139" s="17"/>
      <c r="VCE139" s="9"/>
      <c r="VCF139" s="9"/>
      <c r="VCG139" s="18"/>
      <c r="VCH139" s="18"/>
      <c r="VCI139" s="18"/>
      <c r="VCJ139" s="18"/>
      <c r="VCK139" s="18"/>
      <c r="VCL139" s="17"/>
      <c r="VCM139" s="9"/>
      <c r="VCN139" s="9"/>
      <c r="VCO139" s="18"/>
      <c r="VCP139" s="18"/>
      <c r="VCQ139" s="18"/>
      <c r="VCR139" s="18"/>
      <c r="VCS139" s="18"/>
      <c r="VCT139" s="17"/>
      <c r="VCU139" s="9"/>
      <c r="VCV139" s="9"/>
      <c r="VCW139" s="18"/>
      <c r="VCX139" s="18"/>
      <c r="VCY139" s="18"/>
      <c r="VCZ139" s="18"/>
      <c r="VDA139" s="18"/>
      <c r="VDB139" s="17"/>
      <c r="VDC139" s="9"/>
      <c r="VDD139" s="9"/>
      <c r="VDE139" s="18"/>
      <c r="VDF139" s="18"/>
      <c r="VDG139" s="18"/>
      <c r="VDH139" s="18"/>
      <c r="VDI139" s="18"/>
      <c r="VDJ139" s="17"/>
      <c r="VDK139" s="9"/>
      <c r="VDL139" s="9"/>
      <c r="VDM139" s="18"/>
      <c r="VDN139" s="18"/>
      <c r="VDO139" s="18"/>
      <c r="VDP139" s="18"/>
      <c r="VDQ139" s="18"/>
      <c r="VDR139" s="17"/>
      <c r="VDS139" s="9"/>
      <c r="VDT139" s="9"/>
      <c r="VDU139" s="18"/>
      <c r="VDV139" s="18"/>
      <c r="VDW139" s="18"/>
      <c r="VDX139" s="18"/>
      <c r="VDY139" s="18"/>
      <c r="VDZ139" s="17"/>
      <c r="VEA139" s="9"/>
      <c r="VEB139" s="9"/>
      <c r="VEC139" s="18"/>
      <c r="VED139" s="18"/>
      <c r="VEE139" s="18"/>
      <c r="VEF139" s="18"/>
      <c r="VEG139" s="18"/>
      <c r="VEH139" s="17"/>
      <c r="VEI139" s="9"/>
      <c r="VEJ139" s="9"/>
      <c r="VEK139" s="18"/>
      <c r="VEL139" s="18"/>
      <c r="VEM139" s="18"/>
      <c r="VEN139" s="18"/>
      <c r="VEO139" s="18"/>
      <c r="VEP139" s="17"/>
      <c r="VEQ139" s="9"/>
      <c r="VER139" s="9"/>
      <c r="VES139" s="18"/>
      <c r="VET139" s="18"/>
      <c r="VEU139" s="18"/>
      <c r="VEV139" s="18"/>
      <c r="VEW139" s="18"/>
      <c r="VEX139" s="17"/>
      <c r="VEY139" s="9"/>
      <c r="VEZ139" s="9"/>
      <c r="VFA139" s="18"/>
      <c r="VFB139" s="18"/>
      <c r="VFC139" s="18"/>
      <c r="VFD139" s="18"/>
      <c r="VFE139" s="18"/>
      <c r="VFF139" s="17"/>
      <c r="VFG139" s="9"/>
      <c r="VFH139" s="9"/>
      <c r="VFI139" s="18"/>
      <c r="VFJ139" s="18"/>
      <c r="VFK139" s="18"/>
      <c r="VFL139" s="18"/>
      <c r="VFM139" s="18"/>
      <c r="VFN139" s="17"/>
      <c r="VFO139" s="9"/>
      <c r="VFP139" s="9"/>
      <c r="VFQ139" s="18"/>
      <c r="VFR139" s="18"/>
      <c r="VFS139" s="18"/>
      <c r="VFT139" s="18"/>
      <c r="VFU139" s="18"/>
      <c r="VFV139" s="17"/>
      <c r="VFW139" s="9"/>
      <c r="VFX139" s="9"/>
      <c r="VFY139" s="18"/>
      <c r="VFZ139" s="18"/>
      <c r="VGA139" s="18"/>
      <c r="VGB139" s="18"/>
      <c r="VGC139" s="18"/>
      <c r="VGD139" s="17"/>
      <c r="VGE139" s="9"/>
      <c r="VGF139" s="9"/>
      <c r="VGG139" s="18"/>
      <c r="VGH139" s="18"/>
      <c r="VGI139" s="18"/>
      <c r="VGJ139" s="18"/>
      <c r="VGK139" s="18"/>
      <c r="VGL139" s="17"/>
      <c r="VGM139" s="9"/>
      <c r="VGN139" s="9"/>
      <c r="VGO139" s="18"/>
      <c r="VGP139" s="18"/>
      <c r="VGQ139" s="18"/>
      <c r="VGR139" s="18"/>
      <c r="VGS139" s="18"/>
      <c r="VGT139" s="17"/>
      <c r="VGU139" s="9"/>
      <c r="VGV139" s="9"/>
      <c r="VGW139" s="18"/>
      <c r="VGX139" s="18"/>
      <c r="VGY139" s="18"/>
      <c r="VGZ139" s="18"/>
      <c r="VHA139" s="18"/>
      <c r="VHB139" s="17"/>
      <c r="VHC139" s="9"/>
      <c r="VHD139" s="9"/>
      <c r="VHE139" s="18"/>
      <c r="VHF139" s="18"/>
      <c r="VHG139" s="18"/>
      <c r="VHH139" s="18"/>
      <c r="VHI139" s="18"/>
      <c r="VHJ139" s="17"/>
      <c r="VHK139" s="9"/>
      <c r="VHL139" s="9"/>
      <c r="VHM139" s="18"/>
      <c r="VHN139" s="18"/>
      <c r="VHO139" s="18"/>
      <c r="VHP139" s="18"/>
      <c r="VHQ139" s="18"/>
      <c r="VHR139" s="17"/>
      <c r="VHS139" s="9"/>
      <c r="VHT139" s="9"/>
      <c r="VHU139" s="18"/>
      <c r="VHV139" s="18"/>
      <c r="VHW139" s="18"/>
      <c r="VHX139" s="18"/>
      <c r="VHY139" s="18"/>
      <c r="VHZ139" s="17"/>
      <c r="VIA139" s="9"/>
      <c r="VIB139" s="9"/>
      <c r="VIC139" s="18"/>
      <c r="VID139" s="18"/>
      <c r="VIE139" s="18"/>
      <c r="VIF139" s="18"/>
      <c r="VIG139" s="18"/>
      <c r="VIH139" s="17"/>
      <c r="VII139" s="9"/>
      <c r="VIJ139" s="9"/>
      <c r="VIK139" s="18"/>
      <c r="VIL139" s="18"/>
      <c r="VIM139" s="18"/>
      <c r="VIN139" s="18"/>
      <c r="VIO139" s="18"/>
      <c r="VIP139" s="17"/>
      <c r="VIQ139" s="9"/>
      <c r="VIR139" s="9"/>
      <c r="VIS139" s="18"/>
      <c r="VIT139" s="18"/>
      <c r="VIU139" s="18"/>
      <c r="VIV139" s="18"/>
      <c r="VIW139" s="18"/>
      <c r="VIX139" s="17"/>
      <c r="VIY139" s="9"/>
      <c r="VIZ139" s="9"/>
      <c r="VJA139" s="18"/>
      <c r="VJB139" s="18"/>
      <c r="VJC139" s="18"/>
      <c r="VJD139" s="18"/>
      <c r="VJE139" s="18"/>
      <c r="VJF139" s="17"/>
      <c r="VJG139" s="9"/>
      <c r="VJH139" s="9"/>
      <c r="VJI139" s="18"/>
      <c r="VJJ139" s="18"/>
      <c r="VJK139" s="18"/>
      <c r="VJL139" s="18"/>
      <c r="VJM139" s="18"/>
      <c r="VJN139" s="17"/>
      <c r="VJO139" s="9"/>
      <c r="VJP139" s="9"/>
      <c r="VJQ139" s="18"/>
      <c r="VJR139" s="18"/>
      <c r="VJS139" s="18"/>
      <c r="VJT139" s="18"/>
      <c r="VJU139" s="18"/>
      <c r="VJV139" s="17"/>
      <c r="VJW139" s="9"/>
      <c r="VJX139" s="9"/>
      <c r="VJY139" s="18"/>
      <c r="VJZ139" s="18"/>
      <c r="VKA139" s="18"/>
      <c r="VKB139" s="18"/>
      <c r="VKC139" s="18"/>
      <c r="VKD139" s="17"/>
      <c r="VKE139" s="9"/>
      <c r="VKF139" s="9"/>
      <c r="VKG139" s="18"/>
      <c r="VKH139" s="18"/>
      <c r="VKI139" s="18"/>
      <c r="VKJ139" s="18"/>
      <c r="VKK139" s="18"/>
      <c r="VKL139" s="17"/>
      <c r="VKM139" s="9"/>
      <c r="VKN139" s="9"/>
      <c r="VKO139" s="18"/>
      <c r="VKP139" s="18"/>
      <c r="VKQ139" s="18"/>
      <c r="VKR139" s="18"/>
      <c r="VKS139" s="18"/>
      <c r="VKT139" s="17"/>
      <c r="VKU139" s="9"/>
      <c r="VKV139" s="9"/>
      <c r="VKW139" s="18"/>
      <c r="VKX139" s="18"/>
      <c r="VKY139" s="18"/>
      <c r="VKZ139" s="18"/>
      <c r="VLA139" s="18"/>
      <c r="VLB139" s="17"/>
      <c r="VLC139" s="9"/>
      <c r="VLD139" s="9"/>
      <c r="VLE139" s="18"/>
      <c r="VLF139" s="18"/>
      <c r="VLG139" s="18"/>
      <c r="VLH139" s="18"/>
      <c r="VLI139" s="18"/>
      <c r="VLJ139" s="17"/>
      <c r="VLK139" s="9"/>
      <c r="VLL139" s="9"/>
      <c r="VLM139" s="18"/>
      <c r="VLN139" s="18"/>
      <c r="VLO139" s="18"/>
      <c r="VLP139" s="18"/>
      <c r="VLQ139" s="18"/>
      <c r="VLR139" s="17"/>
      <c r="VLS139" s="9"/>
      <c r="VLT139" s="9"/>
      <c r="VLU139" s="18"/>
      <c r="VLV139" s="18"/>
      <c r="VLW139" s="18"/>
      <c r="VLX139" s="18"/>
      <c r="VLY139" s="18"/>
      <c r="VLZ139" s="17"/>
      <c r="VMA139" s="9"/>
      <c r="VMB139" s="9"/>
      <c r="VMC139" s="18"/>
      <c r="VMD139" s="18"/>
      <c r="VME139" s="18"/>
      <c r="VMF139" s="18"/>
      <c r="VMG139" s="18"/>
      <c r="VMH139" s="17"/>
      <c r="VMI139" s="9"/>
      <c r="VMJ139" s="9"/>
      <c r="VMK139" s="18"/>
      <c r="VML139" s="18"/>
      <c r="VMM139" s="18"/>
      <c r="VMN139" s="18"/>
      <c r="VMO139" s="18"/>
      <c r="VMP139" s="17"/>
      <c r="VMQ139" s="9"/>
      <c r="VMR139" s="9"/>
      <c r="VMS139" s="18"/>
      <c r="VMT139" s="18"/>
      <c r="VMU139" s="18"/>
      <c r="VMV139" s="18"/>
      <c r="VMW139" s="18"/>
      <c r="VMX139" s="17"/>
      <c r="VMY139" s="9"/>
      <c r="VMZ139" s="9"/>
      <c r="VNA139" s="18"/>
      <c r="VNB139" s="18"/>
      <c r="VNC139" s="18"/>
      <c r="VND139" s="18"/>
      <c r="VNE139" s="18"/>
      <c r="VNF139" s="17"/>
      <c r="VNG139" s="9"/>
      <c r="VNH139" s="9"/>
      <c r="VNI139" s="18"/>
      <c r="VNJ139" s="18"/>
      <c r="VNK139" s="18"/>
      <c r="VNL139" s="18"/>
      <c r="VNM139" s="18"/>
      <c r="VNN139" s="17"/>
      <c r="VNO139" s="9"/>
      <c r="VNP139" s="9"/>
      <c r="VNQ139" s="18"/>
      <c r="VNR139" s="18"/>
      <c r="VNS139" s="18"/>
      <c r="VNT139" s="18"/>
      <c r="VNU139" s="18"/>
      <c r="VNV139" s="17"/>
      <c r="VNW139" s="9"/>
      <c r="VNX139" s="9"/>
      <c r="VNY139" s="18"/>
      <c r="VNZ139" s="18"/>
      <c r="VOA139" s="18"/>
      <c r="VOB139" s="18"/>
      <c r="VOC139" s="18"/>
      <c r="VOD139" s="17"/>
      <c r="VOE139" s="9"/>
      <c r="VOF139" s="9"/>
      <c r="VOG139" s="18"/>
      <c r="VOH139" s="18"/>
      <c r="VOI139" s="18"/>
      <c r="VOJ139" s="18"/>
      <c r="VOK139" s="18"/>
      <c r="VOL139" s="17"/>
      <c r="VOM139" s="9"/>
      <c r="VON139" s="9"/>
      <c r="VOO139" s="18"/>
      <c r="VOP139" s="18"/>
      <c r="VOQ139" s="18"/>
      <c r="VOR139" s="18"/>
      <c r="VOS139" s="18"/>
      <c r="VOT139" s="17"/>
      <c r="VOU139" s="9"/>
      <c r="VOV139" s="9"/>
      <c r="VOW139" s="18"/>
      <c r="VOX139" s="18"/>
      <c r="VOY139" s="18"/>
      <c r="VOZ139" s="18"/>
      <c r="VPA139" s="18"/>
      <c r="VPB139" s="17"/>
      <c r="VPC139" s="9"/>
      <c r="VPD139" s="9"/>
      <c r="VPE139" s="18"/>
      <c r="VPF139" s="18"/>
      <c r="VPG139" s="18"/>
      <c r="VPH139" s="18"/>
      <c r="VPI139" s="18"/>
      <c r="VPJ139" s="17"/>
      <c r="VPK139" s="9"/>
      <c r="VPL139" s="9"/>
      <c r="VPM139" s="18"/>
      <c r="VPN139" s="18"/>
      <c r="VPO139" s="18"/>
      <c r="VPP139" s="18"/>
      <c r="VPQ139" s="18"/>
      <c r="VPR139" s="17"/>
      <c r="VPS139" s="9"/>
      <c r="VPT139" s="9"/>
      <c r="VPU139" s="18"/>
      <c r="VPV139" s="18"/>
      <c r="VPW139" s="18"/>
      <c r="VPX139" s="18"/>
      <c r="VPY139" s="18"/>
      <c r="VPZ139" s="17"/>
      <c r="VQA139" s="9"/>
      <c r="VQB139" s="9"/>
      <c r="VQC139" s="18"/>
      <c r="VQD139" s="18"/>
      <c r="VQE139" s="18"/>
      <c r="VQF139" s="18"/>
      <c r="VQG139" s="18"/>
      <c r="VQH139" s="17"/>
      <c r="VQI139" s="9"/>
      <c r="VQJ139" s="9"/>
      <c r="VQK139" s="18"/>
      <c r="VQL139" s="18"/>
      <c r="VQM139" s="18"/>
      <c r="VQN139" s="18"/>
      <c r="VQO139" s="18"/>
      <c r="VQP139" s="17"/>
      <c r="VQQ139" s="9"/>
      <c r="VQR139" s="9"/>
      <c r="VQS139" s="18"/>
      <c r="VQT139" s="18"/>
      <c r="VQU139" s="18"/>
      <c r="VQV139" s="18"/>
      <c r="VQW139" s="18"/>
      <c r="VQX139" s="17"/>
      <c r="VQY139" s="9"/>
      <c r="VQZ139" s="9"/>
      <c r="VRA139" s="18"/>
      <c r="VRB139" s="18"/>
      <c r="VRC139" s="18"/>
      <c r="VRD139" s="18"/>
      <c r="VRE139" s="18"/>
      <c r="VRF139" s="17"/>
      <c r="VRG139" s="9"/>
      <c r="VRH139" s="9"/>
      <c r="VRI139" s="18"/>
      <c r="VRJ139" s="18"/>
      <c r="VRK139" s="18"/>
      <c r="VRL139" s="18"/>
      <c r="VRM139" s="18"/>
      <c r="VRN139" s="17"/>
      <c r="VRO139" s="9"/>
      <c r="VRP139" s="9"/>
      <c r="VRQ139" s="18"/>
      <c r="VRR139" s="18"/>
      <c r="VRS139" s="18"/>
      <c r="VRT139" s="18"/>
      <c r="VRU139" s="18"/>
      <c r="VRV139" s="17"/>
      <c r="VRW139" s="9"/>
      <c r="VRX139" s="9"/>
      <c r="VRY139" s="18"/>
      <c r="VRZ139" s="18"/>
      <c r="VSA139" s="18"/>
      <c r="VSB139" s="18"/>
      <c r="VSC139" s="18"/>
      <c r="VSD139" s="17"/>
      <c r="VSE139" s="9"/>
      <c r="VSF139" s="9"/>
      <c r="VSG139" s="18"/>
      <c r="VSH139" s="18"/>
      <c r="VSI139" s="18"/>
      <c r="VSJ139" s="18"/>
      <c r="VSK139" s="18"/>
      <c r="VSL139" s="17"/>
      <c r="VSM139" s="9"/>
      <c r="VSN139" s="9"/>
      <c r="VSO139" s="18"/>
      <c r="VSP139" s="18"/>
      <c r="VSQ139" s="18"/>
      <c r="VSR139" s="18"/>
      <c r="VSS139" s="18"/>
      <c r="VST139" s="17"/>
      <c r="VSU139" s="9"/>
      <c r="VSV139" s="9"/>
      <c r="VSW139" s="18"/>
      <c r="VSX139" s="18"/>
      <c r="VSY139" s="18"/>
      <c r="VSZ139" s="18"/>
      <c r="VTA139" s="18"/>
      <c r="VTB139" s="17"/>
      <c r="VTC139" s="9"/>
      <c r="VTD139" s="9"/>
      <c r="VTE139" s="18"/>
      <c r="VTF139" s="18"/>
      <c r="VTG139" s="18"/>
      <c r="VTH139" s="18"/>
      <c r="VTI139" s="18"/>
      <c r="VTJ139" s="17"/>
      <c r="VTK139" s="9"/>
      <c r="VTL139" s="9"/>
      <c r="VTM139" s="18"/>
      <c r="VTN139" s="18"/>
      <c r="VTO139" s="18"/>
      <c r="VTP139" s="18"/>
      <c r="VTQ139" s="18"/>
      <c r="VTR139" s="17"/>
      <c r="VTS139" s="9"/>
      <c r="VTT139" s="9"/>
      <c r="VTU139" s="18"/>
      <c r="VTV139" s="18"/>
      <c r="VTW139" s="18"/>
      <c r="VTX139" s="18"/>
      <c r="VTY139" s="18"/>
      <c r="VTZ139" s="17"/>
      <c r="VUA139" s="9"/>
      <c r="VUB139" s="9"/>
      <c r="VUC139" s="18"/>
      <c r="VUD139" s="18"/>
      <c r="VUE139" s="18"/>
      <c r="VUF139" s="18"/>
      <c r="VUG139" s="18"/>
      <c r="VUH139" s="17"/>
      <c r="VUI139" s="9"/>
      <c r="VUJ139" s="9"/>
      <c r="VUK139" s="18"/>
      <c r="VUL139" s="18"/>
      <c r="VUM139" s="18"/>
      <c r="VUN139" s="18"/>
      <c r="VUO139" s="18"/>
      <c r="VUP139" s="17"/>
      <c r="VUQ139" s="9"/>
      <c r="VUR139" s="9"/>
      <c r="VUS139" s="18"/>
      <c r="VUT139" s="18"/>
      <c r="VUU139" s="18"/>
      <c r="VUV139" s="18"/>
      <c r="VUW139" s="18"/>
      <c r="VUX139" s="17"/>
      <c r="VUY139" s="9"/>
      <c r="VUZ139" s="9"/>
      <c r="VVA139" s="18"/>
      <c r="VVB139" s="18"/>
      <c r="VVC139" s="18"/>
      <c r="VVD139" s="18"/>
      <c r="VVE139" s="18"/>
      <c r="VVF139" s="17"/>
      <c r="VVG139" s="9"/>
      <c r="VVH139" s="9"/>
      <c r="VVI139" s="18"/>
      <c r="VVJ139" s="18"/>
      <c r="VVK139" s="18"/>
      <c r="VVL139" s="18"/>
      <c r="VVM139" s="18"/>
      <c r="VVN139" s="17"/>
      <c r="VVO139" s="9"/>
      <c r="VVP139" s="9"/>
      <c r="VVQ139" s="18"/>
      <c r="VVR139" s="18"/>
      <c r="VVS139" s="18"/>
      <c r="VVT139" s="18"/>
      <c r="VVU139" s="18"/>
      <c r="VVV139" s="17"/>
      <c r="VVW139" s="9"/>
      <c r="VVX139" s="9"/>
      <c r="VVY139" s="18"/>
      <c r="VVZ139" s="18"/>
      <c r="VWA139" s="18"/>
      <c r="VWB139" s="18"/>
      <c r="VWC139" s="18"/>
      <c r="VWD139" s="17"/>
      <c r="VWE139" s="9"/>
      <c r="VWF139" s="9"/>
      <c r="VWG139" s="18"/>
      <c r="VWH139" s="18"/>
      <c r="VWI139" s="18"/>
      <c r="VWJ139" s="18"/>
      <c r="VWK139" s="18"/>
      <c r="VWL139" s="17"/>
      <c r="VWM139" s="9"/>
      <c r="VWN139" s="9"/>
      <c r="VWO139" s="18"/>
      <c r="VWP139" s="18"/>
      <c r="VWQ139" s="18"/>
      <c r="VWR139" s="18"/>
      <c r="VWS139" s="18"/>
      <c r="VWT139" s="17"/>
      <c r="VWU139" s="9"/>
      <c r="VWV139" s="9"/>
      <c r="VWW139" s="18"/>
      <c r="VWX139" s="18"/>
      <c r="VWY139" s="18"/>
      <c r="VWZ139" s="18"/>
      <c r="VXA139" s="18"/>
      <c r="VXB139" s="17"/>
      <c r="VXC139" s="9"/>
      <c r="VXD139" s="9"/>
      <c r="VXE139" s="18"/>
      <c r="VXF139" s="18"/>
      <c r="VXG139" s="18"/>
      <c r="VXH139" s="18"/>
      <c r="VXI139" s="18"/>
      <c r="VXJ139" s="17"/>
      <c r="VXK139" s="9"/>
      <c r="VXL139" s="9"/>
      <c r="VXM139" s="18"/>
      <c r="VXN139" s="18"/>
      <c r="VXO139" s="18"/>
      <c r="VXP139" s="18"/>
      <c r="VXQ139" s="18"/>
      <c r="VXR139" s="17"/>
      <c r="VXS139" s="9"/>
      <c r="VXT139" s="9"/>
      <c r="VXU139" s="18"/>
      <c r="VXV139" s="18"/>
      <c r="VXW139" s="18"/>
      <c r="VXX139" s="18"/>
      <c r="VXY139" s="18"/>
      <c r="VXZ139" s="17"/>
      <c r="VYA139" s="9"/>
      <c r="VYB139" s="9"/>
      <c r="VYC139" s="18"/>
      <c r="VYD139" s="18"/>
      <c r="VYE139" s="18"/>
      <c r="VYF139" s="18"/>
      <c r="VYG139" s="18"/>
      <c r="VYH139" s="17"/>
      <c r="VYI139" s="9"/>
      <c r="VYJ139" s="9"/>
      <c r="VYK139" s="18"/>
      <c r="VYL139" s="18"/>
      <c r="VYM139" s="18"/>
      <c r="VYN139" s="18"/>
      <c r="VYO139" s="18"/>
      <c r="VYP139" s="17"/>
      <c r="VYQ139" s="9"/>
      <c r="VYR139" s="9"/>
      <c r="VYS139" s="18"/>
      <c r="VYT139" s="18"/>
      <c r="VYU139" s="18"/>
      <c r="VYV139" s="18"/>
      <c r="VYW139" s="18"/>
      <c r="VYX139" s="17"/>
      <c r="VYY139" s="9"/>
      <c r="VYZ139" s="9"/>
      <c r="VZA139" s="18"/>
      <c r="VZB139" s="18"/>
      <c r="VZC139" s="18"/>
      <c r="VZD139" s="18"/>
      <c r="VZE139" s="18"/>
      <c r="VZF139" s="17"/>
      <c r="VZG139" s="9"/>
      <c r="VZH139" s="9"/>
      <c r="VZI139" s="18"/>
      <c r="VZJ139" s="18"/>
      <c r="VZK139" s="18"/>
      <c r="VZL139" s="18"/>
      <c r="VZM139" s="18"/>
      <c r="VZN139" s="17"/>
      <c r="VZO139" s="9"/>
      <c r="VZP139" s="9"/>
      <c r="VZQ139" s="18"/>
      <c r="VZR139" s="18"/>
      <c r="VZS139" s="18"/>
      <c r="VZT139" s="18"/>
      <c r="VZU139" s="18"/>
      <c r="VZV139" s="17"/>
      <c r="VZW139" s="9"/>
      <c r="VZX139" s="9"/>
      <c r="VZY139" s="18"/>
      <c r="VZZ139" s="18"/>
      <c r="WAA139" s="18"/>
      <c r="WAB139" s="18"/>
      <c r="WAC139" s="18"/>
      <c r="WAD139" s="17"/>
      <c r="WAE139" s="9"/>
      <c r="WAF139" s="9"/>
      <c r="WAG139" s="18"/>
      <c r="WAH139" s="18"/>
      <c r="WAI139" s="18"/>
      <c r="WAJ139" s="18"/>
      <c r="WAK139" s="18"/>
      <c r="WAL139" s="17"/>
      <c r="WAM139" s="9"/>
      <c r="WAN139" s="9"/>
      <c r="WAO139" s="18"/>
      <c r="WAP139" s="18"/>
      <c r="WAQ139" s="18"/>
      <c r="WAR139" s="18"/>
      <c r="WAS139" s="18"/>
      <c r="WAT139" s="17"/>
      <c r="WAU139" s="9"/>
      <c r="WAV139" s="9"/>
      <c r="WAW139" s="18"/>
      <c r="WAX139" s="18"/>
      <c r="WAY139" s="18"/>
      <c r="WAZ139" s="18"/>
      <c r="WBA139" s="18"/>
      <c r="WBB139" s="17"/>
      <c r="WBC139" s="9"/>
      <c r="WBD139" s="9"/>
      <c r="WBE139" s="18"/>
      <c r="WBF139" s="18"/>
      <c r="WBG139" s="18"/>
      <c r="WBH139" s="18"/>
      <c r="WBI139" s="18"/>
      <c r="WBJ139" s="17"/>
      <c r="WBK139" s="9"/>
      <c r="WBL139" s="9"/>
      <c r="WBM139" s="18"/>
      <c r="WBN139" s="18"/>
      <c r="WBO139" s="18"/>
      <c r="WBP139" s="18"/>
      <c r="WBQ139" s="18"/>
      <c r="WBR139" s="17"/>
      <c r="WBS139" s="9"/>
      <c r="WBT139" s="9"/>
      <c r="WBU139" s="18"/>
      <c r="WBV139" s="18"/>
      <c r="WBW139" s="18"/>
      <c r="WBX139" s="18"/>
      <c r="WBY139" s="18"/>
      <c r="WBZ139" s="17"/>
      <c r="WCA139" s="9"/>
      <c r="WCB139" s="9"/>
      <c r="WCC139" s="18"/>
      <c r="WCD139" s="18"/>
      <c r="WCE139" s="18"/>
      <c r="WCF139" s="18"/>
      <c r="WCG139" s="18"/>
      <c r="WCH139" s="17"/>
      <c r="WCI139" s="9"/>
      <c r="WCJ139" s="9"/>
      <c r="WCK139" s="18"/>
      <c r="WCL139" s="18"/>
      <c r="WCM139" s="18"/>
      <c r="WCN139" s="18"/>
      <c r="WCO139" s="18"/>
      <c r="WCP139" s="17"/>
      <c r="WCQ139" s="9"/>
      <c r="WCR139" s="9"/>
      <c r="WCS139" s="18"/>
      <c r="WCT139" s="18"/>
      <c r="WCU139" s="18"/>
      <c r="WCV139" s="18"/>
      <c r="WCW139" s="18"/>
      <c r="WCX139" s="17"/>
      <c r="WCY139" s="9"/>
      <c r="WCZ139" s="9"/>
      <c r="WDA139" s="18"/>
      <c r="WDB139" s="18"/>
      <c r="WDC139" s="18"/>
      <c r="WDD139" s="18"/>
      <c r="WDE139" s="18"/>
      <c r="WDF139" s="17"/>
      <c r="WDG139" s="9"/>
      <c r="WDH139" s="9"/>
      <c r="WDI139" s="18"/>
      <c r="WDJ139" s="18"/>
      <c r="WDK139" s="18"/>
      <c r="WDL139" s="18"/>
      <c r="WDM139" s="18"/>
      <c r="WDN139" s="17"/>
      <c r="WDO139" s="9"/>
      <c r="WDP139" s="9"/>
      <c r="WDQ139" s="18"/>
      <c r="WDR139" s="18"/>
      <c r="WDS139" s="18"/>
      <c r="WDT139" s="18"/>
      <c r="WDU139" s="18"/>
      <c r="WDV139" s="17"/>
      <c r="WDW139" s="9"/>
      <c r="WDX139" s="9"/>
      <c r="WDY139" s="18"/>
      <c r="WDZ139" s="18"/>
      <c r="WEA139" s="18"/>
      <c r="WEB139" s="18"/>
      <c r="WEC139" s="18"/>
      <c r="WED139" s="17"/>
      <c r="WEE139" s="9"/>
      <c r="WEF139" s="9"/>
      <c r="WEG139" s="18"/>
      <c r="WEH139" s="18"/>
      <c r="WEI139" s="18"/>
      <c r="WEJ139" s="18"/>
      <c r="WEK139" s="18"/>
      <c r="WEL139" s="17"/>
      <c r="WEM139" s="9"/>
      <c r="WEN139" s="9"/>
      <c r="WEO139" s="18"/>
      <c r="WEP139" s="18"/>
      <c r="WEQ139" s="18"/>
      <c r="WER139" s="18"/>
      <c r="WES139" s="18"/>
      <c r="WET139" s="17"/>
      <c r="WEU139" s="9"/>
      <c r="WEV139" s="9"/>
      <c r="WEW139" s="18"/>
      <c r="WEX139" s="18"/>
      <c r="WEY139" s="18"/>
      <c r="WEZ139" s="18"/>
      <c r="WFA139" s="18"/>
      <c r="WFB139" s="17"/>
      <c r="WFC139" s="9"/>
      <c r="WFD139" s="9"/>
      <c r="WFE139" s="18"/>
      <c r="WFF139" s="18"/>
      <c r="WFG139" s="18"/>
      <c r="WFH139" s="18"/>
      <c r="WFI139" s="18"/>
      <c r="WFJ139" s="17"/>
      <c r="WFK139" s="9"/>
      <c r="WFL139" s="9"/>
      <c r="WFM139" s="18"/>
      <c r="WFN139" s="18"/>
      <c r="WFO139" s="18"/>
      <c r="WFP139" s="18"/>
      <c r="WFQ139" s="18"/>
      <c r="WFR139" s="17"/>
      <c r="WFS139" s="9"/>
      <c r="WFT139" s="9"/>
      <c r="WFU139" s="18"/>
      <c r="WFV139" s="18"/>
      <c r="WFW139" s="18"/>
      <c r="WFX139" s="18"/>
      <c r="WFY139" s="18"/>
      <c r="WFZ139" s="17"/>
      <c r="WGA139" s="9"/>
      <c r="WGB139" s="9"/>
      <c r="WGC139" s="18"/>
      <c r="WGD139" s="18"/>
      <c r="WGE139" s="18"/>
      <c r="WGF139" s="18"/>
      <c r="WGG139" s="18"/>
      <c r="WGH139" s="17"/>
      <c r="WGI139" s="9"/>
      <c r="WGJ139" s="9"/>
      <c r="WGK139" s="18"/>
      <c r="WGL139" s="18"/>
      <c r="WGM139" s="18"/>
      <c r="WGN139" s="18"/>
      <c r="WGO139" s="18"/>
      <c r="WGP139" s="17"/>
      <c r="WGQ139" s="9"/>
      <c r="WGR139" s="9"/>
      <c r="WGS139" s="18"/>
      <c r="WGT139" s="18"/>
      <c r="WGU139" s="18"/>
      <c r="WGV139" s="18"/>
      <c r="WGW139" s="18"/>
      <c r="WGX139" s="17"/>
      <c r="WGY139" s="9"/>
      <c r="WGZ139" s="9"/>
      <c r="WHA139" s="18"/>
      <c r="WHB139" s="18"/>
      <c r="WHC139" s="18"/>
      <c r="WHD139" s="18"/>
      <c r="WHE139" s="18"/>
      <c r="WHF139" s="17"/>
      <c r="WHG139" s="9"/>
      <c r="WHH139" s="9"/>
      <c r="WHI139" s="18"/>
      <c r="WHJ139" s="18"/>
      <c r="WHK139" s="18"/>
      <c r="WHL139" s="18"/>
      <c r="WHM139" s="18"/>
      <c r="WHN139" s="17"/>
      <c r="WHO139" s="9"/>
      <c r="WHP139" s="9"/>
      <c r="WHQ139" s="18"/>
      <c r="WHR139" s="18"/>
      <c r="WHS139" s="18"/>
      <c r="WHT139" s="18"/>
      <c r="WHU139" s="18"/>
      <c r="WHV139" s="17"/>
      <c r="WHW139" s="9"/>
      <c r="WHX139" s="9"/>
      <c r="WHY139" s="18"/>
      <c r="WHZ139" s="18"/>
      <c r="WIA139" s="18"/>
      <c r="WIB139" s="18"/>
      <c r="WIC139" s="18"/>
      <c r="WID139" s="17"/>
      <c r="WIE139" s="9"/>
      <c r="WIF139" s="9"/>
      <c r="WIG139" s="18"/>
      <c r="WIH139" s="18"/>
      <c r="WII139" s="18"/>
      <c r="WIJ139" s="18"/>
      <c r="WIK139" s="18"/>
      <c r="WIL139" s="17"/>
      <c r="WIM139" s="9"/>
      <c r="WIN139" s="9"/>
      <c r="WIO139" s="18"/>
      <c r="WIP139" s="18"/>
      <c r="WIQ139" s="18"/>
      <c r="WIR139" s="18"/>
      <c r="WIS139" s="18"/>
      <c r="WIT139" s="17"/>
      <c r="WIU139" s="9"/>
      <c r="WIV139" s="9"/>
      <c r="WIW139" s="18"/>
      <c r="WIX139" s="18"/>
      <c r="WIY139" s="18"/>
      <c r="WIZ139" s="18"/>
      <c r="WJA139" s="18"/>
      <c r="WJB139" s="17"/>
      <c r="WJC139" s="9"/>
      <c r="WJD139" s="9"/>
      <c r="WJE139" s="18"/>
      <c r="WJF139" s="18"/>
      <c r="WJG139" s="18"/>
      <c r="WJH139" s="18"/>
      <c r="WJI139" s="18"/>
      <c r="WJJ139" s="17"/>
      <c r="WJK139" s="9"/>
      <c r="WJL139" s="9"/>
      <c r="WJM139" s="18"/>
      <c r="WJN139" s="18"/>
      <c r="WJO139" s="18"/>
      <c r="WJP139" s="18"/>
      <c r="WJQ139" s="18"/>
      <c r="WJR139" s="17"/>
      <c r="WJS139" s="9"/>
      <c r="WJT139" s="9"/>
      <c r="WJU139" s="18"/>
      <c r="WJV139" s="18"/>
      <c r="WJW139" s="18"/>
      <c r="WJX139" s="18"/>
      <c r="WJY139" s="18"/>
      <c r="WJZ139" s="17"/>
      <c r="WKA139" s="9"/>
      <c r="WKB139" s="9"/>
      <c r="WKC139" s="18"/>
      <c r="WKD139" s="18"/>
      <c r="WKE139" s="18"/>
      <c r="WKF139" s="18"/>
      <c r="WKG139" s="18"/>
      <c r="WKH139" s="17"/>
      <c r="WKI139" s="9"/>
      <c r="WKJ139" s="9"/>
      <c r="WKK139" s="18"/>
      <c r="WKL139" s="18"/>
      <c r="WKM139" s="18"/>
      <c r="WKN139" s="18"/>
      <c r="WKO139" s="18"/>
      <c r="WKP139" s="17"/>
      <c r="WKQ139" s="9"/>
      <c r="WKR139" s="9"/>
      <c r="WKS139" s="18"/>
      <c r="WKT139" s="18"/>
      <c r="WKU139" s="18"/>
      <c r="WKV139" s="18"/>
      <c r="WKW139" s="18"/>
      <c r="WKX139" s="17"/>
      <c r="WKY139" s="9"/>
      <c r="WKZ139" s="9"/>
      <c r="WLA139" s="18"/>
      <c r="WLB139" s="18"/>
      <c r="WLC139" s="18"/>
      <c r="WLD139" s="18"/>
      <c r="WLE139" s="18"/>
      <c r="WLF139" s="17"/>
      <c r="WLG139" s="9"/>
      <c r="WLH139" s="9"/>
      <c r="WLI139" s="18"/>
      <c r="WLJ139" s="18"/>
      <c r="WLK139" s="18"/>
      <c r="WLL139" s="18"/>
      <c r="WLM139" s="18"/>
      <c r="WLN139" s="17"/>
      <c r="WLO139" s="9"/>
      <c r="WLP139" s="9"/>
      <c r="WLQ139" s="18"/>
      <c r="WLR139" s="18"/>
      <c r="WLS139" s="18"/>
      <c r="WLT139" s="18"/>
      <c r="WLU139" s="18"/>
      <c r="WLV139" s="17"/>
      <c r="WLW139" s="9"/>
      <c r="WLX139" s="9"/>
      <c r="WLY139" s="18"/>
      <c r="WLZ139" s="18"/>
      <c r="WMA139" s="18"/>
      <c r="WMB139" s="18"/>
      <c r="WMC139" s="18"/>
      <c r="WMD139" s="17"/>
      <c r="WME139" s="9"/>
      <c r="WMF139" s="9"/>
      <c r="WMG139" s="18"/>
      <c r="WMH139" s="18"/>
      <c r="WMI139" s="18"/>
      <c r="WMJ139" s="18"/>
      <c r="WMK139" s="18"/>
      <c r="WML139" s="17"/>
      <c r="WMM139" s="9"/>
      <c r="WMN139" s="9"/>
      <c r="WMO139" s="18"/>
      <c r="WMP139" s="18"/>
      <c r="WMQ139" s="18"/>
      <c r="WMR139" s="18"/>
      <c r="WMS139" s="18"/>
      <c r="WMT139" s="17"/>
      <c r="WMU139" s="9"/>
      <c r="WMV139" s="9"/>
      <c r="WMW139" s="18"/>
      <c r="WMX139" s="18"/>
      <c r="WMY139" s="18"/>
      <c r="WMZ139" s="18"/>
      <c r="WNA139" s="18"/>
      <c r="WNB139" s="17"/>
      <c r="WNC139" s="9"/>
      <c r="WND139" s="9"/>
      <c r="WNE139" s="18"/>
      <c r="WNF139" s="18"/>
      <c r="WNG139" s="18"/>
      <c r="WNH139" s="18"/>
      <c r="WNI139" s="18"/>
      <c r="WNJ139" s="17"/>
      <c r="WNK139" s="9"/>
      <c r="WNL139" s="9"/>
      <c r="WNM139" s="18"/>
      <c r="WNN139" s="18"/>
      <c r="WNO139" s="18"/>
      <c r="WNP139" s="18"/>
      <c r="WNQ139" s="18"/>
      <c r="WNR139" s="17"/>
      <c r="WNS139" s="9"/>
      <c r="WNT139" s="9"/>
      <c r="WNU139" s="18"/>
      <c r="WNV139" s="18"/>
      <c r="WNW139" s="18"/>
      <c r="WNX139" s="18"/>
      <c r="WNY139" s="18"/>
      <c r="WNZ139" s="17"/>
      <c r="WOA139" s="9"/>
      <c r="WOB139" s="9"/>
      <c r="WOC139" s="18"/>
      <c r="WOD139" s="18"/>
      <c r="WOE139" s="18"/>
      <c r="WOF139" s="18"/>
      <c r="WOG139" s="18"/>
      <c r="WOH139" s="17"/>
      <c r="WOI139" s="9"/>
      <c r="WOJ139" s="9"/>
      <c r="WOK139" s="18"/>
      <c r="WOL139" s="18"/>
      <c r="WOM139" s="18"/>
      <c r="WON139" s="18"/>
      <c r="WOO139" s="18"/>
      <c r="WOP139" s="17"/>
      <c r="WOQ139" s="9"/>
      <c r="WOR139" s="9"/>
      <c r="WOS139" s="18"/>
      <c r="WOT139" s="18"/>
      <c r="WOU139" s="18"/>
      <c r="WOV139" s="18"/>
      <c r="WOW139" s="18"/>
      <c r="WOX139" s="17"/>
      <c r="WOY139" s="9"/>
      <c r="WOZ139" s="9"/>
      <c r="WPA139" s="18"/>
      <c r="WPB139" s="18"/>
      <c r="WPC139" s="18"/>
      <c r="WPD139" s="18"/>
      <c r="WPE139" s="18"/>
      <c r="WPF139" s="17"/>
      <c r="WPG139" s="9"/>
      <c r="WPH139" s="9"/>
      <c r="WPI139" s="18"/>
      <c r="WPJ139" s="18"/>
      <c r="WPK139" s="18"/>
      <c r="WPL139" s="18"/>
      <c r="WPM139" s="18"/>
      <c r="WPN139" s="17"/>
      <c r="WPO139" s="9"/>
      <c r="WPP139" s="9"/>
      <c r="WPQ139" s="18"/>
      <c r="WPR139" s="18"/>
      <c r="WPS139" s="18"/>
      <c r="WPT139" s="18"/>
      <c r="WPU139" s="18"/>
      <c r="WPV139" s="17"/>
      <c r="WPW139" s="9"/>
      <c r="WPX139" s="9"/>
      <c r="WPY139" s="18"/>
      <c r="WPZ139" s="18"/>
      <c r="WQA139" s="18"/>
      <c r="WQB139" s="18"/>
      <c r="WQC139" s="18"/>
      <c r="WQD139" s="17"/>
      <c r="WQE139" s="9"/>
      <c r="WQF139" s="9"/>
      <c r="WQG139" s="18"/>
      <c r="WQH139" s="18"/>
      <c r="WQI139" s="18"/>
      <c r="WQJ139" s="18"/>
      <c r="WQK139" s="18"/>
      <c r="WQL139" s="17"/>
      <c r="WQM139" s="9"/>
      <c r="WQN139" s="9"/>
      <c r="WQO139" s="18"/>
      <c r="WQP139" s="18"/>
      <c r="WQQ139" s="18"/>
      <c r="WQR139" s="18"/>
      <c r="WQS139" s="18"/>
      <c r="WQT139" s="17"/>
      <c r="WQU139" s="9"/>
      <c r="WQV139" s="9"/>
      <c r="WQW139" s="18"/>
      <c r="WQX139" s="18"/>
      <c r="WQY139" s="18"/>
      <c r="WQZ139" s="18"/>
      <c r="WRA139" s="18"/>
      <c r="WRB139" s="17"/>
      <c r="WRC139" s="9"/>
      <c r="WRD139" s="9"/>
      <c r="WRE139" s="18"/>
      <c r="WRF139" s="18"/>
      <c r="WRG139" s="18"/>
      <c r="WRH139" s="18"/>
      <c r="WRI139" s="18"/>
      <c r="WRJ139" s="17"/>
      <c r="WRK139" s="9"/>
      <c r="WRL139" s="9"/>
      <c r="WRM139" s="18"/>
      <c r="WRN139" s="18"/>
      <c r="WRO139" s="18"/>
      <c r="WRP139" s="18"/>
      <c r="WRQ139" s="18"/>
      <c r="WRR139" s="17"/>
      <c r="WRS139" s="9"/>
      <c r="WRT139" s="9"/>
      <c r="WRU139" s="18"/>
      <c r="WRV139" s="18"/>
      <c r="WRW139" s="18"/>
      <c r="WRX139" s="18"/>
      <c r="WRY139" s="18"/>
      <c r="WRZ139" s="17"/>
      <c r="WSA139" s="9"/>
      <c r="WSB139" s="9"/>
      <c r="WSC139" s="18"/>
      <c r="WSD139" s="18"/>
      <c r="WSE139" s="18"/>
      <c r="WSF139" s="18"/>
      <c r="WSG139" s="18"/>
      <c r="WSH139" s="17"/>
      <c r="WSI139" s="9"/>
      <c r="WSJ139" s="9"/>
      <c r="WSK139" s="18"/>
      <c r="WSL139" s="18"/>
      <c r="WSM139" s="18"/>
      <c r="WSN139" s="18"/>
      <c r="WSO139" s="18"/>
      <c r="WSP139" s="17"/>
      <c r="WSQ139" s="9"/>
      <c r="WSR139" s="9"/>
      <c r="WSS139" s="18"/>
      <c r="WST139" s="18"/>
      <c r="WSU139" s="18"/>
      <c r="WSV139" s="18"/>
      <c r="WSW139" s="18"/>
      <c r="WSX139" s="17"/>
      <c r="WSY139" s="9"/>
      <c r="WSZ139" s="9"/>
      <c r="WTA139" s="18"/>
      <c r="WTB139" s="18"/>
      <c r="WTC139" s="18"/>
      <c r="WTD139" s="18"/>
      <c r="WTE139" s="18"/>
      <c r="WTF139" s="17"/>
      <c r="WTG139" s="9"/>
      <c r="WTH139" s="9"/>
      <c r="WTI139" s="18"/>
      <c r="WTJ139" s="18"/>
      <c r="WTK139" s="18"/>
      <c r="WTL139" s="18"/>
      <c r="WTM139" s="18"/>
      <c r="WTN139" s="17"/>
      <c r="WTO139" s="9"/>
      <c r="WTP139" s="9"/>
      <c r="WTQ139" s="18"/>
      <c r="WTR139" s="18"/>
      <c r="WTS139" s="18"/>
      <c r="WTT139" s="18"/>
      <c r="WTU139" s="18"/>
      <c r="WTV139" s="17"/>
      <c r="WTW139" s="9"/>
      <c r="WTX139" s="9"/>
      <c r="WTY139" s="18"/>
      <c r="WTZ139" s="18"/>
      <c r="WUA139" s="18"/>
      <c r="WUB139" s="18"/>
      <c r="WUC139" s="18"/>
      <c r="WUD139" s="17"/>
      <c r="WUE139" s="9"/>
      <c r="WUF139" s="9"/>
      <c r="WUG139" s="18"/>
      <c r="WUH139" s="18"/>
      <c r="WUI139" s="18"/>
      <c r="WUJ139" s="18"/>
      <c r="WUK139" s="18"/>
      <c r="WUL139" s="17"/>
      <c r="WUM139" s="9"/>
      <c r="WUN139" s="9"/>
      <c r="WUO139" s="18"/>
      <c r="WUP139" s="18"/>
      <c r="WUQ139" s="18"/>
      <c r="WUR139" s="18"/>
      <c r="WUS139" s="18"/>
      <c r="WUT139" s="17"/>
      <c r="WUU139" s="9"/>
      <c r="WUV139" s="9"/>
      <c r="WUW139" s="18"/>
      <c r="WUX139" s="18"/>
      <c r="WUY139" s="18"/>
      <c r="WUZ139" s="18"/>
      <c r="WVA139" s="18"/>
      <c r="WVB139" s="17"/>
      <c r="WVC139" s="9"/>
      <c r="WVD139" s="9"/>
      <c r="WVE139" s="18"/>
      <c r="WVF139" s="18"/>
      <c r="WVG139" s="18"/>
      <c r="WVH139" s="18"/>
      <c r="WVI139" s="18"/>
      <c r="WVJ139" s="17"/>
      <c r="WVK139" s="9"/>
      <c r="WVL139" s="9"/>
      <c r="WVM139" s="18"/>
      <c r="WVN139" s="18"/>
      <c r="WVO139" s="18"/>
      <c r="WVP139" s="18"/>
      <c r="WVQ139" s="18"/>
      <c r="WVR139" s="17"/>
      <c r="WVS139" s="9"/>
      <c r="WVT139" s="9"/>
      <c r="WVU139" s="18"/>
      <c r="WVV139" s="18"/>
      <c r="WVW139" s="18"/>
      <c r="WVX139" s="18"/>
      <c r="WVY139" s="18"/>
      <c r="WVZ139" s="17"/>
      <c r="WWA139" s="9"/>
      <c r="WWB139" s="9"/>
      <c r="WWC139" s="18"/>
      <c r="WWD139" s="18"/>
      <c r="WWE139" s="18"/>
      <c r="WWF139" s="18"/>
      <c r="WWG139" s="18"/>
      <c r="WWH139" s="17"/>
      <c r="WWI139" s="9"/>
      <c r="WWJ139" s="9"/>
      <c r="WWK139" s="18"/>
      <c r="WWL139" s="18"/>
      <c r="WWM139" s="18"/>
      <c r="WWN139" s="18"/>
      <c r="WWO139" s="18"/>
      <c r="WWP139" s="17"/>
      <c r="WWQ139" s="9"/>
      <c r="WWR139" s="9"/>
      <c r="WWS139" s="18"/>
      <c r="WWT139" s="18"/>
      <c r="WWU139" s="18"/>
      <c r="WWV139" s="18"/>
      <c r="WWW139" s="18"/>
      <c r="WWX139" s="17"/>
      <c r="WWY139" s="9"/>
      <c r="WWZ139" s="9"/>
      <c r="WXA139" s="18"/>
      <c r="WXB139" s="18"/>
      <c r="WXC139" s="18"/>
      <c r="WXD139" s="18"/>
      <c r="WXE139" s="18"/>
      <c r="WXF139" s="17"/>
      <c r="WXG139" s="9"/>
      <c r="WXH139" s="9"/>
      <c r="WXI139" s="18"/>
      <c r="WXJ139" s="18"/>
      <c r="WXK139" s="18"/>
      <c r="WXL139" s="18"/>
      <c r="WXM139" s="18"/>
      <c r="WXN139" s="17"/>
      <c r="WXO139" s="9"/>
      <c r="WXP139" s="9"/>
      <c r="WXQ139" s="18"/>
      <c r="WXR139" s="18"/>
      <c r="WXS139" s="18"/>
      <c r="WXT139" s="18"/>
      <c r="WXU139" s="18"/>
      <c r="WXV139" s="17"/>
      <c r="WXW139" s="9"/>
      <c r="WXX139" s="9"/>
      <c r="WXY139" s="18"/>
      <c r="WXZ139" s="18"/>
      <c r="WYA139" s="18"/>
      <c r="WYB139" s="18"/>
      <c r="WYC139" s="18"/>
      <c r="WYD139" s="17"/>
      <c r="WYE139" s="9"/>
      <c r="WYF139" s="9"/>
      <c r="WYG139" s="18"/>
      <c r="WYH139" s="18"/>
      <c r="WYI139" s="18"/>
      <c r="WYJ139" s="18"/>
      <c r="WYK139" s="18"/>
      <c r="WYL139" s="17"/>
      <c r="WYM139" s="9"/>
      <c r="WYN139" s="9"/>
      <c r="WYO139" s="18"/>
      <c r="WYP139" s="18"/>
      <c r="WYQ139" s="18"/>
      <c r="WYR139" s="18"/>
      <c r="WYS139" s="18"/>
      <c r="WYT139" s="17"/>
      <c r="WYU139" s="9"/>
      <c r="WYV139" s="9"/>
      <c r="WYW139" s="18"/>
      <c r="WYX139" s="18"/>
      <c r="WYY139" s="18"/>
      <c r="WYZ139" s="18"/>
      <c r="WZA139" s="18"/>
      <c r="WZB139" s="17"/>
      <c r="WZC139" s="9"/>
      <c r="WZD139" s="9"/>
      <c r="WZE139" s="18"/>
      <c r="WZF139" s="18"/>
      <c r="WZG139" s="18"/>
      <c r="WZH139" s="18"/>
      <c r="WZI139" s="18"/>
      <c r="WZJ139" s="17"/>
      <c r="WZK139" s="9"/>
      <c r="WZL139" s="9"/>
      <c r="WZM139" s="18"/>
      <c r="WZN139" s="18"/>
      <c r="WZO139" s="18"/>
      <c r="WZP139" s="18"/>
      <c r="WZQ139" s="18"/>
      <c r="WZR139" s="17"/>
      <c r="WZS139" s="9"/>
      <c r="WZT139" s="9"/>
      <c r="WZU139" s="18"/>
      <c r="WZV139" s="18"/>
      <c r="WZW139" s="18"/>
      <c r="WZX139" s="18"/>
      <c r="WZY139" s="18"/>
      <c r="WZZ139" s="17"/>
      <c r="XAA139" s="9"/>
      <c r="XAB139" s="9"/>
      <c r="XAC139" s="18"/>
      <c r="XAD139" s="18"/>
      <c r="XAE139" s="18"/>
      <c r="XAF139" s="18"/>
      <c r="XAG139" s="18"/>
      <c r="XAH139" s="17"/>
      <c r="XAI139" s="9"/>
      <c r="XAJ139" s="9"/>
      <c r="XAK139" s="18"/>
      <c r="XAL139" s="18"/>
      <c r="XAM139" s="18"/>
      <c r="XAN139" s="18"/>
      <c r="XAO139" s="18"/>
      <c r="XAP139" s="17"/>
      <c r="XAQ139" s="9"/>
      <c r="XAR139" s="9"/>
      <c r="XAS139" s="18"/>
      <c r="XAT139" s="18"/>
      <c r="XAU139" s="18"/>
      <c r="XAV139" s="18"/>
      <c r="XAW139" s="18"/>
      <c r="XAX139" s="17"/>
      <c r="XAY139" s="9"/>
      <c r="XAZ139" s="9"/>
      <c r="XBA139" s="18"/>
      <c r="XBB139" s="18"/>
      <c r="XBC139" s="18"/>
      <c r="XBD139" s="18"/>
      <c r="XBE139" s="18"/>
      <c r="XBF139" s="17"/>
      <c r="XBG139" s="9"/>
      <c r="XBH139" s="9"/>
      <c r="XBI139" s="18"/>
      <c r="XBJ139" s="18"/>
      <c r="XBK139" s="18"/>
      <c r="XBL139" s="18"/>
      <c r="XBM139" s="18"/>
      <c r="XBN139" s="17"/>
      <c r="XBO139" s="9"/>
      <c r="XBP139" s="9"/>
      <c r="XBQ139" s="18"/>
      <c r="XBR139" s="18"/>
      <c r="XBS139" s="18"/>
      <c r="XBT139" s="18"/>
      <c r="XBU139" s="18"/>
      <c r="XBV139" s="17"/>
      <c r="XBW139" s="9"/>
      <c r="XBX139" s="9"/>
      <c r="XBY139" s="18"/>
      <c r="XBZ139" s="18"/>
      <c r="XCA139" s="18"/>
      <c r="XCB139" s="18"/>
      <c r="XCC139" s="18"/>
      <c r="XCD139" s="17"/>
      <c r="XCE139" s="9"/>
      <c r="XCF139" s="9"/>
      <c r="XCG139" s="18"/>
      <c r="XCH139" s="18"/>
      <c r="XCI139" s="18"/>
      <c r="XCJ139" s="18"/>
      <c r="XCK139" s="18"/>
      <c r="XCL139" s="17"/>
      <c r="XCM139" s="9"/>
      <c r="XCN139" s="9"/>
      <c r="XCO139" s="18"/>
      <c r="XCP139" s="18"/>
      <c r="XCQ139" s="18"/>
      <c r="XCR139" s="18"/>
      <c r="XCS139" s="18"/>
      <c r="XCT139" s="17"/>
      <c r="XCU139" s="9"/>
      <c r="XCV139" s="9"/>
      <c r="XCW139" s="18"/>
      <c r="XCX139" s="18"/>
      <c r="XCY139" s="18"/>
      <c r="XCZ139" s="18"/>
      <c r="XDA139" s="18"/>
      <c r="XDB139" s="17"/>
      <c r="XDC139" s="9"/>
      <c r="XDD139" s="9"/>
      <c r="XDE139" s="18"/>
      <c r="XDF139" s="18"/>
      <c r="XDG139" s="18"/>
      <c r="XDH139" s="18"/>
      <c r="XDI139" s="18"/>
      <c r="XDJ139" s="17"/>
      <c r="XDK139" s="9"/>
      <c r="XDL139" s="9"/>
      <c r="XDM139" s="18"/>
      <c r="XDN139" s="18"/>
      <c r="XDO139" s="18"/>
      <c r="XDP139" s="18"/>
      <c r="XDQ139" s="18"/>
      <c r="XDR139" s="17"/>
      <c r="XDS139" s="9"/>
      <c r="XDT139" s="9"/>
      <c r="XDU139" s="18"/>
      <c r="XDV139" s="18"/>
      <c r="XDW139" s="18"/>
      <c r="XDX139" s="18"/>
      <c r="XDY139" s="18"/>
      <c r="XDZ139" s="17"/>
      <c r="XEA139" s="9"/>
      <c r="XEB139" s="9"/>
      <c r="XEC139" s="18"/>
      <c r="XED139" s="18"/>
      <c r="XEE139" s="18"/>
      <c r="XEF139" s="18"/>
      <c r="XEG139" s="18"/>
      <c r="XEH139" s="17"/>
      <c r="XEI139" s="9"/>
      <c r="XEJ139" s="9"/>
      <c r="XEK139" s="18"/>
      <c r="XEL139" s="18"/>
      <c r="XEM139" s="18"/>
      <c r="XEN139" s="18"/>
      <c r="XEO139" s="18"/>
      <c r="XEP139" s="17"/>
      <c r="XEQ139" s="9"/>
      <c r="XER139" s="9"/>
      <c r="XES139" s="18"/>
      <c r="XET139" s="18"/>
      <c r="XEU139" s="18"/>
      <c r="XEV139" s="18"/>
      <c r="XEW139" s="18"/>
      <c r="XEX139" s="17"/>
    </row>
    <row r="140" spans="1:16378" x14ac:dyDescent="0.3">
      <c r="B140" s="9"/>
      <c r="C140" s="16"/>
      <c r="D140" s="16"/>
      <c r="E140" s="16"/>
      <c r="F140" s="16"/>
      <c r="G140" s="16"/>
      <c r="H140" s="16"/>
      <c r="I140" s="18"/>
      <c r="J140" s="16"/>
      <c r="K140" s="18"/>
    </row>
    <row r="141" spans="1:16378" x14ac:dyDescent="0.3">
      <c r="B141" s="84" t="s">
        <v>144</v>
      </c>
      <c r="C141" s="42">
        <f t="shared" ref="C141:H141" si="58">C139-C57</f>
        <v>0</v>
      </c>
      <c r="D141" s="42">
        <f t="shared" si="58"/>
        <v>0</v>
      </c>
      <c r="E141" s="42">
        <f t="shared" si="58"/>
        <v>0</v>
      </c>
      <c r="F141" s="42">
        <f t="shared" si="58"/>
        <v>0</v>
      </c>
      <c r="G141" s="42">
        <f t="shared" si="58"/>
        <v>0</v>
      </c>
      <c r="H141" s="42">
        <f t="shared" si="58"/>
        <v>0</v>
      </c>
      <c r="I141" s="50">
        <f>SUM(C141:G141)</f>
        <v>0</v>
      </c>
      <c r="K141" s="50">
        <f>SUM(C141:H141)</f>
        <v>0</v>
      </c>
      <c r="M141" s="15"/>
    </row>
    <row r="142" spans="1:16378" x14ac:dyDescent="0.3">
      <c r="C142" s="42"/>
      <c r="D142" s="42"/>
      <c r="E142" s="42"/>
      <c r="F142" s="42"/>
      <c r="G142" s="42"/>
      <c r="H142" s="42"/>
      <c r="I142" s="50"/>
    </row>
    <row r="143" spans="1:16378" x14ac:dyDescent="0.3">
      <c r="A143" s="43" t="s">
        <v>145</v>
      </c>
      <c r="B143" s="43"/>
      <c r="C143" s="43" t="s">
        <v>2</v>
      </c>
      <c r="D143" s="43" t="s">
        <v>3</v>
      </c>
      <c r="E143" s="43" t="s">
        <v>4</v>
      </c>
      <c r="F143" s="43" t="s">
        <v>5</v>
      </c>
      <c r="G143" s="43" t="s">
        <v>6</v>
      </c>
      <c r="H143" s="43" t="s">
        <v>7</v>
      </c>
      <c r="I143" s="85" t="s">
        <v>8</v>
      </c>
      <c r="J143" s="86"/>
      <c r="K143" s="85" t="s">
        <v>8</v>
      </c>
    </row>
    <row r="144" spans="1:16378" x14ac:dyDescent="0.3">
      <c r="A144" s="160" t="s">
        <v>146</v>
      </c>
      <c r="B144" s="160"/>
      <c r="C144" s="42"/>
      <c r="D144" s="42"/>
      <c r="E144" s="42"/>
      <c r="F144" s="42"/>
      <c r="G144" s="42"/>
      <c r="H144" s="42"/>
      <c r="I144" s="17"/>
      <c r="K144" s="17"/>
    </row>
    <row r="145" spans="1:11" x14ac:dyDescent="0.3">
      <c r="A145" s="84" t="str">
        <f>B136</f>
        <v>RISULTATO PRIMA DELLE IMPOSTE</v>
      </c>
      <c r="C145" s="42">
        <f t="shared" ref="C145:H145" si="59">C136</f>
        <v>6825.8499999999767</v>
      </c>
      <c r="D145" s="42">
        <f t="shared" si="59"/>
        <v>-59843.406666666677</v>
      </c>
      <c r="E145" s="42">
        <f t="shared" si="59"/>
        <v>-45807.636666666629</v>
      </c>
      <c r="F145" s="42">
        <f t="shared" si="59"/>
        <v>-23512.324999999997</v>
      </c>
      <c r="G145" s="42">
        <f t="shared" si="59"/>
        <v>-50859.895000000004</v>
      </c>
      <c r="H145" s="42">
        <f t="shared" si="59"/>
        <v>75665.722166666528</v>
      </c>
      <c r="I145" s="17">
        <f>SUM(C145:G145)</f>
        <v>-173197.41333333333</v>
      </c>
      <c r="K145" s="17">
        <f>SUM(C145:G145)</f>
        <v>-173197.41333333333</v>
      </c>
    </row>
    <row r="146" spans="1:11" x14ac:dyDescent="0.3">
      <c r="A146" s="84" t="s">
        <v>147</v>
      </c>
      <c r="C146" s="42"/>
      <c r="D146" s="42"/>
      <c r="E146" s="42"/>
      <c r="F146" s="42"/>
      <c r="G146" s="42"/>
      <c r="H146" s="42"/>
      <c r="I146" s="17"/>
      <c r="K146" s="17"/>
    </row>
    <row r="147" spans="1:11" x14ac:dyDescent="0.3">
      <c r="B147" s="84" t="str">
        <f>B117</f>
        <v>Sopravvenienze passive ordinarie</v>
      </c>
      <c r="C147" s="42">
        <f>C117</f>
        <v>0</v>
      </c>
      <c r="D147" s="42">
        <f>D117</f>
        <v>0</v>
      </c>
      <c r="E147" s="42">
        <f t="shared" ref="E147:H147" si="60">E117</f>
        <v>0</v>
      </c>
      <c r="F147" s="42">
        <f t="shared" si="60"/>
        <v>0</v>
      </c>
      <c r="G147" s="42">
        <f t="shared" si="60"/>
        <v>0</v>
      </c>
      <c r="H147" s="42">
        <f t="shared" si="60"/>
        <v>0</v>
      </c>
      <c r="I147" s="17">
        <f>SUM(C147:G147)</f>
        <v>0</v>
      </c>
      <c r="K147" s="17">
        <f>SUM(C147:G147)</f>
        <v>0</v>
      </c>
    </row>
    <row r="148" spans="1:11" x14ac:dyDescent="0.3">
      <c r="B148" s="84" t="s">
        <v>148</v>
      </c>
      <c r="C148" s="42">
        <v>0</v>
      </c>
      <c r="D148" s="42">
        <v>0</v>
      </c>
      <c r="E148" s="42">
        <v>0</v>
      </c>
      <c r="F148" s="42">
        <v>0</v>
      </c>
      <c r="G148" s="42">
        <v>0</v>
      </c>
      <c r="H148" s="42">
        <v>0</v>
      </c>
      <c r="I148" s="17">
        <f>SUM(C148:G148)</f>
        <v>0</v>
      </c>
      <c r="K148" s="17">
        <f>SUM(C148:G148)</f>
        <v>0</v>
      </c>
    </row>
    <row r="149" spans="1:11" x14ac:dyDescent="0.3">
      <c r="A149" s="9" t="s">
        <v>149</v>
      </c>
      <c r="C149" s="42"/>
      <c r="D149" s="42"/>
      <c r="E149" s="42"/>
      <c r="F149" s="42"/>
      <c r="G149" s="42"/>
      <c r="H149" s="42"/>
      <c r="I149" s="17"/>
      <c r="K149" s="17"/>
    </row>
    <row r="150" spans="1:11" x14ac:dyDescent="0.3">
      <c r="B150" s="9" t="s">
        <v>150</v>
      </c>
      <c r="C150" s="42">
        <f>C126</f>
        <v>0</v>
      </c>
      <c r="D150" s="42">
        <f>D126</f>
        <v>0</v>
      </c>
      <c r="E150" s="42">
        <f t="shared" ref="E150:H150" si="61">E126</f>
        <v>0</v>
      </c>
      <c r="F150" s="42">
        <f t="shared" si="61"/>
        <v>0</v>
      </c>
      <c r="G150" s="42">
        <f t="shared" si="61"/>
        <v>0</v>
      </c>
      <c r="H150" s="42">
        <f t="shared" si="61"/>
        <v>343310.38</v>
      </c>
      <c r="I150" s="17">
        <f>SUM(C150:G150)</f>
        <v>0</v>
      </c>
      <c r="K150" s="17">
        <f>SUM(C150:G150)</f>
        <v>0</v>
      </c>
    </row>
    <row r="151" spans="1:11" x14ac:dyDescent="0.3">
      <c r="B151" s="9" t="s">
        <v>151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17">
        <f>SUM(C151:G151)</f>
        <v>0</v>
      </c>
      <c r="K151" s="17">
        <f>SUM(C151:G151)</f>
        <v>0</v>
      </c>
    </row>
    <row r="152" spans="1:11" ht="15" thickBot="1" x14ac:dyDescent="0.35">
      <c r="B152" s="84" t="s">
        <v>152</v>
      </c>
      <c r="C152" s="87">
        <v>0</v>
      </c>
      <c r="D152" s="42">
        <v>0</v>
      </c>
      <c r="E152" s="42">
        <v>0</v>
      </c>
      <c r="F152" s="42">
        <v>0</v>
      </c>
      <c r="G152" s="42">
        <v>0</v>
      </c>
      <c r="H152" s="42">
        <v>0</v>
      </c>
      <c r="I152" s="17">
        <f>SUM(C152:G152)</f>
        <v>0</v>
      </c>
      <c r="K152" s="17">
        <f>SUM(C152:G152)</f>
        <v>0</v>
      </c>
    </row>
    <row r="153" spans="1:11" ht="15" thickBot="1" x14ac:dyDescent="0.35">
      <c r="A153" s="21" t="s">
        <v>153</v>
      </c>
      <c r="B153" s="21"/>
      <c r="C153" s="22">
        <f t="shared" ref="C153:H153" si="62">C145+SUM(C147:C148)-SUM(C150:C152)</f>
        <v>6825.8499999999767</v>
      </c>
      <c r="D153" s="22">
        <f t="shared" si="62"/>
        <v>-59843.406666666677</v>
      </c>
      <c r="E153" s="22">
        <f t="shared" si="62"/>
        <v>-45807.636666666629</v>
      </c>
      <c r="F153" s="22">
        <f t="shared" si="62"/>
        <v>-23512.324999999997</v>
      </c>
      <c r="G153" s="22">
        <f t="shared" si="62"/>
        <v>-50859.895000000004</v>
      </c>
      <c r="H153" s="22">
        <f t="shared" si="62"/>
        <v>-267644.65783333348</v>
      </c>
      <c r="I153" s="23">
        <f>SUM(A153:G153)</f>
        <v>-173197.41333333333</v>
      </c>
      <c r="J153" s="22"/>
      <c r="K153" s="23">
        <f>SUM(C153:G153)</f>
        <v>-173197.41333333333</v>
      </c>
    </row>
    <row r="154" spans="1:11" x14ac:dyDescent="0.3">
      <c r="A154" s="43" t="s">
        <v>146</v>
      </c>
      <c r="B154" s="88">
        <f>24%</f>
        <v>0.24</v>
      </c>
      <c r="C154" s="44">
        <f t="shared" ref="C154:H154" si="63">C153*$B$154</f>
        <v>1638.2039999999943</v>
      </c>
      <c r="D154" s="44">
        <f t="shared" si="63"/>
        <v>-14362.417600000002</v>
      </c>
      <c r="E154" s="44">
        <f t="shared" si="63"/>
        <v>-10993.832799999991</v>
      </c>
      <c r="F154" s="44">
        <f t="shared" si="63"/>
        <v>-5642.9579999999987</v>
      </c>
      <c r="G154" s="44">
        <f t="shared" si="63"/>
        <v>-12206.374800000001</v>
      </c>
      <c r="H154" s="44">
        <f t="shared" si="63"/>
        <v>-64234.717880000033</v>
      </c>
      <c r="I154" s="44">
        <f>SUM(C154:G154)</f>
        <v>-41567.379199999996</v>
      </c>
      <c r="J154" s="89"/>
      <c r="K154" s="44">
        <f>SUM(C154:G154)</f>
        <v>-41567.379199999996</v>
      </c>
    </row>
    <row r="155" spans="1:11" x14ac:dyDescent="0.3">
      <c r="C155" s="42"/>
      <c r="D155" s="42"/>
      <c r="E155" s="42"/>
      <c r="F155" s="42"/>
      <c r="G155" s="42"/>
      <c r="H155" s="42"/>
      <c r="I155" s="17"/>
      <c r="K155" s="17"/>
    </row>
    <row r="156" spans="1:11" x14ac:dyDescent="0.3">
      <c r="A156" s="160" t="s">
        <v>154</v>
      </c>
      <c r="B156" s="160"/>
      <c r="C156" s="42"/>
      <c r="D156" s="42"/>
      <c r="E156" s="42"/>
      <c r="F156" s="42"/>
      <c r="G156" s="42"/>
      <c r="H156" s="42"/>
      <c r="I156" s="17"/>
      <c r="K156" s="17"/>
    </row>
    <row r="157" spans="1:11" x14ac:dyDescent="0.3">
      <c r="A157" s="9" t="s">
        <v>155</v>
      </c>
      <c r="C157" s="42">
        <f t="shared" ref="C157:H157" si="64">C129-C95-C107-C110-C118</f>
        <v>23122.389999999996</v>
      </c>
      <c r="D157" s="42">
        <f t="shared" si="64"/>
        <v>-23143.346666666675</v>
      </c>
      <c r="E157" s="42">
        <f t="shared" si="64"/>
        <v>-7059.1866666666438</v>
      </c>
      <c r="F157" s="42">
        <f t="shared" si="64"/>
        <v>2901.6550000000029</v>
      </c>
      <c r="G157" s="42">
        <f t="shared" si="64"/>
        <v>-32520.445000000003</v>
      </c>
      <c r="H157" s="42">
        <f t="shared" si="64"/>
        <v>75665.722166666601</v>
      </c>
      <c r="I157" s="17">
        <f t="shared" ref="I157:I163" si="65">SUM(C157:G157)</f>
        <v>-36698.93333333332</v>
      </c>
      <c r="K157" s="17">
        <f t="shared" ref="K157:K163" si="66">SUM(C157:G157)</f>
        <v>-36698.93333333332</v>
      </c>
    </row>
    <row r="158" spans="1:11" x14ac:dyDescent="0.3">
      <c r="A158" s="9" t="s">
        <v>156</v>
      </c>
      <c r="C158" s="42"/>
      <c r="D158" s="42"/>
      <c r="E158" s="42"/>
      <c r="F158" s="42"/>
      <c r="G158" s="42"/>
      <c r="H158" s="42"/>
      <c r="I158" s="17">
        <f t="shared" si="65"/>
        <v>0</v>
      </c>
      <c r="K158" s="17">
        <f t="shared" si="66"/>
        <v>0</v>
      </c>
    </row>
    <row r="159" spans="1:11" x14ac:dyDescent="0.3">
      <c r="B159" s="84" t="s">
        <v>157</v>
      </c>
      <c r="C159" s="42">
        <f>+C116</f>
        <v>0</v>
      </c>
      <c r="D159" s="42">
        <v>0</v>
      </c>
      <c r="E159" s="42">
        <v>0</v>
      </c>
      <c r="F159" s="42">
        <v>0</v>
      </c>
      <c r="G159" s="42">
        <v>0</v>
      </c>
      <c r="H159" s="42">
        <v>0</v>
      </c>
      <c r="I159" s="17">
        <f t="shared" si="65"/>
        <v>0</v>
      </c>
      <c r="K159" s="17">
        <f t="shared" si="66"/>
        <v>0</v>
      </c>
    </row>
    <row r="160" spans="1:11" x14ac:dyDescent="0.3">
      <c r="B160" s="9" t="s">
        <v>150</v>
      </c>
      <c r="C160" s="42">
        <f>-C126</f>
        <v>0</v>
      </c>
      <c r="D160" s="42">
        <f>-D126</f>
        <v>0</v>
      </c>
      <c r="E160" s="42">
        <f>-E126</f>
        <v>0</v>
      </c>
      <c r="F160" s="42">
        <f>-F126</f>
        <v>0</v>
      </c>
      <c r="G160" s="42">
        <v>0</v>
      </c>
      <c r="H160" s="42">
        <v>0</v>
      </c>
      <c r="I160" s="17">
        <f t="shared" si="65"/>
        <v>0</v>
      </c>
      <c r="K160" s="17">
        <f t="shared" si="66"/>
        <v>0</v>
      </c>
    </row>
    <row r="161" spans="1:11" ht="15" thickBot="1" x14ac:dyDescent="0.35">
      <c r="B161" s="84" t="s">
        <v>158</v>
      </c>
      <c r="C161" s="42">
        <v>0</v>
      </c>
      <c r="D161" s="42">
        <v>-8000</v>
      </c>
      <c r="E161" s="42">
        <v>-8000</v>
      </c>
      <c r="F161" s="42">
        <v>-8000</v>
      </c>
      <c r="G161" s="42">
        <v>0</v>
      </c>
      <c r="H161" s="42">
        <v>0</v>
      </c>
      <c r="I161" s="17">
        <f t="shared" si="65"/>
        <v>-24000</v>
      </c>
      <c r="K161" s="17">
        <f t="shared" si="66"/>
        <v>-24000</v>
      </c>
    </row>
    <row r="162" spans="1:11" ht="15" thickBot="1" x14ac:dyDescent="0.35">
      <c r="A162" s="21" t="s">
        <v>153</v>
      </c>
      <c r="B162" s="21"/>
      <c r="C162" s="22">
        <f t="shared" ref="C162:H162" si="67">SUM(C157:C161)</f>
        <v>23122.389999999996</v>
      </c>
      <c r="D162" s="22">
        <f t="shared" si="67"/>
        <v>-31143.346666666675</v>
      </c>
      <c r="E162" s="22">
        <f t="shared" si="67"/>
        <v>-15059.186666666643</v>
      </c>
      <c r="F162" s="22">
        <f t="shared" si="67"/>
        <v>-5098.3449999999975</v>
      </c>
      <c r="G162" s="22">
        <f t="shared" si="67"/>
        <v>-32520.445000000003</v>
      </c>
      <c r="H162" s="22">
        <f t="shared" si="67"/>
        <v>75665.722166666601</v>
      </c>
      <c r="I162" s="23">
        <f t="shared" si="65"/>
        <v>-60698.93333333332</v>
      </c>
      <c r="J162" s="22"/>
      <c r="K162" s="23">
        <f t="shared" si="66"/>
        <v>-60698.93333333332</v>
      </c>
    </row>
    <row r="163" spans="1:11" x14ac:dyDescent="0.3">
      <c r="A163" s="43" t="s">
        <v>154</v>
      </c>
      <c r="B163" s="88">
        <f>3.9%</f>
        <v>3.9E-2</v>
      </c>
      <c r="C163" s="44">
        <f t="shared" ref="C163:H163" si="68">C162*$B$163</f>
        <v>901.77320999999984</v>
      </c>
      <c r="D163" s="44">
        <f t="shared" si="68"/>
        <v>-1214.5905200000004</v>
      </c>
      <c r="E163" s="44">
        <f t="shared" si="68"/>
        <v>-587.30827999999906</v>
      </c>
      <c r="F163" s="44">
        <f t="shared" si="68"/>
        <v>-198.83545499999991</v>
      </c>
      <c r="G163" s="44">
        <f t="shared" si="68"/>
        <v>-1268.2973550000002</v>
      </c>
      <c r="H163" s="44">
        <f t="shared" si="68"/>
        <v>2950.9631644999972</v>
      </c>
      <c r="I163" s="44">
        <f t="shared" si="65"/>
        <v>-2367.2583999999997</v>
      </c>
      <c r="J163" s="89"/>
      <c r="K163" s="44">
        <f t="shared" si="66"/>
        <v>-2367.2583999999997</v>
      </c>
    </row>
    <row r="164" spans="1:11" x14ac:dyDescent="0.3">
      <c r="A164" s="43" t="s">
        <v>159</v>
      </c>
      <c r="B164" s="90"/>
      <c r="C164" s="44">
        <f t="shared" ref="C164:H164" si="69">IF(C163&lt;0,0,C163)</f>
        <v>901.77320999999984</v>
      </c>
      <c r="D164" s="44">
        <f t="shared" si="69"/>
        <v>0</v>
      </c>
      <c r="E164" s="44">
        <f t="shared" si="69"/>
        <v>0</v>
      </c>
      <c r="F164" s="44">
        <f t="shared" si="69"/>
        <v>0</v>
      </c>
      <c r="G164" s="44">
        <f t="shared" si="69"/>
        <v>0</v>
      </c>
      <c r="H164" s="44">
        <f t="shared" si="69"/>
        <v>2950.9631644999972</v>
      </c>
      <c r="I164" s="44"/>
      <c r="J164" s="89"/>
      <c r="K164" s="44"/>
    </row>
    <row r="165" spans="1:11" x14ac:dyDescent="0.3">
      <c r="C165" s="42"/>
      <c r="D165" s="42"/>
      <c r="E165" s="42"/>
      <c r="F165" s="42"/>
      <c r="G165" s="42"/>
      <c r="H165" s="42"/>
      <c r="I165" s="50"/>
    </row>
    <row r="166" spans="1:11" x14ac:dyDescent="0.3">
      <c r="A166" s="43"/>
      <c r="B166" s="90" t="s">
        <v>160</v>
      </c>
      <c r="C166" s="44">
        <f t="shared" ref="C166:H166" si="70">C164+C154</f>
        <v>2539.9772099999941</v>
      </c>
      <c r="D166" s="44">
        <f t="shared" si="70"/>
        <v>-14362.417600000002</v>
      </c>
      <c r="E166" s="44">
        <f t="shared" si="70"/>
        <v>-10993.832799999991</v>
      </c>
      <c r="F166" s="44">
        <f t="shared" si="70"/>
        <v>-5642.9579999999987</v>
      </c>
      <c r="G166" s="44">
        <f t="shared" si="70"/>
        <v>-12206.374800000001</v>
      </c>
      <c r="H166" s="44">
        <f t="shared" si="70"/>
        <v>-61283.754715500036</v>
      </c>
      <c r="I166" s="89"/>
      <c r="J166" s="89"/>
      <c r="K166" s="44">
        <f>SUM(C166:G166)</f>
        <v>-40665.605989999996</v>
      </c>
    </row>
    <row r="167" spans="1:11" x14ac:dyDescent="0.3">
      <c r="C167" s="42"/>
      <c r="D167" s="42"/>
      <c r="E167" s="42"/>
      <c r="F167" s="42"/>
      <c r="G167" s="42"/>
      <c r="H167" s="42"/>
    </row>
    <row r="168" spans="1:11" x14ac:dyDescent="0.3">
      <c r="C168" s="42"/>
      <c r="D168" s="42"/>
      <c r="E168" s="42"/>
      <c r="F168" s="42"/>
      <c r="G168" s="42"/>
      <c r="H168" s="42"/>
    </row>
    <row r="169" spans="1:11" x14ac:dyDescent="0.3">
      <c r="C169" s="42"/>
      <c r="D169" s="42"/>
      <c r="E169" s="42"/>
      <c r="F169" s="42"/>
      <c r="G169" s="42"/>
      <c r="H169" s="42"/>
    </row>
    <row r="170" spans="1:11" x14ac:dyDescent="0.3">
      <c r="C170" s="42"/>
      <c r="D170" s="42"/>
      <c r="E170" s="42"/>
      <c r="F170" s="42"/>
      <c r="G170" s="42"/>
      <c r="H170" s="42"/>
    </row>
    <row r="171" spans="1:11" x14ac:dyDescent="0.3">
      <c r="C171" s="42"/>
      <c r="D171" s="42"/>
      <c r="E171" s="42"/>
      <c r="F171" s="42"/>
      <c r="G171" s="42"/>
      <c r="H171" s="42"/>
    </row>
    <row r="172" spans="1:11" x14ac:dyDescent="0.3">
      <c r="C172" s="42"/>
      <c r="D172" s="42"/>
      <c r="E172" s="42"/>
      <c r="F172" s="42"/>
      <c r="G172" s="42"/>
      <c r="H172" s="42"/>
    </row>
    <row r="173" spans="1:11" x14ac:dyDescent="0.3">
      <c r="C173" s="42"/>
      <c r="D173" s="42"/>
      <c r="E173" s="42"/>
      <c r="F173" s="42"/>
      <c r="G173" s="42"/>
      <c r="H173" s="42"/>
    </row>
    <row r="174" spans="1:11" x14ac:dyDescent="0.3">
      <c r="C174" s="42"/>
      <c r="D174" s="42"/>
      <c r="E174" s="42"/>
      <c r="F174" s="42"/>
      <c r="G174" s="42"/>
      <c r="H174" s="42"/>
    </row>
    <row r="175" spans="1:11" x14ac:dyDescent="0.3">
      <c r="C175" s="42"/>
      <c r="D175" s="42"/>
      <c r="E175" s="42"/>
      <c r="F175" s="42"/>
      <c r="G175" s="42"/>
      <c r="H175" s="42"/>
    </row>
    <row r="176" spans="1:11" x14ac:dyDescent="0.3">
      <c r="C176" s="42"/>
      <c r="D176" s="42"/>
      <c r="E176" s="42"/>
      <c r="F176" s="42"/>
      <c r="G176" s="42"/>
      <c r="H176" s="42"/>
    </row>
    <row r="177" spans="3:8" x14ac:dyDescent="0.3">
      <c r="C177" s="42"/>
      <c r="D177" s="42"/>
      <c r="E177" s="42"/>
      <c r="F177" s="42"/>
      <c r="G177" s="42"/>
      <c r="H177" s="42"/>
    </row>
    <row r="178" spans="3:8" x14ac:dyDescent="0.3">
      <c r="C178" s="42"/>
      <c r="D178" s="42"/>
      <c r="E178" s="42"/>
      <c r="F178" s="42"/>
      <c r="G178" s="42"/>
      <c r="H178" s="42"/>
    </row>
    <row r="179" spans="3:8" x14ac:dyDescent="0.3">
      <c r="C179" s="42"/>
      <c r="D179" s="42"/>
      <c r="E179" s="42"/>
      <c r="F179" s="42"/>
      <c r="G179" s="42"/>
      <c r="H179" s="42"/>
    </row>
    <row r="180" spans="3:8" x14ac:dyDescent="0.3">
      <c r="C180" s="42"/>
      <c r="D180" s="42"/>
      <c r="E180" s="42"/>
      <c r="F180" s="42"/>
      <c r="G180" s="42"/>
      <c r="H180" s="42"/>
    </row>
    <row r="181" spans="3:8" x14ac:dyDescent="0.3">
      <c r="C181" s="42"/>
      <c r="D181" s="42"/>
      <c r="E181" s="42"/>
      <c r="F181" s="42"/>
      <c r="G181" s="42"/>
      <c r="H181" s="42"/>
    </row>
    <row r="182" spans="3:8" x14ac:dyDescent="0.3">
      <c r="C182" s="42"/>
      <c r="D182" s="42"/>
      <c r="E182" s="42"/>
      <c r="F182" s="42"/>
      <c r="G182" s="42"/>
      <c r="H182" s="42"/>
    </row>
    <row r="183" spans="3:8" x14ac:dyDescent="0.3">
      <c r="C183" s="42"/>
      <c r="D183" s="42"/>
      <c r="E183" s="42"/>
      <c r="F183" s="42"/>
      <c r="G183" s="42"/>
      <c r="H183" s="42"/>
    </row>
    <row r="184" spans="3:8" x14ac:dyDescent="0.3">
      <c r="C184" s="42"/>
      <c r="D184" s="42"/>
      <c r="E184" s="42"/>
      <c r="F184" s="42"/>
      <c r="G184" s="42"/>
      <c r="H184" s="42"/>
    </row>
    <row r="185" spans="3:8" x14ac:dyDescent="0.3">
      <c r="C185" s="42"/>
      <c r="D185" s="42"/>
      <c r="E185" s="42"/>
      <c r="F185" s="42"/>
      <c r="G185" s="42"/>
      <c r="H185" s="42"/>
    </row>
    <row r="186" spans="3:8" x14ac:dyDescent="0.3">
      <c r="C186" s="42"/>
      <c r="D186" s="42"/>
      <c r="E186" s="42"/>
      <c r="F186" s="42"/>
      <c r="G186" s="42"/>
      <c r="H186" s="42"/>
    </row>
    <row r="187" spans="3:8" x14ac:dyDescent="0.3">
      <c r="C187" s="42"/>
      <c r="D187" s="42"/>
      <c r="E187" s="42"/>
      <c r="F187" s="42"/>
      <c r="G187" s="42"/>
      <c r="H187" s="42"/>
    </row>
    <row r="188" spans="3:8" x14ac:dyDescent="0.3">
      <c r="C188" s="42"/>
      <c r="D188" s="42"/>
      <c r="E188" s="42"/>
      <c r="F188" s="42"/>
      <c r="G188" s="42"/>
      <c r="H188" s="42"/>
    </row>
    <row r="189" spans="3:8" x14ac:dyDescent="0.3">
      <c r="C189" s="42"/>
      <c r="D189" s="42"/>
      <c r="E189" s="42"/>
      <c r="F189" s="42"/>
      <c r="G189" s="42"/>
      <c r="H189" s="42"/>
    </row>
    <row r="190" spans="3:8" x14ac:dyDescent="0.3">
      <c r="C190" s="42"/>
      <c r="D190" s="42"/>
      <c r="E190" s="42"/>
      <c r="F190" s="42"/>
      <c r="G190" s="42"/>
      <c r="H190" s="42"/>
    </row>
    <row r="191" spans="3:8" x14ac:dyDescent="0.3">
      <c r="C191" s="42"/>
      <c r="D191" s="42"/>
      <c r="E191" s="42"/>
      <c r="F191" s="42"/>
      <c r="G191" s="42"/>
      <c r="H191" s="42"/>
    </row>
    <row r="192" spans="3:8" x14ac:dyDescent="0.3">
      <c r="C192" s="42"/>
      <c r="D192" s="42"/>
      <c r="E192" s="42"/>
      <c r="F192" s="42"/>
      <c r="G192" s="42"/>
      <c r="H192" s="42"/>
    </row>
    <row r="193" spans="3:8" x14ac:dyDescent="0.3">
      <c r="C193" s="42"/>
      <c r="D193" s="42"/>
      <c r="E193" s="42"/>
      <c r="F193" s="42"/>
      <c r="G193" s="42"/>
      <c r="H193" s="42"/>
    </row>
    <row r="194" spans="3:8" x14ac:dyDescent="0.3">
      <c r="C194" s="42"/>
      <c r="D194" s="42"/>
      <c r="E194" s="42"/>
      <c r="F194" s="42"/>
      <c r="G194" s="42"/>
      <c r="H194" s="42"/>
    </row>
    <row r="195" spans="3:8" x14ac:dyDescent="0.3">
      <c r="C195" s="42"/>
      <c r="D195" s="42"/>
      <c r="E195" s="42"/>
      <c r="F195" s="42"/>
      <c r="G195" s="42"/>
      <c r="H195" s="42"/>
    </row>
    <row r="196" spans="3:8" x14ac:dyDescent="0.3">
      <c r="C196" s="42"/>
      <c r="D196" s="42"/>
      <c r="E196" s="42"/>
      <c r="F196" s="42"/>
      <c r="G196" s="42"/>
      <c r="H196" s="42"/>
    </row>
    <row r="197" spans="3:8" x14ac:dyDescent="0.3">
      <c r="C197" s="42"/>
      <c r="D197" s="42"/>
      <c r="E197" s="42"/>
      <c r="F197" s="42"/>
      <c r="G197" s="42"/>
      <c r="H197" s="42"/>
    </row>
    <row r="198" spans="3:8" x14ac:dyDescent="0.3">
      <c r="C198" s="42"/>
      <c r="D198" s="42"/>
      <c r="E198" s="42"/>
      <c r="F198" s="42"/>
      <c r="G198" s="42"/>
      <c r="H198" s="42"/>
    </row>
    <row r="199" spans="3:8" x14ac:dyDescent="0.3">
      <c r="C199" s="42"/>
      <c r="D199" s="42"/>
      <c r="E199" s="42"/>
      <c r="F199" s="42"/>
      <c r="G199" s="42"/>
      <c r="H199" s="42"/>
    </row>
    <row r="200" spans="3:8" x14ac:dyDescent="0.3">
      <c r="C200" s="42"/>
      <c r="D200" s="42"/>
      <c r="E200" s="42"/>
      <c r="F200" s="42"/>
      <c r="G200" s="42"/>
      <c r="H200" s="42"/>
    </row>
    <row r="201" spans="3:8" x14ac:dyDescent="0.3">
      <c r="C201" s="42"/>
      <c r="D201" s="42"/>
      <c r="E201" s="42"/>
      <c r="F201" s="42"/>
      <c r="G201" s="42"/>
      <c r="H201" s="42"/>
    </row>
    <row r="202" spans="3:8" x14ac:dyDescent="0.3">
      <c r="C202" s="42"/>
      <c r="D202" s="42"/>
      <c r="E202" s="42"/>
      <c r="F202" s="42"/>
      <c r="G202" s="42"/>
      <c r="H202" s="42"/>
    </row>
    <row r="203" spans="3:8" x14ac:dyDescent="0.3">
      <c r="C203" s="42"/>
      <c r="D203" s="42"/>
      <c r="E203" s="42"/>
      <c r="F203" s="42"/>
      <c r="G203" s="42"/>
      <c r="H203" s="42"/>
    </row>
    <row r="204" spans="3:8" x14ac:dyDescent="0.3">
      <c r="C204" s="42"/>
      <c r="D204" s="42"/>
      <c r="E204" s="42"/>
      <c r="F204" s="42"/>
      <c r="G204" s="42"/>
      <c r="H204" s="42"/>
    </row>
    <row r="205" spans="3:8" x14ac:dyDescent="0.3">
      <c r="C205" s="42"/>
      <c r="D205" s="42"/>
      <c r="E205" s="42"/>
      <c r="F205" s="42"/>
      <c r="G205" s="42"/>
      <c r="H205" s="42"/>
    </row>
    <row r="206" spans="3:8" x14ac:dyDescent="0.3">
      <c r="C206" s="42"/>
      <c r="D206" s="42"/>
      <c r="E206" s="42"/>
      <c r="F206" s="42"/>
      <c r="G206" s="42"/>
      <c r="H206" s="42"/>
    </row>
    <row r="207" spans="3:8" x14ac:dyDescent="0.3">
      <c r="C207" s="42"/>
      <c r="D207" s="42"/>
      <c r="E207" s="42"/>
      <c r="F207" s="42"/>
      <c r="G207" s="42"/>
      <c r="H207" s="42"/>
    </row>
    <row r="208" spans="3:8" x14ac:dyDescent="0.3">
      <c r="C208" s="42"/>
      <c r="D208" s="42"/>
      <c r="E208" s="42"/>
      <c r="F208" s="42"/>
      <c r="G208" s="42"/>
      <c r="H208" s="42"/>
    </row>
    <row r="209" spans="3:8" x14ac:dyDescent="0.3">
      <c r="C209" s="42"/>
      <c r="D209" s="42"/>
      <c r="E209" s="42"/>
      <c r="F209" s="42"/>
      <c r="G209" s="42"/>
      <c r="H209" s="42"/>
    </row>
    <row r="210" spans="3:8" x14ac:dyDescent="0.3">
      <c r="C210" s="42"/>
      <c r="D210" s="42"/>
      <c r="E210" s="42"/>
      <c r="F210" s="42"/>
      <c r="G210" s="42"/>
      <c r="H210" s="42"/>
    </row>
    <row r="211" spans="3:8" x14ac:dyDescent="0.3">
      <c r="C211" s="42"/>
      <c r="D211" s="42"/>
      <c r="E211" s="42"/>
      <c r="F211" s="42"/>
      <c r="G211" s="42"/>
      <c r="H211" s="42"/>
    </row>
    <row r="212" spans="3:8" x14ac:dyDescent="0.3">
      <c r="C212" s="42"/>
      <c r="D212" s="42"/>
      <c r="E212" s="42"/>
      <c r="F212" s="42"/>
      <c r="G212" s="42"/>
      <c r="H212" s="42"/>
    </row>
    <row r="213" spans="3:8" x14ac:dyDescent="0.3">
      <c r="C213" s="42"/>
      <c r="D213" s="42"/>
      <c r="E213" s="42"/>
      <c r="F213" s="42"/>
      <c r="G213" s="42"/>
      <c r="H213" s="42"/>
    </row>
    <row r="214" spans="3:8" x14ac:dyDescent="0.3">
      <c r="C214" s="42"/>
      <c r="D214" s="42"/>
      <c r="E214" s="42"/>
      <c r="F214" s="42"/>
      <c r="G214" s="42"/>
      <c r="H214" s="42"/>
    </row>
    <row r="215" spans="3:8" x14ac:dyDescent="0.3">
      <c r="C215" s="42"/>
      <c r="D215" s="42"/>
      <c r="E215" s="42"/>
      <c r="F215" s="42"/>
      <c r="G215" s="42"/>
      <c r="H215" s="42"/>
    </row>
    <row r="216" spans="3:8" x14ac:dyDescent="0.3">
      <c r="C216" s="42"/>
      <c r="D216" s="42"/>
      <c r="E216" s="42"/>
      <c r="F216" s="42"/>
      <c r="G216" s="42"/>
      <c r="H216" s="42"/>
    </row>
    <row r="217" spans="3:8" x14ac:dyDescent="0.3">
      <c r="C217" s="42"/>
      <c r="D217" s="42"/>
      <c r="E217" s="42"/>
      <c r="F217" s="42"/>
      <c r="G217" s="42"/>
      <c r="H217" s="42"/>
    </row>
    <row r="218" spans="3:8" x14ac:dyDescent="0.3">
      <c r="C218" s="42"/>
      <c r="D218" s="42"/>
      <c r="E218" s="42"/>
      <c r="F218" s="42"/>
      <c r="G218" s="42"/>
      <c r="H218" s="42"/>
    </row>
    <row r="219" spans="3:8" x14ac:dyDescent="0.3">
      <c r="C219" s="42"/>
      <c r="D219" s="42"/>
      <c r="E219" s="42"/>
      <c r="F219" s="42"/>
      <c r="G219" s="42"/>
      <c r="H219" s="42"/>
    </row>
    <row r="220" spans="3:8" x14ac:dyDescent="0.3">
      <c r="C220" s="42"/>
      <c r="D220" s="42"/>
      <c r="E220" s="42"/>
      <c r="F220" s="42"/>
      <c r="G220" s="42"/>
      <c r="H220" s="42"/>
    </row>
    <row r="221" spans="3:8" x14ac:dyDescent="0.3">
      <c r="C221" s="42"/>
      <c r="D221" s="42"/>
      <c r="E221" s="42"/>
      <c r="F221" s="42"/>
      <c r="G221" s="42"/>
      <c r="H221" s="42"/>
    </row>
    <row r="222" spans="3:8" x14ac:dyDescent="0.3">
      <c r="C222" s="42"/>
      <c r="D222" s="42"/>
      <c r="E222" s="42"/>
      <c r="F222" s="42"/>
      <c r="G222" s="42"/>
      <c r="H222" s="42"/>
    </row>
    <row r="223" spans="3:8" x14ac:dyDescent="0.3">
      <c r="C223" s="42"/>
      <c r="D223" s="42"/>
      <c r="E223" s="42"/>
      <c r="F223" s="42"/>
      <c r="G223" s="42"/>
      <c r="H223" s="42"/>
    </row>
    <row r="224" spans="3:8" x14ac:dyDescent="0.3">
      <c r="C224" s="42"/>
      <c r="D224" s="42"/>
      <c r="E224" s="42"/>
      <c r="F224" s="42"/>
      <c r="G224" s="42"/>
      <c r="H224" s="42"/>
    </row>
    <row r="225" spans="3:8" x14ac:dyDescent="0.3">
      <c r="C225" s="42"/>
      <c r="D225" s="42"/>
      <c r="E225" s="42"/>
      <c r="F225" s="42"/>
      <c r="G225" s="42"/>
      <c r="H225" s="42"/>
    </row>
    <row r="226" spans="3:8" x14ac:dyDescent="0.3">
      <c r="C226" s="42"/>
      <c r="D226" s="42"/>
      <c r="E226" s="42"/>
      <c r="F226" s="42"/>
      <c r="G226" s="42"/>
      <c r="H226" s="42"/>
    </row>
    <row r="227" spans="3:8" x14ac:dyDescent="0.3">
      <c r="C227" s="42"/>
      <c r="D227" s="42"/>
      <c r="E227" s="42"/>
      <c r="F227" s="42"/>
      <c r="G227" s="42"/>
      <c r="H227" s="42"/>
    </row>
    <row r="228" spans="3:8" x14ac:dyDescent="0.3">
      <c r="C228" s="42"/>
      <c r="D228" s="42"/>
      <c r="E228" s="42"/>
      <c r="F228" s="42"/>
      <c r="G228" s="42"/>
      <c r="H228" s="42"/>
    </row>
    <row r="229" spans="3:8" x14ac:dyDescent="0.3">
      <c r="C229" s="42"/>
      <c r="D229" s="42"/>
      <c r="E229" s="42"/>
      <c r="F229" s="42"/>
      <c r="G229" s="42"/>
      <c r="H229" s="42"/>
    </row>
    <row r="230" spans="3:8" x14ac:dyDescent="0.3">
      <c r="C230" s="42"/>
      <c r="D230" s="42"/>
      <c r="E230" s="42"/>
      <c r="F230" s="42"/>
      <c r="G230" s="42"/>
      <c r="H230" s="42"/>
    </row>
    <row r="231" spans="3:8" x14ac:dyDescent="0.3">
      <c r="C231" s="42"/>
      <c r="D231" s="42"/>
      <c r="E231" s="42"/>
      <c r="F231" s="42"/>
      <c r="G231" s="42"/>
      <c r="H231" s="42"/>
    </row>
    <row r="232" spans="3:8" x14ac:dyDescent="0.3">
      <c r="C232" s="42"/>
      <c r="D232" s="42"/>
      <c r="E232" s="42"/>
      <c r="F232" s="42"/>
      <c r="G232" s="42"/>
      <c r="H232" s="42"/>
    </row>
    <row r="233" spans="3:8" x14ac:dyDescent="0.3">
      <c r="C233" s="42"/>
      <c r="D233" s="42"/>
      <c r="E233" s="42"/>
      <c r="F233" s="42"/>
      <c r="G233" s="42"/>
      <c r="H233" s="42"/>
    </row>
    <row r="234" spans="3:8" x14ac:dyDescent="0.3">
      <c r="C234" s="42"/>
      <c r="D234" s="42"/>
      <c r="E234" s="42"/>
      <c r="F234" s="42"/>
      <c r="G234" s="42"/>
      <c r="H234" s="42"/>
    </row>
    <row r="235" spans="3:8" x14ac:dyDescent="0.3">
      <c r="C235" s="42"/>
      <c r="D235" s="42"/>
      <c r="E235" s="42"/>
      <c r="F235" s="42"/>
      <c r="G235" s="42"/>
      <c r="H235" s="42"/>
    </row>
    <row r="236" spans="3:8" x14ac:dyDescent="0.3">
      <c r="C236" s="42"/>
      <c r="D236" s="42"/>
      <c r="E236" s="42"/>
      <c r="F236" s="42"/>
      <c r="G236" s="42"/>
      <c r="H236" s="42"/>
    </row>
    <row r="237" spans="3:8" x14ac:dyDescent="0.3">
      <c r="C237" s="42"/>
      <c r="D237" s="42"/>
      <c r="E237" s="42"/>
      <c r="F237" s="42"/>
      <c r="G237" s="42"/>
      <c r="H237" s="42"/>
    </row>
    <row r="238" spans="3:8" x14ac:dyDescent="0.3">
      <c r="C238" s="42"/>
      <c r="D238" s="42"/>
      <c r="E238" s="42"/>
      <c r="F238" s="42"/>
      <c r="G238" s="42"/>
      <c r="H238" s="42"/>
    </row>
    <row r="239" spans="3:8" x14ac:dyDescent="0.3">
      <c r="C239" s="42"/>
      <c r="D239" s="42"/>
      <c r="E239" s="42"/>
      <c r="F239" s="42"/>
      <c r="G239" s="42"/>
      <c r="H239" s="42"/>
    </row>
    <row r="240" spans="3:8" x14ac:dyDescent="0.3">
      <c r="C240" s="42"/>
      <c r="D240" s="42"/>
      <c r="E240" s="42"/>
      <c r="F240" s="42"/>
      <c r="G240" s="42"/>
      <c r="H240" s="42"/>
    </row>
    <row r="241" spans="3:8" x14ac:dyDescent="0.3">
      <c r="C241" s="42"/>
      <c r="D241" s="42"/>
      <c r="E241" s="42"/>
      <c r="F241" s="42"/>
      <c r="G241" s="42"/>
      <c r="H241" s="42"/>
    </row>
    <row r="242" spans="3:8" x14ac:dyDescent="0.3">
      <c r="C242" s="42"/>
      <c r="D242" s="42"/>
      <c r="E242" s="42"/>
      <c r="F242" s="42"/>
      <c r="G242" s="42"/>
      <c r="H242" s="42"/>
    </row>
    <row r="243" spans="3:8" x14ac:dyDescent="0.3">
      <c r="C243" s="42"/>
      <c r="D243" s="42"/>
      <c r="E243" s="42"/>
      <c r="F243" s="42"/>
      <c r="G243" s="42"/>
      <c r="H243" s="42"/>
    </row>
    <row r="244" spans="3:8" x14ac:dyDescent="0.3">
      <c r="C244" s="42"/>
      <c r="D244" s="42"/>
      <c r="E244" s="42"/>
      <c r="F244" s="42"/>
      <c r="G244" s="42"/>
      <c r="H244" s="42"/>
    </row>
    <row r="245" spans="3:8" x14ac:dyDescent="0.3">
      <c r="C245" s="42"/>
      <c r="D245" s="42"/>
      <c r="E245" s="42"/>
      <c r="F245" s="42"/>
      <c r="G245" s="42"/>
      <c r="H245" s="42"/>
    </row>
    <row r="246" spans="3:8" x14ac:dyDescent="0.3">
      <c r="C246" s="42"/>
      <c r="D246" s="42"/>
      <c r="E246" s="42"/>
      <c r="F246" s="42"/>
      <c r="G246" s="42"/>
      <c r="H246" s="42"/>
    </row>
    <row r="247" spans="3:8" x14ac:dyDescent="0.3">
      <c r="C247" s="42"/>
      <c r="D247" s="42"/>
      <c r="E247" s="42"/>
      <c r="F247" s="42"/>
      <c r="G247" s="42"/>
      <c r="H247" s="42"/>
    </row>
    <row r="248" spans="3:8" x14ac:dyDescent="0.3">
      <c r="C248" s="42"/>
      <c r="D248" s="42"/>
      <c r="E248" s="42"/>
      <c r="F248" s="42"/>
      <c r="G248" s="42"/>
      <c r="H248" s="42"/>
    </row>
    <row r="249" spans="3:8" x14ac:dyDescent="0.3">
      <c r="C249" s="42"/>
      <c r="D249" s="42"/>
      <c r="E249" s="42"/>
      <c r="F249" s="42"/>
      <c r="G249" s="42"/>
      <c r="H249" s="42"/>
    </row>
    <row r="250" spans="3:8" x14ac:dyDescent="0.3">
      <c r="C250" s="42"/>
      <c r="D250" s="42"/>
      <c r="E250" s="42"/>
      <c r="F250" s="42"/>
      <c r="G250" s="42"/>
      <c r="H250" s="42"/>
    </row>
    <row r="251" spans="3:8" x14ac:dyDescent="0.3">
      <c r="C251" s="42"/>
      <c r="D251" s="42"/>
      <c r="E251" s="42"/>
      <c r="F251" s="42"/>
      <c r="G251" s="42"/>
      <c r="H251" s="42"/>
    </row>
    <row r="252" spans="3:8" x14ac:dyDescent="0.3">
      <c r="C252" s="42"/>
      <c r="D252" s="42"/>
      <c r="E252" s="42"/>
      <c r="F252" s="42"/>
      <c r="G252" s="42"/>
      <c r="H252" s="42"/>
    </row>
    <row r="253" spans="3:8" x14ac:dyDescent="0.3">
      <c r="C253" s="42"/>
      <c r="D253" s="42"/>
      <c r="E253" s="42"/>
      <c r="F253" s="42"/>
      <c r="G253" s="42"/>
      <c r="H253" s="42"/>
    </row>
    <row r="254" spans="3:8" x14ac:dyDescent="0.3">
      <c r="C254" s="42"/>
      <c r="D254" s="42"/>
      <c r="E254" s="42"/>
      <c r="F254" s="42"/>
      <c r="G254" s="42"/>
      <c r="H254" s="42"/>
    </row>
    <row r="255" spans="3:8" x14ac:dyDescent="0.3">
      <c r="C255" s="42"/>
      <c r="D255" s="42"/>
      <c r="E255" s="42"/>
      <c r="F255" s="42"/>
      <c r="G255" s="42"/>
      <c r="H255" s="42"/>
    </row>
    <row r="256" spans="3:8" x14ac:dyDescent="0.3">
      <c r="C256" s="42"/>
      <c r="D256" s="42"/>
      <c r="E256" s="42"/>
      <c r="F256" s="42"/>
      <c r="G256" s="42"/>
      <c r="H256" s="42"/>
    </row>
    <row r="257" spans="3:8" x14ac:dyDescent="0.3">
      <c r="C257" s="42"/>
      <c r="D257" s="42"/>
      <c r="E257" s="42"/>
      <c r="F257" s="42"/>
      <c r="G257" s="42"/>
      <c r="H257" s="42"/>
    </row>
    <row r="258" spans="3:8" x14ac:dyDescent="0.3">
      <c r="C258" s="42"/>
      <c r="D258" s="42"/>
      <c r="E258" s="42"/>
      <c r="F258" s="42"/>
      <c r="G258" s="42"/>
      <c r="H258" s="42"/>
    </row>
    <row r="259" spans="3:8" x14ac:dyDescent="0.3">
      <c r="C259" s="42"/>
      <c r="D259" s="42"/>
      <c r="E259" s="42"/>
      <c r="F259" s="42"/>
      <c r="G259" s="42"/>
      <c r="H259" s="42"/>
    </row>
    <row r="260" spans="3:8" x14ac:dyDescent="0.3">
      <c r="C260" s="42"/>
      <c r="D260" s="42"/>
      <c r="E260" s="42"/>
      <c r="F260" s="42"/>
      <c r="G260" s="42"/>
      <c r="H260" s="42"/>
    </row>
    <row r="261" spans="3:8" x14ac:dyDescent="0.3">
      <c r="C261" s="42"/>
      <c r="D261" s="42"/>
      <c r="E261" s="42"/>
      <c r="F261" s="42"/>
      <c r="G261" s="42"/>
      <c r="H261" s="42"/>
    </row>
    <row r="262" spans="3:8" x14ac:dyDescent="0.3">
      <c r="C262" s="42"/>
      <c r="D262" s="42"/>
      <c r="E262" s="42"/>
      <c r="F262" s="42"/>
      <c r="G262" s="42"/>
      <c r="H262" s="42"/>
    </row>
    <row r="263" spans="3:8" x14ac:dyDescent="0.3">
      <c r="C263" s="42"/>
      <c r="D263" s="42"/>
      <c r="E263" s="42"/>
      <c r="F263" s="42"/>
      <c r="G263" s="42"/>
      <c r="H263" s="42"/>
    </row>
    <row r="264" spans="3:8" x14ac:dyDescent="0.3">
      <c r="C264" s="42"/>
      <c r="D264" s="42"/>
      <c r="E264" s="42"/>
      <c r="F264" s="42"/>
      <c r="G264" s="42"/>
      <c r="H264" s="42"/>
    </row>
    <row r="265" spans="3:8" x14ac:dyDescent="0.3">
      <c r="C265" s="42"/>
      <c r="D265" s="42"/>
      <c r="E265" s="42"/>
      <c r="F265" s="42"/>
      <c r="G265" s="42"/>
      <c r="H265" s="42"/>
    </row>
    <row r="266" spans="3:8" x14ac:dyDescent="0.3">
      <c r="C266" s="42"/>
      <c r="D266" s="42"/>
      <c r="E266" s="42"/>
      <c r="F266" s="42"/>
      <c r="G266" s="42"/>
      <c r="H266" s="42"/>
    </row>
    <row r="267" spans="3:8" x14ac:dyDescent="0.3">
      <c r="C267" s="42"/>
      <c r="D267" s="42"/>
      <c r="E267" s="42"/>
      <c r="F267" s="42"/>
      <c r="G267" s="42"/>
      <c r="H267" s="42"/>
    </row>
    <row r="268" spans="3:8" x14ac:dyDescent="0.3">
      <c r="C268" s="42"/>
      <c r="D268" s="42"/>
      <c r="E268" s="42"/>
      <c r="F268" s="42"/>
      <c r="G268" s="42"/>
      <c r="H268" s="42"/>
    </row>
    <row r="269" spans="3:8" x14ac:dyDescent="0.3">
      <c r="C269" s="42"/>
      <c r="D269" s="42"/>
      <c r="E269" s="42"/>
      <c r="F269" s="42"/>
      <c r="G269" s="42"/>
      <c r="H269" s="42"/>
    </row>
    <row r="270" spans="3:8" x14ac:dyDescent="0.3">
      <c r="C270" s="42"/>
      <c r="D270" s="42"/>
      <c r="E270" s="42"/>
      <c r="F270" s="42"/>
      <c r="G270" s="42"/>
      <c r="H270" s="42"/>
    </row>
    <row r="271" spans="3:8" x14ac:dyDescent="0.3">
      <c r="C271" s="42"/>
      <c r="D271" s="42"/>
      <c r="E271" s="42"/>
      <c r="F271" s="42"/>
      <c r="G271" s="42"/>
      <c r="H271" s="42"/>
    </row>
    <row r="272" spans="3:8" x14ac:dyDescent="0.3">
      <c r="C272" s="42"/>
      <c r="D272" s="42"/>
      <c r="E272" s="42"/>
      <c r="F272" s="42"/>
      <c r="G272" s="42"/>
      <c r="H272" s="42"/>
    </row>
    <row r="273" spans="3:8" x14ac:dyDescent="0.3">
      <c r="C273" s="42"/>
      <c r="D273" s="42"/>
      <c r="E273" s="42"/>
      <c r="F273" s="42"/>
      <c r="G273" s="42"/>
      <c r="H273" s="42"/>
    </row>
    <row r="274" spans="3:8" x14ac:dyDescent="0.3">
      <c r="C274" s="42"/>
      <c r="D274" s="42"/>
      <c r="E274" s="42"/>
      <c r="F274" s="42"/>
      <c r="G274" s="42"/>
      <c r="H274" s="42"/>
    </row>
    <row r="275" spans="3:8" x14ac:dyDescent="0.3">
      <c r="C275" s="42"/>
      <c r="D275" s="42"/>
      <c r="E275" s="42"/>
      <c r="F275" s="42"/>
      <c r="G275" s="42"/>
      <c r="H275" s="42"/>
    </row>
    <row r="276" spans="3:8" x14ac:dyDescent="0.3">
      <c r="C276" s="42"/>
      <c r="D276" s="42"/>
      <c r="E276" s="42"/>
      <c r="F276" s="42"/>
      <c r="G276" s="42"/>
      <c r="H276" s="42"/>
    </row>
    <row r="277" spans="3:8" x14ac:dyDescent="0.3">
      <c r="C277" s="42"/>
      <c r="D277" s="42"/>
      <c r="E277" s="42"/>
      <c r="F277" s="42"/>
      <c r="G277" s="42"/>
      <c r="H277" s="42"/>
    </row>
    <row r="278" spans="3:8" x14ac:dyDescent="0.3">
      <c r="C278" s="42"/>
      <c r="D278" s="42"/>
      <c r="E278" s="42"/>
      <c r="F278" s="42"/>
      <c r="G278" s="42"/>
      <c r="H278" s="42"/>
    </row>
    <row r="279" spans="3:8" x14ac:dyDescent="0.3">
      <c r="C279" s="42"/>
      <c r="D279" s="42"/>
      <c r="E279" s="42"/>
      <c r="F279" s="42"/>
      <c r="G279" s="42"/>
      <c r="H279" s="42"/>
    </row>
    <row r="280" spans="3:8" x14ac:dyDescent="0.3">
      <c r="C280" s="42"/>
      <c r="D280" s="42"/>
      <c r="E280" s="42"/>
      <c r="F280" s="42"/>
      <c r="G280" s="42"/>
      <c r="H280" s="42"/>
    </row>
    <row r="281" spans="3:8" x14ac:dyDescent="0.3">
      <c r="C281" s="42"/>
      <c r="D281" s="42"/>
      <c r="E281" s="42"/>
      <c r="F281" s="42"/>
      <c r="G281" s="42"/>
      <c r="H281" s="42"/>
    </row>
    <row r="282" spans="3:8" x14ac:dyDescent="0.3">
      <c r="C282" s="42"/>
      <c r="D282" s="42"/>
      <c r="E282" s="42"/>
      <c r="F282" s="42"/>
      <c r="G282" s="42"/>
      <c r="H282" s="42"/>
    </row>
    <row r="283" spans="3:8" x14ac:dyDescent="0.3">
      <c r="C283" s="42"/>
      <c r="D283" s="42"/>
      <c r="E283" s="42"/>
      <c r="F283" s="42"/>
      <c r="G283" s="42"/>
      <c r="H283" s="42"/>
    </row>
    <row r="284" spans="3:8" x14ac:dyDescent="0.3">
      <c r="C284" s="42"/>
      <c r="D284" s="42"/>
      <c r="E284" s="42"/>
      <c r="F284" s="42"/>
      <c r="G284" s="42"/>
      <c r="H284" s="42"/>
    </row>
    <row r="285" spans="3:8" x14ac:dyDescent="0.3">
      <c r="C285" s="42"/>
      <c r="D285" s="42"/>
      <c r="E285" s="42"/>
      <c r="F285" s="42"/>
      <c r="G285" s="42"/>
      <c r="H285" s="42"/>
    </row>
    <row r="286" spans="3:8" x14ac:dyDescent="0.3">
      <c r="C286" s="42"/>
      <c r="D286" s="42"/>
      <c r="E286" s="42"/>
      <c r="F286" s="42"/>
      <c r="G286" s="42"/>
      <c r="H286" s="42"/>
    </row>
    <row r="287" spans="3:8" x14ac:dyDescent="0.3">
      <c r="C287" s="42"/>
      <c r="D287" s="42"/>
      <c r="E287" s="42"/>
      <c r="F287" s="42"/>
      <c r="G287" s="42"/>
      <c r="H287" s="42"/>
    </row>
    <row r="288" spans="3:8" x14ac:dyDescent="0.3">
      <c r="C288" s="42"/>
      <c r="D288" s="42"/>
      <c r="E288" s="42"/>
      <c r="F288" s="42"/>
      <c r="G288" s="42"/>
      <c r="H288" s="42"/>
    </row>
    <row r="289" spans="3:8" x14ac:dyDescent="0.3">
      <c r="C289" s="42"/>
      <c r="D289" s="42"/>
      <c r="E289" s="42"/>
      <c r="F289" s="42"/>
      <c r="G289" s="42"/>
      <c r="H289" s="42"/>
    </row>
    <row r="290" spans="3:8" x14ac:dyDescent="0.3">
      <c r="C290" s="42"/>
      <c r="D290" s="42"/>
      <c r="E290" s="42"/>
      <c r="F290" s="42"/>
      <c r="G290" s="42"/>
      <c r="H290" s="42"/>
    </row>
    <row r="291" spans="3:8" x14ac:dyDescent="0.3">
      <c r="C291" s="42"/>
      <c r="D291" s="42"/>
      <c r="E291" s="42"/>
      <c r="F291" s="42"/>
      <c r="G291" s="42"/>
      <c r="H291" s="42"/>
    </row>
    <row r="292" spans="3:8" x14ac:dyDescent="0.3">
      <c r="C292" s="42"/>
      <c r="D292" s="42"/>
      <c r="E292" s="42"/>
      <c r="F292" s="42"/>
      <c r="G292" s="42"/>
      <c r="H292" s="42"/>
    </row>
    <row r="293" spans="3:8" x14ac:dyDescent="0.3">
      <c r="C293" s="42"/>
      <c r="D293" s="42"/>
      <c r="E293" s="42"/>
      <c r="F293" s="42"/>
      <c r="G293" s="42"/>
      <c r="H293" s="42"/>
    </row>
    <row r="294" spans="3:8" x14ac:dyDescent="0.3">
      <c r="C294" s="42"/>
      <c r="D294" s="42"/>
      <c r="E294" s="42"/>
      <c r="F294" s="42"/>
      <c r="G294" s="42"/>
      <c r="H294" s="42"/>
    </row>
    <row r="295" spans="3:8" x14ac:dyDescent="0.3">
      <c r="C295" s="42"/>
      <c r="D295" s="42"/>
      <c r="E295" s="42"/>
      <c r="F295" s="42"/>
      <c r="G295" s="42"/>
      <c r="H295" s="42"/>
    </row>
    <row r="296" spans="3:8" x14ac:dyDescent="0.3">
      <c r="C296" s="42"/>
      <c r="D296" s="42"/>
      <c r="E296" s="42"/>
      <c r="F296" s="42"/>
      <c r="G296" s="42"/>
      <c r="H296" s="42"/>
    </row>
    <row r="297" spans="3:8" x14ac:dyDescent="0.3">
      <c r="C297" s="42"/>
      <c r="D297" s="42"/>
      <c r="E297" s="42"/>
      <c r="F297" s="42"/>
      <c r="G297" s="42"/>
      <c r="H297" s="42"/>
    </row>
    <row r="298" spans="3:8" x14ac:dyDescent="0.3">
      <c r="C298" s="42"/>
      <c r="D298" s="42"/>
      <c r="E298" s="42"/>
      <c r="F298" s="42"/>
      <c r="G298" s="42"/>
      <c r="H298" s="42"/>
    </row>
    <row r="299" spans="3:8" x14ac:dyDescent="0.3">
      <c r="C299" s="42"/>
      <c r="D299" s="42"/>
      <c r="E299" s="42"/>
      <c r="F299" s="42"/>
      <c r="G299" s="42"/>
      <c r="H299" s="42"/>
    </row>
    <row r="300" spans="3:8" x14ac:dyDescent="0.3">
      <c r="C300" s="42"/>
      <c r="D300" s="42"/>
      <c r="E300" s="42"/>
      <c r="F300" s="42"/>
      <c r="G300" s="42"/>
      <c r="H300" s="42"/>
    </row>
    <row r="301" spans="3:8" x14ac:dyDescent="0.3">
      <c r="C301" s="42"/>
      <c r="D301" s="42"/>
      <c r="E301" s="42"/>
      <c r="F301" s="42"/>
      <c r="G301" s="42"/>
      <c r="H301" s="42"/>
    </row>
    <row r="302" spans="3:8" x14ac:dyDescent="0.3">
      <c r="C302" s="42"/>
      <c r="D302" s="42"/>
      <c r="E302" s="42"/>
      <c r="F302" s="42"/>
      <c r="G302" s="42"/>
      <c r="H302" s="42"/>
    </row>
    <row r="303" spans="3:8" x14ac:dyDescent="0.3">
      <c r="C303" s="42"/>
      <c r="D303" s="42"/>
      <c r="E303" s="42"/>
      <c r="F303" s="42"/>
      <c r="G303" s="42"/>
      <c r="H303" s="42"/>
    </row>
    <row r="304" spans="3:8" x14ac:dyDescent="0.3">
      <c r="C304" s="42"/>
      <c r="D304" s="42"/>
      <c r="E304" s="42"/>
      <c r="F304" s="42"/>
      <c r="G304" s="42"/>
      <c r="H304" s="42"/>
    </row>
    <row r="305" spans="3:8" x14ac:dyDescent="0.3">
      <c r="C305" s="42"/>
      <c r="D305" s="42"/>
      <c r="E305" s="42"/>
      <c r="F305" s="42"/>
      <c r="G305" s="42"/>
      <c r="H305" s="42"/>
    </row>
    <row r="306" spans="3:8" x14ac:dyDescent="0.3">
      <c r="C306" s="42"/>
      <c r="D306" s="42"/>
      <c r="E306" s="42"/>
      <c r="F306" s="42"/>
      <c r="G306" s="42"/>
      <c r="H306" s="42"/>
    </row>
    <row r="307" spans="3:8" x14ac:dyDescent="0.3">
      <c r="C307" s="42"/>
      <c r="D307" s="42"/>
      <c r="E307" s="42"/>
      <c r="F307" s="42"/>
      <c r="G307" s="42"/>
      <c r="H307" s="42"/>
    </row>
    <row r="308" spans="3:8" x14ac:dyDescent="0.3">
      <c r="C308" s="42"/>
      <c r="D308" s="42"/>
      <c r="E308" s="42"/>
      <c r="F308" s="42"/>
      <c r="G308" s="42"/>
      <c r="H308" s="42"/>
    </row>
    <row r="309" spans="3:8" x14ac:dyDescent="0.3">
      <c r="C309" s="42"/>
      <c r="D309" s="42"/>
      <c r="E309" s="42"/>
      <c r="F309" s="42"/>
      <c r="G309" s="42"/>
      <c r="H309" s="42"/>
    </row>
    <row r="310" spans="3:8" x14ac:dyDescent="0.3">
      <c r="C310" s="42"/>
      <c r="D310" s="42"/>
      <c r="E310" s="42"/>
      <c r="F310" s="42"/>
      <c r="G310" s="42"/>
      <c r="H310" s="42"/>
    </row>
    <row r="311" spans="3:8" x14ac:dyDescent="0.3">
      <c r="C311" s="42"/>
      <c r="D311" s="42"/>
      <c r="E311" s="42"/>
      <c r="F311" s="42"/>
      <c r="G311" s="42"/>
      <c r="H311" s="42"/>
    </row>
    <row r="312" spans="3:8" x14ac:dyDescent="0.3">
      <c r="C312" s="42"/>
      <c r="D312" s="42"/>
      <c r="E312" s="42"/>
      <c r="F312" s="42"/>
      <c r="G312" s="42"/>
      <c r="H312" s="42"/>
    </row>
    <row r="313" spans="3:8" x14ac:dyDescent="0.3">
      <c r="C313" s="42"/>
      <c r="D313" s="42"/>
      <c r="E313" s="42"/>
      <c r="F313" s="42"/>
      <c r="G313" s="42"/>
      <c r="H313" s="42"/>
    </row>
    <row r="314" spans="3:8" x14ac:dyDescent="0.3">
      <c r="C314" s="42"/>
      <c r="D314" s="42"/>
      <c r="E314" s="42"/>
      <c r="F314" s="42"/>
      <c r="G314" s="42"/>
      <c r="H314" s="42"/>
    </row>
    <row r="315" spans="3:8" x14ac:dyDescent="0.3">
      <c r="C315" s="42"/>
      <c r="D315" s="42"/>
      <c r="E315" s="42"/>
      <c r="F315" s="42"/>
      <c r="G315" s="42"/>
      <c r="H315" s="42"/>
    </row>
    <row r="316" spans="3:8" x14ac:dyDescent="0.3">
      <c r="C316" s="42"/>
      <c r="D316" s="42"/>
      <c r="E316" s="42"/>
      <c r="F316" s="42"/>
      <c r="G316" s="42"/>
      <c r="H316" s="42"/>
    </row>
    <row r="317" spans="3:8" x14ac:dyDescent="0.3">
      <c r="C317" s="42"/>
      <c r="D317" s="42"/>
      <c r="E317" s="42"/>
      <c r="F317" s="42"/>
      <c r="G317" s="42"/>
      <c r="H317" s="42"/>
    </row>
    <row r="318" spans="3:8" x14ac:dyDescent="0.3">
      <c r="C318" s="42"/>
      <c r="D318" s="42"/>
      <c r="E318" s="42"/>
      <c r="F318" s="42"/>
      <c r="G318" s="42"/>
      <c r="H318" s="42"/>
    </row>
    <row r="319" spans="3:8" x14ac:dyDescent="0.3">
      <c r="C319" s="42"/>
      <c r="D319" s="42"/>
      <c r="E319" s="42"/>
      <c r="F319" s="42"/>
      <c r="G319" s="42"/>
      <c r="H319" s="42"/>
    </row>
    <row r="320" spans="3:8" x14ac:dyDescent="0.3">
      <c r="C320" s="42"/>
      <c r="D320" s="42"/>
      <c r="E320" s="42"/>
      <c r="F320" s="42"/>
      <c r="G320" s="42"/>
      <c r="H320" s="42"/>
    </row>
    <row r="321" spans="3:8" x14ac:dyDescent="0.3">
      <c r="C321" s="42"/>
      <c r="D321" s="42"/>
      <c r="E321" s="42"/>
      <c r="F321" s="42"/>
      <c r="G321" s="42"/>
      <c r="H321" s="42"/>
    </row>
    <row r="322" spans="3:8" x14ac:dyDescent="0.3">
      <c r="C322" s="42"/>
      <c r="D322" s="42"/>
      <c r="E322" s="42"/>
      <c r="F322" s="42"/>
      <c r="G322" s="42"/>
      <c r="H322" s="42"/>
    </row>
    <row r="323" spans="3:8" x14ac:dyDescent="0.3">
      <c r="C323" s="42"/>
      <c r="D323" s="42"/>
      <c r="E323" s="42"/>
      <c r="F323" s="42"/>
      <c r="G323" s="42"/>
      <c r="H323" s="42"/>
    </row>
    <row r="324" spans="3:8" x14ac:dyDescent="0.3">
      <c r="C324" s="42"/>
      <c r="D324" s="42"/>
      <c r="E324" s="42"/>
      <c r="F324" s="42"/>
      <c r="G324" s="42"/>
      <c r="H324" s="42"/>
    </row>
    <row r="325" spans="3:8" x14ac:dyDescent="0.3">
      <c r="C325" s="42"/>
      <c r="D325" s="42"/>
      <c r="E325" s="42"/>
      <c r="F325" s="42"/>
      <c r="G325" s="42"/>
      <c r="H325" s="42"/>
    </row>
    <row r="326" spans="3:8" x14ac:dyDescent="0.3">
      <c r="C326" s="42"/>
      <c r="D326" s="42"/>
      <c r="E326" s="42"/>
      <c r="F326" s="42"/>
      <c r="G326" s="42"/>
      <c r="H326" s="42"/>
    </row>
    <row r="327" spans="3:8" x14ac:dyDescent="0.3">
      <c r="C327" s="42"/>
      <c r="D327" s="42"/>
      <c r="E327" s="42"/>
      <c r="F327" s="42"/>
      <c r="G327" s="42"/>
      <c r="H327" s="42"/>
    </row>
    <row r="328" spans="3:8" x14ac:dyDescent="0.3">
      <c r="C328" s="42"/>
      <c r="D328" s="42"/>
      <c r="E328" s="42"/>
      <c r="F328" s="42"/>
      <c r="G328" s="42"/>
      <c r="H328" s="42"/>
    </row>
    <row r="329" spans="3:8" x14ac:dyDescent="0.3">
      <c r="C329" s="42"/>
      <c r="D329" s="42"/>
      <c r="E329" s="42"/>
      <c r="F329" s="42"/>
      <c r="G329" s="42"/>
      <c r="H329" s="42"/>
    </row>
    <row r="330" spans="3:8" x14ac:dyDescent="0.3">
      <c r="C330" s="42"/>
      <c r="D330" s="42"/>
      <c r="E330" s="42"/>
      <c r="F330" s="42"/>
      <c r="G330" s="42"/>
      <c r="H330" s="42"/>
    </row>
    <row r="331" spans="3:8" x14ac:dyDescent="0.3">
      <c r="C331" s="42"/>
      <c r="D331" s="42"/>
      <c r="E331" s="42"/>
      <c r="F331" s="42"/>
      <c r="G331" s="42"/>
      <c r="H331" s="42"/>
    </row>
    <row r="332" spans="3:8" x14ac:dyDescent="0.3">
      <c r="C332" s="42"/>
      <c r="D332" s="42"/>
      <c r="E332" s="42"/>
      <c r="F332" s="42"/>
      <c r="G332" s="42"/>
      <c r="H332" s="42"/>
    </row>
    <row r="333" spans="3:8" x14ac:dyDescent="0.3">
      <c r="C333" s="42"/>
      <c r="D333" s="42"/>
      <c r="E333" s="42"/>
      <c r="F333" s="42"/>
      <c r="G333" s="42"/>
      <c r="H333" s="42"/>
    </row>
    <row r="334" spans="3:8" x14ac:dyDescent="0.3">
      <c r="C334" s="42"/>
      <c r="D334" s="42"/>
      <c r="E334" s="42"/>
      <c r="F334" s="42"/>
      <c r="G334" s="42"/>
      <c r="H334" s="42"/>
    </row>
    <row r="335" spans="3:8" x14ac:dyDescent="0.3">
      <c r="C335" s="42"/>
      <c r="D335" s="42"/>
      <c r="E335" s="42"/>
      <c r="F335" s="42"/>
      <c r="G335" s="42"/>
      <c r="H335" s="42"/>
    </row>
    <row r="336" spans="3:8" x14ac:dyDescent="0.3">
      <c r="C336" s="42"/>
      <c r="D336" s="42"/>
      <c r="E336" s="42"/>
      <c r="F336" s="42"/>
      <c r="G336" s="42"/>
      <c r="H336" s="42"/>
    </row>
    <row r="337" spans="3:8" x14ac:dyDescent="0.3">
      <c r="C337" s="42"/>
      <c r="D337" s="42"/>
      <c r="E337" s="42"/>
      <c r="F337" s="42"/>
      <c r="G337" s="42"/>
      <c r="H337" s="42"/>
    </row>
    <row r="338" spans="3:8" x14ac:dyDescent="0.3">
      <c r="C338" s="42"/>
      <c r="D338" s="42"/>
      <c r="E338" s="42"/>
      <c r="F338" s="42"/>
      <c r="G338" s="42"/>
      <c r="H338" s="42"/>
    </row>
    <row r="339" spans="3:8" x14ac:dyDescent="0.3">
      <c r="C339" s="42"/>
      <c r="D339" s="42"/>
      <c r="E339" s="42"/>
      <c r="F339" s="42"/>
      <c r="G339" s="42"/>
      <c r="H339" s="42"/>
    </row>
    <row r="340" spans="3:8" x14ac:dyDescent="0.3">
      <c r="C340" s="42"/>
      <c r="D340" s="42"/>
      <c r="E340" s="42"/>
      <c r="F340" s="42"/>
      <c r="G340" s="42"/>
      <c r="H340" s="42"/>
    </row>
    <row r="341" spans="3:8" x14ac:dyDescent="0.3">
      <c r="C341" s="42"/>
      <c r="D341" s="42"/>
      <c r="E341" s="42"/>
      <c r="F341" s="42"/>
      <c r="G341" s="42"/>
      <c r="H341" s="42"/>
    </row>
    <row r="342" spans="3:8" x14ac:dyDescent="0.3">
      <c r="C342" s="42"/>
      <c r="D342" s="42"/>
      <c r="E342" s="42"/>
      <c r="F342" s="42"/>
      <c r="G342" s="42"/>
      <c r="H342" s="42"/>
    </row>
    <row r="343" spans="3:8" x14ac:dyDescent="0.3">
      <c r="C343" s="42"/>
      <c r="D343" s="42"/>
      <c r="E343" s="42"/>
      <c r="F343" s="42"/>
      <c r="G343" s="42"/>
      <c r="H343" s="42"/>
    </row>
    <row r="344" spans="3:8" x14ac:dyDescent="0.3">
      <c r="C344" s="42"/>
      <c r="D344" s="42"/>
      <c r="E344" s="42"/>
      <c r="F344" s="42"/>
      <c r="G344" s="42"/>
      <c r="H344" s="42"/>
    </row>
    <row r="345" spans="3:8" x14ac:dyDescent="0.3">
      <c r="C345" s="42"/>
      <c r="D345" s="42"/>
      <c r="E345" s="42"/>
      <c r="F345" s="42"/>
      <c r="G345" s="42"/>
      <c r="H345" s="42"/>
    </row>
    <row r="346" spans="3:8" x14ac:dyDescent="0.3">
      <c r="C346" s="42"/>
      <c r="D346" s="42"/>
      <c r="E346" s="42"/>
      <c r="F346" s="42"/>
      <c r="G346" s="42"/>
      <c r="H346" s="42"/>
    </row>
    <row r="347" spans="3:8" x14ac:dyDescent="0.3">
      <c r="C347" s="42"/>
      <c r="D347" s="42"/>
      <c r="E347" s="42"/>
      <c r="F347" s="42"/>
      <c r="G347" s="42"/>
      <c r="H347" s="42"/>
    </row>
    <row r="348" spans="3:8" x14ac:dyDescent="0.3">
      <c r="C348" s="42"/>
      <c r="D348" s="42"/>
      <c r="E348" s="42"/>
      <c r="F348" s="42"/>
      <c r="G348" s="42"/>
      <c r="H348" s="42"/>
    </row>
    <row r="349" spans="3:8" x14ac:dyDescent="0.3">
      <c r="C349" s="42"/>
      <c r="D349" s="42"/>
      <c r="E349" s="42"/>
      <c r="F349" s="42"/>
      <c r="G349" s="42"/>
      <c r="H349" s="42"/>
    </row>
    <row r="350" spans="3:8" x14ac:dyDescent="0.3">
      <c r="C350" s="42"/>
      <c r="D350" s="42"/>
      <c r="E350" s="42"/>
      <c r="F350" s="42"/>
      <c r="G350" s="42"/>
      <c r="H350" s="42"/>
    </row>
    <row r="351" spans="3:8" x14ac:dyDescent="0.3">
      <c r="C351" s="42"/>
      <c r="D351" s="42"/>
      <c r="E351" s="42"/>
      <c r="F351" s="42"/>
      <c r="G351" s="42"/>
      <c r="H351" s="42"/>
    </row>
    <row r="352" spans="3:8" x14ac:dyDescent="0.3">
      <c r="C352" s="42"/>
      <c r="D352" s="42"/>
      <c r="E352" s="42"/>
      <c r="F352" s="42"/>
      <c r="G352" s="42"/>
      <c r="H352" s="42"/>
    </row>
    <row r="353" spans="3:8" x14ac:dyDescent="0.3">
      <c r="C353" s="42"/>
      <c r="D353" s="42"/>
      <c r="E353" s="42"/>
      <c r="F353" s="42"/>
      <c r="G353" s="42"/>
      <c r="H353" s="42"/>
    </row>
    <row r="354" spans="3:8" x14ac:dyDescent="0.3">
      <c r="C354" s="42"/>
      <c r="D354" s="42"/>
      <c r="E354" s="42"/>
      <c r="F354" s="42"/>
      <c r="G354" s="42"/>
      <c r="H354" s="42"/>
    </row>
    <row r="355" spans="3:8" x14ac:dyDescent="0.3">
      <c r="C355" s="42"/>
      <c r="D355" s="42"/>
      <c r="E355" s="42"/>
      <c r="F355" s="42"/>
      <c r="G355" s="42"/>
      <c r="H355" s="42"/>
    </row>
    <row r="356" spans="3:8" x14ac:dyDescent="0.3">
      <c r="C356" s="42"/>
      <c r="D356" s="42"/>
      <c r="E356" s="42"/>
      <c r="F356" s="42"/>
      <c r="G356" s="42"/>
      <c r="H356" s="42"/>
    </row>
    <row r="357" spans="3:8" x14ac:dyDescent="0.3">
      <c r="C357" s="42"/>
      <c r="D357" s="42"/>
      <c r="E357" s="42"/>
      <c r="F357" s="42"/>
      <c r="G357" s="42"/>
      <c r="H357" s="42"/>
    </row>
    <row r="358" spans="3:8" x14ac:dyDescent="0.3">
      <c r="C358" s="42"/>
      <c r="D358" s="42"/>
      <c r="E358" s="42"/>
      <c r="F358" s="42"/>
      <c r="G358" s="42"/>
      <c r="H358" s="42"/>
    </row>
    <row r="359" spans="3:8" x14ac:dyDescent="0.3">
      <c r="C359" s="42"/>
      <c r="D359" s="42"/>
      <c r="E359" s="42"/>
      <c r="F359" s="42"/>
      <c r="G359" s="42"/>
      <c r="H359" s="42"/>
    </row>
    <row r="360" spans="3:8" x14ac:dyDescent="0.3">
      <c r="C360" s="42"/>
      <c r="D360" s="42"/>
      <c r="E360" s="42"/>
      <c r="F360" s="42"/>
      <c r="G360" s="42"/>
      <c r="H360" s="42"/>
    </row>
    <row r="361" spans="3:8" x14ac:dyDescent="0.3">
      <c r="C361" s="42"/>
      <c r="D361" s="42"/>
      <c r="E361" s="42"/>
      <c r="F361" s="42"/>
      <c r="G361" s="42"/>
      <c r="H361" s="42"/>
    </row>
    <row r="362" spans="3:8" x14ac:dyDescent="0.3">
      <c r="C362" s="42"/>
      <c r="D362" s="42"/>
      <c r="E362" s="42"/>
      <c r="F362" s="42"/>
      <c r="G362" s="42"/>
      <c r="H362" s="42"/>
    </row>
    <row r="363" spans="3:8" x14ac:dyDescent="0.3">
      <c r="C363" s="42"/>
      <c r="D363" s="42"/>
      <c r="E363" s="42"/>
      <c r="F363" s="42"/>
      <c r="G363" s="42"/>
      <c r="H363" s="42"/>
    </row>
    <row r="364" spans="3:8" x14ac:dyDescent="0.3">
      <c r="C364" s="42"/>
      <c r="D364" s="42"/>
      <c r="E364" s="42"/>
      <c r="F364" s="42"/>
      <c r="G364" s="42"/>
      <c r="H364" s="42"/>
    </row>
    <row r="365" spans="3:8" x14ac:dyDescent="0.3">
      <c r="C365" s="42"/>
      <c r="D365" s="42"/>
      <c r="E365" s="42"/>
      <c r="F365" s="42"/>
      <c r="G365" s="42"/>
      <c r="H365" s="42"/>
    </row>
    <row r="366" spans="3:8" x14ac:dyDescent="0.3">
      <c r="C366" s="42"/>
      <c r="D366" s="42"/>
      <c r="E366" s="42"/>
      <c r="F366" s="42"/>
      <c r="G366" s="42"/>
      <c r="H366" s="42"/>
    </row>
    <row r="367" spans="3:8" x14ac:dyDescent="0.3">
      <c r="C367" s="42"/>
      <c r="D367" s="42"/>
      <c r="E367" s="42"/>
      <c r="F367" s="42"/>
      <c r="G367" s="42"/>
      <c r="H367" s="42"/>
    </row>
    <row r="368" spans="3:8" x14ac:dyDescent="0.3">
      <c r="C368" s="42"/>
      <c r="D368" s="42"/>
      <c r="E368" s="42"/>
      <c r="F368" s="42"/>
      <c r="G368" s="42"/>
      <c r="H368" s="42"/>
    </row>
    <row r="369" spans="3:8" x14ac:dyDescent="0.3">
      <c r="C369" s="42"/>
      <c r="D369" s="42"/>
      <c r="E369" s="42"/>
      <c r="F369" s="42"/>
      <c r="G369" s="42"/>
      <c r="H369" s="42"/>
    </row>
    <row r="370" spans="3:8" x14ac:dyDescent="0.3">
      <c r="C370" s="42"/>
      <c r="D370" s="42"/>
      <c r="E370" s="42"/>
      <c r="F370" s="42"/>
      <c r="G370" s="42"/>
      <c r="H370" s="42"/>
    </row>
    <row r="371" spans="3:8" x14ac:dyDescent="0.3">
      <c r="C371" s="42"/>
      <c r="D371" s="42"/>
      <c r="E371" s="42"/>
      <c r="F371" s="42"/>
      <c r="G371" s="42"/>
      <c r="H371" s="42"/>
    </row>
    <row r="372" spans="3:8" x14ac:dyDescent="0.3">
      <c r="C372" s="42"/>
      <c r="D372" s="42"/>
      <c r="E372" s="42"/>
      <c r="F372" s="42"/>
      <c r="G372" s="42"/>
      <c r="H372" s="42"/>
    </row>
    <row r="373" spans="3:8" x14ac:dyDescent="0.3">
      <c r="C373" s="42"/>
      <c r="D373" s="42"/>
      <c r="E373" s="42"/>
      <c r="F373" s="42"/>
      <c r="G373" s="42"/>
      <c r="H373" s="42"/>
    </row>
    <row r="374" spans="3:8" x14ac:dyDescent="0.3">
      <c r="C374" s="42"/>
      <c r="D374" s="42"/>
      <c r="E374" s="42"/>
      <c r="F374" s="42"/>
      <c r="G374" s="42"/>
      <c r="H374" s="42"/>
    </row>
    <row r="375" spans="3:8" x14ac:dyDescent="0.3">
      <c r="C375" s="42"/>
      <c r="D375" s="42"/>
      <c r="E375" s="42"/>
      <c r="F375" s="42"/>
      <c r="G375" s="42"/>
      <c r="H375" s="42"/>
    </row>
    <row r="376" spans="3:8" x14ac:dyDescent="0.3">
      <c r="C376" s="42"/>
      <c r="D376" s="42"/>
      <c r="E376" s="42"/>
      <c r="F376" s="42"/>
      <c r="G376" s="42"/>
      <c r="H376" s="42"/>
    </row>
    <row r="377" spans="3:8" x14ac:dyDescent="0.3">
      <c r="C377" s="42"/>
      <c r="D377" s="42"/>
      <c r="E377" s="42"/>
      <c r="F377" s="42"/>
      <c r="G377" s="42"/>
      <c r="H377" s="42"/>
    </row>
    <row r="378" spans="3:8" x14ac:dyDescent="0.3">
      <c r="C378" s="42"/>
      <c r="D378" s="42"/>
      <c r="E378" s="42"/>
      <c r="F378" s="42"/>
      <c r="G378" s="42"/>
      <c r="H378" s="42"/>
    </row>
    <row r="379" spans="3:8" x14ac:dyDescent="0.3">
      <c r="C379" s="42"/>
      <c r="D379" s="42"/>
      <c r="E379" s="42"/>
      <c r="F379" s="42"/>
      <c r="G379" s="42"/>
      <c r="H379" s="42"/>
    </row>
    <row r="380" spans="3:8" x14ac:dyDescent="0.3">
      <c r="C380" s="42"/>
      <c r="D380" s="42"/>
      <c r="E380" s="42"/>
      <c r="F380" s="42"/>
      <c r="G380" s="42"/>
      <c r="H380" s="42"/>
    </row>
    <row r="381" spans="3:8" x14ac:dyDescent="0.3">
      <c r="C381" s="42"/>
      <c r="D381" s="42"/>
      <c r="E381" s="42"/>
      <c r="F381" s="42"/>
      <c r="G381" s="42"/>
      <c r="H381" s="42"/>
    </row>
    <row r="382" spans="3:8" x14ac:dyDescent="0.3">
      <c r="C382" s="42"/>
      <c r="D382" s="42"/>
      <c r="E382" s="42"/>
      <c r="F382" s="42"/>
      <c r="G382" s="42"/>
      <c r="H382" s="42"/>
    </row>
    <row r="383" spans="3:8" x14ac:dyDescent="0.3">
      <c r="C383" s="42"/>
      <c r="D383" s="42"/>
      <c r="E383" s="42"/>
      <c r="F383" s="42"/>
      <c r="G383" s="42"/>
      <c r="H383" s="42"/>
    </row>
    <row r="384" spans="3:8" x14ac:dyDescent="0.3">
      <c r="C384" s="42"/>
      <c r="D384" s="42"/>
      <c r="E384" s="42"/>
      <c r="F384" s="42"/>
      <c r="G384" s="42"/>
      <c r="H384" s="42"/>
    </row>
    <row r="385" spans="3:8" x14ac:dyDescent="0.3">
      <c r="C385" s="42"/>
      <c r="D385" s="42"/>
      <c r="E385" s="42"/>
      <c r="F385" s="42"/>
      <c r="G385" s="42"/>
      <c r="H385" s="42"/>
    </row>
    <row r="386" spans="3:8" x14ac:dyDescent="0.3">
      <c r="C386" s="42"/>
      <c r="D386" s="42"/>
      <c r="E386" s="42"/>
      <c r="F386" s="42"/>
      <c r="G386" s="42"/>
      <c r="H386" s="42"/>
    </row>
    <row r="387" spans="3:8" x14ac:dyDescent="0.3">
      <c r="C387" s="42"/>
      <c r="D387" s="42"/>
      <c r="E387" s="42"/>
      <c r="F387" s="42"/>
      <c r="G387" s="42"/>
      <c r="H387" s="42"/>
    </row>
    <row r="388" spans="3:8" x14ac:dyDescent="0.3">
      <c r="C388" s="42"/>
      <c r="D388" s="42"/>
      <c r="E388" s="42"/>
      <c r="F388" s="42"/>
      <c r="G388" s="42"/>
      <c r="H388" s="42"/>
    </row>
    <row r="389" spans="3:8" x14ac:dyDescent="0.3">
      <c r="C389" s="42"/>
      <c r="D389" s="42"/>
      <c r="E389" s="42"/>
      <c r="F389" s="42"/>
      <c r="G389" s="42"/>
      <c r="H389" s="42"/>
    </row>
    <row r="390" spans="3:8" x14ac:dyDescent="0.3">
      <c r="C390" s="42"/>
      <c r="D390" s="42"/>
      <c r="E390" s="42"/>
      <c r="F390" s="42"/>
      <c r="G390" s="42"/>
      <c r="H390" s="42"/>
    </row>
    <row r="391" spans="3:8" x14ac:dyDescent="0.3">
      <c r="C391" s="42"/>
      <c r="D391" s="42"/>
      <c r="E391" s="42"/>
      <c r="F391" s="42"/>
      <c r="G391" s="42"/>
      <c r="H391" s="42"/>
    </row>
    <row r="392" spans="3:8" x14ac:dyDescent="0.3">
      <c r="C392" s="42"/>
      <c r="D392" s="42"/>
      <c r="E392" s="42"/>
      <c r="F392" s="42"/>
      <c r="G392" s="42"/>
      <c r="H392" s="42"/>
    </row>
    <row r="393" spans="3:8" x14ac:dyDescent="0.3">
      <c r="C393" s="42"/>
      <c r="D393" s="42"/>
      <c r="E393" s="42"/>
      <c r="F393" s="42"/>
      <c r="G393" s="42"/>
      <c r="H393" s="42"/>
    </row>
    <row r="394" spans="3:8" x14ac:dyDescent="0.3">
      <c r="C394" s="42"/>
      <c r="D394" s="42"/>
      <c r="E394" s="42"/>
      <c r="F394" s="42"/>
      <c r="G394" s="42"/>
      <c r="H394" s="42"/>
    </row>
    <row r="395" spans="3:8" x14ac:dyDescent="0.3">
      <c r="C395" s="42"/>
      <c r="D395" s="42"/>
      <c r="E395" s="42"/>
      <c r="F395" s="42"/>
      <c r="G395" s="42"/>
      <c r="H395" s="42"/>
    </row>
    <row r="396" spans="3:8" x14ac:dyDescent="0.3">
      <c r="C396" s="42"/>
      <c r="D396" s="42"/>
      <c r="E396" s="42"/>
      <c r="F396" s="42"/>
      <c r="G396" s="42"/>
      <c r="H396" s="42"/>
    </row>
    <row r="397" spans="3:8" x14ac:dyDescent="0.3">
      <c r="C397" s="42"/>
      <c r="D397" s="42"/>
      <c r="E397" s="42"/>
      <c r="F397" s="42"/>
      <c r="G397" s="42"/>
      <c r="H397" s="42"/>
    </row>
    <row r="398" spans="3:8" x14ac:dyDescent="0.3">
      <c r="C398" s="42"/>
      <c r="D398" s="42"/>
      <c r="E398" s="42"/>
      <c r="F398" s="42"/>
      <c r="G398" s="42"/>
      <c r="H398" s="42"/>
    </row>
    <row r="399" spans="3:8" x14ac:dyDescent="0.3">
      <c r="C399" s="42"/>
      <c r="D399" s="42"/>
      <c r="E399" s="42"/>
      <c r="F399" s="42"/>
      <c r="G399" s="42"/>
      <c r="H399" s="42"/>
    </row>
    <row r="400" spans="3:8" x14ac:dyDescent="0.3">
      <c r="C400" s="42"/>
      <c r="D400" s="42"/>
      <c r="E400" s="42"/>
      <c r="F400" s="42"/>
      <c r="G400" s="42"/>
      <c r="H400" s="42"/>
    </row>
    <row r="401" spans="3:8" x14ac:dyDescent="0.3">
      <c r="C401" s="42"/>
      <c r="D401" s="42"/>
      <c r="E401" s="42"/>
      <c r="F401" s="42"/>
      <c r="G401" s="42"/>
      <c r="H401" s="42"/>
    </row>
    <row r="402" spans="3:8" x14ac:dyDescent="0.3">
      <c r="C402" s="42"/>
      <c r="D402" s="42"/>
      <c r="E402" s="42"/>
      <c r="F402" s="42"/>
      <c r="G402" s="42"/>
      <c r="H402" s="42"/>
    </row>
    <row r="403" spans="3:8" x14ac:dyDescent="0.3">
      <c r="C403" s="42"/>
      <c r="D403" s="42"/>
      <c r="E403" s="42"/>
      <c r="F403" s="42"/>
      <c r="G403" s="42"/>
      <c r="H403" s="42"/>
    </row>
    <row r="404" spans="3:8" x14ac:dyDescent="0.3">
      <c r="C404" s="42"/>
      <c r="D404" s="42"/>
      <c r="E404" s="42"/>
      <c r="F404" s="42"/>
      <c r="G404" s="42"/>
      <c r="H404" s="42"/>
    </row>
    <row r="405" spans="3:8" x14ac:dyDescent="0.3">
      <c r="C405" s="42"/>
      <c r="D405" s="42"/>
      <c r="E405" s="42"/>
      <c r="F405" s="42"/>
      <c r="G405" s="42"/>
      <c r="H405" s="42"/>
    </row>
    <row r="406" spans="3:8" x14ac:dyDescent="0.3">
      <c r="C406" s="42"/>
      <c r="D406" s="42"/>
      <c r="E406" s="42"/>
      <c r="F406" s="42"/>
      <c r="G406" s="42"/>
      <c r="H406" s="42"/>
    </row>
    <row r="407" spans="3:8" x14ac:dyDescent="0.3">
      <c r="C407" s="42"/>
      <c r="D407" s="42"/>
      <c r="E407" s="42"/>
      <c r="F407" s="42"/>
      <c r="G407" s="42"/>
      <c r="H407" s="42"/>
    </row>
    <row r="408" spans="3:8" x14ac:dyDescent="0.3">
      <c r="C408" s="42"/>
      <c r="D408" s="42"/>
      <c r="E408" s="42"/>
      <c r="F408" s="42"/>
      <c r="G408" s="42"/>
      <c r="H408" s="42"/>
    </row>
    <row r="409" spans="3:8" x14ac:dyDescent="0.3">
      <c r="C409" s="42"/>
      <c r="D409" s="42"/>
      <c r="E409" s="42"/>
      <c r="F409" s="42"/>
      <c r="G409" s="42"/>
      <c r="H409" s="42"/>
    </row>
    <row r="410" spans="3:8" x14ac:dyDescent="0.3">
      <c r="C410" s="42"/>
      <c r="D410" s="42"/>
      <c r="E410" s="42"/>
      <c r="F410" s="42"/>
      <c r="G410" s="42"/>
      <c r="H410" s="42"/>
    </row>
    <row r="411" spans="3:8" x14ac:dyDescent="0.3">
      <c r="C411" s="42"/>
      <c r="D411" s="42"/>
      <c r="E411" s="42"/>
      <c r="F411" s="42"/>
      <c r="G411" s="42"/>
      <c r="H411" s="42"/>
    </row>
    <row r="412" spans="3:8" x14ac:dyDescent="0.3">
      <c r="C412" s="42"/>
      <c r="D412" s="42"/>
      <c r="E412" s="42"/>
      <c r="F412" s="42"/>
      <c r="G412" s="42"/>
      <c r="H412" s="42"/>
    </row>
    <row r="413" spans="3:8" x14ac:dyDescent="0.3">
      <c r="C413" s="42"/>
      <c r="D413" s="42"/>
      <c r="E413" s="42"/>
      <c r="F413" s="42"/>
      <c r="G413" s="42"/>
      <c r="H413" s="42"/>
    </row>
    <row r="414" spans="3:8" x14ac:dyDescent="0.3">
      <c r="C414" s="42"/>
      <c r="D414" s="42"/>
      <c r="E414" s="42"/>
      <c r="F414" s="42"/>
      <c r="G414" s="42"/>
      <c r="H414" s="42"/>
    </row>
    <row r="415" spans="3:8" x14ac:dyDescent="0.3">
      <c r="C415" s="42"/>
      <c r="D415" s="42"/>
      <c r="E415" s="42"/>
      <c r="F415" s="42"/>
      <c r="G415" s="42"/>
      <c r="H415" s="42"/>
    </row>
    <row r="416" spans="3:8" x14ac:dyDescent="0.3">
      <c r="C416" s="42"/>
      <c r="D416" s="42"/>
      <c r="E416" s="42"/>
      <c r="F416" s="42"/>
      <c r="G416" s="42"/>
      <c r="H416" s="42"/>
    </row>
    <row r="417" spans="3:8" x14ac:dyDescent="0.3">
      <c r="C417" s="42"/>
      <c r="D417" s="42"/>
      <c r="E417" s="42"/>
      <c r="F417" s="42"/>
      <c r="G417" s="42"/>
      <c r="H417" s="42"/>
    </row>
    <row r="418" spans="3:8" x14ac:dyDescent="0.3">
      <c r="C418" s="42"/>
      <c r="D418" s="42"/>
      <c r="E418" s="42"/>
      <c r="F418" s="42"/>
      <c r="G418" s="42"/>
      <c r="H418" s="42"/>
    </row>
    <row r="419" spans="3:8" x14ac:dyDescent="0.3">
      <c r="C419" s="42"/>
      <c r="D419" s="42"/>
      <c r="E419" s="42"/>
      <c r="F419" s="42"/>
      <c r="G419" s="42"/>
      <c r="H419" s="42"/>
    </row>
    <row r="420" spans="3:8" x14ac:dyDescent="0.3">
      <c r="C420" s="42"/>
      <c r="D420" s="42"/>
      <c r="E420" s="42"/>
      <c r="F420" s="42"/>
      <c r="G420" s="42"/>
      <c r="H420" s="42"/>
    </row>
    <row r="421" spans="3:8" x14ac:dyDescent="0.3">
      <c r="C421" s="42"/>
      <c r="D421" s="42"/>
      <c r="E421" s="42"/>
      <c r="F421" s="42"/>
      <c r="G421" s="42"/>
      <c r="H421" s="42"/>
    </row>
    <row r="422" spans="3:8" x14ac:dyDescent="0.3">
      <c r="C422" s="42"/>
      <c r="D422" s="42"/>
      <c r="E422" s="42"/>
      <c r="F422" s="42"/>
      <c r="G422" s="42"/>
      <c r="H422" s="42"/>
    </row>
    <row r="423" spans="3:8" x14ac:dyDescent="0.3">
      <c r="C423" s="42"/>
      <c r="D423" s="42"/>
      <c r="E423" s="42"/>
      <c r="F423" s="42"/>
      <c r="G423" s="42"/>
      <c r="H423" s="42"/>
    </row>
    <row r="424" spans="3:8" x14ac:dyDescent="0.3">
      <c r="C424" s="42"/>
      <c r="D424" s="42"/>
      <c r="E424" s="42"/>
      <c r="F424" s="42"/>
      <c r="G424" s="42"/>
      <c r="H424" s="42"/>
    </row>
    <row r="425" spans="3:8" x14ac:dyDescent="0.3">
      <c r="C425" s="42"/>
      <c r="D425" s="42"/>
      <c r="E425" s="42"/>
      <c r="F425" s="42"/>
      <c r="G425" s="42"/>
      <c r="H425" s="42"/>
    </row>
    <row r="426" spans="3:8" x14ac:dyDescent="0.3">
      <c r="C426" s="42"/>
      <c r="D426" s="42"/>
      <c r="E426" s="42"/>
      <c r="F426" s="42"/>
      <c r="G426" s="42"/>
      <c r="H426" s="42"/>
    </row>
    <row r="427" spans="3:8" x14ac:dyDescent="0.3">
      <c r="C427" s="42"/>
      <c r="D427" s="42"/>
      <c r="E427" s="42"/>
      <c r="F427" s="42"/>
      <c r="G427" s="42"/>
      <c r="H427" s="42"/>
    </row>
    <row r="428" spans="3:8" x14ac:dyDescent="0.3">
      <c r="C428" s="42"/>
      <c r="D428" s="42"/>
      <c r="E428" s="42"/>
      <c r="F428" s="42"/>
      <c r="G428" s="42"/>
      <c r="H428" s="42"/>
    </row>
    <row r="429" spans="3:8" x14ac:dyDescent="0.3">
      <c r="C429" s="42"/>
      <c r="D429" s="42"/>
      <c r="E429" s="42"/>
      <c r="F429" s="42"/>
      <c r="G429" s="42"/>
      <c r="H429" s="42"/>
    </row>
    <row r="430" spans="3:8" x14ac:dyDescent="0.3">
      <c r="C430" s="42"/>
      <c r="D430" s="42"/>
      <c r="E430" s="42"/>
      <c r="F430" s="42"/>
      <c r="G430" s="42"/>
      <c r="H430" s="42"/>
    </row>
    <row r="431" spans="3:8" x14ac:dyDescent="0.3">
      <c r="C431" s="42"/>
      <c r="D431" s="42"/>
      <c r="E431" s="42"/>
      <c r="F431" s="42"/>
      <c r="G431" s="42"/>
      <c r="H431" s="42"/>
    </row>
    <row r="432" spans="3:8" x14ac:dyDescent="0.3">
      <c r="C432" s="42"/>
      <c r="D432" s="42"/>
      <c r="E432" s="42"/>
      <c r="F432" s="42"/>
      <c r="G432" s="42"/>
      <c r="H432" s="42"/>
    </row>
    <row r="433" spans="3:8" x14ac:dyDescent="0.3">
      <c r="C433" s="42"/>
      <c r="D433" s="42"/>
      <c r="E433" s="42"/>
      <c r="F433" s="42"/>
      <c r="G433" s="42"/>
      <c r="H433" s="42"/>
    </row>
    <row r="434" spans="3:8" x14ac:dyDescent="0.3">
      <c r="C434" s="42"/>
      <c r="D434" s="42"/>
      <c r="E434" s="42"/>
      <c r="F434" s="42"/>
      <c r="G434" s="42"/>
      <c r="H434" s="42"/>
    </row>
    <row r="435" spans="3:8" x14ac:dyDescent="0.3">
      <c r="C435" s="42"/>
      <c r="D435" s="42"/>
      <c r="E435" s="42"/>
      <c r="F435" s="42"/>
      <c r="G435" s="42"/>
      <c r="H435" s="42"/>
    </row>
    <row r="436" spans="3:8" x14ac:dyDescent="0.3">
      <c r="C436" s="42"/>
      <c r="D436" s="42"/>
      <c r="E436" s="42"/>
      <c r="F436" s="42"/>
      <c r="G436" s="42"/>
      <c r="H436" s="42"/>
    </row>
    <row r="437" spans="3:8" x14ac:dyDescent="0.3">
      <c r="C437" s="42"/>
      <c r="D437" s="42"/>
      <c r="E437" s="42"/>
      <c r="F437" s="42"/>
      <c r="G437" s="42"/>
      <c r="H437" s="42"/>
    </row>
    <row r="438" spans="3:8" x14ac:dyDescent="0.3">
      <c r="C438" s="42"/>
      <c r="D438" s="42"/>
      <c r="E438" s="42"/>
      <c r="F438" s="42"/>
      <c r="G438" s="42"/>
      <c r="H438" s="42"/>
    </row>
    <row r="439" spans="3:8" x14ac:dyDescent="0.3">
      <c r="C439" s="42"/>
      <c r="D439" s="42"/>
      <c r="E439" s="42"/>
      <c r="F439" s="42"/>
      <c r="G439" s="42"/>
      <c r="H439" s="42"/>
    </row>
    <row r="440" spans="3:8" x14ac:dyDescent="0.3">
      <c r="C440" s="42"/>
      <c r="D440" s="42"/>
      <c r="E440" s="42"/>
      <c r="F440" s="42"/>
      <c r="G440" s="42"/>
      <c r="H440" s="42"/>
    </row>
    <row r="441" spans="3:8" x14ac:dyDescent="0.3">
      <c r="C441" s="42"/>
      <c r="D441" s="42"/>
      <c r="E441" s="42"/>
      <c r="F441" s="42"/>
      <c r="G441" s="42"/>
      <c r="H441" s="42"/>
    </row>
    <row r="442" spans="3:8" x14ac:dyDescent="0.3">
      <c r="C442" s="42"/>
      <c r="D442" s="42"/>
      <c r="E442" s="42"/>
      <c r="F442" s="42"/>
      <c r="G442" s="42"/>
      <c r="H442" s="42"/>
    </row>
    <row r="443" spans="3:8" x14ac:dyDescent="0.3">
      <c r="C443" s="42"/>
      <c r="D443" s="42"/>
      <c r="E443" s="42"/>
      <c r="F443" s="42"/>
      <c r="G443" s="42"/>
      <c r="H443" s="42"/>
    </row>
    <row r="444" spans="3:8" x14ac:dyDescent="0.3">
      <c r="C444" s="42"/>
      <c r="D444" s="42"/>
      <c r="E444" s="42"/>
      <c r="F444" s="42"/>
      <c r="G444" s="42"/>
      <c r="H444" s="42"/>
    </row>
    <row r="445" spans="3:8" x14ac:dyDescent="0.3">
      <c r="C445" s="42"/>
      <c r="D445" s="42"/>
      <c r="E445" s="42"/>
      <c r="F445" s="42"/>
      <c r="G445" s="42"/>
      <c r="H445" s="42"/>
    </row>
    <row r="446" spans="3:8" x14ac:dyDescent="0.3">
      <c r="C446" s="42"/>
      <c r="D446" s="42"/>
      <c r="E446" s="42"/>
      <c r="F446" s="42"/>
      <c r="G446" s="42"/>
      <c r="H446" s="42"/>
    </row>
    <row r="447" spans="3:8" x14ac:dyDescent="0.3">
      <c r="C447" s="42"/>
      <c r="D447" s="42"/>
      <c r="E447" s="42"/>
      <c r="F447" s="42"/>
      <c r="G447" s="42"/>
      <c r="H447" s="42"/>
    </row>
    <row r="448" spans="3:8" x14ac:dyDescent="0.3">
      <c r="C448" s="42"/>
      <c r="D448" s="42"/>
      <c r="E448" s="42"/>
      <c r="F448" s="42"/>
      <c r="G448" s="42"/>
      <c r="H448" s="42"/>
    </row>
    <row r="449" spans="3:8" x14ac:dyDescent="0.3">
      <c r="C449" s="42"/>
      <c r="D449" s="42"/>
      <c r="E449" s="42"/>
      <c r="F449" s="42"/>
      <c r="G449" s="42"/>
      <c r="H449" s="42"/>
    </row>
    <row r="450" spans="3:8" x14ac:dyDescent="0.3">
      <c r="C450" s="42"/>
      <c r="D450" s="42"/>
      <c r="E450" s="42"/>
      <c r="F450" s="42"/>
      <c r="G450" s="42"/>
      <c r="H450" s="42"/>
    </row>
    <row r="451" spans="3:8" x14ac:dyDescent="0.3">
      <c r="C451" s="42"/>
      <c r="D451" s="42"/>
      <c r="E451" s="42"/>
      <c r="F451" s="42"/>
      <c r="G451" s="42"/>
      <c r="H451" s="42"/>
    </row>
    <row r="452" spans="3:8" x14ac:dyDescent="0.3">
      <c r="C452" s="42"/>
      <c r="D452" s="42"/>
      <c r="E452" s="42"/>
      <c r="F452" s="42"/>
      <c r="G452" s="42"/>
      <c r="H452" s="42"/>
    </row>
    <row r="453" spans="3:8" x14ac:dyDescent="0.3">
      <c r="C453" s="42"/>
      <c r="D453" s="42"/>
      <c r="E453" s="42"/>
      <c r="F453" s="42"/>
      <c r="G453" s="42"/>
      <c r="H453" s="42"/>
    </row>
    <row r="454" spans="3:8" x14ac:dyDescent="0.3">
      <c r="C454" s="42"/>
      <c r="D454" s="42"/>
      <c r="E454" s="42"/>
      <c r="F454" s="42"/>
      <c r="G454" s="42"/>
      <c r="H454" s="42"/>
    </row>
    <row r="455" spans="3:8" x14ac:dyDescent="0.3">
      <c r="C455" s="42"/>
      <c r="D455" s="42"/>
      <c r="E455" s="42"/>
      <c r="F455" s="42"/>
      <c r="G455" s="42"/>
      <c r="H455" s="42"/>
    </row>
    <row r="456" spans="3:8" x14ac:dyDescent="0.3">
      <c r="C456" s="42"/>
      <c r="D456" s="42"/>
      <c r="E456" s="42"/>
      <c r="F456" s="42"/>
      <c r="G456" s="42"/>
      <c r="H456" s="42"/>
    </row>
    <row r="457" spans="3:8" x14ac:dyDescent="0.3">
      <c r="C457" s="42"/>
      <c r="D457" s="42"/>
      <c r="E457" s="42"/>
      <c r="F457" s="42"/>
      <c r="G457" s="42"/>
      <c r="H457" s="42"/>
    </row>
    <row r="458" spans="3:8" x14ac:dyDescent="0.3">
      <c r="C458" s="42"/>
      <c r="D458" s="42"/>
      <c r="E458" s="42"/>
      <c r="F458" s="42"/>
      <c r="G458" s="42"/>
      <c r="H458" s="42"/>
    </row>
    <row r="459" spans="3:8" x14ac:dyDescent="0.3">
      <c r="C459" s="42"/>
      <c r="D459" s="42"/>
      <c r="E459" s="42"/>
      <c r="F459" s="42"/>
      <c r="G459" s="42"/>
      <c r="H459" s="42"/>
    </row>
    <row r="460" spans="3:8" x14ac:dyDescent="0.3">
      <c r="C460" s="42"/>
      <c r="D460" s="42"/>
      <c r="E460" s="42"/>
      <c r="F460" s="42"/>
      <c r="G460" s="42"/>
      <c r="H460" s="42"/>
    </row>
    <row r="461" spans="3:8" x14ac:dyDescent="0.3">
      <c r="C461" s="42"/>
      <c r="D461" s="42"/>
      <c r="E461" s="42"/>
      <c r="F461" s="42"/>
      <c r="G461" s="42"/>
      <c r="H461" s="42"/>
    </row>
    <row r="462" spans="3:8" x14ac:dyDescent="0.3">
      <c r="C462" s="42"/>
      <c r="D462" s="42"/>
      <c r="E462" s="42"/>
      <c r="F462" s="42"/>
      <c r="G462" s="42"/>
      <c r="H462" s="42"/>
    </row>
    <row r="463" spans="3:8" x14ac:dyDescent="0.3">
      <c r="C463" s="42"/>
      <c r="D463" s="42"/>
      <c r="E463" s="42"/>
      <c r="F463" s="42"/>
      <c r="G463" s="42"/>
      <c r="H463" s="42"/>
    </row>
    <row r="464" spans="3:8" x14ac:dyDescent="0.3">
      <c r="C464" s="42"/>
      <c r="D464" s="42"/>
      <c r="E464" s="42"/>
      <c r="F464" s="42"/>
      <c r="G464" s="42"/>
      <c r="H464" s="42"/>
    </row>
    <row r="465" spans="3:8" x14ac:dyDescent="0.3">
      <c r="C465" s="42"/>
      <c r="D465" s="42"/>
      <c r="E465" s="42"/>
      <c r="F465" s="42"/>
      <c r="G465" s="42"/>
      <c r="H465" s="42"/>
    </row>
    <row r="466" spans="3:8" x14ac:dyDescent="0.3">
      <c r="C466" s="42"/>
      <c r="D466" s="42"/>
      <c r="E466" s="42"/>
      <c r="F466" s="42"/>
      <c r="G466" s="42"/>
      <c r="H466" s="42"/>
    </row>
    <row r="467" spans="3:8" x14ac:dyDescent="0.3">
      <c r="C467" s="42"/>
      <c r="D467" s="42"/>
      <c r="E467" s="42"/>
      <c r="F467" s="42"/>
      <c r="G467" s="42"/>
      <c r="H467" s="42"/>
    </row>
    <row r="468" spans="3:8" x14ac:dyDescent="0.3">
      <c r="C468" s="42"/>
      <c r="D468" s="42"/>
      <c r="E468" s="42"/>
      <c r="F468" s="42"/>
      <c r="G468" s="42"/>
      <c r="H468" s="42"/>
    </row>
    <row r="469" spans="3:8" x14ac:dyDescent="0.3">
      <c r="C469" s="42"/>
      <c r="D469" s="42"/>
      <c r="E469" s="42"/>
      <c r="F469" s="42"/>
      <c r="G469" s="42"/>
      <c r="H469" s="42"/>
    </row>
    <row r="470" spans="3:8" x14ac:dyDescent="0.3">
      <c r="C470" s="42"/>
      <c r="D470" s="42"/>
      <c r="E470" s="42"/>
      <c r="F470" s="42"/>
      <c r="G470" s="42"/>
      <c r="H470" s="42"/>
    </row>
    <row r="471" spans="3:8" x14ac:dyDescent="0.3">
      <c r="C471" s="42"/>
      <c r="D471" s="42"/>
      <c r="E471" s="42"/>
      <c r="F471" s="42"/>
      <c r="G471" s="42"/>
      <c r="H471" s="42"/>
    </row>
    <row r="472" spans="3:8" x14ac:dyDescent="0.3">
      <c r="C472" s="42"/>
      <c r="D472" s="42"/>
      <c r="E472" s="42"/>
      <c r="F472" s="42"/>
      <c r="G472" s="42"/>
      <c r="H472" s="42"/>
    </row>
    <row r="473" spans="3:8" x14ac:dyDescent="0.3">
      <c r="C473" s="42"/>
      <c r="D473" s="42"/>
      <c r="E473" s="42"/>
      <c r="F473" s="42"/>
      <c r="G473" s="42"/>
      <c r="H473" s="42"/>
    </row>
    <row r="474" spans="3:8" x14ac:dyDescent="0.3">
      <c r="C474" s="42"/>
      <c r="D474" s="42"/>
      <c r="E474" s="42"/>
      <c r="F474" s="42"/>
      <c r="G474" s="42"/>
      <c r="H474" s="42"/>
    </row>
    <row r="475" spans="3:8" x14ac:dyDescent="0.3">
      <c r="C475" s="42"/>
      <c r="D475" s="42"/>
      <c r="E475" s="42"/>
      <c r="F475" s="42"/>
      <c r="G475" s="42"/>
      <c r="H475" s="42"/>
    </row>
    <row r="476" spans="3:8" x14ac:dyDescent="0.3">
      <c r="C476" s="42"/>
      <c r="D476" s="42"/>
      <c r="E476" s="42"/>
      <c r="F476" s="42"/>
      <c r="G476" s="42"/>
      <c r="H476" s="42"/>
    </row>
    <row r="477" spans="3:8" x14ac:dyDescent="0.3">
      <c r="C477" s="42"/>
      <c r="D477" s="42"/>
      <c r="E477" s="42"/>
      <c r="F477" s="42"/>
      <c r="G477" s="42"/>
      <c r="H477" s="42"/>
    </row>
    <row r="478" spans="3:8" x14ac:dyDescent="0.3">
      <c r="C478" s="42"/>
      <c r="D478" s="42"/>
      <c r="E478" s="42"/>
      <c r="F478" s="42"/>
      <c r="G478" s="42"/>
      <c r="H478" s="42"/>
    </row>
    <row r="479" spans="3:8" x14ac:dyDescent="0.3">
      <c r="C479" s="42"/>
      <c r="D479" s="42"/>
      <c r="E479" s="42"/>
      <c r="F479" s="42"/>
      <c r="G479" s="42"/>
      <c r="H479" s="42"/>
    </row>
    <row r="480" spans="3:8" x14ac:dyDescent="0.3">
      <c r="C480" s="42"/>
      <c r="D480" s="42"/>
      <c r="E480" s="42"/>
      <c r="F480" s="42"/>
      <c r="G480" s="42"/>
      <c r="H480" s="42"/>
    </row>
    <row r="481" spans="3:8" x14ac:dyDescent="0.3">
      <c r="C481" s="42"/>
      <c r="D481" s="42"/>
      <c r="E481" s="42"/>
      <c r="F481" s="42"/>
      <c r="G481" s="42"/>
      <c r="H481" s="42"/>
    </row>
    <row r="482" spans="3:8" x14ac:dyDescent="0.3">
      <c r="C482" s="42"/>
      <c r="D482" s="42"/>
      <c r="E482" s="42"/>
      <c r="F482" s="42"/>
      <c r="G482" s="42"/>
      <c r="H482" s="42"/>
    </row>
    <row r="483" spans="3:8" x14ac:dyDescent="0.3">
      <c r="C483" s="42"/>
      <c r="D483" s="42"/>
      <c r="E483" s="42"/>
      <c r="F483" s="42"/>
      <c r="G483" s="42"/>
      <c r="H483" s="42"/>
    </row>
    <row r="484" spans="3:8" x14ac:dyDescent="0.3">
      <c r="C484" s="42"/>
      <c r="D484" s="42"/>
      <c r="E484" s="42"/>
      <c r="F484" s="42"/>
      <c r="G484" s="42"/>
      <c r="H484" s="42"/>
    </row>
    <row r="485" spans="3:8" x14ac:dyDescent="0.3">
      <c r="C485" s="42"/>
      <c r="D485" s="42"/>
      <c r="E485" s="42"/>
      <c r="F485" s="42"/>
      <c r="G485" s="42"/>
      <c r="H485" s="42"/>
    </row>
    <row r="486" spans="3:8" x14ac:dyDescent="0.3">
      <c r="C486" s="42"/>
      <c r="D486" s="42"/>
      <c r="E486" s="42"/>
      <c r="F486" s="42"/>
      <c r="G486" s="42"/>
      <c r="H486" s="42"/>
    </row>
    <row r="487" spans="3:8" x14ac:dyDescent="0.3">
      <c r="C487" s="42"/>
      <c r="D487" s="42"/>
      <c r="E487" s="42"/>
      <c r="F487" s="42"/>
      <c r="G487" s="42"/>
      <c r="H487" s="42"/>
    </row>
    <row r="488" spans="3:8" x14ac:dyDescent="0.3">
      <c r="C488" s="42"/>
      <c r="D488" s="42"/>
      <c r="E488" s="42"/>
      <c r="F488" s="42"/>
      <c r="G488" s="42"/>
      <c r="H488" s="42"/>
    </row>
    <row r="489" spans="3:8" x14ac:dyDescent="0.3">
      <c r="C489" s="42"/>
      <c r="D489" s="42"/>
      <c r="E489" s="42"/>
      <c r="F489" s="42"/>
      <c r="G489" s="42"/>
      <c r="H489" s="42"/>
    </row>
    <row r="490" spans="3:8" x14ac:dyDescent="0.3">
      <c r="C490" s="42"/>
      <c r="D490" s="42"/>
      <c r="E490" s="42"/>
      <c r="F490" s="42"/>
      <c r="G490" s="42"/>
      <c r="H490" s="42"/>
    </row>
    <row r="491" spans="3:8" x14ac:dyDescent="0.3">
      <c r="C491" s="42"/>
      <c r="D491" s="42"/>
      <c r="E491" s="42"/>
      <c r="F491" s="42"/>
      <c r="G491" s="42"/>
      <c r="H491" s="42"/>
    </row>
    <row r="492" spans="3:8" x14ac:dyDescent="0.3">
      <c r="C492" s="42"/>
      <c r="D492" s="42"/>
      <c r="E492" s="42"/>
      <c r="F492" s="42"/>
      <c r="G492" s="42"/>
      <c r="H492" s="42"/>
    </row>
    <row r="493" spans="3:8" x14ac:dyDescent="0.3">
      <c r="C493" s="42"/>
      <c r="D493" s="42"/>
      <c r="E493" s="42"/>
      <c r="F493" s="42"/>
      <c r="G493" s="42"/>
      <c r="H493" s="42"/>
    </row>
    <row r="494" spans="3:8" x14ac:dyDescent="0.3">
      <c r="C494" s="42"/>
      <c r="D494" s="42"/>
      <c r="E494" s="42"/>
      <c r="F494" s="42"/>
      <c r="G494" s="42"/>
      <c r="H494" s="42"/>
    </row>
    <row r="495" spans="3:8" x14ac:dyDescent="0.3">
      <c r="C495" s="42"/>
      <c r="D495" s="42"/>
      <c r="E495" s="42"/>
      <c r="F495" s="42"/>
      <c r="G495" s="42"/>
      <c r="H495" s="42"/>
    </row>
    <row r="496" spans="3:8" x14ac:dyDescent="0.3">
      <c r="C496" s="42"/>
      <c r="D496" s="42"/>
      <c r="E496" s="42"/>
      <c r="F496" s="42"/>
      <c r="G496" s="42"/>
      <c r="H496" s="42"/>
    </row>
    <row r="497" spans="3:8" x14ac:dyDescent="0.3">
      <c r="C497" s="42"/>
      <c r="D497" s="42"/>
      <c r="E497" s="42"/>
      <c r="F497" s="42"/>
      <c r="G497" s="42"/>
      <c r="H497" s="42"/>
    </row>
    <row r="498" spans="3:8" x14ac:dyDescent="0.3">
      <c r="C498" s="42"/>
      <c r="D498" s="42"/>
      <c r="E498" s="42"/>
      <c r="F498" s="42"/>
      <c r="G498" s="42"/>
      <c r="H498" s="42"/>
    </row>
    <row r="499" spans="3:8" x14ac:dyDescent="0.3">
      <c r="C499" s="42"/>
      <c r="D499" s="42"/>
      <c r="E499" s="42"/>
      <c r="F499" s="42"/>
      <c r="G499" s="42"/>
      <c r="H499" s="42"/>
    </row>
    <row r="500" spans="3:8" x14ac:dyDescent="0.3">
      <c r="C500" s="42"/>
      <c r="D500" s="42"/>
      <c r="E500" s="42"/>
      <c r="F500" s="42"/>
      <c r="G500" s="42"/>
      <c r="H500" s="42"/>
    </row>
    <row r="501" spans="3:8" x14ac:dyDescent="0.3">
      <c r="C501" s="42"/>
      <c r="D501" s="42"/>
      <c r="E501" s="42"/>
      <c r="F501" s="42"/>
      <c r="G501" s="42"/>
      <c r="H501" s="42"/>
    </row>
    <row r="502" spans="3:8" x14ac:dyDescent="0.3">
      <c r="C502" s="42"/>
      <c r="D502" s="42"/>
      <c r="E502" s="42"/>
      <c r="F502" s="42"/>
      <c r="G502" s="42"/>
      <c r="H502" s="42"/>
    </row>
    <row r="503" spans="3:8" x14ac:dyDescent="0.3">
      <c r="C503" s="42"/>
      <c r="D503" s="42"/>
      <c r="E503" s="42"/>
      <c r="F503" s="42"/>
      <c r="G503" s="42"/>
      <c r="H503" s="42"/>
    </row>
    <row r="504" spans="3:8" x14ac:dyDescent="0.3">
      <c r="C504" s="42"/>
      <c r="D504" s="42"/>
      <c r="E504" s="42"/>
      <c r="F504" s="42"/>
      <c r="G504" s="42"/>
      <c r="H504" s="42"/>
    </row>
    <row r="505" spans="3:8" x14ac:dyDescent="0.3">
      <c r="C505" s="42"/>
      <c r="D505" s="42"/>
      <c r="E505" s="42"/>
      <c r="F505" s="42"/>
      <c r="G505" s="42"/>
      <c r="H505" s="42"/>
    </row>
    <row r="506" spans="3:8" x14ac:dyDescent="0.3">
      <c r="C506" s="42"/>
      <c r="D506" s="42"/>
      <c r="E506" s="42"/>
      <c r="F506" s="42"/>
      <c r="G506" s="42"/>
      <c r="H506" s="42"/>
    </row>
    <row r="507" spans="3:8" x14ac:dyDescent="0.3">
      <c r="C507" s="42"/>
      <c r="D507" s="42"/>
      <c r="E507" s="42"/>
      <c r="F507" s="42"/>
      <c r="G507" s="42"/>
      <c r="H507" s="42"/>
    </row>
    <row r="508" spans="3:8" x14ac:dyDescent="0.3">
      <c r="C508" s="42"/>
      <c r="D508" s="42"/>
      <c r="E508" s="42"/>
      <c r="F508" s="42"/>
      <c r="G508" s="42"/>
      <c r="H508" s="42"/>
    </row>
    <row r="509" spans="3:8" x14ac:dyDescent="0.3">
      <c r="C509" s="42"/>
      <c r="D509" s="42"/>
      <c r="E509" s="42"/>
      <c r="F509" s="42"/>
      <c r="G509" s="42"/>
      <c r="H509" s="42"/>
    </row>
    <row r="510" spans="3:8" x14ac:dyDescent="0.3">
      <c r="C510" s="42"/>
      <c r="D510" s="42"/>
      <c r="E510" s="42"/>
      <c r="F510" s="42"/>
      <c r="G510" s="42"/>
      <c r="H510" s="42"/>
    </row>
    <row r="511" spans="3:8" x14ac:dyDescent="0.3">
      <c r="C511" s="42"/>
      <c r="D511" s="42"/>
      <c r="E511" s="42"/>
      <c r="F511" s="42"/>
      <c r="G511" s="42"/>
      <c r="H511" s="42"/>
    </row>
    <row r="512" spans="3:8" x14ac:dyDescent="0.3">
      <c r="C512" s="42"/>
      <c r="D512" s="42"/>
      <c r="E512" s="42"/>
      <c r="F512" s="42"/>
      <c r="G512" s="42"/>
      <c r="H512" s="42"/>
    </row>
    <row r="513" spans="3:8" x14ac:dyDescent="0.3">
      <c r="C513" s="42"/>
      <c r="D513" s="42"/>
      <c r="E513" s="42"/>
      <c r="F513" s="42"/>
      <c r="G513" s="42"/>
      <c r="H513" s="42"/>
    </row>
    <row r="514" spans="3:8" x14ac:dyDescent="0.3">
      <c r="C514" s="42"/>
      <c r="D514" s="42"/>
      <c r="E514" s="42"/>
      <c r="F514" s="42"/>
      <c r="G514" s="42"/>
      <c r="H514" s="42"/>
    </row>
    <row r="515" spans="3:8" x14ac:dyDescent="0.3">
      <c r="C515" s="42"/>
      <c r="D515" s="42"/>
      <c r="E515" s="42"/>
      <c r="F515" s="42"/>
      <c r="G515" s="42"/>
      <c r="H515" s="42"/>
    </row>
    <row r="516" spans="3:8" x14ac:dyDescent="0.3">
      <c r="C516" s="42"/>
      <c r="D516" s="42"/>
      <c r="E516" s="42"/>
      <c r="F516" s="42"/>
      <c r="G516" s="42"/>
      <c r="H516" s="42"/>
    </row>
    <row r="517" spans="3:8" x14ac:dyDescent="0.3">
      <c r="C517" s="42"/>
      <c r="D517" s="42"/>
      <c r="E517" s="42"/>
      <c r="F517" s="42"/>
      <c r="G517" s="42"/>
      <c r="H517" s="42"/>
    </row>
    <row r="518" spans="3:8" x14ac:dyDescent="0.3">
      <c r="C518" s="42"/>
      <c r="D518" s="42"/>
      <c r="E518" s="42"/>
      <c r="F518" s="42"/>
      <c r="G518" s="42"/>
      <c r="H518" s="42"/>
    </row>
    <row r="519" spans="3:8" x14ac:dyDescent="0.3">
      <c r="C519" s="42"/>
      <c r="D519" s="42"/>
      <c r="E519" s="42"/>
      <c r="F519" s="42"/>
      <c r="G519" s="42"/>
      <c r="H519" s="42"/>
    </row>
    <row r="520" spans="3:8" x14ac:dyDescent="0.3">
      <c r="C520" s="42"/>
      <c r="D520" s="42"/>
      <c r="E520" s="42"/>
      <c r="F520" s="42"/>
      <c r="G520" s="42"/>
      <c r="H520" s="42"/>
    </row>
    <row r="521" spans="3:8" x14ac:dyDescent="0.3">
      <c r="C521" s="42"/>
      <c r="D521" s="42"/>
      <c r="E521" s="42"/>
      <c r="F521" s="42"/>
      <c r="G521" s="42"/>
      <c r="H521" s="42"/>
    </row>
    <row r="522" spans="3:8" x14ac:dyDescent="0.3">
      <c r="C522" s="42"/>
      <c r="D522" s="42"/>
      <c r="E522" s="42"/>
      <c r="F522" s="42"/>
      <c r="G522" s="42"/>
      <c r="H522" s="42"/>
    </row>
    <row r="523" spans="3:8" x14ac:dyDescent="0.3">
      <c r="C523" s="42"/>
      <c r="D523" s="42"/>
      <c r="E523" s="42"/>
      <c r="F523" s="42"/>
      <c r="G523" s="42"/>
      <c r="H523" s="42"/>
    </row>
    <row r="524" spans="3:8" x14ac:dyDescent="0.3">
      <c r="C524" s="42"/>
      <c r="D524" s="42"/>
      <c r="E524" s="42"/>
      <c r="F524" s="42"/>
      <c r="G524" s="42"/>
      <c r="H524" s="42"/>
    </row>
    <row r="525" spans="3:8" x14ac:dyDescent="0.3">
      <c r="C525" s="42"/>
      <c r="D525" s="42"/>
      <c r="E525" s="42"/>
      <c r="F525" s="42"/>
      <c r="G525" s="42"/>
      <c r="H525" s="42"/>
    </row>
    <row r="526" spans="3:8" x14ac:dyDescent="0.3">
      <c r="C526" s="42"/>
      <c r="D526" s="42"/>
      <c r="E526" s="42"/>
      <c r="F526" s="42"/>
      <c r="G526" s="42"/>
      <c r="H526" s="42"/>
    </row>
    <row r="527" spans="3:8" x14ac:dyDescent="0.3">
      <c r="C527" s="42"/>
      <c r="D527" s="42"/>
      <c r="E527" s="42"/>
      <c r="F527" s="42"/>
      <c r="G527" s="42"/>
      <c r="H527" s="42"/>
    </row>
    <row r="528" spans="3:8" x14ac:dyDescent="0.3">
      <c r="C528" s="42"/>
      <c r="D528" s="42"/>
      <c r="E528" s="42"/>
      <c r="F528" s="42"/>
      <c r="G528" s="42"/>
      <c r="H528" s="42"/>
    </row>
    <row r="529" spans="3:8" x14ac:dyDescent="0.3">
      <c r="C529" s="42"/>
      <c r="D529" s="42"/>
      <c r="E529" s="42"/>
      <c r="F529" s="42"/>
      <c r="G529" s="42"/>
      <c r="H529" s="42"/>
    </row>
    <row r="530" spans="3:8" x14ac:dyDescent="0.3">
      <c r="C530" s="42"/>
      <c r="D530" s="42"/>
      <c r="E530" s="42"/>
      <c r="F530" s="42"/>
      <c r="G530" s="42"/>
      <c r="H530" s="42"/>
    </row>
    <row r="531" spans="3:8" x14ac:dyDescent="0.3">
      <c r="C531" s="42"/>
      <c r="D531" s="42"/>
      <c r="E531" s="42"/>
      <c r="F531" s="42"/>
      <c r="G531" s="42"/>
      <c r="H531" s="42"/>
    </row>
    <row r="532" spans="3:8" x14ac:dyDescent="0.3">
      <c r="C532" s="42"/>
      <c r="D532" s="42"/>
      <c r="E532" s="42"/>
      <c r="F532" s="42"/>
      <c r="G532" s="42"/>
      <c r="H532" s="42"/>
    </row>
    <row r="533" spans="3:8" x14ac:dyDescent="0.3">
      <c r="C533" s="42"/>
      <c r="D533" s="42"/>
      <c r="E533" s="42"/>
      <c r="F533" s="42"/>
      <c r="G533" s="42"/>
      <c r="H533" s="42"/>
    </row>
    <row r="534" spans="3:8" x14ac:dyDescent="0.3">
      <c r="C534" s="42"/>
      <c r="D534" s="42"/>
      <c r="E534" s="42"/>
      <c r="F534" s="42"/>
      <c r="G534" s="42"/>
      <c r="H534" s="42"/>
    </row>
    <row r="535" spans="3:8" x14ac:dyDescent="0.3">
      <c r="C535" s="42"/>
      <c r="D535" s="42"/>
      <c r="E535" s="42"/>
      <c r="F535" s="42"/>
      <c r="G535" s="42"/>
      <c r="H535" s="42"/>
    </row>
    <row r="536" spans="3:8" x14ac:dyDescent="0.3">
      <c r="C536" s="42"/>
      <c r="D536" s="42"/>
      <c r="E536" s="42"/>
      <c r="F536" s="42"/>
      <c r="G536" s="42"/>
      <c r="H536" s="42"/>
    </row>
    <row r="537" spans="3:8" x14ac:dyDescent="0.3">
      <c r="C537" s="42"/>
      <c r="D537" s="42"/>
      <c r="E537" s="42"/>
      <c r="F537" s="42"/>
      <c r="G537" s="42"/>
      <c r="H537" s="42"/>
    </row>
    <row r="538" spans="3:8" x14ac:dyDescent="0.3">
      <c r="C538" s="42"/>
      <c r="D538" s="42"/>
      <c r="E538" s="42"/>
      <c r="F538" s="42"/>
      <c r="G538" s="42"/>
      <c r="H538" s="42"/>
    </row>
    <row r="539" spans="3:8" x14ac:dyDescent="0.3">
      <c r="C539" s="42"/>
      <c r="D539" s="42"/>
      <c r="E539" s="42"/>
      <c r="F539" s="42"/>
      <c r="G539" s="42"/>
      <c r="H539" s="42"/>
    </row>
    <row r="540" spans="3:8" x14ac:dyDescent="0.3">
      <c r="C540" s="42"/>
      <c r="D540" s="42"/>
      <c r="E540" s="42"/>
      <c r="F540" s="42"/>
      <c r="G540" s="42"/>
      <c r="H540" s="42"/>
    </row>
    <row r="541" spans="3:8" x14ac:dyDescent="0.3">
      <c r="C541" s="42"/>
      <c r="D541" s="42"/>
      <c r="E541" s="42"/>
      <c r="F541" s="42"/>
      <c r="G541" s="42"/>
      <c r="H541" s="42"/>
    </row>
    <row r="542" spans="3:8" x14ac:dyDescent="0.3">
      <c r="C542" s="42"/>
      <c r="D542" s="42"/>
      <c r="E542" s="42"/>
      <c r="F542" s="42"/>
      <c r="G542" s="42"/>
      <c r="H542" s="42"/>
    </row>
    <row r="543" spans="3:8" x14ac:dyDescent="0.3">
      <c r="C543" s="42"/>
      <c r="D543" s="42"/>
      <c r="E543" s="42"/>
      <c r="F543" s="42"/>
      <c r="G543" s="42"/>
      <c r="H543" s="42"/>
    </row>
    <row r="544" spans="3:8" x14ac:dyDescent="0.3">
      <c r="C544" s="42"/>
      <c r="D544" s="42"/>
      <c r="E544" s="42"/>
      <c r="F544" s="42"/>
      <c r="G544" s="42"/>
      <c r="H544" s="42"/>
    </row>
    <row r="545" spans="3:8" x14ac:dyDescent="0.3">
      <c r="C545" s="42"/>
      <c r="D545" s="42"/>
      <c r="E545" s="42"/>
      <c r="F545" s="42"/>
      <c r="G545" s="42"/>
      <c r="H545" s="42"/>
    </row>
    <row r="546" spans="3:8" x14ac:dyDescent="0.3">
      <c r="C546" s="42"/>
      <c r="D546" s="42"/>
      <c r="E546" s="42"/>
      <c r="F546" s="42"/>
      <c r="G546" s="42"/>
      <c r="H546" s="42"/>
    </row>
    <row r="547" spans="3:8" x14ac:dyDescent="0.3">
      <c r="C547" s="42"/>
      <c r="D547" s="42"/>
      <c r="E547" s="42"/>
      <c r="F547" s="42"/>
      <c r="G547" s="42"/>
      <c r="H547" s="42"/>
    </row>
    <row r="548" spans="3:8" x14ac:dyDescent="0.3">
      <c r="C548" s="42"/>
      <c r="D548" s="42"/>
      <c r="E548" s="42"/>
      <c r="F548" s="42"/>
      <c r="G548" s="42"/>
      <c r="H548" s="42"/>
    </row>
    <row r="549" spans="3:8" x14ac:dyDescent="0.3">
      <c r="C549" s="42"/>
      <c r="D549" s="42"/>
      <c r="E549" s="42"/>
      <c r="F549" s="42"/>
      <c r="G549" s="42"/>
      <c r="H549" s="42"/>
    </row>
    <row r="550" spans="3:8" x14ac:dyDescent="0.3">
      <c r="C550" s="42"/>
      <c r="D550" s="42"/>
      <c r="E550" s="42"/>
      <c r="F550" s="42"/>
      <c r="G550" s="42"/>
      <c r="H550" s="42"/>
    </row>
    <row r="551" spans="3:8" x14ac:dyDescent="0.3">
      <c r="C551" s="42"/>
      <c r="D551" s="42"/>
      <c r="E551" s="42"/>
      <c r="F551" s="42"/>
      <c r="G551" s="42"/>
      <c r="H551" s="42"/>
    </row>
    <row r="552" spans="3:8" x14ac:dyDescent="0.3">
      <c r="C552" s="42"/>
      <c r="D552" s="42"/>
      <c r="E552" s="42"/>
      <c r="F552" s="42"/>
      <c r="G552" s="42"/>
      <c r="H552" s="42"/>
    </row>
    <row r="553" spans="3:8" x14ac:dyDescent="0.3">
      <c r="C553" s="42"/>
      <c r="D553" s="42"/>
      <c r="E553" s="42"/>
      <c r="F553" s="42"/>
      <c r="G553" s="42"/>
      <c r="H553" s="42"/>
    </row>
    <row r="554" spans="3:8" x14ac:dyDescent="0.3">
      <c r="C554" s="42"/>
      <c r="D554" s="42"/>
      <c r="E554" s="42"/>
      <c r="F554" s="42"/>
      <c r="G554" s="42"/>
      <c r="H554" s="42"/>
    </row>
    <row r="555" spans="3:8" x14ac:dyDescent="0.3">
      <c r="C555" s="42"/>
      <c r="D555" s="42"/>
      <c r="E555" s="42"/>
      <c r="F555" s="42"/>
      <c r="G555" s="42"/>
      <c r="H555" s="42"/>
    </row>
    <row r="556" spans="3:8" x14ac:dyDescent="0.3">
      <c r="C556" s="42"/>
      <c r="D556" s="42"/>
      <c r="E556" s="42"/>
      <c r="F556" s="42"/>
      <c r="G556" s="42"/>
      <c r="H556" s="42"/>
    </row>
    <row r="557" spans="3:8" x14ac:dyDescent="0.3">
      <c r="C557" s="42"/>
      <c r="D557" s="42"/>
      <c r="E557" s="42"/>
      <c r="F557" s="42"/>
      <c r="G557" s="42"/>
      <c r="H557" s="42"/>
    </row>
    <row r="558" spans="3:8" x14ac:dyDescent="0.3">
      <c r="C558" s="42"/>
      <c r="D558" s="42"/>
      <c r="E558" s="42"/>
      <c r="F558" s="42"/>
      <c r="G558" s="42"/>
      <c r="H558" s="42"/>
    </row>
    <row r="559" spans="3:8" x14ac:dyDescent="0.3">
      <c r="C559" s="42"/>
      <c r="D559" s="42"/>
      <c r="E559" s="42"/>
      <c r="F559" s="42"/>
      <c r="G559" s="42"/>
      <c r="H559" s="42"/>
    </row>
    <row r="560" spans="3:8" x14ac:dyDescent="0.3">
      <c r="C560" s="42"/>
      <c r="D560" s="42"/>
      <c r="E560" s="42"/>
      <c r="F560" s="42"/>
      <c r="G560" s="42"/>
      <c r="H560" s="42"/>
    </row>
    <row r="561" spans="3:8" x14ac:dyDescent="0.3">
      <c r="C561" s="42"/>
      <c r="D561" s="42"/>
      <c r="E561" s="42"/>
      <c r="F561" s="42"/>
      <c r="G561" s="42"/>
      <c r="H561" s="42"/>
    </row>
    <row r="562" spans="3:8" x14ac:dyDescent="0.3">
      <c r="C562" s="42"/>
      <c r="D562" s="42"/>
      <c r="E562" s="42"/>
      <c r="F562" s="42"/>
      <c r="G562" s="42"/>
      <c r="H562" s="42"/>
    </row>
    <row r="563" spans="3:8" x14ac:dyDescent="0.3">
      <c r="C563" s="42"/>
      <c r="D563" s="42"/>
      <c r="E563" s="42"/>
      <c r="F563" s="42"/>
      <c r="G563" s="42"/>
      <c r="H563" s="42"/>
    </row>
    <row r="564" spans="3:8" x14ac:dyDescent="0.3">
      <c r="C564" s="42"/>
      <c r="D564" s="42"/>
      <c r="E564" s="42"/>
      <c r="F564" s="42"/>
      <c r="G564" s="42"/>
      <c r="H564" s="42"/>
    </row>
    <row r="565" spans="3:8" x14ac:dyDescent="0.3">
      <c r="C565" s="42"/>
      <c r="D565" s="42"/>
      <c r="E565" s="42"/>
      <c r="F565" s="42"/>
      <c r="G565" s="42"/>
      <c r="H565" s="42"/>
    </row>
    <row r="566" spans="3:8" x14ac:dyDescent="0.3">
      <c r="C566" s="42"/>
      <c r="D566" s="42"/>
      <c r="E566" s="42"/>
      <c r="F566" s="42"/>
      <c r="G566" s="42"/>
      <c r="H566" s="42"/>
    </row>
    <row r="567" spans="3:8" x14ac:dyDescent="0.3">
      <c r="C567" s="42"/>
      <c r="D567" s="42"/>
      <c r="E567" s="42"/>
      <c r="F567" s="42"/>
      <c r="G567" s="42"/>
      <c r="H567" s="42"/>
    </row>
    <row r="568" spans="3:8" x14ac:dyDescent="0.3">
      <c r="C568" s="42"/>
      <c r="D568" s="42"/>
      <c r="E568" s="42"/>
      <c r="F568" s="42"/>
      <c r="G568" s="42"/>
      <c r="H568" s="42"/>
    </row>
    <row r="569" spans="3:8" x14ac:dyDescent="0.3">
      <c r="C569" s="42"/>
      <c r="D569" s="42"/>
      <c r="E569" s="42"/>
      <c r="F569" s="42"/>
      <c r="G569" s="42"/>
      <c r="H569" s="42"/>
    </row>
    <row r="570" spans="3:8" x14ac:dyDescent="0.3">
      <c r="C570" s="42"/>
      <c r="D570" s="42"/>
      <c r="E570" s="42"/>
      <c r="F570" s="42"/>
      <c r="G570" s="42"/>
      <c r="H570" s="42"/>
    </row>
    <row r="571" spans="3:8" x14ac:dyDescent="0.3">
      <c r="C571" s="42"/>
      <c r="D571" s="42"/>
      <c r="E571" s="42"/>
      <c r="F571" s="42"/>
      <c r="G571" s="42"/>
      <c r="H571" s="42"/>
    </row>
    <row r="572" spans="3:8" x14ac:dyDescent="0.3">
      <c r="C572" s="42"/>
      <c r="D572" s="42"/>
      <c r="E572" s="42"/>
      <c r="F572" s="42"/>
      <c r="G572" s="42"/>
      <c r="H572" s="42"/>
    </row>
    <row r="573" spans="3:8" x14ac:dyDescent="0.3">
      <c r="C573" s="42"/>
      <c r="D573" s="42"/>
      <c r="E573" s="42"/>
      <c r="F573" s="42"/>
      <c r="G573" s="42"/>
      <c r="H573" s="42"/>
    </row>
    <row r="574" spans="3:8" x14ac:dyDescent="0.3">
      <c r="C574" s="42"/>
      <c r="D574" s="42"/>
      <c r="E574" s="42"/>
      <c r="F574" s="42"/>
      <c r="G574" s="42"/>
      <c r="H574" s="42"/>
    </row>
    <row r="575" spans="3:8" x14ac:dyDescent="0.3">
      <c r="C575" s="42"/>
      <c r="D575" s="42"/>
      <c r="E575" s="42"/>
      <c r="F575" s="42"/>
      <c r="G575" s="42"/>
      <c r="H575" s="42"/>
    </row>
    <row r="576" spans="3:8" x14ac:dyDescent="0.3">
      <c r="C576" s="42"/>
      <c r="D576" s="42"/>
      <c r="E576" s="42"/>
      <c r="F576" s="42"/>
      <c r="G576" s="42"/>
      <c r="H576" s="42"/>
    </row>
    <row r="577" spans="3:8" x14ac:dyDescent="0.3">
      <c r="C577" s="42"/>
      <c r="D577" s="42"/>
      <c r="E577" s="42"/>
      <c r="F577" s="42"/>
      <c r="G577" s="42"/>
      <c r="H577" s="42"/>
    </row>
    <row r="578" spans="3:8" x14ac:dyDescent="0.3">
      <c r="C578" s="42"/>
      <c r="D578" s="42"/>
      <c r="E578" s="42"/>
      <c r="F578" s="42"/>
      <c r="G578" s="42"/>
      <c r="H578" s="42"/>
    </row>
    <row r="579" spans="3:8" x14ac:dyDescent="0.3">
      <c r="C579" s="42"/>
      <c r="D579" s="42"/>
      <c r="E579" s="42"/>
      <c r="F579" s="42"/>
      <c r="G579" s="42"/>
      <c r="H579" s="42"/>
    </row>
    <row r="580" spans="3:8" x14ac:dyDescent="0.3">
      <c r="C580" s="42"/>
      <c r="D580" s="42"/>
      <c r="E580" s="42"/>
      <c r="F580" s="42"/>
      <c r="G580" s="42"/>
      <c r="H580" s="42"/>
    </row>
    <row r="581" spans="3:8" x14ac:dyDescent="0.3">
      <c r="C581" s="42"/>
      <c r="D581" s="42"/>
      <c r="E581" s="42"/>
      <c r="F581" s="42"/>
      <c r="G581" s="42"/>
      <c r="H581" s="42"/>
    </row>
    <row r="582" spans="3:8" x14ac:dyDescent="0.3">
      <c r="C582" s="42"/>
      <c r="D582" s="42"/>
      <c r="E582" s="42"/>
      <c r="F582" s="42"/>
      <c r="G582" s="42"/>
      <c r="H582" s="42"/>
    </row>
    <row r="583" spans="3:8" x14ac:dyDescent="0.3">
      <c r="C583" s="42"/>
      <c r="D583" s="42"/>
      <c r="E583" s="42"/>
      <c r="F583" s="42"/>
      <c r="G583" s="42"/>
      <c r="H583" s="42"/>
    </row>
    <row r="584" spans="3:8" x14ac:dyDescent="0.3">
      <c r="C584" s="42"/>
      <c r="D584" s="42"/>
      <c r="E584" s="42"/>
      <c r="F584" s="42"/>
      <c r="G584" s="42"/>
      <c r="H584" s="42"/>
    </row>
    <row r="585" spans="3:8" x14ac:dyDescent="0.3">
      <c r="C585" s="42"/>
      <c r="D585" s="42"/>
      <c r="E585" s="42"/>
      <c r="F585" s="42"/>
      <c r="G585" s="42"/>
      <c r="H585" s="42"/>
    </row>
    <row r="586" spans="3:8" x14ac:dyDescent="0.3">
      <c r="C586" s="42"/>
      <c r="D586" s="42"/>
      <c r="E586" s="42"/>
      <c r="F586" s="42"/>
      <c r="G586" s="42"/>
      <c r="H586" s="42"/>
    </row>
    <row r="587" spans="3:8" x14ac:dyDescent="0.3">
      <c r="C587" s="42"/>
      <c r="D587" s="42"/>
      <c r="E587" s="42"/>
      <c r="F587" s="42"/>
      <c r="G587" s="42"/>
      <c r="H587" s="42"/>
    </row>
    <row r="588" spans="3:8" x14ac:dyDescent="0.3">
      <c r="C588" s="42"/>
      <c r="D588" s="42"/>
      <c r="E588" s="42"/>
      <c r="F588" s="42"/>
      <c r="G588" s="42"/>
      <c r="H588" s="42"/>
    </row>
    <row r="589" spans="3:8" x14ac:dyDescent="0.3">
      <c r="C589" s="42"/>
      <c r="D589" s="42"/>
      <c r="E589" s="42"/>
      <c r="F589" s="42"/>
      <c r="G589" s="42"/>
      <c r="H589" s="42"/>
    </row>
    <row r="590" spans="3:8" x14ac:dyDescent="0.3">
      <c r="C590" s="42"/>
      <c r="D590" s="42"/>
      <c r="E590" s="42"/>
      <c r="F590" s="42"/>
      <c r="G590" s="42"/>
      <c r="H590" s="42"/>
    </row>
    <row r="591" spans="3:8" x14ac:dyDescent="0.3">
      <c r="C591" s="42"/>
      <c r="D591" s="42"/>
      <c r="E591" s="42"/>
      <c r="F591" s="42"/>
      <c r="G591" s="42"/>
      <c r="H591" s="42"/>
    </row>
    <row r="592" spans="3:8" x14ac:dyDescent="0.3">
      <c r="C592" s="42"/>
      <c r="D592" s="42"/>
      <c r="E592" s="42"/>
      <c r="F592" s="42"/>
      <c r="G592" s="42"/>
      <c r="H592" s="42"/>
    </row>
    <row r="593" spans="3:8" x14ac:dyDescent="0.3">
      <c r="C593" s="42"/>
      <c r="D593" s="42"/>
      <c r="E593" s="42"/>
      <c r="F593" s="42"/>
      <c r="G593" s="42"/>
      <c r="H593" s="42"/>
    </row>
    <row r="594" spans="3:8" x14ac:dyDescent="0.3">
      <c r="C594" s="42"/>
      <c r="D594" s="42"/>
      <c r="E594" s="42"/>
      <c r="F594" s="42"/>
      <c r="G594" s="42"/>
      <c r="H594" s="42"/>
    </row>
    <row r="595" spans="3:8" x14ac:dyDescent="0.3">
      <c r="C595" s="42"/>
      <c r="D595" s="42"/>
      <c r="E595" s="42"/>
      <c r="F595" s="42"/>
      <c r="G595" s="42"/>
      <c r="H595" s="42"/>
    </row>
    <row r="596" spans="3:8" x14ac:dyDescent="0.3">
      <c r="C596" s="42"/>
      <c r="D596" s="42"/>
      <c r="E596" s="42"/>
      <c r="F596" s="42"/>
      <c r="G596" s="42"/>
      <c r="H596" s="42"/>
    </row>
    <row r="597" spans="3:8" x14ac:dyDescent="0.3">
      <c r="C597" s="42"/>
      <c r="D597" s="42"/>
      <c r="E597" s="42"/>
      <c r="F597" s="42"/>
      <c r="G597" s="42"/>
      <c r="H597" s="42"/>
    </row>
    <row r="598" spans="3:8" x14ac:dyDescent="0.3">
      <c r="C598" s="42"/>
      <c r="D598" s="42"/>
      <c r="E598" s="42"/>
      <c r="F598" s="42"/>
      <c r="G598" s="42"/>
      <c r="H598" s="42"/>
    </row>
    <row r="599" spans="3:8" x14ac:dyDescent="0.3">
      <c r="C599" s="42"/>
      <c r="D599" s="42"/>
      <c r="E599" s="42"/>
      <c r="F599" s="42"/>
      <c r="G599" s="42"/>
      <c r="H599" s="42"/>
    </row>
    <row r="600" spans="3:8" x14ac:dyDescent="0.3">
      <c r="C600" s="42"/>
      <c r="D600" s="42"/>
      <c r="E600" s="42"/>
      <c r="F600" s="42"/>
      <c r="G600" s="42"/>
      <c r="H600" s="42"/>
    </row>
    <row r="601" spans="3:8" x14ac:dyDescent="0.3">
      <c r="C601" s="42"/>
      <c r="D601" s="42"/>
      <c r="E601" s="42"/>
      <c r="F601" s="42"/>
      <c r="G601" s="42"/>
      <c r="H601" s="42"/>
    </row>
    <row r="602" spans="3:8" x14ac:dyDescent="0.3">
      <c r="C602" s="42"/>
      <c r="D602" s="42"/>
      <c r="E602" s="42"/>
      <c r="F602" s="42"/>
      <c r="G602" s="42"/>
      <c r="H602" s="42"/>
    </row>
    <row r="603" spans="3:8" x14ac:dyDescent="0.3">
      <c r="C603" s="42"/>
      <c r="D603" s="42"/>
      <c r="E603" s="42"/>
      <c r="F603" s="42"/>
      <c r="G603" s="42"/>
      <c r="H603" s="42"/>
    </row>
    <row r="604" spans="3:8" x14ac:dyDescent="0.3">
      <c r="C604" s="42"/>
      <c r="D604" s="42"/>
      <c r="E604" s="42"/>
      <c r="F604" s="42"/>
      <c r="G604" s="42"/>
      <c r="H604" s="42"/>
    </row>
    <row r="605" spans="3:8" x14ac:dyDescent="0.3">
      <c r="C605" s="42"/>
      <c r="D605" s="42"/>
      <c r="E605" s="42"/>
      <c r="F605" s="42"/>
      <c r="G605" s="42"/>
      <c r="H605" s="42"/>
    </row>
    <row r="606" spans="3:8" x14ac:dyDescent="0.3">
      <c r="C606" s="42"/>
      <c r="D606" s="42"/>
      <c r="E606" s="42"/>
      <c r="F606" s="42"/>
      <c r="G606" s="42"/>
      <c r="H606" s="42"/>
    </row>
    <row r="607" spans="3:8" x14ac:dyDescent="0.3">
      <c r="C607" s="42"/>
      <c r="D607" s="42"/>
      <c r="E607" s="42"/>
      <c r="F607" s="42"/>
      <c r="G607" s="42"/>
      <c r="H607" s="42"/>
    </row>
    <row r="608" spans="3:8" x14ac:dyDescent="0.3">
      <c r="C608" s="42"/>
      <c r="D608" s="42"/>
      <c r="E608" s="42"/>
      <c r="F608" s="42"/>
      <c r="G608" s="42"/>
      <c r="H608" s="42"/>
    </row>
    <row r="609" spans="3:8" x14ac:dyDescent="0.3">
      <c r="C609" s="42"/>
      <c r="D609" s="42"/>
      <c r="E609" s="42"/>
      <c r="F609" s="42"/>
      <c r="G609" s="42"/>
      <c r="H609" s="42"/>
    </row>
    <row r="610" spans="3:8" x14ac:dyDescent="0.3">
      <c r="C610" s="42"/>
      <c r="D610" s="42"/>
      <c r="E610" s="42"/>
      <c r="F610" s="42"/>
      <c r="G610" s="42"/>
      <c r="H610" s="42"/>
    </row>
    <row r="611" spans="3:8" x14ac:dyDescent="0.3">
      <c r="C611" s="42"/>
      <c r="D611" s="42"/>
      <c r="E611" s="42"/>
      <c r="F611" s="42"/>
      <c r="G611" s="42"/>
      <c r="H611" s="42"/>
    </row>
    <row r="612" spans="3:8" x14ac:dyDescent="0.3">
      <c r="C612" s="42"/>
      <c r="D612" s="42"/>
      <c r="E612" s="42"/>
      <c r="F612" s="42"/>
      <c r="G612" s="42"/>
      <c r="H612" s="42"/>
    </row>
    <row r="613" spans="3:8" x14ac:dyDescent="0.3">
      <c r="C613" s="42"/>
      <c r="D613" s="42"/>
      <c r="E613" s="42"/>
      <c r="F613" s="42"/>
      <c r="G613" s="42"/>
      <c r="H613" s="42"/>
    </row>
    <row r="614" spans="3:8" x14ac:dyDescent="0.3">
      <c r="C614" s="42"/>
      <c r="D614" s="42"/>
      <c r="E614" s="42"/>
      <c r="F614" s="42"/>
      <c r="G614" s="42"/>
      <c r="H614" s="42"/>
    </row>
    <row r="615" spans="3:8" x14ac:dyDescent="0.3">
      <c r="C615" s="42"/>
      <c r="D615" s="42"/>
      <c r="E615" s="42"/>
      <c r="F615" s="42"/>
      <c r="G615" s="42"/>
      <c r="H615" s="42"/>
    </row>
    <row r="616" spans="3:8" x14ac:dyDescent="0.3">
      <c r="C616" s="42"/>
      <c r="D616" s="42"/>
      <c r="E616" s="42"/>
      <c r="F616" s="42"/>
      <c r="G616" s="42"/>
      <c r="H616" s="42"/>
    </row>
    <row r="617" spans="3:8" x14ac:dyDescent="0.3">
      <c r="C617" s="42"/>
      <c r="D617" s="42"/>
      <c r="E617" s="42"/>
      <c r="F617" s="42"/>
      <c r="G617" s="42"/>
      <c r="H617" s="42"/>
    </row>
    <row r="618" spans="3:8" x14ac:dyDescent="0.3">
      <c r="C618" s="42"/>
      <c r="D618" s="42"/>
      <c r="E618" s="42"/>
      <c r="F618" s="42"/>
      <c r="G618" s="42"/>
      <c r="H618" s="42"/>
    </row>
    <row r="619" spans="3:8" x14ac:dyDescent="0.3">
      <c r="C619" s="42"/>
      <c r="D619" s="42"/>
      <c r="E619" s="42"/>
      <c r="F619" s="42"/>
      <c r="G619" s="42"/>
      <c r="H619" s="42"/>
    </row>
    <row r="620" spans="3:8" x14ac:dyDescent="0.3">
      <c r="C620" s="42"/>
      <c r="D620" s="42"/>
      <c r="E620" s="42"/>
      <c r="F620" s="42"/>
      <c r="G620" s="42"/>
      <c r="H620" s="42"/>
    </row>
    <row r="621" spans="3:8" x14ac:dyDescent="0.3">
      <c r="C621" s="42"/>
      <c r="D621" s="42"/>
      <c r="E621" s="42"/>
      <c r="F621" s="42"/>
      <c r="G621" s="42"/>
      <c r="H621" s="42"/>
    </row>
    <row r="622" spans="3:8" x14ac:dyDescent="0.3">
      <c r="C622" s="42"/>
      <c r="D622" s="42"/>
      <c r="E622" s="42"/>
      <c r="F622" s="42"/>
      <c r="G622" s="42"/>
      <c r="H622" s="42"/>
    </row>
    <row r="623" spans="3:8" x14ac:dyDescent="0.3">
      <c r="C623" s="42"/>
      <c r="D623" s="42"/>
      <c r="E623" s="42"/>
      <c r="F623" s="42"/>
      <c r="G623" s="42"/>
      <c r="H623" s="42"/>
    </row>
    <row r="624" spans="3:8" x14ac:dyDescent="0.3">
      <c r="C624" s="42"/>
      <c r="D624" s="42"/>
      <c r="E624" s="42"/>
      <c r="F624" s="42"/>
      <c r="G624" s="42"/>
      <c r="H624" s="42"/>
    </row>
    <row r="625" spans="3:8" x14ac:dyDescent="0.3">
      <c r="C625" s="42"/>
      <c r="D625" s="42"/>
      <c r="E625" s="42"/>
      <c r="F625" s="42"/>
      <c r="G625" s="42"/>
      <c r="H625" s="42"/>
    </row>
    <row r="626" spans="3:8" x14ac:dyDescent="0.3">
      <c r="C626" s="42"/>
      <c r="D626" s="42"/>
      <c r="E626" s="42"/>
      <c r="F626" s="42"/>
      <c r="G626" s="42"/>
      <c r="H626" s="42"/>
    </row>
    <row r="627" spans="3:8" x14ac:dyDescent="0.3">
      <c r="C627" s="42"/>
      <c r="D627" s="42"/>
      <c r="E627" s="42"/>
      <c r="F627" s="42"/>
      <c r="G627" s="42"/>
      <c r="H627" s="42"/>
    </row>
    <row r="628" spans="3:8" x14ac:dyDescent="0.3">
      <c r="C628" s="42"/>
      <c r="D628" s="42"/>
      <c r="E628" s="42"/>
      <c r="F628" s="42"/>
      <c r="G628" s="42"/>
      <c r="H628" s="42"/>
    </row>
    <row r="629" spans="3:8" x14ac:dyDescent="0.3">
      <c r="C629" s="42"/>
      <c r="D629" s="42"/>
      <c r="E629" s="42"/>
      <c r="F629" s="42"/>
      <c r="G629" s="42"/>
      <c r="H629" s="42"/>
    </row>
    <row r="630" spans="3:8" x14ac:dyDescent="0.3">
      <c r="C630" s="42"/>
      <c r="D630" s="42"/>
      <c r="E630" s="42"/>
      <c r="F630" s="42"/>
      <c r="G630" s="42"/>
      <c r="H630" s="42"/>
    </row>
    <row r="631" spans="3:8" x14ac:dyDescent="0.3">
      <c r="C631" s="42"/>
      <c r="D631" s="42"/>
      <c r="E631" s="42"/>
      <c r="F631" s="42"/>
      <c r="G631" s="42"/>
      <c r="H631" s="42"/>
    </row>
    <row r="632" spans="3:8" x14ac:dyDescent="0.3">
      <c r="C632" s="42"/>
      <c r="D632" s="42"/>
      <c r="E632" s="42"/>
      <c r="F632" s="42"/>
      <c r="G632" s="42"/>
      <c r="H632" s="42"/>
    </row>
    <row r="633" spans="3:8" x14ac:dyDescent="0.3">
      <c r="C633" s="42"/>
      <c r="D633" s="42"/>
      <c r="E633" s="42"/>
      <c r="F633" s="42"/>
      <c r="G633" s="42"/>
      <c r="H633" s="42"/>
    </row>
    <row r="634" spans="3:8" x14ac:dyDescent="0.3">
      <c r="C634" s="42"/>
      <c r="D634" s="42"/>
      <c r="E634" s="42"/>
      <c r="F634" s="42"/>
      <c r="G634" s="42"/>
      <c r="H634" s="42"/>
    </row>
    <row r="635" spans="3:8" x14ac:dyDescent="0.3">
      <c r="C635" s="42"/>
      <c r="D635" s="42"/>
      <c r="E635" s="42"/>
      <c r="F635" s="42"/>
      <c r="G635" s="42"/>
      <c r="H635" s="42"/>
    </row>
    <row r="636" spans="3:8" x14ac:dyDescent="0.3">
      <c r="C636" s="42"/>
      <c r="D636" s="42"/>
      <c r="E636" s="42"/>
      <c r="F636" s="42"/>
      <c r="G636" s="42"/>
      <c r="H636" s="42"/>
    </row>
    <row r="637" spans="3:8" x14ac:dyDescent="0.3">
      <c r="C637" s="42"/>
      <c r="D637" s="42"/>
      <c r="E637" s="42"/>
      <c r="F637" s="42"/>
      <c r="G637" s="42"/>
      <c r="H637" s="42"/>
    </row>
    <row r="638" spans="3:8" x14ac:dyDescent="0.3">
      <c r="C638" s="42"/>
      <c r="D638" s="42"/>
      <c r="E638" s="42"/>
      <c r="F638" s="42"/>
      <c r="G638" s="42"/>
      <c r="H638" s="42"/>
    </row>
    <row r="639" spans="3:8" x14ac:dyDescent="0.3">
      <c r="C639" s="42"/>
      <c r="D639" s="42"/>
      <c r="E639" s="42"/>
      <c r="F639" s="42"/>
      <c r="G639" s="42"/>
      <c r="H639" s="42"/>
    </row>
    <row r="640" spans="3:8" x14ac:dyDescent="0.3">
      <c r="C640" s="42"/>
      <c r="D640" s="42"/>
      <c r="E640" s="42"/>
      <c r="F640" s="42"/>
      <c r="G640" s="42"/>
      <c r="H640" s="42"/>
    </row>
    <row r="641" spans="3:8" x14ac:dyDescent="0.3">
      <c r="C641" s="42"/>
      <c r="D641" s="42"/>
      <c r="E641" s="42"/>
      <c r="F641" s="42"/>
      <c r="G641" s="42"/>
      <c r="H641" s="42"/>
    </row>
    <row r="642" spans="3:8" x14ac:dyDescent="0.3">
      <c r="C642" s="42"/>
      <c r="D642" s="42"/>
      <c r="E642" s="42"/>
      <c r="F642" s="42"/>
      <c r="G642" s="42"/>
      <c r="H642" s="42"/>
    </row>
    <row r="643" spans="3:8" x14ac:dyDescent="0.3">
      <c r="C643" s="42"/>
      <c r="D643" s="42"/>
      <c r="E643" s="42"/>
      <c r="F643" s="42"/>
      <c r="G643" s="42"/>
      <c r="H643" s="42"/>
    </row>
    <row r="644" spans="3:8" x14ac:dyDescent="0.3">
      <c r="C644" s="42"/>
      <c r="D644" s="42"/>
      <c r="E644" s="42"/>
      <c r="F644" s="42"/>
      <c r="G644" s="42"/>
      <c r="H644" s="42"/>
    </row>
    <row r="645" spans="3:8" x14ac:dyDescent="0.3">
      <c r="C645" s="42"/>
      <c r="D645" s="42"/>
      <c r="E645" s="42"/>
      <c r="F645" s="42"/>
      <c r="G645" s="42"/>
      <c r="H645" s="42"/>
    </row>
    <row r="646" spans="3:8" x14ac:dyDescent="0.3">
      <c r="C646" s="42"/>
      <c r="D646" s="42"/>
      <c r="E646" s="42"/>
      <c r="F646" s="42"/>
      <c r="G646" s="42"/>
      <c r="H646" s="42"/>
    </row>
    <row r="647" spans="3:8" x14ac:dyDescent="0.3">
      <c r="C647" s="42"/>
      <c r="D647" s="42"/>
      <c r="E647" s="42"/>
      <c r="F647" s="42"/>
      <c r="G647" s="42"/>
      <c r="H647" s="42"/>
    </row>
    <row r="648" spans="3:8" x14ac:dyDescent="0.3">
      <c r="C648" s="42"/>
      <c r="D648" s="42"/>
      <c r="E648" s="42"/>
      <c r="F648" s="42"/>
      <c r="G648" s="42"/>
      <c r="H648" s="42"/>
    </row>
    <row r="649" spans="3:8" x14ac:dyDescent="0.3">
      <c r="C649" s="42"/>
      <c r="D649" s="42"/>
      <c r="E649" s="42"/>
      <c r="F649" s="42"/>
      <c r="G649" s="42"/>
      <c r="H649" s="42"/>
    </row>
    <row r="650" spans="3:8" x14ac:dyDescent="0.3">
      <c r="C650" s="42"/>
      <c r="D650" s="42"/>
      <c r="E650" s="42"/>
      <c r="F650" s="42"/>
      <c r="G650" s="42"/>
      <c r="H650" s="42"/>
    </row>
    <row r="651" spans="3:8" x14ac:dyDescent="0.3">
      <c r="C651" s="42"/>
      <c r="D651" s="42"/>
      <c r="E651" s="42"/>
      <c r="F651" s="42"/>
      <c r="G651" s="42"/>
      <c r="H651" s="42"/>
    </row>
    <row r="652" spans="3:8" x14ac:dyDescent="0.3">
      <c r="C652" s="42"/>
      <c r="D652" s="42"/>
      <c r="E652" s="42"/>
      <c r="F652" s="42"/>
      <c r="G652" s="42"/>
      <c r="H652" s="42"/>
    </row>
    <row r="653" spans="3:8" x14ac:dyDescent="0.3">
      <c r="C653" s="42"/>
      <c r="D653" s="42"/>
      <c r="E653" s="42"/>
      <c r="F653" s="42"/>
      <c r="G653" s="42"/>
      <c r="H653" s="42"/>
    </row>
    <row r="654" spans="3:8" x14ac:dyDescent="0.3">
      <c r="C654" s="42"/>
      <c r="D654" s="42"/>
      <c r="E654" s="42"/>
      <c r="F654" s="42"/>
      <c r="G654" s="42"/>
      <c r="H654" s="42"/>
    </row>
    <row r="655" spans="3:8" x14ac:dyDescent="0.3">
      <c r="C655" s="42"/>
      <c r="D655" s="42"/>
      <c r="E655" s="42"/>
      <c r="F655" s="42"/>
      <c r="G655" s="42"/>
      <c r="H655" s="42"/>
    </row>
    <row r="656" spans="3:8" x14ac:dyDescent="0.3">
      <c r="C656" s="42"/>
      <c r="D656" s="42"/>
      <c r="E656" s="42"/>
      <c r="F656" s="42"/>
      <c r="G656" s="42"/>
      <c r="H656" s="42"/>
    </row>
    <row r="657" spans="3:8" x14ac:dyDescent="0.3">
      <c r="C657" s="42"/>
      <c r="D657" s="42"/>
      <c r="E657" s="42"/>
      <c r="F657" s="42"/>
      <c r="G657" s="42"/>
      <c r="H657" s="42"/>
    </row>
    <row r="658" spans="3:8" x14ac:dyDescent="0.3">
      <c r="C658" s="42"/>
      <c r="D658" s="42"/>
      <c r="E658" s="42"/>
      <c r="F658" s="42"/>
      <c r="G658" s="42"/>
      <c r="H658" s="42"/>
    </row>
    <row r="659" spans="3:8" x14ac:dyDescent="0.3">
      <c r="C659" s="42"/>
      <c r="D659" s="42"/>
      <c r="E659" s="42"/>
      <c r="F659" s="42"/>
      <c r="G659" s="42"/>
      <c r="H659" s="42"/>
    </row>
    <row r="660" spans="3:8" x14ac:dyDescent="0.3">
      <c r="C660" s="42"/>
      <c r="D660" s="42"/>
      <c r="E660" s="42"/>
      <c r="F660" s="42"/>
      <c r="G660" s="42"/>
      <c r="H660" s="42"/>
    </row>
    <row r="661" spans="3:8" x14ac:dyDescent="0.3">
      <c r="C661" s="42"/>
      <c r="D661" s="42"/>
      <c r="E661" s="42"/>
      <c r="F661" s="42"/>
      <c r="G661" s="42"/>
      <c r="H661" s="42"/>
    </row>
    <row r="662" spans="3:8" x14ac:dyDescent="0.3">
      <c r="C662" s="42"/>
      <c r="D662" s="42"/>
      <c r="E662" s="42"/>
      <c r="F662" s="42"/>
      <c r="G662" s="42"/>
      <c r="H662" s="42"/>
    </row>
    <row r="663" spans="3:8" x14ac:dyDescent="0.3">
      <c r="C663" s="42"/>
      <c r="D663" s="42"/>
      <c r="E663" s="42"/>
      <c r="F663" s="42"/>
      <c r="G663" s="42"/>
      <c r="H663" s="42"/>
    </row>
    <row r="664" spans="3:8" x14ac:dyDescent="0.3">
      <c r="C664" s="42"/>
      <c r="D664" s="42"/>
      <c r="E664" s="42"/>
      <c r="F664" s="42"/>
      <c r="G664" s="42"/>
      <c r="H664" s="42"/>
    </row>
    <row r="665" spans="3:8" x14ac:dyDescent="0.3">
      <c r="C665" s="42"/>
      <c r="D665" s="42"/>
      <c r="E665" s="42"/>
      <c r="F665" s="42"/>
      <c r="G665" s="42"/>
      <c r="H665" s="42"/>
    </row>
    <row r="666" spans="3:8" x14ac:dyDescent="0.3">
      <c r="C666" s="42"/>
      <c r="D666" s="42"/>
      <c r="E666" s="42"/>
      <c r="F666" s="42"/>
      <c r="G666" s="42"/>
      <c r="H666" s="42"/>
    </row>
    <row r="667" spans="3:8" x14ac:dyDescent="0.3">
      <c r="C667" s="42"/>
      <c r="D667" s="42"/>
      <c r="E667" s="42"/>
      <c r="F667" s="42"/>
      <c r="G667" s="42"/>
      <c r="H667" s="42"/>
    </row>
    <row r="668" spans="3:8" x14ac:dyDescent="0.3">
      <c r="C668" s="42"/>
      <c r="D668" s="42"/>
      <c r="E668" s="42"/>
      <c r="F668" s="42"/>
      <c r="G668" s="42"/>
      <c r="H668" s="42"/>
    </row>
    <row r="669" spans="3:8" x14ac:dyDescent="0.3">
      <c r="C669" s="42"/>
      <c r="D669" s="42"/>
      <c r="E669" s="42"/>
      <c r="F669" s="42"/>
      <c r="G669" s="42"/>
      <c r="H669" s="42"/>
    </row>
    <row r="670" spans="3:8" x14ac:dyDescent="0.3">
      <c r="C670" s="42"/>
      <c r="D670" s="42"/>
      <c r="E670" s="42"/>
      <c r="F670" s="42"/>
      <c r="G670" s="42"/>
      <c r="H670" s="42"/>
    </row>
    <row r="671" spans="3:8" x14ac:dyDescent="0.3">
      <c r="C671" s="42"/>
      <c r="D671" s="42"/>
      <c r="E671" s="42"/>
      <c r="F671" s="42"/>
      <c r="G671" s="42"/>
      <c r="H671" s="42"/>
    </row>
    <row r="672" spans="3:8" x14ac:dyDescent="0.3">
      <c r="C672" s="42"/>
      <c r="D672" s="42"/>
      <c r="E672" s="42"/>
      <c r="F672" s="42"/>
      <c r="G672" s="42"/>
      <c r="H672" s="42"/>
    </row>
    <row r="673" spans="3:8" x14ac:dyDescent="0.3">
      <c r="C673" s="42"/>
      <c r="D673" s="42"/>
      <c r="E673" s="42"/>
      <c r="F673" s="42"/>
      <c r="G673" s="42"/>
      <c r="H673" s="42"/>
    </row>
    <row r="674" spans="3:8" x14ac:dyDescent="0.3">
      <c r="C674" s="42"/>
      <c r="D674" s="42"/>
      <c r="E674" s="42"/>
      <c r="F674" s="42"/>
      <c r="G674" s="42"/>
      <c r="H674" s="42"/>
    </row>
    <row r="675" spans="3:8" x14ac:dyDescent="0.3">
      <c r="C675" s="42"/>
      <c r="D675" s="42"/>
      <c r="E675" s="42"/>
      <c r="F675" s="42"/>
      <c r="G675" s="42"/>
      <c r="H675" s="42"/>
    </row>
    <row r="676" spans="3:8" x14ac:dyDescent="0.3">
      <c r="C676" s="42"/>
      <c r="D676" s="42"/>
      <c r="E676" s="42"/>
      <c r="F676" s="42"/>
      <c r="G676" s="42"/>
      <c r="H676" s="42"/>
    </row>
    <row r="677" spans="3:8" x14ac:dyDescent="0.3">
      <c r="C677" s="42"/>
      <c r="D677" s="42"/>
      <c r="E677" s="42"/>
      <c r="F677" s="42"/>
      <c r="G677" s="42"/>
      <c r="H677" s="42"/>
    </row>
    <row r="678" spans="3:8" x14ac:dyDescent="0.3">
      <c r="C678" s="42"/>
      <c r="D678" s="42"/>
      <c r="E678" s="42"/>
      <c r="F678" s="42"/>
      <c r="G678" s="42"/>
      <c r="H678" s="42"/>
    </row>
    <row r="679" spans="3:8" x14ac:dyDescent="0.3">
      <c r="C679" s="42"/>
      <c r="D679" s="42"/>
      <c r="E679" s="42"/>
      <c r="F679" s="42"/>
      <c r="G679" s="42"/>
      <c r="H679" s="42"/>
    </row>
    <row r="680" spans="3:8" x14ac:dyDescent="0.3">
      <c r="C680" s="42"/>
      <c r="D680" s="42"/>
      <c r="E680" s="42"/>
      <c r="F680" s="42"/>
      <c r="G680" s="42"/>
      <c r="H680" s="42"/>
    </row>
    <row r="681" spans="3:8" x14ac:dyDescent="0.3">
      <c r="C681" s="42"/>
      <c r="D681" s="42"/>
      <c r="E681" s="42"/>
      <c r="F681" s="42"/>
      <c r="G681" s="42"/>
      <c r="H681" s="42"/>
    </row>
    <row r="682" spans="3:8" x14ac:dyDescent="0.3">
      <c r="C682" s="42"/>
      <c r="D682" s="42"/>
      <c r="E682" s="42"/>
      <c r="F682" s="42"/>
      <c r="G682" s="42"/>
      <c r="H682" s="42"/>
    </row>
    <row r="683" spans="3:8" x14ac:dyDescent="0.3">
      <c r="C683" s="42"/>
      <c r="D683" s="42"/>
      <c r="E683" s="42"/>
      <c r="F683" s="42"/>
      <c r="G683" s="42"/>
      <c r="H683" s="42"/>
    </row>
    <row r="684" spans="3:8" x14ac:dyDescent="0.3">
      <c r="C684" s="42"/>
      <c r="D684" s="42"/>
      <c r="E684" s="42"/>
      <c r="F684" s="42"/>
      <c r="G684" s="42"/>
      <c r="H684" s="42"/>
    </row>
    <row r="685" spans="3:8" x14ac:dyDescent="0.3">
      <c r="C685" s="42"/>
      <c r="D685" s="42"/>
      <c r="E685" s="42"/>
      <c r="F685" s="42"/>
      <c r="G685" s="42"/>
      <c r="H685" s="42"/>
    </row>
    <row r="686" spans="3:8" x14ac:dyDescent="0.3">
      <c r="C686" s="42"/>
      <c r="D686" s="42"/>
      <c r="E686" s="42"/>
      <c r="F686" s="42"/>
      <c r="G686" s="42"/>
      <c r="H686" s="42"/>
    </row>
    <row r="687" spans="3:8" x14ac:dyDescent="0.3">
      <c r="C687" s="42"/>
      <c r="D687" s="42"/>
      <c r="E687" s="42"/>
      <c r="F687" s="42"/>
      <c r="G687" s="42"/>
      <c r="H687" s="42"/>
    </row>
    <row r="688" spans="3:8" x14ac:dyDescent="0.3">
      <c r="C688" s="42"/>
      <c r="D688" s="42"/>
      <c r="E688" s="42"/>
      <c r="F688" s="42"/>
      <c r="G688" s="42"/>
      <c r="H688" s="42"/>
    </row>
    <row r="689" spans="3:8" x14ac:dyDescent="0.3">
      <c r="C689" s="42"/>
      <c r="D689" s="42"/>
      <c r="E689" s="42"/>
      <c r="F689" s="42"/>
      <c r="G689" s="42"/>
      <c r="H689" s="42"/>
    </row>
    <row r="690" spans="3:8" x14ac:dyDescent="0.3">
      <c r="C690" s="42"/>
      <c r="D690" s="42"/>
      <c r="E690" s="42"/>
      <c r="F690" s="42"/>
      <c r="G690" s="42"/>
      <c r="H690" s="42"/>
    </row>
    <row r="691" spans="3:8" x14ac:dyDescent="0.3">
      <c r="C691" s="42"/>
      <c r="D691" s="42"/>
      <c r="E691" s="42"/>
      <c r="F691" s="42"/>
      <c r="G691" s="42"/>
      <c r="H691" s="42"/>
    </row>
    <row r="692" spans="3:8" x14ac:dyDescent="0.3">
      <c r="C692" s="42"/>
      <c r="D692" s="42"/>
      <c r="E692" s="42"/>
      <c r="F692" s="42"/>
      <c r="G692" s="42"/>
      <c r="H692" s="42"/>
    </row>
    <row r="693" spans="3:8" x14ac:dyDescent="0.3">
      <c r="C693" s="42"/>
      <c r="D693" s="42"/>
      <c r="E693" s="42"/>
      <c r="F693" s="42"/>
      <c r="G693" s="42"/>
      <c r="H693" s="42"/>
    </row>
    <row r="694" spans="3:8" x14ac:dyDescent="0.3">
      <c r="C694" s="42"/>
      <c r="D694" s="42"/>
      <c r="E694" s="42"/>
      <c r="F694" s="42"/>
      <c r="G694" s="42"/>
      <c r="H694" s="42"/>
    </row>
    <row r="695" spans="3:8" x14ac:dyDescent="0.3">
      <c r="C695" s="42"/>
      <c r="D695" s="42"/>
      <c r="E695" s="42"/>
      <c r="F695" s="42"/>
      <c r="G695" s="42"/>
      <c r="H695" s="42"/>
    </row>
    <row r="696" spans="3:8" x14ac:dyDescent="0.3">
      <c r="C696" s="42"/>
      <c r="D696" s="42"/>
      <c r="E696" s="42"/>
      <c r="F696" s="42"/>
      <c r="G696" s="42"/>
      <c r="H696" s="42"/>
    </row>
    <row r="697" spans="3:8" x14ac:dyDescent="0.3">
      <c r="C697" s="42"/>
      <c r="D697" s="42"/>
      <c r="E697" s="42"/>
      <c r="F697" s="42"/>
      <c r="G697" s="42"/>
      <c r="H697" s="42"/>
    </row>
    <row r="698" spans="3:8" x14ac:dyDescent="0.3">
      <c r="C698" s="42"/>
      <c r="D698" s="42"/>
      <c r="E698" s="42"/>
      <c r="F698" s="42"/>
      <c r="G698" s="42"/>
      <c r="H698" s="42"/>
    </row>
    <row r="699" spans="3:8" x14ac:dyDescent="0.3">
      <c r="C699" s="42"/>
      <c r="D699" s="42"/>
      <c r="E699" s="42"/>
      <c r="F699" s="42"/>
      <c r="G699" s="42"/>
      <c r="H699" s="42"/>
    </row>
    <row r="700" spans="3:8" x14ac:dyDescent="0.3">
      <c r="C700" s="42"/>
      <c r="D700" s="42"/>
      <c r="E700" s="42"/>
      <c r="F700" s="42"/>
      <c r="G700" s="42"/>
      <c r="H700" s="42"/>
    </row>
    <row r="701" spans="3:8" x14ac:dyDescent="0.3">
      <c r="C701" s="42"/>
      <c r="D701" s="42"/>
      <c r="E701" s="42"/>
      <c r="F701" s="42"/>
      <c r="G701" s="42"/>
      <c r="H701" s="42"/>
    </row>
    <row r="702" spans="3:8" x14ac:dyDescent="0.3">
      <c r="C702" s="42"/>
      <c r="D702" s="42"/>
      <c r="E702" s="42"/>
      <c r="F702" s="42"/>
      <c r="G702" s="42"/>
      <c r="H702" s="42"/>
    </row>
    <row r="703" spans="3:8" x14ac:dyDescent="0.3">
      <c r="C703" s="42"/>
      <c r="D703" s="42"/>
      <c r="E703" s="42"/>
      <c r="F703" s="42"/>
      <c r="G703" s="42"/>
      <c r="H703" s="42"/>
    </row>
    <row r="704" spans="3:8" x14ac:dyDescent="0.3">
      <c r="C704" s="42"/>
      <c r="D704" s="42"/>
      <c r="E704" s="42"/>
      <c r="F704" s="42"/>
      <c r="G704" s="42"/>
      <c r="H704" s="42"/>
    </row>
    <row r="705" spans="3:8" x14ac:dyDescent="0.3">
      <c r="C705" s="42"/>
      <c r="D705" s="42"/>
      <c r="E705" s="42"/>
      <c r="F705" s="42"/>
      <c r="G705" s="42"/>
      <c r="H705" s="42"/>
    </row>
    <row r="706" spans="3:8" x14ac:dyDescent="0.3">
      <c r="C706" s="42"/>
      <c r="D706" s="42"/>
      <c r="E706" s="42"/>
      <c r="F706" s="42"/>
      <c r="G706" s="42"/>
      <c r="H706" s="42"/>
    </row>
    <row r="707" spans="3:8" x14ac:dyDescent="0.3">
      <c r="C707" s="42"/>
      <c r="D707" s="42"/>
      <c r="E707" s="42"/>
      <c r="F707" s="42"/>
      <c r="G707" s="42"/>
      <c r="H707" s="42"/>
    </row>
    <row r="708" spans="3:8" x14ac:dyDescent="0.3">
      <c r="C708" s="42"/>
      <c r="D708" s="42"/>
      <c r="E708" s="42"/>
      <c r="F708" s="42"/>
      <c r="G708" s="42"/>
      <c r="H708" s="42"/>
    </row>
    <row r="709" spans="3:8" x14ac:dyDescent="0.3">
      <c r="C709" s="42"/>
      <c r="D709" s="42"/>
      <c r="E709" s="42"/>
      <c r="F709" s="42"/>
      <c r="G709" s="42"/>
      <c r="H709" s="42"/>
    </row>
    <row r="710" spans="3:8" x14ac:dyDescent="0.3">
      <c r="C710" s="42"/>
      <c r="D710" s="42"/>
      <c r="E710" s="42"/>
      <c r="F710" s="42"/>
      <c r="G710" s="42"/>
      <c r="H710" s="42"/>
    </row>
    <row r="711" spans="3:8" x14ac:dyDescent="0.3">
      <c r="C711" s="42"/>
      <c r="D711" s="42"/>
      <c r="E711" s="42"/>
      <c r="F711" s="42"/>
      <c r="G711" s="42"/>
      <c r="H711" s="42"/>
    </row>
    <row r="712" spans="3:8" x14ac:dyDescent="0.3">
      <c r="C712" s="42"/>
      <c r="D712" s="42"/>
      <c r="E712" s="42"/>
      <c r="F712" s="42"/>
      <c r="G712" s="42"/>
      <c r="H712" s="42"/>
    </row>
    <row r="713" spans="3:8" x14ac:dyDescent="0.3">
      <c r="C713" s="42"/>
      <c r="D713" s="42"/>
      <c r="E713" s="42"/>
      <c r="F713" s="42"/>
      <c r="G713" s="42"/>
      <c r="H713" s="42"/>
    </row>
    <row r="714" spans="3:8" x14ac:dyDescent="0.3">
      <c r="C714" s="42"/>
      <c r="D714" s="42"/>
      <c r="E714" s="42"/>
      <c r="F714" s="42"/>
      <c r="G714" s="42"/>
      <c r="H714" s="42"/>
    </row>
    <row r="715" spans="3:8" x14ac:dyDescent="0.3">
      <c r="C715" s="42"/>
      <c r="D715" s="42"/>
      <c r="E715" s="42"/>
      <c r="F715" s="42"/>
      <c r="G715" s="42"/>
      <c r="H715" s="42"/>
    </row>
    <row r="716" spans="3:8" x14ac:dyDescent="0.3">
      <c r="C716" s="42"/>
      <c r="D716" s="42"/>
      <c r="E716" s="42"/>
      <c r="F716" s="42"/>
      <c r="G716" s="42"/>
      <c r="H716" s="42"/>
    </row>
    <row r="717" spans="3:8" x14ac:dyDescent="0.3">
      <c r="C717" s="42"/>
      <c r="D717" s="42"/>
      <c r="E717" s="42"/>
      <c r="F717" s="42"/>
      <c r="G717" s="42"/>
      <c r="H717" s="42"/>
    </row>
    <row r="718" spans="3:8" x14ac:dyDescent="0.3">
      <c r="C718" s="42"/>
      <c r="D718" s="42"/>
      <c r="E718" s="42"/>
      <c r="F718" s="42"/>
      <c r="G718" s="42"/>
      <c r="H718" s="42"/>
    </row>
    <row r="719" spans="3:8" x14ac:dyDescent="0.3">
      <c r="C719" s="42"/>
      <c r="D719" s="42"/>
      <c r="E719" s="42"/>
      <c r="F719" s="42"/>
      <c r="G719" s="42"/>
      <c r="H719" s="42"/>
    </row>
    <row r="720" spans="3:8" x14ac:dyDescent="0.3">
      <c r="C720" s="42"/>
      <c r="D720" s="42"/>
      <c r="E720" s="42"/>
      <c r="F720" s="42"/>
      <c r="G720" s="42"/>
      <c r="H720" s="42"/>
    </row>
    <row r="721" spans="3:8" x14ac:dyDescent="0.3">
      <c r="C721" s="42"/>
      <c r="D721" s="42"/>
      <c r="E721" s="42"/>
      <c r="F721" s="42"/>
      <c r="G721" s="42"/>
      <c r="H721" s="42"/>
    </row>
    <row r="722" spans="3:8" x14ac:dyDescent="0.3">
      <c r="C722" s="42"/>
      <c r="D722" s="42"/>
      <c r="E722" s="42"/>
      <c r="F722" s="42"/>
      <c r="G722" s="42"/>
      <c r="H722" s="42"/>
    </row>
    <row r="723" spans="3:8" x14ac:dyDescent="0.3">
      <c r="C723" s="42"/>
      <c r="D723" s="42"/>
      <c r="E723" s="42"/>
      <c r="F723" s="42"/>
      <c r="G723" s="42"/>
      <c r="H723" s="42"/>
    </row>
    <row r="724" spans="3:8" x14ac:dyDescent="0.3">
      <c r="C724" s="42"/>
      <c r="D724" s="42"/>
      <c r="E724" s="42"/>
      <c r="F724" s="42"/>
      <c r="G724" s="42"/>
      <c r="H724" s="42"/>
    </row>
    <row r="725" spans="3:8" x14ac:dyDescent="0.3">
      <c r="C725" s="42"/>
      <c r="D725" s="42"/>
      <c r="E725" s="42"/>
      <c r="F725" s="42"/>
      <c r="G725" s="42"/>
      <c r="H725" s="42"/>
    </row>
    <row r="726" spans="3:8" x14ac:dyDescent="0.3">
      <c r="C726" s="42"/>
      <c r="D726" s="42"/>
      <c r="E726" s="42"/>
      <c r="F726" s="42"/>
      <c r="G726" s="42"/>
      <c r="H726" s="42"/>
    </row>
    <row r="727" spans="3:8" x14ac:dyDescent="0.3">
      <c r="C727" s="42"/>
      <c r="D727" s="42"/>
      <c r="E727" s="42"/>
      <c r="F727" s="42"/>
      <c r="G727" s="42"/>
      <c r="H727" s="42"/>
    </row>
    <row r="728" spans="3:8" x14ac:dyDescent="0.3">
      <c r="C728" s="42"/>
      <c r="D728" s="42"/>
      <c r="E728" s="42"/>
      <c r="F728" s="42"/>
      <c r="G728" s="42"/>
      <c r="H728" s="42"/>
    </row>
    <row r="729" spans="3:8" x14ac:dyDescent="0.3">
      <c r="C729" s="42"/>
      <c r="D729" s="42"/>
      <c r="E729" s="42"/>
      <c r="F729" s="42"/>
      <c r="G729" s="42"/>
      <c r="H729" s="42"/>
    </row>
    <row r="730" spans="3:8" x14ac:dyDescent="0.3">
      <c r="C730" s="42"/>
      <c r="D730" s="42"/>
      <c r="E730" s="42"/>
      <c r="F730" s="42"/>
      <c r="G730" s="42"/>
      <c r="H730" s="42"/>
    </row>
    <row r="731" spans="3:8" x14ac:dyDescent="0.3">
      <c r="C731" s="42"/>
      <c r="D731" s="42"/>
      <c r="E731" s="42"/>
      <c r="F731" s="42"/>
      <c r="G731" s="42"/>
      <c r="H731" s="42"/>
    </row>
    <row r="732" spans="3:8" x14ac:dyDescent="0.3">
      <c r="C732" s="42"/>
      <c r="D732" s="42"/>
      <c r="E732" s="42"/>
      <c r="F732" s="42"/>
      <c r="G732" s="42"/>
      <c r="H732" s="42"/>
    </row>
    <row r="733" spans="3:8" x14ac:dyDescent="0.3">
      <c r="C733" s="42"/>
      <c r="D733" s="42"/>
      <c r="E733" s="42"/>
      <c r="F733" s="42"/>
      <c r="G733" s="42"/>
      <c r="H733" s="42"/>
    </row>
    <row r="734" spans="3:8" x14ac:dyDescent="0.3">
      <c r="C734" s="42"/>
      <c r="D734" s="42"/>
      <c r="E734" s="42"/>
      <c r="F734" s="42"/>
      <c r="G734" s="42"/>
      <c r="H734" s="42"/>
    </row>
    <row r="735" spans="3:8" x14ac:dyDescent="0.3">
      <c r="C735" s="42"/>
      <c r="D735" s="42"/>
      <c r="E735" s="42"/>
      <c r="F735" s="42"/>
      <c r="G735" s="42"/>
      <c r="H735" s="42"/>
    </row>
    <row r="736" spans="3:8" x14ac:dyDescent="0.3">
      <c r="C736" s="42"/>
      <c r="D736" s="42"/>
      <c r="E736" s="42"/>
      <c r="F736" s="42"/>
      <c r="G736" s="42"/>
      <c r="H736" s="42"/>
    </row>
    <row r="737" spans="3:8" x14ac:dyDescent="0.3">
      <c r="C737" s="42"/>
      <c r="D737" s="42"/>
      <c r="E737" s="42"/>
      <c r="F737" s="42"/>
      <c r="G737" s="42"/>
      <c r="H737" s="42"/>
    </row>
    <row r="738" spans="3:8" x14ac:dyDescent="0.3">
      <c r="C738" s="42"/>
      <c r="D738" s="42"/>
      <c r="E738" s="42"/>
      <c r="F738" s="42"/>
      <c r="G738" s="42"/>
      <c r="H738" s="42"/>
    </row>
    <row r="739" spans="3:8" x14ac:dyDescent="0.3">
      <c r="C739" s="42"/>
      <c r="D739" s="42"/>
      <c r="E739" s="42"/>
      <c r="F739" s="42"/>
      <c r="G739" s="42"/>
      <c r="H739" s="42"/>
    </row>
    <row r="740" spans="3:8" x14ac:dyDescent="0.3">
      <c r="C740" s="42"/>
      <c r="D740" s="42"/>
      <c r="E740" s="42"/>
      <c r="F740" s="42"/>
      <c r="G740" s="42"/>
      <c r="H740" s="42"/>
    </row>
    <row r="741" spans="3:8" x14ac:dyDescent="0.3">
      <c r="C741" s="42"/>
      <c r="D741" s="42"/>
      <c r="E741" s="42"/>
      <c r="F741" s="42"/>
      <c r="G741" s="42"/>
      <c r="H741" s="42"/>
    </row>
    <row r="742" spans="3:8" x14ac:dyDescent="0.3">
      <c r="C742" s="42"/>
      <c r="D742" s="42"/>
      <c r="E742" s="42"/>
      <c r="F742" s="42"/>
      <c r="G742" s="42"/>
      <c r="H742" s="42"/>
    </row>
    <row r="743" spans="3:8" x14ac:dyDescent="0.3">
      <c r="C743" s="42"/>
      <c r="D743" s="42"/>
      <c r="E743" s="42"/>
      <c r="F743" s="42"/>
      <c r="G743" s="42"/>
      <c r="H743" s="42"/>
    </row>
    <row r="744" spans="3:8" x14ac:dyDescent="0.3">
      <c r="C744" s="42"/>
      <c r="D744" s="42"/>
      <c r="E744" s="42"/>
      <c r="F744" s="42"/>
      <c r="G744" s="42"/>
      <c r="H744" s="42"/>
    </row>
    <row r="745" spans="3:8" x14ac:dyDescent="0.3">
      <c r="C745" s="42"/>
      <c r="D745" s="42"/>
      <c r="E745" s="42"/>
      <c r="F745" s="42"/>
      <c r="G745" s="42"/>
      <c r="H745" s="42"/>
    </row>
    <row r="746" spans="3:8" x14ac:dyDescent="0.3">
      <c r="C746" s="42"/>
      <c r="D746" s="42"/>
      <c r="E746" s="42"/>
      <c r="F746" s="42"/>
      <c r="G746" s="42"/>
      <c r="H746" s="42"/>
    </row>
    <row r="747" spans="3:8" x14ac:dyDescent="0.3">
      <c r="C747" s="42"/>
      <c r="D747" s="42"/>
      <c r="E747" s="42"/>
      <c r="F747" s="42"/>
      <c r="G747" s="42"/>
      <c r="H747" s="42"/>
    </row>
    <row r="748" spans="3:8" x14ac:dyDescent="0.3">
      <c r="C748" s="42"/>
      <c r="D748" s="42"/>
      <c r="E748" s="42"/>
      <c r="F748" s="42"/>
      <c r="G748" s="42"/>
      <c r="H748" s="42"/>
    </row>
    <row r="749" spans="3:8" x14ac:dyDescent="0.3">
      <c r="C749" s="42"/>
      <c r="D749" s="42"/>
      <c r="E749" s="42"/>
      <c r="F749" s="42"/>
      <c r="G749" s="42"/>
      <c r="H749" s="42"/>
    </row>
    <row r="750" spans="3:8" x14ac:dyDescent="0.3">
      <c r="C750" s="42"/>
      <c r="D750" s="42"/>
      <c r="E750" s="42"/>
      <c r="F750" s="42"/>
      <c r="G750" s="42"/>
      <c r="H750" s="42"/>
    </row>
    <row r="751" spans="3:8" x14ac:dyDescent="0.3">
      <c r="C751" s="42"/>
      <c r="D751" s="42"/>
      <c r="E751" s="42"/>
      <c r="F751" s="42"/>
      <c r="G751" s="42"/>
      <c r="H751" s="42"/>
    </row>
    <row r="752" spans="3:8" x14ac:dyDescent="0.3">
      <c r="C752" s="42"/>
      <c r="D752" s="42"/>
      <c r="E752" s="42"/>
      <c r="F752" s="42"/>
      <c r="G752" s="42"/>
      <c r="H752" s="42"/>
    </row>
    <row r="753" spans="3:8" x14ac:dyDescent="0.3">
      <c r="C753" s="42"/>
      <c r="D753" s="42"/>
      <c r="E753" s="42"/>
      <c r="F753" s="42"/>
      <c r="G753" s="42"/>
      <c r="H753" s="42"/>
    </row>
    <row r="754" spans="3:8" x14ac:dyDescent="0.3">
      <c r="C754" s="42"/>
      <c r="D754" s="42"/>
      <c r="E754" s="42"/>
      <c r="F754" s="42"/>
      <c r="G754" s="42"/>
      <c r="H754" s="42"/>
    </row>
    <row r="755" spans="3:8" x14ac:dyDescent="0.3">
      <c r="C755" s="42"/>
      <c r="D755" s="42"/>
      <c r="E755" s="42"/>
      <c r="F755" s="42"/>
      <c r="G755" s="42"/>
      <c r="H755" s="42"/>
    </row>
    <row r="756" spans="3:8" x14ac:dyDescent="0.3">
      <c r="C756" s="42"/>
      <c r="D756" s="42"/>
      <c r="E756" s="42"/>
      <c r="F756" s="42"/>
      <c r="G756" s="42"/>
      <c r="H756" s="42"/>
    </row>
    <row r="757" spans="3:8" x14ac:dyDescent="0.3">
      <c r="C757" s="42"/>
      <c r="D757" s="42"/>
      <c r="E757" s="42"/>
      <c r="F757" s="42"/>
      <c r="G757" s="42"/>
      <c r="H757" s="42"/>
    </row>
    <row r="758" spans="3:8" x14ac:dyDescent="0.3">
      <c r="C758" s="42"/>
      <c r="D758" s="42"/>
      <c r="E758" s="42"/>
      <c r="F758" s="42"/>
      <c r="G758" s="42"/>
      <c r="H758" s="42"/>
    </row>
    <row r="759" spans="3:8" x14ac:dyDescent="0.3">
      <c r="C759" s="42"/>
      <c r="D759" s="42"/>
      <c r="E759" s="42"/>
      <c r="F759" s="42"/>
      <c r="G759" s="42"/>
      <c r="H759" s="42"/>
    </row>
    <row r="760" spans="3:8" x14ac:dyDescent="0.3">
      <c r="C760" s="42"/>
      <c r="D760" s="42"/>
      <c r="E760" s="42"/>
      <c r="F760" s="42"/>
      <c r="G760" s="42"/>
      <c r="H760" s="42"/>
    </row>
    <row r="761" spans="3:8" x14ac:dyDescent="0.3">
      <c r="C761" s="42"/>
      <c r="D761" s="42"/>
      <c r="E761" s="42"/>
      <c r="F761" s="42"/>
      <c r="G761" s="42"/>
      <c r="H761" s="42"/>
    </row>
    <row r="762" spans="3:8" x14ac:dyDescent="0.3">
      <c r="C762" s="42"/>
      <c r="D762" s="42"/>
      <c r="E762" s="42"/>
      <c r="F762" s="42"/>
      <c r="G762" s="42"/>
      <c r="H762" s="42"/>
    </row>
    <row r="763" spans="3:8" x14ac:dyDescent="0.3">
      <c r="C763" s="42"/>
      <c r="D763" s="42"/>
      <c r="E763" s="42"/>
      <c r="F763" s="42"/>
      <c r="G763" s="42"/>
      <c r="H763" s="42"/>
    </row>
    <row r="764" spans="3:8" x14ac:dyDescent="0.3">
      <c r="C764" s="42"/>
      <c r="D764" s="42"/>
      <c r="E764" s="42"/>
      <c r="F764" s="42"/>
      <c r="G764" s="42"/>
      <c r="H764" s="42"/>
    </row>
    <row r="765" spans="3:8" x14ac:dyDescent="0.3">
      <c r="C765" s="42"/>
      <c r="D765" s="42"/>
      <c r="E765" s="42"/>
      <c r="F765" s="42"/>
      <c r="G765" s="42"/>
      <c r="H765" s="42"/>
    </row>
    <row r="766" spans="3:8" x14ac:dyDescent="0.3">
      <c r="C766" s="42"/>
      <c r="D766" s="42"/>
      <c r="E766" s="42"/>
      <c r="F766" s="42"/>
      <c r="G766" s="42"/>
      <c r="H766" s="42"/>
    </row>
    <row r="767" spans="3:8" x14ac:dyDescent="0.3">
      <c r="C767" s="42"/>
      <c r="D767" s="42"/>
      <c r="E767" s="42"/>
      <c r="F767" s="42"/>
      <c r="G767" s="42"/>
      <c r="H767" s="42"/>
    </row>
    <row r="768" spans="3:8" x14ac:dyDescent="0.3">
      <c r="C768" s="42"/>
      <c r="D768" s="42"/>
      <c r="E768" s="42"/>
      <c r="F768" s="42"/>
      <c r="G768" s="42"/>
      <c r="H768" s="42"/>
    </row>
    <row r="769" spans="3:8" x14ac:dyDescent="0.3">
      <c r="C769" s="42"/>
      <c r="D769" s="42"/>
      <c r="E769" s="42"/>
      <c r="F769" s="42"/>
      <c r="G769" s="42"/>
      <c r="H769" s="42"/>
    </row>
    <row r="770" spans="3:8" x14ac:dyDescent="0.3">
      <c r="C770" s="42"/>
      <c r="D770" s="42"/>
      <c r="E770" s="42"/>
      <c r="F770" s="42"/>
      <c r="G770" s="42"/>
      <c r="H770" s="42"/>
    </row>
    <row r="771" spans="3:8" x14ac:dyDescent="0.3">
      <c r="C771" s="42"/>
      <c r="D771" s="42"/>
      <c r="E771" s="42"/>
      <c r="F771" s="42"/>
      <c r="G771" s="42"/>
      <c r="H771" s="42"/>
    </row>
    <row r="772" spans="3:8" x14ac:dyDescent="0.3">
      <c r="C772" s="42"/>
      <c r="D772" s="42"/>
      <c r="E772" s="42"/>
      <c r="F772" s="42"/>
      <c r="G772" s="42"/>
      <c r="H772" s="42"/>
    </row>
    <row r="773" spans="3:8" x14ac:dyDescent="0.3">
      <c r="C773" s="42"/>
      <c r="D773" s="42"/>
      <c r="E773" s="42"/>
      <c r="F773" s="42"/>
      <c r="G773" s="42"/>
      <c r="H773" s="42"/>
    </row>
    <row r="774" spans="3:8" x14ac:dyDescent="0.3">
      <c r="C774" s="42"/>
      <c r="D774" s="42"/>
      <c r="E774" s="42"/>
      <c r="F774" s="42"/>
      <c r="G774" s="42"/>
      <c r="H774" s="42"/>
    </row>
    <row r="775" spans="3:8" x14ac:dyDescent="0.3">
      <c r="C775" s="42"/>
      <c r="D775" s="42"/>
      <c r="E775" s="42"/>
      <c r="F775" s="42"/>
      <c r="G775" s="42"/>
      <c r="H775" s="42"/>
    </row>
    <row r="776" spans="3:8" x14ac:dyDescent="0.3">
      <c r="C776" s="42"/>
      <c r="D776" s="42"/>
      <c r="E776" s="42"/>
      <c r="F776" s="42"/>
      <c r="G776" s="42"/>
      <c r="H776" s="42"/>
    </row>
    <row r="777" spans="3:8" x14ac:dyDescent="0.3">
      <c r="C777" s="42"/>
      <c r="D777" s="42"/>
      <c r="E777" s="42"/>
      <c r="F777" s="42"/>
      <c r="G777" s="42"/>
      <c r="H777" s="42"/>
    </row>
    <row r="778" spans="3:8" x14ac:dyDescent="0.3">
      <c r="C778" s="42"/>
      <c r="D778" s="42"/>
      <c r="E778" s="42"/>
      <c r="F778" s="42"/>
      <c r="G778" s="42"/>
      <c r="H778" s="42"/>
    </row>
    <row r="779" spans="3:8" x14ac:dyDescent="0.3">
      <c r="C779" s="42"/>
      <c r="D779" s="42"/>
      <c r="E779" s="42"/>
      <c r="F779" s="42"/>
      <c r="G779" s="42"/>
      <c r="H779" s="42"/>
    </row>
    <row r="780" spans="3:8" x14ac:dyDescent="0.3">
      <c r="C780" s="42"/>
      <c r="D780" s="42"/>
      <c r="E780" s="42"/>
      <c r="F780" s="42"/>
      <c r="G780" s="42"/>
      <c r="H780" s="42"/>
    </row>
    <row r="781" spans="3:8" x14ac:dyDescent="0.3">
      <c r="C781" s="42"/>
      <c r="D781" s="42"/>
      <c r="E781" s="42"/>
      <c r="F781" s="42"/>
      <c r="G781" s="42"/>
      <c r="H781" s="42"/>
    </row>
    <row r="782" spans="3:8" x14ac:dyDescent="0.3">
      <c r="C782" s="42"/>
      <c r="D782" s="42"/>
      <c r="E782" s="42"/>
      <c r="F782" s="42"/>
      <c r="G782" s="42"/>
      <c r="H782" s="42"/>
    </row>
    <row r="783" spans="3:8" x14ac:dyDescent="0.3">
      <c r="C783" s="42"/>
      <c r="D783" s="42"/>
      <c r="E783" s="42"/>
      <c r="F783" s="42"/>
      <c r="G783" s="42"/>
      <c r="H783" s="42"/>
    </row>
    <row r="784" spans="3:8" x14ac:dyDescent="0.3">
      <c r="C784" s="42"/>
      <c r="D784" s="42"/>
      <c r="E784" s="42"/>
      <c r="F784" s="42"/>
      <c r="G784" s="42"/>
      <c r="H784" s="42"/>
    </row>
    <row r="785" spans="3:8" x14ac:dyDescent="0.3">
      <c r="C785" s="42"/>
      <c r="D785" s="42"/>
      <c r="E785" s="42"/>
      <c r="F785" s="42"/>
      <c r="G785" s="42"/>
      <c r="H785" s="42"/>
    </row>
    <row r="786" spans="3:8" x14ac:dyDescent="0.3">
      <c r="C786" s="42"/>
      <c r="D786" s="42"/>
      <c r="E786" s="42"/>
      <c r="F786" s="42"/>
      <c r="G786" s="42"/>
      <c r="H786" s="42"/>
    </row>
    <row r="787" spans="3:8" x14ac:dyDescent="0.3">
      <c r="C787" s="42"/>
      <c r="D787" s="42"/>
      <c r="E787" s="42"/>
      <c r="F787" s="42"/>
      <c r="G787" s="42"/>
      <c r="H787" s="42"/>
    </row>
    <row r="788" spans="3:8" x14ac:dyDescent="0.3">
      <c r="C788" s="42"/>
      <c r="D788" s="42"/>
      <c r="E788" s="42"/>
      <c r="F788" s="42"/>
      <c r="G788" s="42"/>
      <c r="H788" s="42"/>
    </row>
    <row r="789" spans="3:8" x14ac:dyDescent="0.3">
      <c r="C789" s="42"/>
      <c r="D789" s="42"/>
      <c r="E789" s="42"/>
      <c r="F789" s="42"/>
      <c r="G789" s="42"/>
      <c r="H789" s="42"/>
    </row>
    <row r="790" spans="3:8" x14ac:dyDescent="0.3">
      <c r="C790" s="42"/>
      <c r="D790" s="42"/>
      <c r="E790" s="42"/>
      <c r="F790" s="42"/>
      <c r="G790" s="42"/>
      <c r="H790" s="42"/>
    </row>
    <row r="791" spans="3:8" x14ac:dyDescent="0.3">
      <c r="C791" s="42"/>
      <c r="D791" s="42"/>
      <c r="E791" s="42"/>
      <c r="F791" s="42"/>
      <c r="G791" s="42"/>
      <c r="H791" s="42"/>
    </row>
    <row r="792" spans="3:8" x14ac:dyDescent="0.3">
      <c r="C792" s="42"/>
      <c r="D792" s="42"/>
      <c r="E792" s="42"/>
      <c r="F792" s="42"/>
      <c r="G792" s="42"/>
      <c r="H792" s="42"/>
    </row>
    <row r="793" spans="3:8" x14ac:dyDescent="0.3">
      <c r="C793" s="42"/>
      <c r="D793" s="42"/>
      <c r="E793" s="42"/>
      <c r="F793" s="42"/>
      <c r="G793" s="42"/>
      <c r="H793" s="42"/>
    </row>
    <row r="794" spans="3:8" x14ac:dyDescent="0.3">
      <c r="C794" s="42"/>
      <c r="D794" s="42"/>
      <c r="E794" s="42"/>
      <c r="F794" s="42"/>
      <c r="G794" s="42"/>
      <c r="H794" s="42"/>
    </row>
    <row r="795" spans="3:8" x14ac:dyDescent="0.3">
      <c r="C795" s="42"/>
      <c r="D795" s="42"/>
      <c r="E795" s="42"/>
      <c r="F795" s="42"/>
      <c r="G795" s="42"/>
      <c r="H795" s="42"/>
    </row>
    <row r="796" spans="3:8" x14ac:dyDescent="0.3">
      <c r="C796" s="42"/>
      <c r="D796" s="42"/>
      <c r="E796" s="42"/>
      <c r="F796" s="42"/>
      <c r="G796" s="42"/>
      <c r="H796" s="42"/>
    </row>
    <row r="797" spans="3:8" x14ac:dyDescent="0.3">
      <c r="C797" s="42"/>
      <c r="D797" s="42"/>
      <c r="E797" s="42"/>
      <c r="F797" s="42"/>
      <c r="G797" s="42"/>
      <c r="H797" s="42"/>
    </row>
    <row r="798" spans="3:8" x14ac:dyDescent="0.3">
      <c r="C798" s="42"/>
      <c r="D798" s="42"/>
      <c r="E798" s="42"/>
      <c r="F798" s="42"/>
      <c r="G798" s="42"/>
      <c r="H798" s="42"/>
    </row>
    <row r="799" spans="3:8" x14ac:dyDescent="0.3">
      <c r="C799" s="42"/>
      <c r="D799" s="42"/>
      <c r="E799" s="42"/>
      <c r="F799" s="42"/>
      <c r="G799" s="42"/>
      <c r="H799" s="42"/>
    </row>
    <row r="800" spans="3:8" x14ac:dyDescent="0.3">
      <c r="C800" s="42"/>
      <c r="D800" s="42"/>
      <c r="E800" s="42"/>
      <c r="F800" s="42"/>
      <c r="G800" s="42"/>
      <c r="H800" s="42"/>
    </row>
    <row r="801" spans="3:8" x14ac:dyDescent="0.3">
      <c r="C801" s="42"/>
      <c r="D801" s="42"/>
      <c r="E801" s="42"/>
      <c r="F801" s="42"/>
      <c r="G801" s="42"/>
      <c r="H801" s="42"/>
    </row>
    <row r="802" spans="3:8" x14ac:dyDescent="0.3">
      <c r="C802" s="42"/>
      <c r="D802" s="42"/>
      <c r="E802" s="42"/>
      <c r="F802" s="42"/>
      <c r="G802" s="42"/>
      <c r="H802" s="42"/>
    </row>
    <row r="803" spans="3:8" x14ac:dyDescent="0.3">
      <c r="C803" s="42"/>
      <c r="D803" s="42"/>
      <c r="E803" s="42"/>
      <c r="F803" s="42"/>
      <c r="G803" s="42"/>
      <c r="H803" s="42"/>
    </row>
    <row r="804" spans="3:8" x14ac:dyDescent="0.3">
      <c r="C804" s="42"/>
      <c r="D804" s="42"/>
      <c r="E804" s="42"/>
      <c r="F804" s="42"/>
      <c r="G804" s="42"/>
      <c r="H804" s="42"/>
    </row>
    <row r="805" spans="3:8" x14ac:dyDescent="0.3">
      <c r="C805" s="42"/>
      <c r="D805" s="42"/>
      <c r="E805" s="42"/>
      <c r="F805" s="42"/>
      <c r="G805" s="42"/>
      <c r="H805" s="42"/>
    </row>
    <row r="806" spans="3:8" x14ac:dyDescent="0.3">
      <c r="C806" s="42"/>
      <c r="D806" s="42"/>
      <c r="E806" s="42"/>
      <c r="F806" s="42"/>
      <c r="G806" s="42"/>
      <c r="H806" s="42"/>
    </row>
    <row r="807" spans="3:8" x14ac:dyDescent="0.3">
      <c r="C807" s="42"/>
      <c r="D807" s="42"/>
      <c r="E807" s="42"/>
      <c r="F807" s="42"/>
      <c r="G807" s="42"/>
      <c r="H807" s="42"/>
    </row>
    <row r="808" spans="3:8" x14ac:dyDescent="0.3">
      <c r="C808" s="42"/>
      <c r="D808" s="42"/>
      <c r="E808" s="42"/>
      <c r="F808" s="42"/>
      <c r="G808" s="42"/>
      <c r="H808" s="42"/>
    </row>
    <row r="809" spans="3:8" x14ac:dyDescent="0.3">
      <c r="C809" s="42"/>
      <c r="D809" s="42"/>
      <c r="E809" s="42"/>
      <c r="F809" s="42"/>
      <c r="G809" s="42"/>
      <c r="H809" s="42"/>
    </row>
    <row r="810" spans="3:8" x14ac:dyDescent="0.3">
      <c r="C810" s="42"/>
      <c r="D810" s="42"/>
      <c r="E810" s="42"/>
      <c r="F810" s="42"/>
      <c r="G810" s="42"/>
      <c r="H810" s="42"/>
    </row>
    <row r="811" spans="3:8" x14ac:dyDescent="0.3">
      <c r="C811" s="42"/>
      <c r="D811" s="42"/>
      <c r="E811" s="42"/>
      <c r="F811" s="42"/>
      <c r="G811" s="42"/>
      <c r="H811" s="42"/>
    </row>
    <row r="812" spans="3:8" x14ac:dyDescent="0.3">
      <c r="C812" s="42"/>
      <c r="D812" s="42"/>
      <c r="E812" s="42"/>
      <c r="F812" s="42"/>
      <c r="G812" s="42"/>
      <c r="H812" s="42"/>
    </row>
    <row r="813" spans="3:8" x14ac:dyDescent="0.3">
      <c r="C813" s="42"/>
      <c r="D813" s="42"/>
      <c r="E813" s="42"/>
      <c r="F813" s="42"/>
      <c r="G813" s="42"/>
      <c r="H813" s="42"/>
    </row>
    <row r="814" spans="3:8" x14ac:dyDescent="0.3">
      <c r="C814" s="42"/>
      <c r="D814" s="42"/>
      <c r="E814" s="42"/>
      <c r="F814" s="42"/>
      <c r="G814" s="42"/>
      <c r="H814" s="42"/>
    </row>
    <row r="815" spans="3:8" x14ac:dyDescent="0.3">
      <c r="C815" s="42"/>
      <c r="D815" s="42"/>
      <c r="E815" s="42"/>
      <c r="F815" s="42"/>
      <c r="G815" s="42"/>
      <c r="H815" s="42"/>
    </row>
    <row r="816" spans="3:8" x14ac:dyDescent="0.3">
      <c r="C816" s="42"/>
      <c r="D816" s="42"/>
      <c r="E816" s="42"/>
      <c r="F816" s="42"/>
      <c r="G816" s="42"/>
      <c r="H816" s="42"/>
    </row>
    <row r="817" spans="3:8" x14ac:dyDescent="0.3">
      <c r="C817" s="42"/>
      <c r="D817" s="42"/>
      <c r="E817" s="42"/>
      <c r="F817" s="42"/>
      <c r="G817" s="42"/>
      <c r="H817" s="42"/>
    </row>
    <row r="818" spans="3:8" x14ac:dyDescent="0.3">
      <c r="C818" s="42"/>
      <c r="D818" s="42"/>
      <c r="E818" s="42"/>
      <c r="F818" s="42"/>
      <c r="G818" s="42"/>
      <c r="H818" s="42"/>
    </row>
    <row r="819" spans="3:8" x14ac:dyDescent="0.3">
      <c r="C819" s="42"/>
      <c r="D819" s="42"/>
      <c r="E819" s="42"/>
      <c r="F819" s="42"/>
      <c r="G819" s="42"/>
      <c r="H819" s="42"/>
    </row>
    <row r="820" spans="3:8" x14ac:dyDescent="0.3">
      <c r="C820" s="42"/>
      <c r="D820" s="42"/>
      <c r="E820" s="42"/>
      <c r="F820" s="42"/>
      <c r="G820" s="42"/>
      <c r="H820" s="42"/>
    </row>
    <row r="821" spans="3:8" x14ac:dyDescent="0.3">
      <c r="C821" s="42"/>
      <c r="D821" s="42"/>
      <c r="E821" s="42"/>
      <c r="F821" s="42"/>
      <c r="G821" s="42"/>
      <c r="H821" s="42"/>
    </row>
    <row r="822" spans="3:8" x14ac:dyDescent="0.3">
      <c r="C822" s="42"/>
      <c r="D822" s="42"/>
      <c r="E822" s="42"/>
      <c r="F822" s="42"/>
      <c r="G822" s="42"/>
      <c r="H822" s="42"/>
    </row>
    <row r="823" spans="3:8" x14ac:dyDescent="0.3">
      <c r="C823" s="42"/>
      <c r="D823" s="42"/>
      <c r="E823" s="42"/>
      <c r="F823" s="42"/>
      <c r="G823" s="42"/>
      <c r="H823" s="42"/>
    </row>
    <row r="824" spans="3:8" x14ac:dyDescent="0.3">
      <c r="C824" s="42"/>
      <c r="D824" s="42"/>
      <c r="E824" s="42"/>
      <c r="F824" s="42"/>
      <c r="G824" s="42"/>
      <c r="H824" s="42"/>
    </row>
    <row r="825" spans="3:8" x14ac:dyDescent="0.3">
      <c r="C825" s="42"/>
      <c r="D825" s="42"/>
      <c r="E825" s="42"/>
      <c r="F825" s="42"/>
      <c r="G825" s="42"/>
      <c r="H825" s="42"/>
    </row>
    <row r="826" spans="3:8" x14ac:dyDescent="0.3">
      <c r="C826" s="42"/>
      <c r="D826" s="42"/>
      <c r="E826" s="42"/>
      <c r="F826" s="42"/>
      <c r="G826" s="42"/>
      <c r="H826" s="42"/>
    </row>
    <row r="827" spans="3:8" x14ac:dyDescent="0.3">
      <c r="C827" s="42"/>
      <c r="D827" s="42"/>
      <c r="E827" s="42"/>
      <c r="F827" s="42"/>
      <c r="G827" s="42"/>
      <c r="H827" s="42"/>
    </row>
    <row r="828" spans="3:8" x14ac:dyDescent="0.3">
      <c r="C828" s="42"/>
      <c r="D828" s="42"/>
      <c r="E828" s="42"/>
      <c r="F828" s="42"/>
      <c r="G828" s="42"/>
      <c r="H828" s="42"/>
    </row>
    <row r="829" spans="3:8" x14ac:dyDescent="0.3">
      <c r="C829" s="42"/>
      <c r="D829" s="42"/>
      <c r="E829" s="42"/>
      <c r="F829" s="42"/>
      <c r="G829" s="42"/>
      <c r="H829" s="42"/>
    </row>
    <row r="830" spans="3:8" x14ac:dyDescent="0.3">
      <c r="C830" s="42"/>
      <c r="D830" s="42"/>
      <c r="E830" s="42"/>
      <c r="F830" s="42"/>
      <c r="G830" s="42"/>
      <c r="H830" s="42"/>
    </row>
    <row r="831" spans="3:8" x14ac:dyDescent="0.3">
      <c r="C831" s="42"/>
      <c r="D831" s="42"/>
      <c r="E831" s="42"/>
      <c r="F831" s="42"/>
      <c r="G831" s="42"/>
      <c r="H831" s="42"/>
    </row>
    <row r="832" spans="3:8" x14ac:dyDescent="0.3">
      <c r="C832" s="42"/>
      <c r="D832" s="42"/>
      <c r="E832" s="42"/>
      <c r="F832" s="42"/>
      <c r="G832" s="42"/>
      <c r="H832" s="42"/>
    </row>
    <row r="833" spans="3:8" x14ac:dyDescent="0.3">
      <c r="C833" s="42"/>
      <c r="D833" s="42"/>
      <c r="E833" s="42"/>
      <c r="F833" s="42"/>
      <c r="G833" s="42"/>
      <c r="H833" s="42"/>
    </row>
    <row r="834" spans="3:8" x14ac:dyDescent="0.3">
      <c r="C834" s="42"/>
      <c r="D834" s="42"/>
      <c r="E834" s="42"/>
      <c r="F834" s="42"/>
      <c r="G834" s="42"/>
      <c r="H834" s="42"/>
    </row>
    <row r="835" spans="3:8" x14ac:dyDescent="0.3">
      <c r="C835" s="42"/>
      <c r="D835" s="42"/>
      <c r="E835" s="42"/>
      <c r="F835" s="42"/>
      <c r="G835" s="42"/>
      <c r="H835" s="42"/>
    </row>
    <row r="836" spans="3:8" x14ac:dyDescent="0.3">
      <c r="C836" s="42"/>
      <c r="D836" s="42"/>
      <c r="E836" s="42"/>
      <c r="F836" s="42"/>
      <c r="G836" s="42"/>
      <c r="H836" s="42"/>
    </row>
    <row r="837" spans="3:8" x14ac:dyDescent="0.3">
      <c r="C837" s="42"/>
      <c r="D837" s="42"/>
      <c r="E837" s="42"/>
      <c r="F837" s="42"/>
      <c r="G837" s="42"/>
      <c r="H837" s="42"/>
    </row>
    <row r="838" spans="3:8" x14ac:dyDescent="0.3">
      <c r="C838" s="42"/>
      <c r="D838" s="42"/>
      <c r="E838" s="42"/>
      <c r="F838" s="42"/>
      <c r="G838" s="42"/>
      <c r="H838" s="42"/>
    </row>
    <row r="839" spans="3:8" x14ac:dyDescent="0.3">
      <c r="C839" s="42"/>
      <c r="D839" s="42"/>
      <c r="E839" s="42"/>
      <c r="F839" s="42"/>
      <c r="G839" s="42"/>
      <c r="H839" s="42"/>
    </row>
    <row r="840" spans="3:8" x14ac:dyDescent="0.3">
      <c r="C840" s="42"/>
      <c r="D840" s="42"/>
      <c r="E840" s="42"/>
      <c r="F840" s="42"/>
      <c r="G840" s="42"/>
      <c r="H840" s="42"/>
    </row>
    <row r="841" spans="3:8" x14ac:dyDescent="0.3">
      <c r="C841" s="42"/>
      <c r="D841" s="42"/>
      <c r="E841" s="42"/>
      <c r="F841" s="42"/>
      <c r="G841" s="42"/>
      <c r="H841" s="42"/>
    </row>
    <row r="842" spans="3:8" x14ac:dyDescent="0.3">
      <c r="C842" s="42"/>
      <c r="D842" s="42"/>
      <c r="E842" s="42"/>
      <c r="F842" s="42"/>
      <c r="G842" s="42"/>
      <c r="H842" s="42"/>
    </row>
    <row r="843" spans="3:8" x14ac:dyDescent="0.3">
      <c r="C843" s="42"/>
      <c r="D843" s="42"/>
      <c r="E843" s="42"/>
      <c r="F843" s="42"/>
      <c r="G843" s="42"/>
      <c r="H843" s="42"/>
    </row>
    <row r="844" spans="3:8" x14ac:dyDescent="0.3">
      <c r="C844" s="42"/>
      <c r="D844" s="42"/>
      <c r="E844" s="42"/>
      <c r="F844" s="42"/>
      <c r="G844" s="42"/>
      <c r="H844" s="42"/>
    </row>
    <row r="845" spans="3:8" x14ac:dyDescent="0.3">
      <c r="C845" s="42"/>
      <c r="D845" s="42"/>
      <c r="E845" s="42"/>
      <c r="F845" s="42"/>
      <c r="G845" s="42"/>
      <c r="H845" s="42"/>
    </row>
    <row r="846" spans="3:8" x14ac:dyDescent="0.3">
      <c r="C846" s="42"/>
      <c r="D846" s="42"/>
      <c r="E846" s="42"/>
      <c r="F846" s="42"/>
      <c r="G846" s="42"/>
      <c r="H846" s="42"/>
    </row>
    <row r="847" spans="3:8" x14ac:dyDescent="0.3">
      <c r="C847" s="42"/>
      <c r="D847" s="42"/>
      <c r="E847" s="42"/>
      <c r="F847" s="42"/>
      <c r="G847" s="42"/>
      <c r="H847" s="42"/>
    </row>
    <row r="848" spans="3:8" x14ac:dyDescent="0.3">
      <c r="C848" s="42"/>
      <c r="D848" s="42"/>
      <c r="E848" s="42"/>
      <c r="F848" s="42"/>
      <c r="G848" s="42"/>
      <c r="H848" s="42"/>
    </row>
    <row r="849" spans="3:8" x14ac:dyDescent="0.3">
      <c r="C849" s="42"/>
      <c r="D849" s="42"/>
      <c r="E849" s="42"/>
      <c r="F849" s="42"/>
      <c r="G849" s="42"/>
      <c r="H849" s="42"/>
    </row>
    <row r="850" spans="3:8" x14ac:dyDescent="0.3">
      <c r="C850" s="42"/>
      <c r="D850" s="42"/>
      <c r="E850" s="42"/>
      <c r="F850" s="42"/>
      <c r="G850" s="42"/>
      <c r="H850" s="42"/>
    </row>
    <row r="851" spans="3:8" x14ac:dyDescent="0.3">
      <c r="C851" s="42"/>
      <c r="D851" s="42"/>
      <c r="E851" s="42"/>
      <c r="F851" s="42"/>
      <c r="G851" s="42"/>
      <c r="H851" s="42"/>
    </row>
    <row r="852" spans="3:8" x14ac:dyDescent="0.3">
      <c r="C852" s="42"/>
      <c r="D852" s="42"/>
      <c r="E852" s="42"/>
      <c r="F852" s="42"/>
      <c r="G852" s="42"/>
      <c r="H852" s="42"/>
    </row>
    <row r="853" spans="3:8" x14ac:dyDescent="0.3">
      <c r="C853" s="42"/>
      <c r="D853" s="42"/>
      <c r="E853" s="42"/>
      <c r="F853" s="42"/>
      <c r="G853" s="42"/>
      <c r="H853" s="42"/>
    </row>
    <row r="854" spans="3:8" x14ac:dyDescent="0.3">
      <c r="C854" s="42"/>
      <c r="D854" s="42"/>
      <c r="E854" s="42"/>
      <c r="F854" s="42"/>
      <c r="G854" s="42"/>
      <c r="H854" s="42"/>
    </row>
    <row r="855" spans="3:8" x14ac:dyDescent="0.3">
      <c r="C855" s="42"/>
      <c r="D855" s="42"/>
      <c r="E855" s="42"/>
      <c r="F855" s="42"/>
      <c r="G855" s="42"/>
      <c r="H855" s="42"/>
    </row>
    <row r="856" spans="3:8" x14ac:dyDescent="0.3">
      <c r="C856" s="42"/>
      <c r="D856" s="42"/>
      <c r="E856" s="42"/>
      <c r="F856" s="42"/>
      <c r="G856" s="42"/>
      <c r="H856" s="42"/>
    </row>
    <row r="857" spans="3:8" x14ac:dyDescent="0.3">
      <c r="C857" s="42"/>
      <c r="D857" s="42"/>
      <c r="E857" s="42"/>
      <c r="F857" s="42"/>
      <c r="G857" s="42"/>
      <c r="H857" s="42"/>
    </row>
    <row r="858" spans="3:8" x14ac:dyDescent="0.3">
      <c r="C858" s="42"/>
      <c r="D858" s="42"/>
      <c r="E858" s="42"/>
      <c r="F858" s="42"/>
      <c r="G858" s="42"/>
      <c r="H858" s="42"/>
    </row>
    <row r="859" spans="3:8" x14ac:dyDescent="0.3">
      <c r="C859" s="42"/>
      <c r="D859" s="42"/>
      <c r="E859" s="42"/>
      <c r="F859" s="42"/>
      <c r="G859" s="42"/>
      <c r="H859" s="42"/>
    </row>
    <row r="860" spans="3:8" x14ac:dyDescent="0.3">
      <c r="C860" s="42"/>
      <c r="D860" s="42"/>
      <c r="E860" s="42"/>
      <c r="F860" s="42"/>
      <c r="G860" s="42"/>
      <c r="H860" s="42"/>
    </row>
    <row r="861" spans="3:8" x14ac:dyDescent="0.3">
      <c r="C861" s="42"/>
      <c r="D861" s="42"/>
      <c r="E861" s="42"/>
      <c r="F861" s="42"/>
      <c r="G861" s="42"/>
      <c r="H861" s="42"/>
    </row>
    <row r="862" spans="3:8" x14ac:dyDescent="0.3">
      <c r="C862" s="42"/>
      <c r="D862" s="42"/>
      <c r="E862" s="42"/>
      <c r="F862" s="42"/>
      <c r="G862" s="42"/>
      <c r="H862" s="42"/>
    </row>
    <row r="863" spans="3:8" x14ac:dyDescent="0.3">
      <c r="C863" s="42"/>
      <c r="D863" s="42"/>
      <c r="E863" s="42"/>
      <c r="F863" s="42"/>
      <c r="G863" s="42"/>
      <c r="H863" s="42"/>
    </row>
    <row r="864" spans="3:8" x14ac:dyDescent="0.3">
      <c r="C864" s="42"/>
      <c r="D864" s="42"/>
      <c r="E864" s="42"/>
      <c r="F864" s="42"/>
      <c r="G864" s="42"/>
      <c r="H864" s="42"/>
    </row>
    <row r="865" spans="3:8" x14ac:dyDescent="0.3">
      <c r="C865" s="42"/>
      <c r="D865" s="42"/>
      <c r="E865" s="42"/>
      <c r="F865" s="42"/>
      <c r="G865" s="42"/>
      <c r="H865" s="42"/>
    </row>
    <row r="866" spans="3:8" x14ac:dyDescent="0.3">
      <c r="C866" s="42"/>
      <c r="D866" s="42"/>
      <c r="E866" s="42"/>
      <c r="F866" s="42"/>
      <c r="G866" s="42"/>
      <c r="H866" s="42"/>
    </row>
    <row r="867" spans="3:8" x14ac:dyDescent="0.3">
      <c r="C867" s="42"/>
      <c r="D867" s="42"/>
      <c r="E867" s="42"/>
      <c r="F867" s="42"/>
      <c r="G867" s="42"/>
      <c r="H867" s="42"/>
    </row>
    <row r="868" spans="3:8" x14ac:dyDescent="0.3">
      <c r="C868" s="42"/>
      <c r="D868" s="42"/>
      <c r="E868" s="42"/>
      <c r="F868" s="42"/>
      <c r="G868" s="42"/>
      <c r="H868" s="42"/>
    </row>
    <row r="869" spans="3:8" x14ac:dyDescent="0.3">
      <c r="C869" s="42"/>
      <c r="D869" s="42"/>
      <c r="E869" s="42"/>
      <c r="F869" s="42"/>
      <c r="G869" s="42"/>
      <c r="H869" s="42"/>
    </row>
    <row r="870" spans="3:8" x14ac:dyDescent="0.3">
      <c r="C870" s="42"/>
      <c r="D870" s="42"/>
      <c r="E870" s="42"/>
      <c r="F870" s="42"/>
      <c r="G870" s="42"/>
      <c r="H870" s="42"/>
    </row>
    <row r="871" spans="3:8" x14ac:dyDescent="0.3">
      <c r="C871" s="42"/>
      <c r="D871" s="42"/>
      <c r="E871" s="42"/>
      <c r="F871" s="42"/>
      <c r="G871" s="42"/>
      <c r="H871" s="42"/>
    </row>
    <row r="872" spans="3:8" x14ac:dyDescent="0.3">
      <c r="C872" s="42"/>
      <c r="D872" s="42"/>
      <c r="E872" s="42"/>
      <c r="F872" s="42"/>
      <c r="G872" s="42"/>
      <c r="H872" s="42"/>
    </row>
    <row r="873" spans="3:8" x14ac:dyDescent="0.3">
      <c r="C873" s="42"/>
      <c r="D873" s="42"/>
      <c r="E873" s="42"/>
      <c r="F873" s="42"/>
      <c r="G873" s="42"/>
      <c r="H873" s="42"/>
    </row>
    <row r="874" spans="3:8" x14ac:dyDescent="0.3">
      <c r="C874" s="42"/>
      <c r="D874" s="42"/>
      <c r="E874" s="42"/>
      <c r="F874" s="42"/>
      <c r="G874" s="42"/>
      <c r="H874" s="42"/>
    </row>
    <row r="875" spans="3:8" x14ac:dyDescent="0.3">
      <c r="C875" s="42"/>
      <c r="D875" s="42"/>
      <c r="E875" s="42"/>
      <c r="F875" s="42"/>
      <c r="G875" s="42"/>
      <c r="H875" s="42"/>
    </row>
    <row r="876" spans="3:8" x14ac:dyDescent="0.3">
      <c r="C876" s="42"/>
      <c r="D876" s="42"/>
      <c r="E876" s="42"/>
      <c r="F876" s="42"/>
      <c r="G876" s="42"/>
      <c r="H876" s="42"/>
    </row>
    <row r="877" spans="3:8" x14ac:dyDescent="0.3">
      <c r="C877" s="42"/>
      <c r="D877" s="42"/>
      <c r="E877" s="42"/>
      <c r="F877" s="42"/>
      <c r="G877" s="42"/>
      <c r="H877" s="42"/>
    </row>
    <row r="878" spans="3:8" x14ac:dyDescent="0.3">
      <c r="C878" s="42"/>
      <c r="D878" s="42"/>
      <c r="E878" s="42"/>
      <c r="F878" s="42"/>
      <c r="G878" s="42"/>
      <c r="H878" s="42"/>
    </row>
    <row r="879" spans="3:8" x14ac:dyDescent="0.3">
      <c r="C879" s="42"/>
      <c r="D879" s="42"/>
      <c r="E879" s="42"/>
      <c r="F879" s="42"/>
      <c r="G879" s="42"/>
      <c r="H879" s="42"/>
    </row>
    <row r="880" spans="3:8" x14ac:dyDescent="0.3">
      <c r="C880" s="42"/>
      <c r="D880" s="42"/>
      <c r="E880" s="42"/>
      <c r="F880" s="42"/>
      <c r="G880" s="42"/>
      <c r="H880" s="42"/>
    </row>
    <row r="881" spans="3:8" x14ac:dyDescent="0.3">
      <c r="C881" s="42"/>
      <c r="D881" s="42"/>
      <c r="E881" s="42"/>
      <c r="F881" s="42"/>
      <c r="G881" s="42"/>
      <c r="H881" s="42"/>
    </row>
    <row r="882" spans="3:8" x14ac:dyDescent="0.3">
      <c r="C882" s="42"/>
      <c r="D882" s="42"/>
      <c r="E882" s="42"/>
      <c r="F882" s="42"/>
      <c r="G882" s="42"/>
      <c r="H882" s="42"/>
    </row>
    <row r="883" spans="3:8" x14ac:dyDescent="0.3">
      <c r="C883" s="42"/>
      <c r="D883" s="42"/>
      <c r="E883" s="42"/>
      <c r="F883" s="42"/>
      <c r="G883" s="42"/>
      <c r="H883" s="42"/>
    </row>
    <row r="884" spans="3:8" x14ac:dyDescent="0.3">
      <c r="C884" s="42"/>
      <c r="D884" s="42"/>
      <c r="E884" s="42"/>
      <c r="F884" s="42"/>
      <c r="G884" s="42"/>
      <c r="H884" s="42"/>
    </row>
    <row r="885" spans="3:8" x14ac:dyDescent="0.3">
      <c r="C885" s="42"/>
      <c r="D885" s="42"/>
      <c r="E885" s="42"/>
      <c r="F885" s="42"/>
      <c r="G885" s="42"/>
      <c r="H885" s="42"/>
    </row>
    <row r="886" spans="3:8" x14ac:dyDescent="0.3">
      <c r="C886" s="42"/>
      <c r="D886" s="42"/>
      <c r="E886" s="42"/>
      <c r="F886" s="42"/>
      <c r="G886" s="42"/>
      <c r="H886" s="42"/>
    </row>
    <row r="887" spans="3:8" x14ac:dyDescent="0.3">
      <c r="C887" s="42"/>
      <c r="D887" s="42"/>
      <c r="E887" s="42"/>
      <c r="F887" s="42"/>
      <c r="G887" s="42"/>
      <c r="H887" s="42"/>
    </row>
    <row r="888" spans="3:8" x14ac:dyDescent="0.3">
      <c r="C888" s="42"/>
      <c r="D888" s="42"/>
      <c r="E888" s="42"/>
      <c r="F888" s="42"/>
      <c r="G888" s="42"/>
      <c r="H888" s="42"/>
    </row>
    <row r="889" spans="3:8" x14ac:dyDescent="0.3">
      <c r="C889" s="42"/>
      <c r="D889" s="42"/>
      <c r="E889" s="42"/>
      <c r="F889" s="42"/>
      <c r="G889" s="42"/>
      <c r="H889" s="42"/>
    </row>
    <row r="890" spans="3:8" x14ac:dyDescent="0.3">
      <c r="C890" s="42"/>
      <c r="D890" s="42"/>
      <c r="E890" s="42"/>
      <c r="F890" s="42"/>
      <c r="G890" s="42"/>
      <c r="H890" s="42"/>
    </row>
    <row r="891" spans="3:8" x14ac:dyDescent="0.3">
      <c r="C891" s="42"/>
      <c r="D891" s="42"/>
      <c r="E891" s="42"/>
      <c r="F891" s="42"/>
      <c r="G891" s="42"/>
      <c r="H891" s="42"/>
    </row>
    <row r="892" spans="3:8" x14ac:dyDescent="0.3">
      <c r="C892" s="42"/>
      <c r="D892" s="42"/>
      <c r="E892" s="42"/>
      <c r="F892" s="42"/>
      <c r="G892" s="42"/>
      <c r="H892" s="42"/>
    </row>
    <row r="893" spans="3:8" x14ac:dyDescent="0.3">
      <c r="C893" s="42"/>
      <c r="D893" s="42"/>
      <c r="E893" s="42"/>
      <c r="F893" s="42"/>
      <c r="G893" s="42"/>
      <c r="H893" s="42"/>
    </row>
    <row r="894" spans="3:8" x14ac:dyDescent="0.3">
      <c r="C894" s="42"/>
      <c r="D894" s="42"/>
      <c r="E894" s="42"/>
      <c r="F894" s="42"/>
      <c r="G894" s="42"/>
      <c r="H894" s="42"/>
    </row>
    <row r="895" spans="3:8" x14ac:dyDescent="0.3">
      <c r="C895" s="42"/>
      <c r="D895" s="42"/>
      <c r="E895" s="42"/>
      <c r="F895" s="42"/>
      <c r="G895" s="42"/>
      <c r="H895" s="42"/>
    </row>
    <row r="896" spans="3:8" x14ac:dyDescent="0.3">
      <c r="C896" s="42"/>
      <c r="D896" s="42"/>
      <c r="E896" s="42"/>
      <c r="F896" s="42"/>
      <c r="G896" s="42"/>
      <c r="H896" s="42"/>
    </row>
    <row r="897" spans="3:8" x14ac:dyDescent="0.3">
      <c r="C897" s="42"/>
      <c r="D897" s="42"/>
      <c r="E897" s="42"/>
      <c r="F897" s="42"/>
      <c r="G897" s="42"/>
      <c r="H897" s="42"/>
    </row>
    <row r="898" spans="3:8" x14ac:dyDescent="0.3">
      <c r="C898" s="42"/>
      <c r="D898" s="42"/>
      <c r="E898" s="42"/>
      <c r="F898" s="42"/>
      <c r="G898" s="42"/>
      <c r="H898" s="42"/>
    </row>
    <row r="899" spans="3:8" x14ac:dyDescent="0.3">
      <c r="C899" s="42"/>
      <c r="D899" s="42"/>
      <c r="E899" s="42"/>
      <c r="F899" s="42"/>
      <c r="G899" s="42"/>
      <c r="H899" s="42"/>
    </row>
    <row r="900" spans="3:8" x14ac:dyDescent="0.3">
      <c r="C900" s="42"/>
      <c r="D900" s="42"/>
      <c r="E900" s="42"/>
      <c r="F900" s="42"/>
      <c r="G900" s="42"/>
      <c r="H900" s="42"/>
    </row>
    <row r="901" spans="3:8" x14ac:dyDescent="0.3">
      <c r="C901" s="42"/>
      <c r="D901" s="42"/>
      <c r="E901" s="42"/>
      <c r="F901" s="42"/>
      <c r="G901" s="42"/>
      <c r="H901" s="42"/>
    </row>
    <row r="902" spans="3:8" x14ac:dyDescent="0.3">
      <c r="C902" s="42"/>
      <c r="D902" s="42"/>
      <c r="E902" s="42"/>
      <c r="F902" s="42"/>
      <c r="G902" s="42"/>
      <c r="H902" s="42"/>
    </row>
    <row r="903" spans="3:8" x14ac:dyDescent="0.3">
      <c r="C903" s="42"/>
      <c r="D903" s="42"/>
      <c r="E903" s="42"/>
      <c r="F903" s="42"/>
      <c r="G903" s="42"/>
      <c r="H903" s="42"/>
    </row>
    <row r="904" spans="3:8" x14ac:dyDescent="0.3">
      <c r="C904" s="42"/>
      <c r="D904" s="42"/>
      <c r="E904" s="42"/>
      <c r="F904" s="42"/>
      <c r="G904" s="42"/>
      <c r="H904" s="42"/>
    </row>
    <row r="905" spans="3:8" x14ac:dyDescent="0.3">
      <c r="C905" s="42"/>
      <c r="D905" s="42"/>
      <c r="E905" s="42"/>
      <c r="F905" s="42"/>
      <c r="G905" s="42"/>
      <c r="H905" s="42"/>
    </row>
    <row r="906" spans="3:8" x14ac:dyDescent="0.3">
      <c r="C906" s="42"/>
      <c r="D906" s="42"/>
      <c r="E906" s="42"/>
      <c r="F906" s="42"/>
      <c r="G906" s="42"/>
      <c r="H906" s="42"/>
    </row>
    <row r="907" spans="3:8" x14ac:dyDescent="0.3">
      <c r="C907" s="42"/>
      <c r="D907" s="42"/>
      <c r="E907" s="42"/>
      <c r="F907" s="42"/>
      <c r="G907" s="42"/>
      <c r="H907" s="42"/>
    </row>
    <row r="908" spans="3:8" x14ac:dyDescent="0.3">
      <c r="C908" s="42"/>
      <c r="D908" s="42"/>
      <c r="E908" s="42"/>
      <c r="F908" s="42"/>
      <c r="G908" s="42"/>
      <c r="H908" s="42"/>
    </row>
    <row r="909" spans="3:8" x14ac:dyDescent="0.3">
      <c r="C909" s="42"/>
      <c r="D909" s="42"/>
      <c r="E909" s="42"/>
      <c r="F909" s="42"/>
      <c r="G909" s="42"/>
      <c r="H909" s="42"/>
    </row>
    <row r="910" spans="3:8" x14ac:dyDescent="0.3">
      <c r="C910" s="42"/>
      <c r="D910" s="42"/>
      <c r="E910" s="42"/>
      <c r="F910" s="42"/>
      <c r="G910" s="42"/>
      <c r="H910" s="42"/>
    </row>
    <row r="911" spans="3:8" x14ac:dyDescent="0.3">
      <c r="C911" s="42"/>
      <c r="D911" s="42"/>
      <c r="E911" s="42"/>
      <c r="F911" s="42"/>
      <c r="G911" s="42"/>
      <c r="H911" s="42"/>
    </row>
    <row r="912" spans="3:8" x14ac:dyDescent="0.3">
      <c r="C912" s="42"/>
      <c r="D912" s="42"/>
      <c r="E912" s="42"/>
      <c r="F912" s="42"/>
      <c r="G912" s="42"/>
      <c r="H912" s="42"/>
    </row>
    <row r="913" spans="3:8" x14ac:dyDescent="0.3">
      <c r="C913" s="42"/>
      <c r="D913" s="42"/>
      <c r="E913" s="42"/>
      <c r="F913" s="42"/>
      <c r="G913" s="42"/>
      <c r="H913" s="42"/>
    </row>
    <row r="914" spans="3:8" x14ac:dyDescent="0.3">
      <c r="C914" s="42"/>
      <c r="D914" s="42"/>
      <c r="E914" s="42"/>
      <c r="F914" s="42"/>
      <c r="G914" s="42"/>
      <c r="H914" s="42"/>
    </row>
    <row r="915" spans="3:8" x14ac:dyDescent="0.3">
      <c r="C915" s="42"/>
      <c r="D915" s="42"/>
      <c r="E915" s="42"/>
      <c r="F915" s="42"/>
      <c r="G915" s="42"/>
      <c r="H915" s="42"/>
    </row>
    <row r="916" spans="3:8" x14ac:dyDescent="0.3">
      <c r="C916" s="42"/>
      <c r="D916" s="42"/>
      <c r="E916" s="42"/>
      <c r="F916" s="42"/>
      <c r="G916" s="42"/>
      <c r="H916" s="42"/>
    </row>
    <row r="917" spans="3:8" x14ac:dyDescent="0.3">
      <c r="C917" s="42"/>
      <c r="D917" s="42"/>
      <c r="E917" s="42"/>
      <c r="F917" s="42"/>
      <c r="G917" s="42"/>
      <c r="H917" s="42"/>
    </row>
    <row r="918" spans="3:8" x14ac:dyDescent="0.3">
      <c r="C918" s="42"/>
      <c r="D918" s="42"/>
      <c r="E918" s="42"/>
      <c r="F918" s="42"/>
      <c r="G918" s="42"/>
      <c r="H918" s="42"/>
    </row>
    <row r="919" spans="3:8" x14ac:dyDescent="0.3">
      <c r="C919" s="42"/>
      <c r="D919" s="42"/>
      <c r="E919" s="42"/>
      <c r="F919" s="42"/>
      <c r="G919" s="42"/>
      <c r="H919" s="42"/>
    </row>
    <row r="920" spans="3:8" x14ac:dyDescent="0.3">
      <c r="C920" s="42"/>
      <c r="D920" s="42"/>
      <c r="E920" s="42"/>
      <c r="F920" s="42"/>
      <c r="G920" s="42"/>
      <c r="H920" s="42"/>
    </row>
    <row r="921" spans="3:8" x14ac:dyDescent="0.3">
      <c r="C921" s="42"/>
      <c r="D921" s="42"/>
      <c r="E921" s="42"/>
      <c r="F921" s="42"/>
      <c r="G921" s="42"/>
      <c r="H921" s="42"/>
    </row>
    <row r="922" spans="3:8" x14ac:dyDescent="0.3">
      <c r="C922" s="42"/>
      <c r="D922" s="42"/>
      <c r="E922" s="42"/>
      <c r="F922" s="42"/>
      <c r="G922" s="42"/>
      <c r="H922" s="42"/>
    </row>
    <row r="923" spans="3:8" x14ac:dyDescent="0.3">
      <c r="C923" s="42"/>
      <c r="D923" s="42"/>
      <c r="E923" s="42"/>
      <c r="F923" s="42"/>
      <c r="G923" s="42"/>
      <c r="H923" s="42"/>
    </row>
    <row r="924" spans="3:8" x14ac:dyDescent="0.3">
      <c r="C924" s="42"/>
      <c r="D924" s="42"/>
      <c r="E924" s="42"/>
      <c r="F924" s="42"/>
      <c r="G924" s="42"/>
      <c r="H924" s="42"/>
    </row>
    <row r="925" spans="3:8" x14ac:dyDescent="0.3">
      <c r="C925" s="42"/>
      <c r="D925" s="42"/>
      <c r="E925" s="42"/>
      <c r="F925" s="42"/>
      <c r="G925" s="42"/>
      <c r="H925" s="42"/>
    </row>
    <row r="926" spans="3:8" x14ac:dyDescent="0.3">
      <c r="C926" s="42"/>
      <c r="D926" s="42"/>
      <c r="E926" s="42"/>
      <c r="F926" s="42"/>
      <c r="G926" s="42"/>
      <c r="H926" s="42"/>
    </row>
    <row r="927" spans="3:8" x14ac:dyDescent="0.3">
      <c r="C927" s="42"/>
      <c r="D927" s="42"/>
      <c r="E927" s="42"/>
      <c r="F927" s="42"/>
      <c r="G927" s="42"/>
      <c r="H927" s="42"/>
    </row>
    <row r="928" spans="3:8" x14ac:dyDescent="0.3">
      <c r="C928" s="42"/>
      <c r="D928" s="42"/>
      <c r="E928" s="42"/>
      <c r="F928" s="42"/>
      <c r="G928" s="42"/>
      <c r="H928" s="42"/>
    </row>
    <row r="929" spans="3:8" x14ac:dyDescent="0.3">
      <c r="C929" s="42"/>
      <c r="D929" s="42"/>
      <c r="E929" s="42"/>
      <c r="F929" s="42"/>
      <c r="G929" s="42"/>
      <c r="H929" s="42"/>
    </row>
    <row r="930" spans="3:8" x14ac:dyDescent="0.3">
      <c r="C930" s="42"/>
      <c r="D930" s="42"/>
      <c r="E930" s="42"/>
      <c r="F930" s="42"/>
      <c r="G930" s="42"/>
      <c r="H930" s="42"/>
    </row>
    <row r="931" spans="3:8" x14ac:dyDescent="0.3">
      <c r="C931" s="42"/>
      <c r="D931" s="42"/>
      <c r="E931" s="42"/>
      <c r="F931" s="42"/>
      <c r="G931" s="42"/>
      <c r="H931" s="42"/>
    </row>
    <row r="932" spans="3:8" x14ac:dyDescent="0.3">
      <c r="C932" s="42"/>
      <c r="D932" s="42"/>
      <c r="E932" s="42"/>
      <c r="F932" s="42"/>
      <c r="G932" s="42"/>
      <c r="H932" s="42"/>
    </row>
    <row r="933" spans="3:8" x14ac:dyDescent="0.3">
      <c r="C933" s="42"/>
      <c r="D933" s="42"/>
      <c r="E933" s="42"/>
      <c r="F933" s="42"/>
      <c r="G933" s="42"/>
      <c r="H933" s="42"/>
    </row>
    <row r="934" spans="3:8" x14ac:dyDescent="0.3">
      <c r="C934" s="42"/>
      <c r="D934" s="42"/>
      <c r="E934" s="42"/>
      <c r="F934" s="42"/>
      <c r="G934" s="42"/>
      <c r="H934" s="42"/>
    </row>
    <row r="935" spans="3:8" x14ac:dyDescent="0.3">
      <c r="C935" s="42"/>
      <c r="D935" s="42"/>
      <c r="E935" s="42"/>
      <c r="F935" s="42"/>
      <c r="G935" s="42"/>
      <c r="H935" s="42"/>
    </row>
    <row r="936" spans="3:8" x14ac:dyDescent="0.3">
      <c r="C936" s="42"/>
      <c r="D936" s="42"/>
      <c r="E936" s="42"/>
      <c r="F936" s="42"/>
      <c r="G936" s="42"/>
      <c r="H936" s="42"/>
    </row>
    <row r="937" spans="3:8" x14ac:dyDescent="0.3">
      <c r="C937" s="42"/>
      <c r="D937" s="42"/>
      <c r="E937" s="42"/>
      <c r="F937" s="42"/>
      <c r="G937" s="42"/>
      <c r="H937" s="42"/>
    </row>
    <row r="938" spans="3:8" x14ac:dyDescent="0.3">
      <c r="C938" s="42"/>
      <c r="D938" s="42"/>
      <c r="E938" s="42"/>
      <c r="F938" s="42"/>
      <c r="G938" s="42"/>
      <c r="H938" s="42"/>
    </row>
    <row r="939" spans="3:8" x14ac:dyDescent="0.3">
      <c r="C939" s="42"/>
      <c r="D939" s="42"/>
      <c r="E939" s="42"/>
      <c r="F939" s="42"/>
      <c r="G939" s="42"/>
      <c r="H939" s="42"/>
    </row>
    <row r="940" spans="3:8" x14ac:dyDescent="0.3">
      <c r="C940" s="42"/>
      <c r="D940" s="42"/>
      <c r="E940" s="42"/>
      <c r="F940" s="42"/>
      <c r="G940" s="42"/>
      <c r="H940" s="42"/>
    </row>
    <row r="941" spans="3:8" x14ac:dyDescent="0.3">
      <c r="C941" s="42"/>
      <c r="D941" s="42"/>
      <c r="E941" s="42"/>
      <c r="F941" s="42"/>
      <c r="G941" s="42"/>
      <c r="H941" s="42"/>
    </row>
    <row r="942" spans="3:8" x14ac:dyDescent="0.3">
      <c r="C942" s="42"/>
      <c r="D942" s="42"/>
      <c r="E942" s="42"/>
      <c r="F942" s="42"/>
      <c r="G942" s="42"/>
      <c r="H942" s="42"/>
    </row>
    <row r="943" spans="3:8" x14ac:dyDescent="0.3">
      <c r="C943" s="42"/>
      <c r="D943" s="42"/>
      <c r="E943" s="42"/>
      <c r="F943" s="42"/>
      <c r="G943" s="42"/>
      <c r="H943" s="42"/>
    </row>
    <row r="944" spans="3:8" x14ac:dyDescent="0.3">
      <c r="C944" s="42"/>
      <c r="D944" s="42"/>
      <c r="E944" s="42"/>
      <c r="F944" s="42"/>
      <c r="G944" s="42"/>
      <c r="H944" s="42"/>
    </row>
    <row r="945" spans="3:8" x14ac:dyDescent="0.3">
      <c r="C945" s="42"/>
      <c r="D945" s="42"/>
      <c r="E945" s="42"/>
      <c r="F945" s="42"/>
      <c r="G945" s="42"/>
      <c r="H945" s="42"/>
    </row>
    <row r="946" spans="3:8" x14ac:dyDescent="0.3">
      <c r="C946" s="42"/>
      <c r="D946" s="42"/>
      <c r="E946" s="42"/>
      <c r="F946" s="42"/>
      <c r="G946" s="42"/>
      <c r="H946" s="42"/>
    </row>
    <row r="947" spans="3:8" x14ac:dyDescent="0.3">
      <c r="C947" s="42"/>
      <c r="D947" s="42"/>
      <c r="E947" s="42"/>
      <c r="F947" s="42"/>
      <c r="G947" s="42"/>
      <c r="H947" s="42"/>
    </row>
    <row r="948" spans="3:8" x14ac:dyDescent="0.3">
      <c r="C948" s="42"/>
      <c r="D948" s="42"/>
      <c r="E948" s="42"/>
      <c r="F948" s="42"/>
      <c r="G948" s="42"/>
      <c r="H948" s="42"/>
    </row>
    <row r="949" spans="3:8" x14ac:dyDescent="0.3">
      <c r="C949" s="42"/>
      <c r="D949" s="42"/>
      <c r="E949" s="42"/>
      <c r="F949" s="42"/>
      <c r="G949" s="42"/>
      <c r="H949" s="42"/>
    </row>
    <row r="950" spans="3:8" x14ac:dyDescent="0.3">
      <c r="C950" s="42"/>
      <c r="D950" s="42"/>
      <c r="E950" s="42"/>
      <c r="F950" s="42"/>
      <c r="G950" s="42"/>
      <c r="H950" s="42"/>
    </row>
    <row r="951" spans="3:8" x14ac:dyDescent="0.3">
      <c r="C951" s="42"/>
      <c r="D951" s="42"/>
      <c r="E951" s="42"/>
      <c r="F951" s="42"/>
      <c r="G951" s="42"/>
      <c r="H951" s="42"/>
    </row>
    <row r="952" spans="3:8" x14ac:dyDescent="0.3">
      <c r="C952" s="42"/>
      <c r="D952" s="42"/>
      <c r="E952" s="42"/>
      <c r="F952" s="42"/>
      <c r="G952" s="42"/>
      <c r="H952" s="42"/>
    </row>
    <row r="953" spans="3:8" x14ac:dyDescent="0.3">
      <c r="C953" s="42"/>
      <c r="D953" s="42"/>
      <c r="E953" s="42"/>
      <c r="F953" s="42"/>
      <c r="G953" s="42"/>
      <c r="H953" s="42"/>
    </row>
    <row r="954" spans="3:8" x14ac:dyDescent="0.3">
      <c r="C954" s="42"/>
      <c r="D954" s="42"/>
      <c r="E954" s="42"/>
      <c r="F954" s="42"/>
      <c r="G954" s="42"/>
      <c r="H954" s="42"/>
    </row>
    <row r="955" spans="3:8" x14ac:dyDescent="0.3">
      <c r="C955" s="42"/>
      <c r="D955" s="42"/>
      <c r="E955" s="42"/>
      <c r="F955" s="42"/>
      <c r="G955" s="42"/>
      <c r="H955" s="42"/>
    </row>
    <row r="956" spans="3:8" x14ac:dyDescent="0.3">
      <c r="C956" s="42"/>
      <c r="D956" s="42"/>
      <c r="E956" s="42"/>
      <c r="F956" s="42"/>
      <c r="G956" s="42"/>
      <c r="H956" s="42"/>
    </row>
    <row r="957" spans="3:8" x14ac:dyDescent="0.3">
      <c r="C957" s="42"/>
      <c r="D957" s="42"/>
      <c r="E957" s="42"/>
      <c r="F957" s="42"/>
      <c r="G957" s="42"/>
      <c r="H957" s="42"/>
    </row>
    <row r="958" spans="3:8" x14ac:dyDescent="0.3">
      <c r="C958" s="42"/>
      <c r="D958" s="42"/>
      <c r="E958" s="42"/>
      <c r="F958" s="42"/>
      <c r="G958" s="42"/>
      <c r="H958" s="42"/>
    </row>
    <row r="959" spans="3:8" x14ac:dyDescent="0.3">
      <c r="C959" s="42"/>
      <c r="D959" s="42"/>
      <c r="E959" s="42"/>
      <c r="F959" s="42"/>
      <c r="G959" s="42"/>
      <c r="H959" s="42"/>
    </row>
    <row r="960" spans="3:8" x14ac:dyDescent="0.3">
      <c r="C960" s="42"/>
      <c r="D960" s="42"/>
      <c r="E960" s="42"/>
      <c r="F960" s="42"/>
      <c r="G960" s="42"/>
      <c r="H960" s="42"/>
    </row>
    <row r="961" spans="3:8" x14ac:dyDescent="0.3">
      <c r="C961" s="42"/>
      <c r="D961" s="42"/>
      <c r="E961" s="42"/>
      <c r="F961" s="42"/>
      <c r="G961" s="42"/>
      <c r="H961" s="42"/>
    </row>
    <row r="962" spans="3:8" x14ac:dyDescent="0.3">
      <c r="C962" s="42"/>
      <c r="D962" s="42"/>
      <c r="E962" s="42"/>
      <c r="F962" s="42"/>
      <c r="G962" s="42"/>
      <c r="H962" s="42"/>
    </row>
    <row r="963" spans="3:8" x14ac:dyDescent="0.3">
      <c r="C963" s="42"/>
      <c r="D963" s="42"/>
      <c r="E963" s="42"/>
      <c r="F963" s="42"/>
      <c r="G963" s="42"/>
      <c r="H963" s="42"/>
    </row>
    <row r="964" spans="3:8" x14ac:dyDescent="0.3">
      <c r="C964" s="42"/>
      <c r="D964" s="42"/>
      <c r="E964" s="42"/>
      <c r="F964" s="42"/>
      <c r="G964" s="42"/>
      <c r="H964" s="42"/>
    </row>
    <row r="965" spans="3:8" x14ac:dyDescent="0.3">
      <c r="C965" s="42"/>
      <c r="D965" s="42"/>
      <c r="E965" s="42"/>
      <c r="F965" s="42"/>
      <c r="G965" s="42"/>
      <c r="H965" s="42"/>
    </row>
    <row r="966" spans="3:8" x14ac:dyDescent="0.3">
      <c r="C966" s="42"/>
      <c r="D966" s="42"/>
      <c r="E966" s="42"/>
      <c r="F966" s="42"/>
      <c r="G966" s="42"/>
      <c r="H966" s="42"/>
    </row>
    <row r="967" spans="3:8" x14ac:dyDescent="0.3">
      <c r="C967" s="42"/>
      <c r="D967" s="42"/>
      <c r="E967" s="42"/>
      <c r="F967" s="42"/>
      <c r="G967" s="42"/>
      <c r="H967" s="42"/>
    </row>
    <row r="968" spans="3:8" x14ac:dyDescent="0.3">
      <c r="C968" s="42"/>
      <c r="D968" s="42"/>
      <c r="E968" s="42"/>
      <c r="F968" s="42"/>
      <c r="G968" s="42"/>
      <c r="H968" s="42"/>
    </row>
    <row r="969" spans="3:8" x14ac:dyDescent="0.3">
      <c r="C969" s="42"/>
      <c r="D969" s="42"/>
      <c r="E969" s="42"/>
      <c r="F969" s="42"/>
      <c r="G969" s="42"/>
      <c r="H969" s="42"/>
    </row>
    <row r="970" spans="3:8" x14ac:dyDescent="0.3">
      <c r="C970" s="42"/>
      <c r="D970" s="42"/>
      <c r="E970" s="42"/>
      <c r="F970" s="42"/>
      <c r="G970" s="42"/>
      <c r="H970" s="42"/>
    </row>
    <row r="971" spans="3:8" x14ac:dyDescent="0.3">
      <c r="C971" s="42"/>
      <c r="D971" s="42"/>
      <c r="E971" s="42"/>
      <c r="F971" s="42"/>
      <c r="G971" s="42"/>
      <c r="H971" s="42"/>
    </row>
    <row r="972" spans="3:8" x14ac:dyDescent="0.3">
      <c r="C972" s="42"/>
      <c r="D972" s="42"/>
      <c r="E972" s="42"/>
      <c r="F972" s="42"/>
      <c r="G972" s="42"/>
      <c r="H972" s="42"/>
    </row>
    <row r="973" spans="3:8" x14ac:dyDescent="0.3">
      <c r="C973" s="42"/>
      <c r="D973" s="42"/>
      <c r="E973" s="42"/>
      <c r="F973" s="42"/>
      <c r="G973" s="42"/>
      <c r="H973" s="42"/>
    </row>
    <row r="974" spans="3:8" x14ac:dyDescent="0.3">
      <c r="C974" s="42"/>
      <c r="D974" s="42"/>
      <c r="E974" s="42"/>
      <c r="F974" s="42"/>
      <c r="G974" s="42"/>
      <c r="H974" s="42"/>
    </row>
    <row r="975" spans="3:8" x14ac:dyDescent="0.3">
      <c r="C975" s="42"/>
      <c r="D975" s="42"/>
      <c r="E975" s="42"/>
      <c r="F975" s="42"/>
      <c r="G975" s="42"/>
      <c r="H975" s="42"/>
    </row>
    <row r="976" spans="3:8" x14ac:dyDescent="0.3">
      <c r="C976" s="42"/>
      <c r="D976" s="42"/>
      <c r="E976" s="42"/>
      <c r="F976" s="42"/>
      <c r="G976" s="42"/>
      <c r="H976" s="42"/>
    </row>
    <row r="977" spans="3:8" x14ac:dyDescent="0.3">
      <c r="C977" s="42"/>
      <c r="D977" s="42"/>
      <c r="E977" s="42"/>
      <c r="F977" s="42"/>
      <c r="G977" s="42"/>
      <c r="H977" s="42"/>
    </row>
    <row r="978" spans="3:8" x14ac:dyDescent="0.3">
      <c r="C978" s="42"/>
      <c r="D978" s="42"/>
      <c r="E978" s="42"/>
      <c r="F978" s="42"/>
      <c r="G978" s="42"/>
      <c r="H978" s="42"/>
    </row>
    <row r="979" spans="3:8" x14ac:dyDescent="0.3">
      <c r="C979" s="42"/>
      <c r="D979" s="42"/>
      <c r="E979" s="42"/>
      <c r="F979" s="42"/>
      <c r="G979" s="42"/>
      <c r="H979" s="42"/>
    </row>
    <row r="980" spans="3:8" x14ac:dyDescent="0.3">
      <c r="C980" s="42"/>
      <c r="D980" s="42"/>
      <c r="E980" s="42"/>
      <c r="F980" s="42"/>
      <c r="G980" s="42"/>
      <c r="H980" s="42"/>
    </row>
    <row r="981" spans="3:8" x14ac:dyDescent="0.3">
      <c r="C981" s="42"/>
      <c r="D981" s="42"/>
      <c r="E981" s="42"/>
      <c r="F981" s="42"/>
      <c r="G981" s="42"/>
      <c r="H981" s="42"/>
    </row>
    <row r="982" spans="3:8" x14ac:dyDescent="0.3">
      <c r="C982" s="42"/>
      <c r="D982" s="42"/>
      <c r="E982" s="42"/>
      <c r="F982" s="42"/>
      <c r="G982" s="42"/>
      <c r="H982" s="42"/>
    </row>
    <row r="983" spans="3:8" x14ac:dyDescent="0.3">
      <c r="C983" s="42"/>
      <c r="D983" s="42"/>
      <c r="E983" s="42"/>
      <c r="F983" s="42"/>
      <c r="G983" s="42"/>
      <c r="H983" s="42"/>
    </row>
    <row r="984" spans="3:8" x14ac:dyDescent="0.3">
      <c r="C984" s="42"/>
      <c r="D984" s="42"/>
      <c r="E984" s="42"/>
      <c r="F984" s="42"/>
      <c r="G984" s="42"/>
      <c r="H984" s="42"/>
    </row>
    <row r="985" spans="3:8" x14ac:dyDescent="0.3">
      <c r="C985" s="42"/>
      <c r="D985" s="42"/>
      <c r="E985" s="42"/>
      <c r="F985" s="42"/>
      <c r="G985" s="42"/>
      <c r="H985" s="42"/>
    </row>
    <row r="986" spans="3:8" x14ac:dyDescent="0.3">
      <c r="C986" s="42"/>
      <c r="D986" s="42"/>
      <c r="E986" s="42"/>
      <c r="F986" s="42"/>
      <c r="G986" s="42"/>
      <c r="H986" s="42"/>
    </row>
    <row r="987" spans="3:8" x14ac:dyDescent="0.3">
      <c r="C987" s="42"/>
      <c r="D987" s="42"/>
      <c r="E987" s="42"/>
      <c r="F987" s="42"/>
      <c r="G987" s="42"/>
      <c r="H987" s="42"/>
    </row>
    <row r="988" spans="3:8" x14ac:dyDescent="0.3">
      <c r="C988" s="42"/>
      <c r="D988" s="42"/>
      <c r="E988" s="42"/>
      <c r="F988" s="42"/>
      <c r="G988" s="42"/>
      <c r="H988" s="42"/>
    </row>
    <row r="989" spans="3:8" x14ac:dyDescent="0.3">
      <c r="C989" s="42"/>
      <c r="D989" s="42"/>
      <c r="E989" s="42"/>
      <c r="F989" s="42"/>
      <c r="G989" s="42"/>
      <c r="H989" s="42"/>
    </row>
    <row r="990" spans="3:8" x14ac:dyDescent="0.3">
      <c r="C990" s="42"/>
      <c r="D990" s="42"/>
      <c r="E990" s="42"/>
      <c r="F990" s="42"/>
      <c r="G990" s="42"/>
      <c r="H990" s="42"/>
    </row>
    <row r="991" spans="3:8" x14ac:dyDescent="0.3">
      <c r="C991" s="42"/>
      <c r="D991" s="42"/>
      <c r="E991" s="42"/>
      <c r="F991" s="42"/>
      <c r="G991" s="42"/>
      <c r="H991" s="42"/>
    </row>
    <row r="992" spans="3:8" x14ac:dyDescent="0.3">
      <c r="C992" s="42"/>
      <c r="D992" s="42"/>
      <c r="E992" s="42"/>
      <c r="F992" s="42"/>
      <c r="G992" s="42"/>
      <c r="H992" s="42"/>
    </row>
    <row r="993" spans="3:8" x14ac:dyDescent="0.3">
      <c r="C993" s="42"/>
      <c r="D993" s="42"/>
      <c r="E993" s="42"/>
      <c r="F993" s="42"/>
      <c r="G993" s="42"/>
      <c r="H993" s="42"/>
    </row>
    <row r="994" spans="3:8" x14ac:dyDescent="0.3">
      <c r="C994" s="42"/>
      <c r="D994" s="42"/>
      <c r="E994" s="42"/>
      <c r="F994" s="42"/>
      <c r="G994" s="42"/>
      <c r="H994" s="42"/>
    </row>
    <row r="995" spans="3:8" x14ac:dyDescent="0.3">
      <c r="C995" s="42"/>
      <c r="D995" s="42"/>
      <c r="E995" s="42"/>
      <c r="F995" s="42"/>
      <c r="G995" s="42"/>
      <c r="H995" s="42"/>
    </row>
    <row r="996" spans="3:8" x14ac:dyDescent="0.3">
      <c r="C996" s="42"/>
      <c r="D996" s="42"/>
      <c r="E996" s="42"/>
      <c r="F996" s="42"/>
      <c r="G996" s="42"/>
      <c r="H996" s="42"/>
    </row>
    <row r="997" spans="3:8" x14ac:dyDescent="0.3">
      <c r="C997" s="42"/>
      <c r="D997" s="42"/>
      <c r="E997" s="42"/>
      <c r="F997" s="42"/>
      <c r="G997" s="42"/>
      <c r="H997" s="42"/>
    </row>
    <row r="998" spans="3:8" x14ac:dyDescent="0.3">
      <c r="C998" s="42"/>
      <c r="D998" s="42"/>
      <c r="E998" s="42"/>
      <c r="F998" s="42"/>
      <c r="G998" s="42"/>
      <c r="H998" s="42"/>
    </row>
    <row r="999" spans="3:8" x14ac:dyDescent="0.3">
      <c r="C999" s="42"/>
      <c r="D999" s="42"/>
      <c r="E999" s="42"/>
      <c r="F999" s="42"/>
      <c r="G999" s="42"/>
      <c r="H999" s="42"/>
    </row>
    <row r="1000" spans="3:8" x14ac:dyDescent="0.3">
      <c r="C1000" s="42"/>
      <c r="D1000" s="42"/>
      <c r="E1000" s="42"/>
      <c r="F1000" s="42"/>
      <c r="G1000" s="42"/>
      <c r="H1000" s="42"/>
    </row>
    <row r="1001" spans="3:8" x14ac:dyDescent="0.3">
      <c r="C1001" s="42"/>
      <c r="D1001" s="42"/>
      <c r="E1001" s="42"/>
      <c r="F1001" s="42"/>
      <c r="G1001" s="42"/>
      <c r="H1001" s="42"/>
    </row>
    <row r="1002" spans="3:8" x14ac:dyDescent="0.3">
      <c r="C1002" s="42"/>
      <c r="D1002" s="42"/>
      <c r="E1002" s="42"/>
      <c r="F1002" s="42"/>
      <c r="G1002" s="42"/>
      <c r="H1002" s="42"/>
    </row>
    <row r="1003" spans="3:8" x14ac:dyDescent="0.3">
      <c r="C1003" s="42"/>
      <c r="D1003" s="42"/>
      <c r="E1003" s="42"/>
      <c r="F1003" s="42"/>
      <c r="G1003" s="42"/>
      <c r="H1003" s="42"/>
    </row>
    <row r="1004" spans="3:8" x14ac:dyDescent="0.3">
      <c r="C1004" s="42"/>
      <c r="D1004" s="42"/>
      <c r="E1004" s="42"/>
      <c r="F1004" s="42"/>
      <c r="G1004" s="42"/>
      <c r="H1004" s="42"/>
    </row>
    <row r="1005" spans="3:8" x14ac:dyDescent="0.3">
      <c r="C1005" s="42"/>
      <c r="D1005" s="42"/>
      <c r="E1005" s="42"/>
      <c r="F1005" s="42"/>
      <c r="G1005" s="42"/>
      <c r="H1005" s="42"/>
    </row>
    <row r="1006" spans="3:8" x14ac:dyDescent="0.3">
      <c r="C1006" s="42"/>
      <c r="D1006" s="42"/>
      <c r="E1006" s="42"/>
      <c r="F1006" s="42"/>
      <c r="G1006" s="42"/>
      <c r="H1006" s="42"/>
    </row>
    <row r="1007" spans="3:8" x14ac:dyDescent="0.3">
      <c r="C1007" s="42"/>
      <c r="D1007" s="42"/>
      <c r="E1007" s="42"/>
      <c r="F1007" s="42"/>
      <c r="G1007" s="42"/>
      <c r="H1007" s="42"/>
    </row>
    <row r="1008" spans="3:8" x14ac:dyDescent="0.3">
      <c r="C1008" s="42"/>
      <c r="D1008" s="42"/>
      <c r="E1008" s="42"/>
      <c r="F1008" s="42"/>
      <c r="G1008" s="42"/>
      <c r="H1008" s="42"/>
    </row>
    <row r="1009" spans="3:8" x14ac:dyDescent="0.3">
      <c r="C1009" s="42"/>
      <c r="D1009" s="42"/>
      <c r="E1009" s="42"/>
      <c r="F1009" s="42"/>
      <c r="G1009" s="42"/>
      <c r="H1009" s="42"/>
    </row>
    <row r="1010" spans="3:8" x14ac:dyDescent="0.3">
      <c r="C1010" s="42"/>
      <c r="D1010" s="42"/>
      <c r="E1010" s="42"/>
      <c r="F1010" s="42"/>
      <c r="G1010" s="42"/>
      <c r="H1010" s="42"/>
    </row>
    <row r="1011" spans="3:8" x14ac:dyDescent="0.3">
      <c r="C1011" s="42"/>
      <c r="D1011" s="42"/>
      <c r="E1011" s="42"/>
      <c r="F1011" s="42"/>
      <c r="G1011" s="42"/>
      <c r="H1011" s="42"/>
    </row>
    <row r="1012" spans="3:8" x14ac:dyDescent="0.3">
      <c r="C1012" s="42"/>
      <c r="D1012" s="42"/>
      <c r="E1012" s="42"/>
      <c r="F1012" s="42"/>
      <c r="G1012" s="42"/>
      <c r="H1012" s="42"/>
    </row>
    <row r="1013" spans="3:8" x14ac:dyDescent="0.3">
      <c r="C1013" s="42"/>
      <c r="D1013" s="42"/>
      <c r="E1013" s="42"/>
      <c r="F1013" s="42"/>
      <c r="G1013" s="42"/>
      <c r="H1013" s="42"/>
    </row>
    <row r="1014" spans="3:8" x14ac:dyDescent="0.3">
      <c r="C1014" s="42"/>
      <c r="D1014" s="42"/>
      <c r="E1014" s="42"/>
      <c r="F1014" s="42"/>
      <c r="G1014" s="42"/>
      <c r="H1014" s="42"/>
    </row>
    <row r="1015" spans="3:8" x14ac:dyDescent="0.3">
      <c r="C1015" s="42"/>
      <c r="D1015" s="42"/>
      <c r="E1015" s="42"/>
      <c r="F1015" s="42"/>
      <c r="G1015" s="42"/>
      <c r="H1015" s="42"/>
    </row>
    <row r="1016" spans="3:8" x14ac:dyDescent="0.3">
      <c r="C1016" s="42"/>
      <c r="D1016" s="42"/>
      <c r="E1016" s="42"/>
      <c r="F1016" s="42"/>
      <c r="G1016" s="42"/>
      <c r="H1016" s="42"/>
    </row>
    <row r="1017" spans="3:8" x14ac:dyDescent="0.3">
      <c r="C1017" s="42"/>
      <c r="D1017" s="42"/>
      <c r="E1017" s="42"/>
      <c r="F1017" s="42"/>
      <c r="G1017" s="42"/>
      <c r="H1017" s="42"/>
    </row>
    <row r="1018" spans="3:8" x14ac:dyDescent="0.3">
      <c r="C1018" s="42"/>
      <c r="D1018" s="42"/>
      <c r="E1018" s="42"/>
      <c r="F1018" s="42"/>
      <c r="G1018" s="42"/>
      <c r="H1018" s="42"/>
    </row>
    <row r="1019" spans="3:8" x14ac:dyDescent="0.3">
      <c r="C1019" s="42"/>
      <c r="D1019" s="42"/>
      <c r="E1019" s="42"/>
      <c r="F1019" s="42"/>
      <c r="G1019" s="42"/>
      <c r="H1019" s="42"/>
    </row>
    <row r="1020" spans="3:8" x14ac:dyDescent="0.3">
      <c r="C1020" s="42"/>
      <c r="D1020" s="42"/>
      <c r="E1020" s="42"/>
      <c r="F1020" s="42"/>
      <c r="G1020" s="42"/>
      <c r="H1020" s="42"/>
    </row>
    <row r="1021" spans="3:8" x14ac:dyDescent="0.3">
      <c r="C1021" s="42"/>
      <c r="D1021" s="42"/>
      <c r="E1021" s="42"/>
      <c r="F1021" s="42"/>
      <c r="G1021" s="42"/>
      <c r="H1021" s="42"/>
    </row>
    <row r="1022" spans="3:8" x14ac:dyDescent="0.3">
      <c r="C1022" s="42"/>
      <c r="D1022" s="42"/>
      <c r="E1022" s="42"/>
      <c r="F1022" s="42"/>
      <c r="G1022" s="42"/>
      <c r="H1022" s="42"/>
    </row>
    <row r="1023" spans="3:8" x14ac:dyDescent="0.3">
      <c r="C1023" s="42"/>
      <c r="D1023" s="42"/>
      <c r="E1023" s="42"/>
      <c r="F1023" s="42"/>
      <c r="G1023" s="42"/>
      <c r="H1023" s="42"/>
    </row>
    <row r="1024" spans="3:8" x14ac:dyDescent="0.3">
      <c r="C1024" s="42"/>
      <c r="D1024" s="42"/>
      <c r="E1024" s="42"/>
      <c r="F1024" s="42"/>
      <c r="G1024" s="42"/>
      <c r="H1024" s="42"/>
    </row>
    <row r="1025" spans="3:8" x14ac:dyDescent="0.3">
      <c r="C1025" s="42"/>
      <c r="D1025" s="42"/>
      <c r="E1025" s="42"/>
      <c r="F1025" s="42"/>
      <c r="G1025" s="42"/>
      <c r="H1025" s="42"/>
    </row>
    <row r="1026" spans="3:8" x14ac:dyDescent="0.3">
      <c r="C1026" s="42"/>
      <c r="D1026" s="42"/>
      <c r="E1026" s="42"/>
      <c r="F1026" s="42"/>
      <c r="G1026" s="42"/>
      <c r="H1026" s="42"/>
    </row>
    <row r="1027" spans="3:8" x14ac:dyDescent="0.3">
      <c r="C1027" s="42"/>
      <c r="D1027" s="42"/>
      <c r="E1027" s="42"/>
      <c r="F1027" s="42"/>
      <c r="G1027" s="42"/>
      <c r="H1027" s="42"/>
    </row>
    <row r="1028" spans="3:8" x14ac:dyDescent="0.3">
      <c r="C1028" s="42"/>
      <c r="D1028" s="42"/>
      <c r="E1028" s="42"/>
      <c r="F1028" s="42"/>
      <c r="G1028" s="42"/>
      <c r="H1028" s="42"/>
    </row>
    <row r="1029" spans="3:8" x14ac:dyDescent="0.3">
      <c r="C1029" s="42"/>
      <c r="D1029" s="42"/>
      <c r="E1029" s="42"/>
      <c r="F1029" s="42"/>
      <c r="G1029" s="42"/>
      <c r="H1029" s="42"/>
    </row>
    <row r="1030" spans="3:8" x14ac:dyDescent="0.3">
      <c r="C1030" s="42"/>
      <c r="D1030" s="42"/>
      <c r="E1030" s="42"/>
      <c r="F1030" s="42"/>
      <c r="G1030" s="42"/>
      <c r="H1030" s="42"/>
    </row>
    <row r="1031" spans="3:8" x14ac:dyDescent="0.3">
      <c r="C1031" s="42"/>
      <c r="D1031" s="42"/>
      <c r="E1031" s="42"/>
      <c r="F1031" s="42"/>
      <c r="G1031" s="42"/>
      <c r="H1031" s="42"/>
    </row>
    <row r="1032" spans="3:8" x14ac:dyDescent="0.3">
      <c r="C1032" s="42"/>
      <c r="D1032" s="42"/>
      <c r="E1032" s="42"/>
      <c r="F1032" s="42"/>
      <c r="G1032" s="42"/>
      <c r="H1032" s="42"/>
    </row>
    <row r="1033" spans="3:8" x14ac:dyDescent="0.3">
      <c r="C1033" s="42"/>
      <c r="D1033" s="42"/>
      <c r="E1033" s="42"/>
      <c r="F1033" s="42"/>
      <c r="G1033" s="42"/>
      <c r="H1033" s="42"/>
    </row>
    <row r="1034" spans="3:8" x14ac:dyDescent="0.3">
      <c r="C1034" s="42"/>
      <c r="D1034" s="42"/>
      <c r="E1034" s="42"/>
      <c r="F1034" s="42"/>
      <c r="G1034" s="42"/>
      <c r="H1034" s="42"/>
    </row>
    <row r="1035" spans="3:8" x14ac:dyDescent="0.3">
      <c r="C1035" s="42"/>
      <c r="D1035" s="42"/>
      <c r="E1035" s="42"/>
      <c r="F1035" s="42"/>
      <c r="G1035" s="42"/>
      <c r="H1035" s="42"/>
    </row>
    <row r="1036" spans="3:8" x14ac:dyDescent="0.3">
      <c r="C1036" s="42"/>
      <c r="D1036" s="42"/>
      <c r="E1036" s="42"/>
      <c r="F1036" s="42"/>
      <c r="G1036" s="42"/>
      <c r="H1036" s="42"/>
    </row>
    <row r="1037" spans="3:8" x14ac:dyDescent="0.3">
      <c r="C1037" s="42"/>
      <c r="D1037" s="42"/>
      <c r="E1037" s="42"/>
      <c r="F1037" s="42"/>
      <c r="G1037" s="42"/>
      <c r="H1037" s="42"/>
    </row>
    <row r="1038" spans="3:8" x14ac:dyDescent="0.3">
      <c r="C1038" s="42"/>
      <c r="D1038" s="42"/>
      <c r="E1038" s="42"/>
      <c r="F1038" s="42"/>
      <c r="G1038" s="42"/>
      <c r="H1038" s="42"/>
    </row>
    <row r="1039" spans="3:8" x14ac:dyDescent="0.3">
      <c r="C1039" s="42"/>
      <c r="D1039" s="42"/>
      <c r="E1039" s="42"/>
      <c r="F1039" s="42"/>
      <c r="G1039" s="42"/>
      <c r="H1039" s="42"/>
    </row>
    <row r="1040" spans="3:8" x14ac:dyDescent="0.3">
      <c r="C1040" s="42"/>
      <c r="D1040" s="42"/>
      <c r="E1040" s="42"/>
      <c r="F1040" s="42"/>
      <c r="G1040" s="42"/>
      <c r="H1040" s="42"/>
    </row>
    <row r="1041" spans="3:8" x14ac:dyDescent="0.3">
      <c r="C1041" s="42"/>
      <c r="D1041" s="42"/>
      <c r="E1041" s="42"/>
      <c r="F1041" s="42"/>
      <c r="G1041" s="42"/>
      <c r="H1041" s="42"/>
    </row>
    <row r="1042" spans="3:8" x14ac:dyDescent="0.3">
      <c r="C1042" s="42"/>
      <c r="D1042" s="42"/>
      <c r="E1042" s="42"/>
      <c r="F1042" s="42"/>
      <c r="G1042" s="42"/>
      <c r="H1042" s="42"/>
    </row>
    <row r="1043" spans="3:8" x14ac:dyDescent="0.3">
      <c r="C1043" s="42"/>
      <c r="D1043" s="42"/>
      <c r="E1043" s="42"/>
      <c r="F1043" s="42"/>
      <c r="G1043" s="42"/>
      <c r="H1043" s="42"/>
    </row>
    <row r="1044" spans="3:8" x14ac:dyDescent="0.3">
      <c r="C1044" s="42"/>
      <c r="D1044" s="42"/>
      <c r="E1044" s="42"/>
      <c r="F1044" s="42"/>
      <c r="G1044" s="42"/>
      <c r="H1044" s="42"/>
    </row>
    <row r="1045" spans="3:8" x14ac:dyDescent="0.3">
      <c r="C1045" s="42"/>
      <c r="D1045" s="42"/>
      <c r="E1045" s="42"/>
      <c r="F1045" s="42"/>
      <c r="G1045" s="42"/>
      <c r="H1045" s="42"/>
    </row>
    <row r="1046" spans="3:8" x14ac:dyDescent="0.3">
      <c r="C1046" s="42"/>
      <c r="D1046" s="42"/>
      <c r="E1046" s="42"/>
      <c r="F1046" s="42"/>
      <c r="G1046" s="42"/>
      <c r="H1046" s="42"/>
    </row>
    <row r="1047" spans="3:8" x14ac:dyDescent="0.3">
      <c r="C1047" s="42"/>
      <c r="D1047" s="42"/>
      <c r="E1047" s="42"/>
      <c r="F1047" s="42"/>
      <c r="G1047" s="42"/>
      <c r="H1047" s="42"/>
    </row>
    <row r="1048" spans="3:8" x14ac:dyDescent="0.3">
      <c r="C1048" s="42"/>
      <c r="D1048" s="42"/>
      <c r="E1048" s="42"/>
      <c r="F1048" s="42"/>
      <c r="G1048" s="42"/>
      <c r="H1048" s="42"/>
    </row>
    <row r="1049" spans="3:8" x14ac:dyDescent="0.3">
      <c r="C1049" s="42"/>
      <c r="D1049" s="42"/>
      <c r="E1049" s="42"/>
      <c r="F1049" s="42"/>
      <c r="G1049" s="42"/>
      <c r="H1049" s="42"/>
    </row>
    <row r="1050" spans="3:8" x14ac:dyDescent="0.3">
      <c r="C1050" s="42"/>
      <c r="D1050" s="42"/>
      <c r="E1050" s="42"/>
      <c r="F1050" s="42"/>
      <c r="G1050" s="42"/>
      <c r="H1050" s="42"/>
    </row>
    <row r="1051" spans="3:8" x14ac:dyDescent="0.3">
      <c r="C1051" s="42"/>
      <c r="D1051" s="42"/>
      <c r="E1051" s="42"/>
      <c r="F1051" s="42"/>
      <c r="G1051" s="42"/>
      <c r="H1051" s="42"/>
    </row>
    <row r="1052" spans="3:8" x14ac:dyDescent="0.3">
      <c r="C1052" s="42"/>
      <c r="D1052" s="42"/>
      <c r="E1052" s="42"/>
      <c r="F1052" s="42"/>
      <c r="G1052" s="42"/>
      <c r="H1052" s="42"/>
    </row>
    <row r="1053" spans="3:8" x14ac:dyDescent="0.3">
      <c r="C1053" s="42"/>
      <c r="D1053" s="42"/>
      <c r="E1053" s="42"/>
      <c r="F1053" s="42"/>
      <c r="G1053" s="42"/>
      <c r="H1053" s="42"/>
    </row>
    <row r="1054" spans="3:8" x14ac:dyDescent="0.3">
      <c r="C1054" s="42"/>
      <c r="D1054" s="42"/>
      <c r="E1054" s="42"/>
      <c r="F1054" s="42"/>
      <c r="G1054" s="42"/>
      <c r="H1054" s="42"/>
    </row>
    <row r="1055" spans="3:8" x14ac:dyDescent="0.3">
      <c r="C1055" s="42"/>
      <c r="D1055" s="42"/>
      <c r="E1055" s="42"/>
      <c r="F1055" s="42"/>
      <c r="G1055" s="42"/>
      <c r="H1055" s="42"/>
    </row>
    <row r="1056" spans="3:8" x14ac:dyDescent="0.3">
      <c r="C1056" s="42"/>
      <c r="D1056" s="42"/>
      <c r="E1056" s="42"/>
      <c r="F1056" s="42"/>
      <c r="G1056" s="42"/>
      <c r="H1056" s="42"/>
    </row>
    <row r="1057" spans="3:8" x14ac:dyDescent="0.3">
      <c r="C1057" s="42"/>
      <c r="D1057" s="42"/>
      <c r="E1057" s="42"/>
      <c r="F1057" s="42"/>
      <c r="G1057" s="42"/>
      <c r="H1057" s="42"/>
    </row>
    <row r="1058" spans="3:8" x14ac:dyDescent="0.3">
      <c r="C1058" s="42"/>
      <c r="D1058" s="42"/>
      <c r="E1058" s="42"/>
      <c r="F1058" s="42"/>
      <c r="G1058" s="42"/>
      <c r="H1058" s="42"/>
    </row>
    <row r="1059" spans="3:8" x14ac:dyDescent="0.3">
      <c r="C1059" s="42"/>
      <c r="D1059" s="42"/>
      <c r="E1059" s="42"/>
      <c r="F1059" s="42"/>
      <c r="G1059" s="42"/>
      <c r="H1059" s="42"/>
    </row>
    <row r="1060" spans="3:8" x14ac:dyDescent="0.3">
      <c r="C1060" s="42"/>
      <c r="D1060" s="42"/>
      <c r="E1060" s="42"/>
      <c r="F1060" s="42"/>
      <c r="G1060" s="42"/>
      <c r="H1060" s="42"/>
    </row>
    <row r="1061" spans="3:8" x14ac:dyDescent="0.3">
      <c r="C1061" s="42"/>
      <c r="D1061" s="42"/>
      <c r="E1061" s="42"/>
      <c r="F1061" s="42"/>
      <c r="G1061" s="42"/>
      <c r="H1061" s="42"/>
    </row>
    <row r="1062" spans="3:8" x14ac:dyDescent="0.3">
      <c r="C1062" s="42"/>
      <c r="D1062" s="42"/>
      <c r="E1062" s="42"/>
      <c r="F1062" s="42"/>
      <c r="G1062" s="42"/>
      <c r="H1062" s="42"/>
    </row>
    <row r="1063" spans="3:8" x14ac:dyDescent="0.3">
      <c r="C1063" s="42"/>
      <c r="D1063" s="42"/>
      <c r="E1063" s="42"/>
      <c r="F1063" s="42"/>
      <c r="G1063" s="42"/>
      <c r="H1063" s="42"/>
    </row>
    <row r="1064" spans="3:8" x14ac:dyDescent="0.3">
      <c r="C1064" s="42"/>
      <c r="D1064" s="42"/>
      <c r="E1064" s="42"/>
      <c r="F1064" s="42"/>
      <c r="G1064" s="42"/>
      <c r="H1064" s="42"/>
    </row>
    <row r="1065" spans="3:8" x14ac:dyDescent="0.3">
      <c r="C1065" s="42"/>
      <c r="D1065" s="42"/>
      <c r="E1065" s="42"/>
      <c r="F1065" s="42"/>
      <c r="G1065" s="42"/>
      <c r="H1065" s="42"/>
    </row>
    <row r="1066" spans="3:8" x14ac:dyDescent="0.3">
      <c r="C1066" s="42"/>
      <c r="D1066" s="42"/>
      <c r="E1066" s="42"/>
      <c r="F1066" s="42"/>
      <c r="G1066" s="42"/>
      <c r="H1066" s="42"/>
    </row>
    <row r="1067" spans="3:8" x14ac:dyDescent="0.3">
      <c r="C1067" s="42"/>
      <c r="D1067" s="42"/>
      <c r="E1067" s="42"/>
      <c r="F1067" s="42"/>
      <c r="G1067" s="42"/>
      <c r="H1067" s="42"/>
    </row>
    <row r="1068" spans="3:8" x14ac:dyDescent="0.3">
      <c r="C1068" s="42"/>
      <c r="D1068" s="42"/>
      <c r="E1068" s="42"/>
      <c r="F1068" s="42"/>
      <c r="G1068" s="42"/>
      <c r="H1068" s="42"/>
    </row>
    <row r="1069" spans="3:8" x14ac:dyDescent="0.3">
      <c r="C1069" s="42"/>
      <c r="D1069" s="42"/>
      <c r="E1069" s="42"/>
      <c r="F1069" s="42"/>
      <c r="G1069" s="42"/>
      <c r="H1069" s="42"/>
    </row>
    <row r="1070" spans="3:8" x14ac:dyDescent="0.3">
      <c r="C1070" s="42"/>
      <c r="D1070" s="42"/>
      <c r="E1070" s="42"/>
      <c r="F1070" s="42"/>
      <c r="G1070" s="42"/>
      <c r="H1070" s="42"/>
    </row>
    <row r="1071" spans="3:8" x14ac:dyDescent="0.3">
      <c r="C1071" s="42"/>
      <c r="D1071" s="42"/>
      <c r="E1071" s="42"/>
      <c r="F1071" s="42"/>
      <c r="G1071" s="42"/>
      <c r="H1071" s="42"/>
    </row>
    <row r="1072" spans="3:8" x14ac:dyDescent="0.3">
      <c r="C1072" s="42"/>
      <c r="D1072" s="42"/>
      <c r="E1072" s="42"/>
      <c r="F1072" s="42"/>
      <c r="G1072" s="42"/>
      <c r="H1072" s="42"/>
    </row>
    <row r="1073" spans="3:8" x14ac:dyDescent="0.3">
      <c r="C1073" s="42"/>
      <c r="D1073" s="42"/>
      <c r="E1073" s="42"/>
      <c r="F1073" s="42"/>
      <c r="G1073" s="42"/>
      <c r="H1073" s="42"/>
    </row>
    <row r="1074" spans="3:8" x14ac:dyDescent="0.3">
      <c r="C1074" s="42"/>
      <c r="D1074" s="42"/>
      <c r="E1074" s="42"/>
      <c r="F1074" s="42"/>
      <c r="G1074" s="42"/>
      <c r="H1074" s="42"/>
    </row>
    <row r="1075" spans="3:8" x14ac:dyDescent="0.3">
      <c r="C1075" s="42"/>
      <c r="D1075" s="42"/>
      <c r="E1075" s="42"/>
      <c r="F1075" s="42"/>
      <c r="G1075" s="42"/>
      <c r="H1075" s="42"/>
    </row>
    <row r="1076" spans="3:8" x14ac:dyDescent="0.3">
      <c r="C1076" s="42"/>
      <c r="D1076" s="42"/>
      <c r="E1076" s="42"/>
      <c r="F1076" s="42"/>
      <c r="G1076" s="42"/>
      <c r="H1076" s="42"/>
    </row>
    <row r="1077" spans="3:8" x14ac:dyDescent="0.3">
      <c r="C1077" s="42"/>
      <c r="D1077" s="42"/>
      <c r="E1077" s="42"/>
      <c r="F1077" s="42"/>
      <c r="G1077" s="42"/>
      <c r="H1077" s="42"/>
    </row>
    <row r="1078" spans="3:8" x14ac:dyDescent="0.3">
      <c r="C1078" s="42"/>
      <c r="D1078" s="42"/>
      <c r="E1078" s="42"/>
      <c r="F1078" s="42"/>
      <c r="G1078" s="42"/>
      <c r="H1078" s="42"/>
    </row>
    <row r="1079" spans="3:8" x14ac:dyDescent="0.3">
      <c r="C1079" s="42"/>
      <c r="D1079" s="42"/>
      <c r="E1079" s="42"/>
      <c r="F1079" s="42"/>
      <c r="G1079" s="42"/>
      <c r="H1079" s="42"/>
    </row>
    <row r="1080" spans="3:8" x14ac:dyDescent="0.3">
      <c r="C1080" s="42"/>
      <c r="D1080" s="42"/>
      <c r="E1080" s="42"/>
      <c r="F1080" s="42"/>
      <c r="G1080" s="42"/>
      <c r="H1080" s="42"/>
    </row>
    <row r="1081" spans="3:8" x14ac:dyDescent="0.3">
      <c r="C1081" s="42"/>
      <c r="D1081" s="42"/>
      <c r="E1081" s="42"/>
      <c r="F1081" s="42"/>
      <c r="G1081" s="42"/>
      <c r="H1081" s="42"/>
    </row>
    <row r="1082" spans="3:8" x14ac:dyDescent="0.3">
      <c r="C1082" s="42"/>
      <c r="D1082" s="42"/>
      <c r="E1082" s="42"/>
      <c r="F1082" s="42"/>
      <c r="G1082" s="42"/>
      <c r="H1082" s="42"/>
    </row>
    <row r="1083" spans="3:8" x14ac:dyDescent="0.3">
      <c r="C1083" s="42"/>
      <c r="D1083" s="42"/>
      <c r="E1083" s="42"/>
      <c r="F1083" s="42"/>
      <c r="G1083" s="42"/>
      <c r="H1083" s="42"/>
    </row>
    <row r="1084" spans="3:8" x14ac:dyDescent="0.3">
      <c r="C1084" s="42"/>
      <c r="D1084" s="42"/>
      <c r="E1084" s="42"/>
      <c r="F1084" s="42"/>
      <c r="G1084" s="42"/>
      <c r="H1084" s="42"/>
    </row>
    <row r="1085" spans="3:8" x14ac:dyDescent="0.3">
      <c r="C1085" s="42"/>
      <c r="D1085" s="42"/>
      <c r="E1085" s="42"/>
      <c r="F1085" s="42"/>
      <c r="G1085" s="42"/>
      <c r="H1085" s="42"/>
    </row>
    <row r="1086" spans="3:8" x14ac:dyDescent="0.3">
      <c r="C1086" s="42"/>
      <c r="D1086" s="42"/>
      <c r="E1086" s="42"/>
      <c r="F1086" s="42"/>
      <c r="G1086" s="42"/>
      <c r="H1086" s="42"/>
    </row>
    <row r="1087" spans="3:8" x14ac:dyDescent="0.3">
      <c r="C1087" s="42"/>
      <c r="D1087" s="42"/>
      <c r="E1087" s="42"/>
      <c r="F1087" s="42"/>
      <c r="G1087" s="42"/>
      <c r="H1087" s="42"/>
    </row>
    <row r="1088" spans="3:8" x14ac:dyDescent="0.3">
      <c r="C1088" s="42"/>
      <c r="D1088" s="42"/>
      <c r="E1088" s="42"/>
      <c r="F1088" s="42"/>
      <c r="G1088" s="42"/>
      <c r="H1088" s="42"/>
    </row>
    <row r="1089" spans="3:8" x14ac:dyDescent="0.3">
      <c r="C1089" s="42"/>
      <c r="D1089" s="42"/>
      <c r="E1089" s="42"/>
      <c r="F1089" s="42"/>
      <c r="G1089" s="42"/>
      <c r="H1089" s="42"/>
    </row>
    <row r="1090" spans="3:8" x14ac:dyDescent="0.3">
      <c r="C1090" s="42"/>
      <c r="D1090" s="42"/>
      <c r="E1090" s="42"/>
      <c r="F1090" s="42"/>
      <c r="G1090" s="42"/>
      <c r="H1090" s="42"/>
    </row>
    <row r="1091" spans="3:8" x14ac:dyDescent="0.3">
      <c r="C1091" s="42"/>
      <c r="D1091" s="42"/>
      <c r="E1091" s="42"/>
      <c r="F1091" s="42"/>
      <c r="G1091" s="42"/>
      <c r="H1091" s="42"/>
    </row>
    <row r="1092" spans="3:8" x14ac:dyDescent="0.3">
      <c r="C1092" s="42"/>
      <c r="D1092" s="42"/>
      <c r="E1092" s="42"/>
      <c r="F1092" s="42"/>
      <c r="G1092" s="42"/>
      <c r="H1092" s="42"/>
    </row>
    <row r="1093" spans="3:8" x14ac:dyDescent="0.3">
      <c r="C1093" s="42"/>
      <c r="D1093" s="42"/>
      <c r="E1093" s="42"/>
      <c r="F1093" s="42"/>
      <c r="G1093" s="42"/>
      <c r="H1093" s="42"/>
    </row>
    <row r="1094" spans="3:8" x14ac:dyDescent="0.3">
      <c r="C1094" s="42"/>
      <c r="D1094" s="42"/>
      <c r="E1094" s="42"/>
      <c r="F1094" s="42"/>
      <c r="G1094" s="42"/>
      <c r="H1094" s="42"/>
    </row>
    <row r="1095" spans="3:8" x14ac:dyDescent="0.3">
      <c r="C1095" s="42"/>
      <c r="D1095" s="42"/>
      <c r="E1095" s="42"/>
      <c r="F1095" s="42"/>
      <c r="G1095" s="42"/>
      <c r="H1095" s="42"/>
    </row>
    <row r="1096" spans="3:8" x14ac:dyDescent="0.3">
      <c r="C1096" s="42"/>
      <c r="D1096" s="42"/>
      <c r="E1096" s="42"/>
      <c r="F1096" s="42"/>
      <c r="G1096" s="42"/>
      <c r="H1096" s="42"/>
    </row>
    <row r="1097" spans="3:8" x14ac:dyDescent="0.3">
      <c r="C1097" s="42"/>
      <c r="D1097" s="42"/>
      <c r="E1097" s="42"/>
      <c r="F1097" s="42"/>
      <c r="G1097" s="42"/>
      <c r="H1097" s="42"/>
    </row>
    <row r="1098" spans="3:8" x14ac:dyDescent="0.3">
      <c r="C1098" s="42"/>
      <c r="D1098" s="42"/>
      <c r="E1098" s="42"/>
      <c r="F1098" s="42"/>
      <c r="G1098" s="42"/>
      <c r="H1098" s="42"/>
    </row>
    <row r="1099" spans="3:8" x14ac:dyDescent="0.3">
      <c r="C1099" s="42"/>
      <c r="D1099" s="42"/>
      <c r="E1099" s="42"/>
      <c r="F1099" s="42"/>
      <c r="G1099" s="42"/>
      <c r="H1099" s="42"/>
    </row>
    <row r="1100" spans="3:8" x14ac:dyDescent="0.3">
      <c r="C1100" s="42"/>
      <c r="D1100" s="42"/>
      <c r="E1100" s="42"/>
      <c r="F1100" s="42"/>
      <c r="G1100" s="42"/>
      <c r="H1100" s="42"/>
    </row>
    <row r="1101" spans="3:8" x14ac:dyDescent="0.3">
      <c r="C1101" s="42"/>
      <c r="D1101" s="42"/>
      <c r="E1101" s="42"/>
      <c r="F1101" s="42"/>
      <c r="G1101" s="42"/>
      <c r="H1101" s="42"/>
    </row>
    <row r="1102" spans="3:8" x14ac:dyDescent="0.3">
      <c r="C1102" s="42"/>
      <c r="D1102" s="42"/>
      <c r="E1102" s="42"/>
      <c r="F1102" s="42"/>
      <c r="G1102" s="42"/>
      <c r="H1102" s="42"/>
    </row>
    <row r="1103" spans="3:8" x14ac:dyDescent="0.3">
      <c r="C1103" s="42"/>
      <c r="D1103" s="42"/>
      <c r="E1103" s="42"/>
      <c r="F1103" s="42"/>
      <c r="G1103" s="42"/>
      <c r="H1103" s="42"/>
    </row>
    <row r="1104" spans="3:8" x14ac:dyDescent="0.3">
      <c r="C1104" s="42"/>
      <c r="D1104" s="42"/>
      <c r="E1104" s="42"/>
      <c r="F1104" s="42"/>
      <c r="G1104" s="42"/>
      <c r="H1104" s="42"/>
    </row>
    <row r="1105" spans="3:8" x14ac:dyDescent="0.3">
      <c r="C1105" s="42"/>
      <c r="D1105" s="42"/>
      <c r="E1105" s="42"/>
      <c r="F1105" s="42"/>
      <c r="G1105" s="42"/>
      <c r="H1105" s="42"/>
    </row>
    <row r="1106" spans="3:8" x14ac:dyDescent="0.3">
      <c r="C1106" s="42"/>
      <c r="D1106" s="42"/>
      <c r="E1106" s="42"/>
      <c r="F1106" s="42"/>
      <c r="G1106" s="42"/>
      <c r="H1106" s="42"/>
    </row>
    <row r="1107" spans="3:8" x14ac:dyDescent="0.3">
      <c r="C1107" s="42"/>
      <c r="D1107" s="42"/>
      <c r="E1107" s="42"/>
      <c r="F1107" s="42"/>
      <c r="G1107" s="42"/>
      <c r="H1107" s="42"/>
    </row>
    <row r="1108" spans="3:8" x14ac:dyDescent="0.3">
      <c r="C1108" s="42"/>
      <c r="D1108" s="42"/>
      <c r="E1108" s="42"/>
      <c r="F1108" s="42"/>
      <c r="G1108" s="42"/>
      <c r="H1108" s="42"/>
    </row>
    <row r="1109" spans="3:8" x14ac:dyDescent="0.3">
      <c r="C1109" s="42"/>
      <c r="D1109" s="42"/>
      <c r="E1109" s="42"/>
      <c r="F1109" s="42"/>
      <c r="G1109" s="42"/>
      <c r="H1109" s="42"/>
    </row>
    <row r="1110" spans="3:8" x14ac:dyDescent="0.3">
      <c r="C1110" s="42"/>
      <c r="D1110" s="42"/>
      <c r="E1110" s="42"/>
      <c r="F1110" s="42"/>
      <c r="G1110" s="42"/>
      <c r="H1110" s="42"/>
    </row>
    <row r="1111" spans="3:8" x14ac:dyDescent="0.3">
      <c r="C1111" s="42"/>
      <c r="D1111" s="42"/>
      <c r="E1111" s="42"/>
      <c r="F1111" s="42"/>
      <c r="G1111" s="42"/>
      <c r="H1111" s="42"/>
    </row>
    <row r="1112" spans="3:8" x14ac:dyDescent="0.3">
      <c r="C1112" s="42"/>
      <c r="D1112" s="42"/>
      <c r="E1112" s="42"/>
      <c r="F1112" s="42"/>
      <c r="G1112" s="42"/>
      <c r="H1112" s="42"/>
    </row>
    <row r="1113" spans="3:8" x14ac:dyDescent="0.3">
      <c r="C1113" s="42"/>
      <c r="D1113" s="42"/>
      <c r="E1113" s="42"/>
      <c r="F1113" s="42"/>
      <c r="G1113" s="42"/>
      <c r="H1113" s="42"/>
    </row>
    <row r="1114" spans="3:8" x14ac:dyDescent="0.3">
      <c r="C1114" s="42"/>
      <c r="D1114" s="42"/>
      <c r="E1114" s="42"/>
      <c r="F1114" s="42"/>
      <c r="G1114" s="42"/>
      <c r="H1114" s="42"/>
    </row>
    <row r="1115" spans="3:8" x14ac:dyDescent="0.3">
      <c r="C1115" s="42"/>
      <c r="D1115" s="42"/>
      <c r="E1115" s="42"/>
      <c r="F1115" s="42"/>
      <c r="G1115" s="42"/>
      <c r="H1115" s="42"/>
    </row>
    <row r="1116" spans="3:8" x14ac:dyDescent="0.3">
      <c r="C1116" s="42"/>
      <c r="D1116" s="42"/>
      <c r="E1116" s="42"/>
      <c r="F1116" s="42"/>
      <c r="G1116" s="42"/>
      <c r="H1116" s="42"/>
    </row>
    <row r="1117" spans="3:8" x14ac:dyDescent="0.3">
      <c r="C1117" s="42"/>
      <c r="D1117" s="42"/>
      <c r="E1117" s="42"/>
      <c r="F1117" s="42"/>
      <c r="G1117" s="42"/>
      <c r="H1117" s="42"/>
    </row>
    <row r="1118" spans="3:8" x14ac:dyDescent="0.3">
      <c r="C1118" s="42"/>
      <c r="D1118" s="42"/>
      <c r="E1118" s="42"/>
      <c r="F1118" s="42"/>
      <c r="G1118" s="42"/>
      <c r="H1118" s="42"/>
    </row>
    <row r="1119" spans="3:8" x14ac:dyDescent="0.3">
      <c r="C1119" s="42"/>
      <c r="D1119" s="42"/>
      <c r="E1119" s="42"/>
      <c r="F1119" s="42"/>
      <c r="G1119" s="42"/>
      <c r="H1119" s="42"/>
    </row>
    <row r="1120" spans="3:8" x14ac:dyDescent="0.3">
      <c r="C1120" s="42"/>
      <c r="D1120" s="42"/>
      <c r="E1120" s="42"/>
      <c r="F1120" s="42"/>
      <c r="G1120" s="42"/>
      <c r="H1120" s="42"/>
    </row>
    <row r="1121" spans="3:8" x14ac:dyDescent="0.3">
      <c r="C1121" s="42"/>
      <c r="D1121" s="42"/>
      <c r="E1121" s="42"/>
      <c r="F1121" s="42"/>
      <c r="G1121" s="42"/>
      <c r="H1121" s="42"/>
    </row>
    <row r="1122" spans="3:8" x14ac:dyDescent="0.3">
      <c r="C1122" s="42"/>
      <c r="D1122" s="42"/>
      <c r="E1122" s="42"/>
      <c r="F1122" s="42"/>
      <c r="G1122" s="42"/>
      <c r="H1122" s="42"/>
    </row>
    <row r="1123" spans="3:8" x14ac:dyDescent="0.3">
      <c r="C1123" s="42"/>
      <c r="D1123" s="42"/>
      <c r="E1123" s="42"/>
      <c r="F1123" s="42"/>
      <c r="G1123" s="42"/>
      <c r="H1123" s="42"/>
    </row>
    <row r="1124" spans="3:8" x14ac:dyDescent="0.3">
      <c r="C1124" s="42"/>
      <c r="D1124" s="42"/>
      <c r="E1124" s="42"/>
      <c r="F1124" s="42"/>
      <c r="G1124" s="42"/>
      <c r="H1124" s="42"/>
    </row>
    <row r="1125" spans="3:8" x14ac:dyDescent="0.3">
      <c r="C1125" s="42"/>
      <c r="D1125" s="42"/>
      <c r="E1125" s="42"/>
      <c r="F1125" s="42"/>
      <c r="G1125" s="42"/>
      <c r="H1125" s="42"/>
    </row>
    <row r="1126" spans="3:8" x14ac:dyDescent="0.3">
      <c r="C1126" s="42"/>
      <c r="D1126" s="42"/>
      <c r="E1126" s="42"/>
      <c r="F1126" s="42"/>
      <c r="G1126" s="42"/>
      <c r="H1126" s="42"/>
    </row>
    <row r="1127" spans="3:8" x14ac:dyDescent="0.3">
      <c r="C1127" s="42"/>
      <c r="D1127" s="42"/>
      <c r="E1127" s="42"/>
      <c r="F1127" s="42"/>
      <c r="G1127" s="42"/>
      <c r="H1127" s="42"/>
    </row>
    <row r="1128" spans="3:8" x14ac:dyDescent="0.3">
      <c r="C1128" s="42"/>
      <c r="D1128" s="42"/>
      <c r="E1128" s="42"/>
      <c r="F1128" s="42"/>
      <c r="G1128" s="42"/>
      <c r="H1128" s="42"/>
    </row>
    <row r="1129" spans="3:8" x14ac:dyDescent="0.3">
      <c r="C1129" s="42"/>
      <c r="D1129" s="42"/>
      <c r="E1129" s="42"/>
      <c r="F1129" s="42"/>
      <c r="G1129" s="42"/>
      <c r="H1129" s="42"/>
    </row>
    <row r="1130" spans="3:8" x14ac:dyDescent="0.3">
      <c r="C1130" s="42"/>
      <c r="D1130" s="42"/>
      <c r="E1130" s="42"/>
      <c r="F1130" s="42"/>
      <c r="G1130" s="42"/>
      <c r="H1130" s="42"/>
    </row>
    <row r="1131" spans="3:8" x14ac:dyDescent="0.3">
      <c r="C1131" s="42"/>
      <c r="D1131" s="42"/>
      <c r="E1131" s="42"/>
      <c r="F1131" s="42"/>
      <c r="G1131" s="42"/>
      <c r="H1131" s="42"/>
    </row>
    <row r="1132" spans="3:8" x14ac:dyDescent="0.3">
      <c r="C1132" s="42"/>
      <c r="D1132" s="42"/>
      <c r="E1132" s="42"/>
      <c r="F1132" s="42"/>
      <c r="G1132" s="42"/>
      <c r="H1132" s="42"/>
    </row>
    <row r="1133" spans="3:8" x14ac:dyDescent="0.3">
      <c r="C1133" s="42"/>
      <c r="D1133" s="42"/>
      <c r="E1133" s="42"/>
      <c r="F1133" s="42"/>
      <c r="G1133" s="42"/>
      <c r="H1133" s="42"/>
    </row>
    <row r="1134" spans="3:8" x14ac:dyDescent="0.3">
      <c r="C1134" s="42"/>
      <c r="D1134" s="42"/>
      <c r="E1134" s="42"/>
      <c r="F1134" s="42"/>
      <c r="G1134" s="42"/>
      <c r="H1134" s="42"/>
    </row>
    <row r="1135" spans="3:8" x14ac:dyDescent="0.3">
      <c r="C1135" s="42"/>
      <c r="D1135" s="42"/>
      <c r="E1135" s="42"/>
      <c r="F1135" s="42"/>
      <c r="G1135" s="42"/>
      <c r="H1135" s="42"/>
    </row>
    <row r="1136" spans="3:8" x14ac:dyDescent="0.3">
      <c r="C1136" s="42"/>
      <c r="D1136" s="42"/>
      <c r="E1136" s="42"/>
      <c r="F1136" s="42"/>
      <c r="G1136" s="42"/>
      <c r="H1136" s="42"/>
    </row>
    <row r="1137" spans="3:8" x14ac:dyDescent="0.3">
      <c r="C1137" s="42"/>
      <c r="D1137" s="42"/>
      <c r="E1137" s="42"/>
      <c r="F1137" s="42"/>
      <c r="G1137" s="42"/>
      <c r="H1137" s="42"/>
    </row>
    <row r="1138" spans="3:8" x14ac:dyDescent="0.3">
      <c r="C1138" s="42"/>
      <c r="D1138" s="42"/>
      <c r="E1138" s="42"/>
      <c r="F1138" s="42"/>
      <c r="G1138" s="42"/>
      <c r="H1138" s="42"/>
    </row>
    <row r="1139" spans="3:8" x14ac:dyDescent="0.3">
      <c r="C1139" s="42"/>
      <c r="D1139" s="42"/>
      <c r="E1139" s="42"/>
      <c r="F1139" s="42"/>
      <c r="G1139" s="42"/>
      <c r="H1139" s="42"/>
    </row>
    <row r="1140" spans="3:8" x14ac:dyDescent="0.3">
      <c r="C1140" s="42"/>
      <c r="D1140" s="42"/>
      <c r="E1140" s="42"/>
      <c r="F1140" s="42"/>
      <c r="G1140" s="42"/>
      <c r="H1140" s="42"/>
    </row>
    <row r="1141" spans="3:8" x14ac:dyDescent="0.3">
      <c r="C1141" s="42"/>
      <c r="D1141" s="42"/>
      <c r="E1141" s="42"/>
      <c r="F1141" s="42"/>
      <c r="G1141" s="42"/>
      <c r="H1141" s="42"/>
    </row>
    <row r="1142" spans="3:8" x14ac:dyDescent="0.3">
      <c r="C1142" s="42"/>
      <c r="D1142" s="42"/>
      <c r="E1142" s="42"/>
      <c r="F1142" s="42"/>
      <c r="G1142" s="42"/>
      <c r="H1142" s="42"/>
    </row>
    <row r="1143" spans="3:8" x14ac:dyDescent="0.3">
      <c r="C1143" s="42"/>
      <c r="D1143" s="42"/>
      <c r="E1143" s="42"/>
      <c r="F1143" s="42"/>
      <c r="G1143" s="42"/>
      <c r="H1143" s="42"/>
    </row>
    <row r="1144" spans="3:8" x14ac:dyDescent="0.3">
      <c r="C1144" s="42"/>
      <c r="D1144" s="42"/>
      <c r="E1144" s="42"/>
      <c r="F1144" s="42"/>
      <c r="G1144" s="42"/>
      <c r="H1144" s="42"/>
    </row>
    <row r="1145" spans="3:8" x14ac:dyDescent="0.3">
      <c r="C1145" s="42"/>
      <c r="D1145" s="42"/>
      <c r="E1145" s="42"/>
      <c r="F1145" s="42"/>
      <c r="G1145" s="42"/>
      <c r="H1145" s="42"/>
    </row>
    <row r="1146" spans="3:8" x14ac:dyDescent="0.3">
      <c r="C1146" s="42"/>
      <c r="D1146" s="42"/>
      <c r="E1146" s="42"/>
      <c r="F1146" s="42"/>
      <c r="G1146" s="42"/>
      <c r="H1146" s="42"/>
    </row>
    <row r="1147" spans="3:8" x14ac:dyDescent="0.3">
      <c r="C1147" s="42"/>
      <c r="D1147" s="42"/>
      <c r="E1147" s="42"/>
      <c r="F1147" s="42"/>
      <c r="G1147" s="42"/>
      <c r="H1147" s="42"/>
    </row>
    <row r="1148" spans="3:8" x14ac:dyDescent="0.3">
      <c r="C1148" s="42"/>
      <c r="D1148" s="42"/>
      <c r="E1148" s="42"/>
      <c r="F1148" s="42"/>
      <c r="G1148" s="42"/>
      <c r="H1148" s="42"/>
    </row>
    <row r="1149" spans="3:8" x14ac:dyDescent="0.3">
      <c r="C1149" s="42"/>
      <c r="D1149" s="42"/>
      <c r="E1149" s="42"/>
      <c r="F1149" s="42"/>
      <c r="G1149" s="42"/>
      <c r="H1149" s="42"/>
    </row>
    <row r="1150" spans="3:8" x14ac:dyDescent="0.3">
      <c r="C1150" s="42"/>
      <c r="D1150" s="42"/>
      <c r="E1150" s="42"/>
      <c r="F1150" s="42"/>
      <c r="G1150" s="42"/>
      <c r="H1150" s="42"/>
    </row>
    <row r="1151" spans="3:8" x14ac:dyDescent="0.3">
      <c r="C1151" s="42"/>
      <c r="D1151" s="42"/>
      <c r="E1151" s="42"/>
      <c r="F1151" s="42"/>
      <c r="G1151" s="42"/>
      <c r="H1151" s="42"/>
    </row>
    <row r="1152" spans="3:8" x14ac:dyDescent="0.3">
      <c r="C1152" s="42"/>
      <c r="D1152" s="42"/>
      <c r="E1152" s="42"/>
      <c r="F1152" s="42"/>
      <c r="G1152" s="42"/>
      <c r="H1152" s="42"/>
    </row>
    <row r="1153" spans="3:8" x14ac:dyDescent="0.3">
      <c r="C1153" s="42"/>
      <c r="D1153" s="42"/>
      <c r="E1153" s="42"/>
      <c r="F1153" s="42"/>
      <c r="G1153" s="42"/>
      <c r="H1153" s="42"/>
    </row>
    <row r="1154" spans="3:8" x14ac:dyDescent="0.3">
      <c r="C1154" s="42"/>
      <c r="D1154" s="42"/>
      <c r="E1154" s="42"/>
      <c r="F1154" s="42"/>
      <c r="G1154" s="42"/>
      <c r="H1154" s="42"/>
    </row>
    <row r="1155" spans="3:8" x14ac:dyDescent="0.3">
      <c r="C1155" s="42"/>
      <c r="D1155" s="42"/>
      <c r="E1155" s="42"/>
      <c r="F1155" s="42"/>
      <c r="G1155" s="42"/>
      <c r="H1155" s="42"/>
    </row>
    <row r="1156" spans="3:8" x14ac:dyDescent="0.3">
      <c r="C1156" s="42"/>
      <c r="D1156" s="42"/>
      <c r="E1156" s="42"/>
      <c r="F1156" s="42"/>
      <c r="G1156" s="42"/>
      <c r="H1156" s="42"/>
    </row>
    <row r="1157" spans="3:8" x14ac:dyDescent="0.3">
      <c r="C1157" s="42"/>
      <c r="D1157" s="42"/>
      <c r="E1157" s="42"/>
      <c r="F1157" s="42"/>
      <c r="G1157" s="42"/>
      <c r="H1157" s="42"/>
    </row>
    <row r="1158" spans="3:8" x14ac:dyDescent="0.3">
      <c r="C1158" s="42"/>
      <c r="D1158" s="42"/>
      <c r="E1158" s="42"/>
      <c r="F1158" s="42"/>
      <c r="G1158" s="42"/>
      <c r="H1158" s="42"/>
    </row>
    <row r="1159" spans="3:8" x14ac:dyDescent="0.3">
      <c r="C1159" s="42"/>
      <c r="D1159" s="42"/>
      <c r="E1159" s="42"/>
      <c r="F1159" s="42"/>
      <c r="G1159" s="42"/>
      <c r="H1159" s="42"/>
    </row>
    <row r="1160" spans="3:8" x14ac:dyDescent="0.3">
      <c r="C1160" s="42"/>
      <c r="D1160" s="42"/>
      <c r="E1160" s="42"/>
      <c r="F1160" s="42"/>
      <c r="G1160" s="42"/>
      <c r="H1160" s="42"/>
    </row>
    <row r="1161" spans="3:8" x14ac:dyDescent="0.3">
      <c r="C1161" s="42"/>
      <c r="D1161" s="42"/>
      <c r="E1161" s="42"/>
      <c r="F1161" s="42"/>
      <c r="G1161" s="42"/>
      <c r="H1161" s="42"/>
    </row>
    <row r="1162" spans="3:8" x14ac:dyDescent="0.3">
      <c r="C1162" s="42"/>
      <c r="D1162" s="42"/>
      <c r="E1162" s="42"/>
      <c r="F1162" s="42"/>
      <c r="G1162" s="42"/>
      <c r="H1162" s="42"/>
    </row>
    <row r="1163" spans="3:8" x14ac:dyDescent="0.3">
      <c r="C1163" s="42"/>
      <c r="D1163" s="42"/>
      <c r="E1163" s="42"/>
      <c r="F1163" s="42"/>
      <c r="G1163" s="42"/>
      <c r="H1163" s="42"/>
    </row>
    <row r="1164" spans="3:8" x14ac:dyDescent="0.3">
      <c r="C1164" s="42"/>
      <c r="D1164" s="42"/>
      <c r="E1164" s="42"/>
      <c r="F1164" s="42"/>
      <c r="G1164" s="42"/>
      <c r="H1164" s="42"/>
    </row>
    <row r="1165" spans="3:8" x14ac:dyDescent="0.3">
      <c r="C1165" s="42"/>
      <c r="D1165" s="42"/>
      <c r="E1165" s="42"/>
      <c r="F1165" s="42"/>
      <c r="G1165" s="42"/>
      <c r="H1165" s="42"/>
    </row>
    <row r="1166" spans="3:8" x14ac:dyDescent="0.3">
      <c r="C1166" s="42"/>
      <c r="D1166" s="42"/>
      <c r="E1166" s="42"/>
      <c r="F1166" s="42"/>
      <c r="G1166" s="42"/>
      <c r="H1166" s="42"/>
    </row>
    <row r="1167" spans="3:8" x14ac:dyDescent="0.3">
      <c r="C1167" s="42"/>
      <c r="D1167" s="42"/>
      <c r="E1167" s="42"/>
      <c r="F1167" s="42"/>
      <c r="G1167" s="42"/>
      <c r="H1167" s="42"/>
    </row>
    <row r="1168" spans="3:8" x14ac:dyDescent="0.3">
      <c r="C1168" s="42"/>
      <c r="D1168" s="42"/>
      <c r="E1168" s="42"/>
      <c r="F1168" s="42"/>
      <c r="G1168" s="42"/>
      <c r="H1168" s="42"/>
    </row>
    <row r="1169" spans="3:8" x14ac:dyDescent="0.3">
      <c r="C1169" s="42"/>
      <c r="D1169" s="42"/>
      <c r="E1169" s="42"/>
      <c r="F1169" s="42"/>
      <c r="G1169" s="42"/>
      <c r="H1169" s="42"/>
    </row>
    <row r="1170" spans="3:8" x14ac:dyDescent="0.3">
      <c r="C1170" s="42"/>
      <c r="D1170" s="42"/>
      <c r="E1170" s="42"/>
      <c r="F1170" s="42"/>
      <c r="G1170" s="42"/>
      <c r="H1170" s="42"/>
    </row>
    <row r="1171" spans="3:8" x14ac:dyDescent="0.3">
      <c r="C1171" s="42"/>
      <c r="D1171" s="42"/>
      <c r="E1171" s="42"/>
      <c r="F1171" s="42"/>
      <c r="G1171" s="42"/>
      <c r="H1171" s="42"/>
    </row>
    <row r="1172" spans="3:8" x14ac:dyDescent="0.3">
      <c r="C1172" s="42"/>
      <c r="D1172" s="42"/>
      <c r="E1172" s="42"/>
      <c r="F1172" s="42"/>
      <c r="G1172" s="42"/>
      <c r="H1172" s="42"/>
    </row>
    <row r="1173" spans="3:8" x14ac:dyDescent="0.3">
      <c r="C1173" s="42"/>
      <c r="D1173" s="42"/>
      <c r="E1173" s="42"/>
      <c r="F1173" s="42"/>
      <c r="G1173" s="42"/>
      <c r="H1173" s="42"/>
    </row>
    <row r="1174" spans="3:8" x14ac:dyDescent="0.3">
      <c r="C1174" s="42"/>
      <c r="D1174" s="42"/>
      <c r="E1174" s="42"/>
      <c r="F1174" s="42"/>
      <c r="G1174" s="42"/>
      <c r="H1174" s="42"/>
    </row>
    <row r="1175" spans="3:8" x14ac:dyDescent="0.3">
      <c r="C1175" s="42"/>
      <c r="D1175" s="42"/>
      <c r="E1175" s="42"/>
      <c r="F1175" s="42"/>
      <c r="G1175" s="42"/>
      <c r="H1175" s="42"/>
    </row>
    <row r="1176" spans="3:8" x14ac:dyDescent="0.3">
      <c r="C1176" s="42"/>
      <c r="D1176" s="42"/>
      <c r="E1176" s="42"/>
      <c r="F1176" s="42"/>
      <c r="G1176" s="42"/>
      <c r="H1176" s="42"/>
    </row>
    <row r="1177" spans="3:8" x14ac:dyDescent="0.3">
      <c r="C1177" s="42"/>
      <c r="D1177" s="42"/>
      <c r="E1177" s="42"/>
      <c r="F1177" s="42"/>
      <c r="G1177" s="42"/>
      <c r="H1177" s="42"/>
    </row>
    <row r="1178" spans="3:8" x14ac:dyDescent="0.3">
      <c r="C1178" s="42"/>
      <c r="D1178" s="42"/>
      <c r="E1178" s="42"/>
      <c r="F1178" s="42"/>
      <c r="G1178" s="42"/>
      <c r="H1178" s="42"/>
    </row>
    <row r="1179" spans="3:8" x14ac:dyDescent="0.3">
      <c r="C1179" s="42"/>
      <c r="D1179" s="42"/>
      <c r="E1179" s="42"/>
      <c r="F1179" s="42"/>
      <c r="G1179" s="42"/>
      <c r="H1179" s="42"/>
    </row>
    <row r="1180" spans="3:8" x14ac:dyDescent="0.3">
      <c r="C1180" s="42"/>
      <c r="D1180" s="42"/>
      <c r="E1180" s="42"/>
      <c r="F1180" s="42"/>
      <c r="G1180" s="42"/>
      <c r="H1180" s="42"/>
    </row>
    <row r="1181" spans="3:8" x14ac:dyDescent="0.3">
      <c r="C1181" s="42"/>
      <c r="D1181" s="42"/>
      <c r="E1181" s="42"/>
      <c r="F1181" s="42"/>
      <c r="G1181" s="42"/>
      <c r="H1181" s="42"/>
    </row>
    <row r="1182" spans="3:8" x14ac:dyDescent="0.3">
      <c r="C1182" s="42"/>
      <c r="D1182" s="42"/>
      <c r="E1182" s="42"/>
      <c r="F1182" s="42"/>
      <c r="G1182" s="42"/>
      <c r="H1182" s="42"/>
    </row>
    <row r="1183" spans="3:8" x14ac:dyDescent="0.3">
      <c r="C1183" s="42"/>
      <c r="D1183" s="42"/>
      <c r="E1183" s="42"/>
      <c r="F1183" s="42"/>
      <c r="G1183" s="42"/>
      <c r="H1183" s="42"/>
    </row>
    <row r="1184" spans="3:8" x14ac:dyDescent="0.3">
      <c r="C1184" s="42"/>
      <c r="D1184" s="42"/>
      <c r="E1184" s="42"/>
      <c r="F1184" s="42"/>
      <c r="G1184" s="42"/>
      <c r="H1184" s="42"/>
    </row>
    <row r="1185" spans="3:8" x14ac:dyDescent="0.3">
      <c r="C1185" s="42"/>
      <c r="D1185" s="42"/>
      <c r="E1185" s="42"/>
      <c r="F1185" s="42"/>
      <c r="G1185" s="42"/>
      <c r="H1185" s="42"/>
    </row>
    <row r="1186" spans="3:8" x14ac:dyDescent="0.3">
      <c r="C1186" s="42"/>
      <c r="D1186" s="42"/>
      <c r="E1186" s="42"/>
      <c r="F1186" s="42"/>
      <c r="G1186" s="42"/>
      <c r="H1186" s="42"/>
    </row>
    <row r="1187" spans="3:8" x14ac:dyDescent="0.3">
      <c r="C1187" s="42"/>
      <c r="D1187" s="42"/>
      <c r="E1187" s="42"/>
      <c r="F1187" s="42"/>
      <c r="G1187" s="42"/>
      <c r="H1187" s="42"/>
    </row>
    <row r="1188" spans="3:8" x14ac:dyDescent="0.3">
      <c r="C1188" s="42"/>
      <c r="D1188" s="42"/>
      <c r="E1188" s="42"/>
      <c r="F1188" s="42"/>
      <c r="G1188" s="42"/>
      <c r="H1188" s="42"/>
    </row>
    <row r="1189" spans="3:8" x14ac:dyDescent="0.3">
      <c r="C1189" s="42"/>
      <c r="D1189" s="42"/>
      <c r="E1189" s="42"/>
      <c r="F1189" s="42"/>
      <c r="G1189" s="42"/>
      <c r="H1189" s="42"/>
    </row>
    <row r="1190" spans="3:8" x14ac:dyDescent="0.3">
      <c r="C1190" s="42"/>
      <c r="D1190" s="42"/>
      <c r="E1190" s="42"/>
      <c r="F1190" s="42"/>
      <c r="G1190" s="42"/>
      <c r="H1190" s="42"/>
    </row>
    <row r="1191" spans="3:8" x14ac:dyDescent="0.3">
      <c r="C1191" s="42"/>
      <c r="D1191" s="42"/>
      <c r="E1191" s="42"/>
      <c r="F1191" s="42"/>
      <c r="G1191" s="42"/>
      <c r="H1191" s="42"/>
    </row>
    <row r="1192" spans="3:8" x14ac:dyDescent="0.3">
      <c r="C1192" s="42"/>
      <c r="D1192" s="42"/>
      <c r="E1192" s="42"/>
      <c r="F1192" s="42"/>
      <c r="G1192" s="42"/>
      <c r="H1192" s="42"/>
    </row>
    <row r="1193" spans="3:8" x14ac:dyDescent="0.3">
      <c r="C1193" s="42"/>
      <c r="D1193" s="42"/>
      <c r="E1193" s="42"/>
      <c r="F1193" s="42"/>
      <c r="G1193" s="42"/>
      <c r="H1193" s="42"/>
    </row>
    <row r="1194" spans="3:8" x14ac:dyDescent="0.3">
      <c r="C1194" s="42"/>
      <c r="D1194" s="42"/>
      <c r="E1194" s="42"/>
      <c r="F1194" s="42"/>
      <c r="G1194" s="42"/>
      <c r="H1194" s="42"/>
    </row>
    <row r="1195" spans="3:8" x14ac:dyDescent="0.3">
      <c r="C1195" s="42"/>
      <c r="D1195" s="42"/>
      <c r="E1195" s="42"/>
      <c r="F1195" s="42"/>
      <c r="G1195" s="42"/>
      <c r="H1195" s="42"/>
    </row>
    <row r="1196" spans="3:8" x14ac:dyDescent="0.3">
      <c r="C1196" s="42"/>
      <c r="D1196" s="42"/>
      <c r="E1196" s="42"/>
      <c r="F1196" s="42"/>
      <c r="G1196" s="42"/>
      <c r="H1196" s="42"/>
    </row>
    <row r="1197" spans="3:8" x14ac:dyDescent="0.3">
      <c r="C1197" s="42"/>
      <c r="D1197" s="42"/>
      <c r="E1197" s="42"/>
      <c r="F1197" s="42"/>
      <c r="G1197" s="42"/>
      <c r="H1197" s="42"/>
    </row>
    <row r="1198" spans="3:8" x14ac:dyDescent="0.3">
      <c r="C1198" s="42"/>
      <c r="D1198" s="42"/>
      <c r="E1198" s="42"/>
      <c r="F1198" s="42"/>
      <c r="G1198" s="42"/>
      <c r="H1198" s="42"/>
    </row>
    <row r="1199" spans="3:8" x14ac:dyDescent="0.3">
      <c r="C1199" s="42"/>
      <c r="D1199" s="42"/>
      <c r="E1199" s="42"/>
      <c r="F1199" s="42"/>
      <c r="G1199" s="42"/>
      <c r="H1199" s="42"/>
    </row>
    <row r="1200" spans="3:8" x14ac:dyDescent="0.3">
      <c r="C1200" s="42"/>
      <c r="D1200" s="42"/>
      <c r="E1200" s="42"/>
      <c r="F1200" s="42"/>
      <c r="G1200" s="42"/>
      <c r="H1200" s="42"/>
    </row>
    <row r="1201" spans="3:8" x14ac:dyDescent="0.3">
      <c r="C1201" s="42"/>
      <c r="D1201" s="42"/>
      <c r="E1201" s="42"/>
      <c r="F1201" s="42"/>
      <c r="G1201" s="42"/>
      <c r="H1201" s="42"/>
    </row>
    <row r="1202" spans="3:8" x14ac:dyDescent="0.3">
      <c r="C1202" s="42"/>
      <c r="D1202" s="42"/>
      <c r="E1202" s="42"/>
      <c r="F1202" s="42"/>
      <c r="G1202" s="42"/>
      <c r="H1202" s="42"/>
    </row>
    <row r="1203" spans="3:8" x14ac:dyDescent="0.3">
      <c r="C1203" s="42"/>
      <c r="D1203" s="42"/>
      <c r="E1203" s="42"/>
      <c r="F1203" s="42"/>
      <c r="G1203" s="42"/>
      <c r="H1203" s="42"/>
    </row>
    <row r="1204" spans="3:8" x14ac:dyDescent="0.3">
      <c r="C1204" s="42"/>
      <c r="D1204" s="42"/>
      <c r="E1204" s="42"/>
      <c r="F1204" s="42"/>
      <c r="G1204" s="42"/>
      <c r="H1204" s="42"/>
    </row>
    <row r="1205" spans="3:8" x14ac:dyDescent="0.3">
      <c r="C1205" s="42"/>
      <c r="D1205" s="42"/>
      <c r="E1205" s="42"/>
      <c r="F1205" s="42"/>
      <c r="G1205" s="42"/>
      <c r="H1205" s="42"/>
    </row>
    <row r="1206" spans="3:8" x14ac:dyDescent="0.3">
      <c r="C1206" s="42"/>
      <c r="D1206" s="42"/>
      <c r="E1206" s="42"/>
      <c r="F1206" s="42"/>
      <c r="G1206" s="42"/>
      <c r="H1206" s="42"/>
    </row>
    <row r="1207" spans="3:8" x14ac:dyDescent="0.3">
      <c r="C1207" s="42"/>
      <c r="D1207" s="42"/>
      <c r="E1207" s="42"/>
      <c r="F1207" s="42"/>
      <c r="G1207" s="42"/>
      <c r="H1207" s="42"/>
    </row>
    <row r="1208" spans="3:8" x14ac:dyDescent="0.3">
      <c r="C1208" s="42"/>
      <c r="D1208" s="42"/>
      <c r="E1208" s="42"/>
      <c r="F1208" s="42"/>
      <c r="G1208" s="42"/>
      <c r="H1208" s="42"/>
    </row>
    <row r="1209" spans="3:8" x14ac:dyDescent="0.3">
      <c r="C1209" s="42"/>
      <c r="D1209" s="42"/>
      <c r="E1209" s="42"/>
      <c r="F1209" s="42"/>
      <c r="G1209" s="42"/>
      <c r="H1209" s="42"/>
    </row>
    <row r="1210" spans="3:8" x14ac:dyDescent="0.3">
      <c r="C1210" s="42"/>
      <c r="D1210" s="42"/>
      <c r="E1210" s="42"/>
      <c r="F1210" s="42"/>
      <c r="G1210" s="42"/>
      <c r="H1210" s="42"/>
    </row>
    <row r="1211" spans="3:8" x14ac:dyDescent="0.3">
      <c r="C1211" s="42"/>
      <c r="D1211" s="42"/>
      <c r="E1211" s="42"/>
      <c r="F1211" s="42"/>
      <c r="G1211" s="42"/>
      <c r="H1211" s="42"/>
    </row>
    <row r="1212" spans="3:8" x14ac:dyDescent="0.3">
      <c r="C1212" s="42"/>
      <c r="D1212" s="42"/>
      <c r="E1212" s="42"/>
      <c r="F1212" s="42"/>
      <c r="G1212" s="42"/>
      <c r="H1212" s="42"/>
    </row>
    <row r="1213" spans="3:8" x14ac:dyDescent="0.3">
      <c r="C1213" s="42"/>
      <c r="D1213" s="42"/>
      <c r="E1213" s="42"/>
      <c r="F1213" s="42"/>
      <c r="G1213" s="42"/>
      <c r="H1213" s="42"/>
    </row>
    <row r="1214" spans="3:8" x14ac:dyDescent="0.3">
      <c r="C1214" s="42"/>
      <c r="D1214" s="42"/>
      <c r="E1214" s="42"/>
      <c r="F1214" s="42"/>
      <c r="G1214" s="42"/>
      <c r="H1214" s="42"/>
    </row>
    <row r="1215" spans="3:8" x14ac:dyDescent="0.3">
      <c r="C1215" s="42"/>
      <c r="D1215" s="42"/>
      <c r="E1215" s="42"/>
      <c r="F1215" s="42"/>
      <c r="G1215" s="42"/>
      <c r="H1215" s="42"/>
    </row>
    <row r="1216" spans="3:8" x14ac:dyDescent="0.3">
      <c r="C1216" s="42"/>
      <c r="D1216" s="42"/>
      <c r="E1216" s="42"/>
      <c r="F1216" s="42"/>
      <c r="G1216" s="42"/>
      <c r="H1216" s="42"/>
    </row>
    <row r="1217" spans="3:8" x14ac:dyDescent="0.3">
      <c r="C1217" s="42"/>
      <c r="D1217" s="42"/>
      <c r="E1217" s="42"/>
      <c r="F1217" s="42"/>
      <c r="G1217" s="42"/>
      <c r="H1217" s="42"/>
    </row>
    <row r="1218" spans="3:8" x14ac:dyDescent="0.3">
      <c r="C1218" s="42"/>
      <c r="D1218" s="42"/>
      <c r="E1218" s="42"/>
      <c r="F1218" s="42"/>
      <c r="G1218" s="42"/>
      <c r="H1218" s="42"/>
    </row>
    <row r="1219" spans="3:8" x14ac:dyDescent="0.3">
      <c r="C1219" s="42"/>
      <c r="D1219" s="42"/>
      <c r="E1219" s="42"/>
      <c r="F1219" s="42"/>
      <c r="G1219" s="42"/>
      <c r="H1219" s="42"/>
    </row>
    <row r="1220" spans="3:8" x14ac:dyDescent="0.3">
      <c r="C1220" s="42"/>
      <c r="D1220" s="42"/>
      <c r="E1220" s="42"/>
      <c r="F1220" s="42"/>
      <c r="G1220" s="42"/>
      <c r="H1220" s="42"/>
    </row>
    <row r="1221" spans="3:8" x14ac:dyDescent="0.3">
      <c r="C1221" s="42"/>
      <c r="D1221" s="42"/>
      <c r="E1221" s="42"/>
      <c r="F1221" s="42"/>
      <c r="G1221" s="42"/>
      <c r="H1221" s="42"/>
    </row>
    <row r="1222" spans="3:8" x14ac:dyDescent="0.3">
      <c r="C1222" s="42"/>
      <c r="D1222" s="42"/>
      <c r="E1222" s="42"/>
      <c r="F1222" s="42"/>
      <c r="G1222" s="42"/>
      <c r="H1222" s="42"/>
    </row>
    <row r="1223" spans="3:8" x14ac:dyDescent="0.3">
      <c r="C1223" s="42"/>
      <c r="D1223" s="42"/>
      <c r="E1223" s="42"/>
      <c r="F1223" s="42"/>
      <c r="G1223" s="42"/>
      <c r="H1223" s="42"/>
    </row>
    <row r="1224" spans="3:8" x14ac:dyDescent="0.3">
      <c r="C1224" s="42"/>
      <c r="D1224" s="42"/>
      <c r="E1224" s="42"/>
      <c r="F1224" s="42"/>
      <c r="G1224" s="42"/>
      <c r="H1224" s="42"/>
    </row>
    <row r="1225" spans="3:8" x14ac:dyDescent="0.3">
      <c r="C1225" s="42"/>
      <c r="D1225" s="42"/>
      <c r="E1225" s="42"/>
      <c r="F1225" s="42"/>
      <c r="G1225" s="42"/>
      <c r="H1225" s="42"/>
    </row>
    <row r="1226" spans="3:8" x14ac:dyDescent="0.3">
      <c r="C1226" s="42"/>
      <c r="D1226" s="42"/>
      <c r="E1226" s="42"/>
      <c r="F1226" s="42"/>
      <c r="G1226" s="42"/>
      <c r="H1226" s="42"/>
    </row>
    <row r="1227" spans="3:8" x14ac:dyDescent="0.3">
      <c r="C1227" s="42"/>
      <c r="D1227" s="42"/>
      <c r="E1227" s="42"/>
      <c r="F1227" s="42"/>
      <c r="G1227" s="42"/>
      <c r="H1227" s="42"/>
    </row>
    <row r="1228" spans="3:8" x14ac:dyDescent="0.3">
      <c r="C1228" s="42"/>
      <c r="D1228" s="42"/>
      <c r="E1228" s="42"/>
      <c r="F1228" s="42"/>
      <c r="G1228" s="42"/>
      <c r="H1228" s="42"/>
    </row>
    <row r="1229" spans="3:8" x14ac:dyDescent="0.3">
      <c r="C1229" s="42"/>
      <c r="D1229" s="42"/>
      <c r="E1229" s="42"/>
      <c r="F1229" s="42"/>
      <c r="G1229" s="42"/>
      <c r="H1229" s="42"/>
    </row>
    <row r="1230" spans="3:8" x14ac:dyDescent="0.3">
      <c r="C1230" s="42"/>
      <c r="D1230" s="42"/>
      <c r="E1230" s="42"/>
      <c r="F1230" s="42"/>
      <c r="G1230" s="42"/>
      <c r="H1230" s="42"/>
    </row>
    <row r="1231" spans="3:8" x14ac:dyDescent="0.3">
      <c r="C1231" s="42"/>
      <c r="D1231" s="42"/>
      <c r="E1231" s="42"/>
      <c r="F1231" s="42"/>
      <c r="G1231" s="42"/>
      <c r="H1231" s="42"/>
    </row>
    <row r="1232" spans="3:8" x14ac:dyDescent="0.3">
      <c r="C1232" s="42"/>
      <c r="D1232" s="42"/>
      <c r="E1232" s="42"/>
      <c r="F1232" s="42"/>
      <c r="G1232" s="42"/>
      <c r="H1232" s="42"/>
    </row>
    <row r="1233" spans="3:8" x14ac:dyDescent="0.3">
      <c r="C1233" s="42"/>
      <c r="D1233" s="42"/>
      <c r="E1233" s="42"/>
      <c r="F1233" s="42"/>
      <c r="G1233" s="42"/>
      <c r="H1233" s="42"/>
    </row>
    <row r="1234" spans="3:8" x14ac:dyDescent="0.3">
      <c r="C1234" s="42"/>
      <c r="D1234" s="42"/>
      <c r="E1234" s="42"/>
      <c r="F1234" s="42"/>
      <c r="G1234" s="42"/>
      <c r="H1234" s="42"/>
    </row>
    <row r="1235" spans="3:8" x14ac:dyDescent="0.3">
      <c r="C1235" s="42"/>
      <c r="D1235" s="42"/>
      <c r="E1235" s="42"/>
      <c r="F1235" s="42"/>
      <c r="G1235" s="42"/>
      <c r="H1235" s="42"/>
    </row>
    <row r="1236" spans="3:8" x14ac:dyDescent="0.3">
      <c r="C1236" s="42"/>
      <c r="D1236" s="42"/>
      <c r="E1236" s="42"/>
      <c r="F1236" s="42"/>
      <c r="G1236" s="42"/>
      <c r="H1236" s="42"/>
    </row>
    <row r="1237" spans="3:8" x14ac:dyDescent="0.3">
      <c r="C1237" s="42"/>
      <c r="D1237" s="42"/>
      <c r="E1237" s="42"/>
      <c r="F1237" s="42"/>
      <c r="G1237" s="42"/>
      <c r="H1237" s="42"/>
    </row>
    <row r="1238" spans="3:8" x14ac:dyDescent="0.3">
      <c r="C1238" s="42"/>
      <c r="D1238" s="42"/>
      <c r="E1238" s="42"/>
      <c r="F1238" s="42"/>
      <c r="G1238" s="42"/>
      <c r="H1238" s="42"/>
    </row>
    <row r="1239" spans="3:8" x14ac:dyDescent="0.3">
      <c r="C1239" s="42"/>
      <c r="D1239" s="42"/>
      <c r="E1239" s="42"/>
      <c r="F1239" s="42"/>
      <c r="G1239" s="42"/>
      <c r="H1239" s="42"/>
    </row>
    <row r="1240" spans="3:8" x14ac:dyDescent="0.3">
      <c r="C1240" s="42"/>
      <c r="D1240" s="42"/>
      <c r="E1240" s="42"/>
      <c r="F1240" s="42"/>
      <c r="G1240" s="42"/>
      <c r="H1240" s="42"/>
    </row>
    <row r="1241" spans="3:8" x14ac:dyDescent="0.3">
      <c r="C1241" s="42"/>
      <c r="D1241" s="42"/>
      <c r="E1241" s="42"/>
      <c r="F1241" s="42"/>
      <c r="G1241" s="42"/>
      <c r="H1241" s="42"/>
    </row>
    <row r="1242" spans="3:8" x14ac:dyDescent="0.3">
      <c r="C1242" s="42"/>
      <c r="D1242" s="42"/>
      <c r="E1242" s="42"/>
      <c r="F1242" s="42"/>
      <c r="G1242" s="42"/>
      <c r="H1242" s="42"/>
    </row>
    <row r="1243" spans="3:8" x14ac:dyDescent="0.3">
      <c r="C1243" s="42"/>
      <c r="D1243" s="42"/>
      <c r="E1243" s="42"/>
      <c r="F1243" s="42"/>
      <c r="G1243" s="42"/>
      <c r="H1243" s="42"/>
    </row>
    <row r="1244" spans="3:8" x14ac:dyDescent="0.3">
      <c r="C1244" s="42"/>
      <c r="D1244" s="42"/>
      <c r="E1244" s="42"/>
      <c r="F1244" s="42"/>
      <c r="G1244" s="42"/>
      <c r="H1244" s="42"/>
    </row>
    <row r="1245" spans="3:8" x14ac:dyDescent="0.3">
      <c r="C1245" s="42"/>
      <c r="D1245" s="42"/>
      <c r="E1245" s="42"/>
      <c r="F1245" s="42"/>
      <c r="G1245" s="42"/>
      <c r="H1245" s="42"/>
    </row>
    <row r="1246" spans="3:8" x14ac:dyDescent="0.3">
      <c r="C1246" s="42"/>
      <c r="D1246" s="42"/>
      <c r="E1246" s="42"/>
      <c r="F1246" s="42"/>
      <c r="G1246" s="42"/>
      <c r="H1246" s="42"/>
    </row>
    <row r="1247" spans="3:8" x14ac:dyDescent="0.3">
      <c r="C1247" s="42"/>
      <c r="D1247" s="42"/>
      <c r="E1247" s="42"/>
      <c r="F1247" s="42"/>
      <c r="G1247" s="42"/>
      <c r="H1247" s="42"/>
    </row>
    <row r="1248" spans="3:8" x14ac:dyDescent="0.3">
      <c r="C1248" s="42"/>
      <c r="D1248" s="42"/>
      <c r="E1248" s="42"/>
      <c r="F1248" s="42"/>
      <c r="G1248" s="42"/>
      <c r="H1248" s="42"/>
    </row>
    <row r="1249" spans="3:8" x14ac:dyDescent="0.3">
      <c r="C1249" s="42"/>
      <c r="D1249" s="42"/>
      <c r="E1249" s="42"/>
      <c r="F1249" s="42"/>
      <c r="G1249" s="42"/>
      <c r="H1249" s="42"/>
    </row>
    <row r="1250" spans="3:8" x14ac:dyDescent="0.3">
      <c r="C1250" s="42"/>
      <c r="D1250" s="42"/>
      <c r="E1250" s="42"/>
      <c r="F1250" s="42"/>
      <c r="G1250" s="42"/>
      <c r="H1250" s="42"/>
    </row>
    <row r="1251" spans="3:8" x14ac:dyDescent="0.3">
      <c r="C1251" s="42"/>
      <c r="D1251" s="42"/>
      <c r="E1251" s="42"/>
      <c r="F1251" s="42"/>
      <c r="G1251" s="42"/>
      <c r="H1251" s="42"/>
    </row>
    <row r="1252" spans="3:8" x14ac:dyDescent="0.3">
      <c r="C1252" s="42"/>
      <c r="D1252" s="42"/>
      <c r="E1252" s="42"/>
      <c r="F1252" s="42"/>
      <c r="G1252" s="42"/>
      <c r="H1252" s="42"/>
    </row>
    <row r="1253" spans="3:8" x14ac:dyDescent="0.3">
      <c r="C1253" s="42"/>
      <c r="D1253" s="42"/>
      <c r="E1253" s="42"/>
      <c r="F1253" s="42"/>
      <c r="G1253" s="42"/>
      <c r="H1253" s="42"/>
    </row>
    <row r="1254" spans="3:8" x14ac:dyDescent="0.3">
      <c r="C1254" s="42"/>
      <c r="D1254" s="42"/>
      <c r="E1254" s="42"/>
      <c r="F1254" s="42"/>
      <c r="G1254" s="42"/>
      <c r="H1254" s="42"/>
    </row>
    <row r="1255" spans="3:8" x14ac:dyDescent="0.3">
      <c r="C1255" s="42"/>
      <c r="D1255" s="42"/>
      <c r="E1255" s="42"/>
      <c r="F1255" s="42"/>
      <c r="G1255" s="42"/>
      <c r="H1255" s="42"/>
    </row>
    <row r="1256" spans="3:8" x14ac:dyDescent="0.3">
      <c r="C1256" s="42"/>
      <c r="D1256" s="42"/>
      <c r="E1256" s="42"/>
      <c r="F1256" s="42"/>
      <c r="G1256" s="42"/>
      <c r="H1256" s="42"/>
    </row>
    <row r="1257" spans="3:8" x14ac:dyDescent="0.3">
      <c r="C1257" s="42"/>
      <c r="D1257" s="42"/>
      <c r="E1257" s="42"/>
      <c r="F1257" s="42"/>
      <c r="G1257" s="42"/>
      <c r="H1257" s="42"/>
    </row>
    <row r="1258" spans="3:8" x14ac:dyDescent="0.3">
      <c r="C1258" s="42"/>
      <c r="D1258" s="42"/>
      <c r="E1258" s="42"/>
      <c r="F1258" s="42"/>
      <c r="G1258" s="42"/>
      <c r="H1258" s="42"/>
    </row>
    <row r="1259" spans="3:8" x14ac:dyDescent="0.3">
      <c r="C1259" s="42"/>
      <c r="D1259" s="42"/>
      <c r="E1259" s="42"/>
      <c r="F1259" s="42"/>
      <c r="G1259" s="42"/>
      <c r="H1259" s="42"/>
    </row>
    <row r="1260" spans="3:8" x14ac:dyDescent="0.3">
      <c r="C1260" s="42"/>
      <c r="D1260" s="42"/>
      <c r="E1260" s="42"/>
      <c r="F1260" s="42"/>
      <c r="G1260" s="42"/>
      <c r="H1260" s="42"/>
    </row>
    <row r="1261" spans="3:8" x14ac:dyDescent="0.3">
      <c r="C1261" s="42"/>
      <c r="D1261" s="42"/>
      <c r="E1261" s="42"/>
      <c r="F1261" s="42"/>
      <c r="G1261" s="42"/>
      <c r="H1261" s="42"/>
    </row>
    <row r="1262" spans="3:8" x14ac:dyDescent="0.3">
      <c r="C1262" s="42"/>
      <c r="D1262" s="42"/>
      <c r="E1262" s="42"/>
      <c r="F1262" s="42"/>
      <c r="G1262" s="42"/>
      <c r="H1262" s="42"/>
    </row>
    <row r="1263" spans="3:8" x14ac:dyDescent="0.3">
      <c r="C1263" s="42"/>
      <c r="D1263" s="42"/>
      <c r="E1263" s="42"/>
      <c r="F1263" s="42"/>
      <c r="G1263" s="42"/>
      <c r="H1263" s="42"/>
    </row>
    <row r="1264" spans="3:8" x14ac:dyDescent="0.3">
      <c r="C1264" s="42"/>
      <c r="D1264" s="42"/>
      <c r="E1264" s="42"/>
      <c r="F1264" s="42"/>
      <c r="G1264" s="42"/>
      <c r="H1264" s="42"/>
    </row>
    <row r="1265" spans="3:8" x14ac:dyDescent="0.3">
      <c r="C1265" s="42"/>
      <c r="D1265" s="42"/>
      <c r="E1265" s="42"/>
      <c r="F1265" s="42"/>
      <c r="G1265" s="42"/>
      <c r="H1265" s="42"/>
    </row>
    <row r="1266" spans="3:8" x14ac:dyDescent="0.3">
      <c r="C1266" s="42"/>
      <c r="D1266" s="42"/>
      <c r="E1266" s="42"/>
      <c r="F1266" s="42"/>
      <c r="G1266" s="42"/>
      <c r="H1266" s="42"/>
    </row>
    <row r="1267" spans="3:8" x14ac:dyDescent="0.3">
      <c r="C1267" s="42"/>
      <c r="D1267" s="42"/>
      <c r="E1267" s="42"/>
      <c r="F1267" s="42"/>
      <c r="G1267" s="42"/>
      <c r="H1267" s="42"/>
    </row>
    <row r="1268" spans="3:8" x14ac:dyDescent="0.3">
      <c r="C1268" s="42"/>
      <c r="D1268" s="42"/>
      <c r="E1268" s="42"/>
      <c r="F1268" s="42"/>
      <c r="G1268" s="42"/>
      <c r="H1268" s="42"/>
    </row>
    <row r="1269" spans="3:8" x14ac:dyDescent="0.3">
      <c r="C1269" s="42"/>
      <c r="D1269" s="42"/>
      <c r="E1269" s="42"/>
      <c r="F1269" s="42"/>
      <c r="G1269" s="42"/>
      <c r="H1269" s="42"/>
    </row>
    <row r="1270" spans="3:8" x14ac:dyDescent="0.3">
      <c r="C1270" s="42"/>
      <c r="D1270" s="42"/>
      <c r="E1270" s="42"/>
      <c r="F1270" s="42"/>
      <c r="G1270" s="42"/>
      <c r="H1270" s="42"/>
    </row>
    <row r="1271" spans="3:8" x14ac:dyDescent="0.3">
      <c r="C1271" s="42"/>
      <c r="D1271" s="42"/>
      <c r="E1271" s="42"/>
      <c r="F1271" s="42"/>
      <c r="G1271" s="42"/>
      <c r="H1271" s="42"/>
    </row>
    <row r="1272" spans="3:8" x14ac:dyDescent="0.3">
      <c r="C1272" s="42"/>
      <c r="D1272" s="42"/>
      <c r="E1272" s="42"/>
      <c r="F1272" s="42"/>
      <c r="G1272" s="42"/>
      <c r="H1272" s="42"/>
    </row>
    <row r="1273" spans="3:8" x14ac:dyDescent="0.3">
      <c r="C1273" s="42"/>
      <c r="D1273" s="42"/>
      <c r="E1273" s="42"/>
      <c r="F1273" s="42"/>
      <c r="G1273" s="42"/>
      <c r="H1273" s="42"/>
    </row>
    <row r="1274" spans="3:8" x14ac:dyDescent="0.3">
      <c r="C1274" s="42"/>
      <c r="D1274" s="42"/>
      <c r="E1274" s="42"/>
      <c r="F1274" s="42"/>
      <c r="G1274" s="42"/>
      <c r="H1274" s="42"/>
    </row>
    <row r="1275" spans="3:8" x14ac:dyDescent="0.3">
      <c r="C1275" s="42"/>
      <c r="D1275" s="42"/>
      <c r="E1275" s="42"/>
      <c r="F1275" s="42"/>
      <c r="G1275" s="42"/>
      <c r="H1275" s="42"/>
    </row>
    <row r="1276" spans="3:8" x14ac:dyDescent="0.3">
      <c r="C1276" s="42"/>
      <c r="D1276" s="42"/>
      <c r="E1276" s="42"/>
      <c r="F1276" s="42"/>
      <c r="G1276" s="42"/>
      <c r="H1276" s="42"/>
    </row>
    <row r="1277" spans="3:8" x14ac:dyDescent="0.3">
      <c r="C1277" s="42"/>
      <c r="D1277" s="42"/>
      <c r="E1277" s="42"/>
      <c r="F1277" s="42"/>
      <c r="G1277" s="42"/>
      <c r="H1277" s="42"/>
    </row>
    <row r="1278" spans="3:8" x14ac:dyDescent="0.3">
      <c r="C1278" s="42"/>
      <c r="D1278" s="42"/>
      <c r="E1278" s="42"/>
      <c r="F1278" s="42"/>
      <c r="G1278" s="42"/>
      <c r="H1278" s="42"/>
    </row>
    <row r="1279" spans="3:8" x14ac:dyDescent="0.3">
      <c r="C1279" s="42"/>
      <c r="D1279" s="42"/>
      <c r="E1279" s="42"/>
      <c r="F1279" s="42"/>
      <c r="G1279" s="42"/>
      <c r="H1279" s="42"/>
    </row>
    <row r="1280" spans="3:8" x14ac:dyDescent="0.3">
      <c r="C1280" s="42"/>
      <c r="D1280" s="42"/>
      <c r="E1280" s="42"/>
      <c r="F1280" s="42"/>
      <c r="G1280" s="42"/>
      <c r="H1280" s="42"/>
    </row>
    <row r="1281" spans="3:8" x14ac:dyDescent="0.3">
      <c r="C1281" s="42"/>
      <c r="D1281" s="42"/>
      <c r="E1281" s="42"/>
      <c r="F1281" s="42"/>
      <c r="G1281" s="42"/>
      <c r="H1281" s="42"/>
    </row>
    <row r="1282" spans="3:8" x14ac:dyDescent="0.3">
      <c r="C1282" s="42"/>
      <c r="D1282" s="42"/>
      <c r="E1282" s="42"/>
      <c r="F1282" s="42"/>
      <c r="G1282" s="42"/>
      <c r="H1282" s="42"/>
    </row>
    <row r="1283" spans="3:8" x14ac:dyDescent="0.3">
      <c r="C1283" s="42"/>
      <c r="D1283" s="42"/>
      <c r="E1283" s="42"/>
      <c r="F1283" s="42"/>
      <c r="G1283" s="42"/>
      <c r="H1283" s="42"/>
    </row>
    <row r="1284" spans="3:8" x14ac:dyDescent="0.3">
      <c r="C1284" s="42"/>
      <c r="D1284" s="42"/>
      <c r="E1284" s="42"/>
      <c r="F1284" s="42"/>
      <c r="G1284" s="42"/>
      <c r="H1284" s="42"/>
    </row>
    <row r="1285" spans="3:8" x14ac:dyDescent="0.3">
      <c r="C1285" s="42"/>
      <c r="D1285" s="42"/>
      <c r="E1285" s="42"/>
      <c r="F1285" s="42"/>
      <c r="G1285" s="42"/>
      <c r="H1285" s="42"/>
    </row>
    <row r="1286" spans="3:8" x14ac:dyDescent="0.3">
      <c r="C1286" s="42"/>
      <c r="D1286" s="42"/>
      <c r="E1286" s="42"/>
      <c r="F1286" s="42"/>
      <c r="G1286" s="42"/>
      <c r="H1286" s="42"/>
    </row>
    <row r="1287" spans="3:8" x14ac:dyDescent="0.3">
      <c r="C1287" s="42"/>
      <c r="D1287" s="42"/>
      <c r="E1287" s="42"/>
      <c r="F1287" s="42"/>
      <c r="G1287" s="42"/>
      <c r="H1287" s="42"/>
    </row>
    <row r="1288" spans="3:8" x14ac:dyDescent="0.3">
      <c r="C1288" s="42"/>
      <c r="D1288" s="42"/>
      <c r="E1288" s="42"/>
      <c r="F1288" s="42"/>
      <c r="G1288" s="42"/>
      <c r="H1288" s="42"/>
    </row>
    <row r="1289" spans="3:8" x14ac:dyDescent="0.3">
      <c r="C1289" s="42"/>
      <c r="D1289" s="42"/>
      <c r="E1289" s="42"/>
      <c r="F1289" s="42"/>
      <c r="G1289" s="42"/>
      <c r="H1289" s="42"/>
    </row>
    <row r="1290" spans="3:8" x14ac:dyDescent="0.3">
      <c r="C1290" s="42"/>
      <c r="D1290" s="42"/>
      <c r="E1290" s="42"/>
      <c r="F1290" s="42"/>
      <c r="G1290" s="42"/>
      <c r="H1290" s="42"/>
    </row>
    <row r="1291" spans="3:8" x14ac:dyDescent="0.3">
      <c r="C1291" s="42"/>
      <c r="D1291" s="42"/>
      <c r="E1291" s="42"/>
      <c r="F1291" s="42"/>
      <c r="G1291" s="42"/>
      <c r="H1291" s="42"/>
    </row>
    <row r="1292" spans="3:8" x14ac:dyDescent="0.3">
      <c r="C1292" s="42"/>
      <c r="D1292" s="42"/>
      <c r="E1292" s="42"/>
      <c r="F1292" s="42"/>
      <c r="G1292" s="42"/>
      <c r="H1292" s="42"/>
    </row>
    <row r="1293" spans="3:8" x14ac:dyDescent="0.3">
      <c r="C1293" s="42"/>
      <c r="D1293" s="42"/>
      <c r="E1293" s="42"/>
      <c r="F1293" s="42"/>
      <c r="G1293" s="42"/>
      <c r="H1293" s="42"/>
    </row>
    <row r="1294" spans="3:8" x14ac:dyDescent="0.3">
      <c r="C1294" s="42"/>
      <c r="D1294" s="42"/>
      <c r="E1294" s="42"/>
      <c r="F1294" s="42"/>
      <c r="G1294" s="42"/>
      <c r="H1294" s="42"/>
    </row>
    <row r="1295" spans="3:8" x14ac:dyDescent="0.3">
      <c r="C1295" s="42"/>
      <c r="D1295" s="42"/>
      <c r="E1295" s="42"/>
      <c r="F1295" s="42"/>
      <c r="G1295" s="42"/>
      <c r="H1295" s="42"/>
    </row>
    <row r="1296" spans="3:8" x14ac:dyDescent="0.3">
      <c r="C1296" s="42"/>
      <c r="D1296" s="42"/>
      <c r="E1296" s="42"/>
      <c r="F1296" s="42"/>
      <c r="G1296" s="42"/>
      <c r="H1296" s="42"/>
    </row>
    <row r="1297" spans="3:8" x14ac:dyDescent="0.3">
      <c r="C1297" s="42"/>
      <c r="D1297" s="42"/>
      <c r="E1297" s="42"/>
      <c r="F1297" s="42"/>
      <c r="G1297" s="42"/>
      <c r="H1297" s="42"/>
    </row>
    <row r="1298" spans="3:8" x14ac:dyDescent="0.3">
      <c r="C1298" s="42"/>
      <c r="D1298" s="42"/>
      <c r="E1298" s="42"/>
      <c r="F1298" s="42"/>
      <c r="G1298" s="42"/>
      <c r="H1298" s="42"/>
    </row>
    <row r="1299" spans="3:8" x14ac:dyDescent="0.3">
      <c r="C1299" s="42"/>
      <c r="D1299" s="42"/>
      <c r="E1299" s="42"/>
      <c r="F1299" s="42"/>
      <c r="G1299" s="42"/>
      <c r="H1299" s="42"/>
    </row>
    <row r="1300" spans="3:8" x14ac:dyDescent="0.3">
      <c r="C1300" s="42"/>
      <c r="D1300" s="42"/>
      <c r="E1300" s="42"/>
      <c r="F1300" s="42"/>
      <c r="G1300" s="42"/>
      <c r="H1300" s="42"/>
    </row>
    <row r="1301" spans="3:8" x14ac:dyDescent="0.3">
      <c r="C1301" s="42"/>
      <c r="D1301" s="42"/>
      <c r="E1301" s="42"/>
      <c r="F1301" s="42"/>
      <c r="G1301" s="42"/>
      <c r="H1301" s="42"/>
    </row>
    <row r="1302" spans="3:8" x14ac:dyDescent="0.3">
      <c r="C1302" s="42"/>
      <c r="D1302" s="42"/>
      <c r="E1302" s="42"/>
      <c r="F1302" s="42"/>
      <c r="G1302" s="42"/>
      <c r="H1302" s="42"/>
    </row>
    <row r="1303" spans="3:8" x14ac:dyDescent="0.3">
      <c r="C1303" s="42"/>
      <c r="D1303" s="42"/>
      <c r="E1303" s="42"/>
      <c r="F1303" s="42"/>
      <c r="G1303" s="42"/>
      <c r="H1303" s="42"/>
    </row>
    <row r="1304" spans="3:8" x14ac:dyDescent="0.3">
      <c r="C1304" s="42"/>
      <c r="D1304" s="42"/>
      <c r="E1304" s="42"/>
      <c r="F1304" s="42"/>
      <c r="G1304" s="42"/>
      <c r="H1304" s="42"/>
    </row>
    <row r="1305" spans="3:8" x14ac:dyDescent="0.3">
      <c r="C1305" s="42"/>
      <c r="D1305" s="42"/>
      <c r="E1305" s="42"/>
      <c r="F1305" s="42"/>
      <c r="G1305" s="42"/>
      <c r="H1305" s="42"/>
    </row>
    <row r="1306" spans="3:8" x14ac:dyDescent="0.3">
      <c r="C1306" s="42"/>
      <c r="D1306" s="42"/>
      <c r="E1306" s="42"/>
      <c r="F1306" s="42"/>
      <c r="G1306" s="42"/>
      <c r="H1306" s="42"/>
    </row>
    <row r="1307" spans="3:8" x14ac:dyDescent="0.3">
      <c r="C1307" s="42"/>
      <c r="D1307" s="42"/>
      <c r="E1307" s="42"/>
      <c r="F1307" s="42"/>
      <c r="G1307" s="42"/>
      <c r="H1307" s="42"/>
    </row>
    <row r="1308" spans="3:8" x14ac:dyDescent="0.3">
      <c r="C1308" s="42"/>
      <c r="D1308" s="42"/>
      <c r="E1308" s="42"/>
      <c r="F1308" s="42"/>
      <c r="G1308" s="42"/>
      <c r="H1308" s="42"/>
    </row>
    <row r="1309" spans="3:8" x14ac:dyDescent="0.3">
      <c r="C1309" s="42"/>
      <c r="D1309" s="42"/>
      <c r="E1309" s="42"/>
      <c r="F1309" s="42"/>
      <c r="G1309" s="42"/>
      <c r="H1309" s="42"/>
    </row>
    <row r="1310" spans="3:8" x14ac:dyDescent="0.3">
      <c r="C1310" s="42"/>
      <c r="D1310" s="42"/>
      <c r="E1310" s="42"/>
      <c r="F1310" s="42"/>
      <c r="G1310" s="42"/>
      <c r="H1310" s="42"/>
    </row>
    <row r="1311" spans="3:8" x14ac:dyDescent="0.3">
      <c r="C1311" s="42"/>
      <c r="D1311" s="42"/>
      <c r="E1311" s="42"/>
      <c r="F1311" s="42"/>
      <c r="G1311" s="42"/>
      <c r="H1311" s="42"/>
    </row>
    <row r="1312" spans="3:8" x14ac:dyDescent="0.3">
      <c r="C1312" s="42"/>
      <c r="D1312" s="42"/>
      <c r="E1312" s="42"/>
      <c r="F1312" s="42"/>
      <c r="G1312" s="42"/>
      <c r="H1312" s="42"/>
    </row>
    <row r="1313" spans="3:8" x14ac:dyDescent="0.3">
      <c r="C1313" s="42"/>
      <c r="D1313" s="42"/>
      <c r="E1313" s="42"/>
      <c r="F1313" s="42"/>
      <c r="G1313" s="42"/>
      <c r="H1313" s="42"/>
    </row>
    <row r="1314" spans="3:8" x14ac:dyDescent="0.3">
      <c r="C1314" s="42"/>
      <c r="D1314" s="42"/>
      <c r="E1314" s="42"/>
      <c r="F1314" s="42"/>
      <c r="G1314" s="42"/>
      <c r="H1314" s="42"/>
    </row>
    <row r="1315" spans="3:8" x14ac:dyDescent="0.3">
      <c r="C1315" s="42"/>
      <c r="D1315" s="42"/>
      <c r="E1315" s="42"/>
      <c r="F1315" s="42"/>
      <c r="G1315" s="42"/>
      <c r="H1315" s="42"/>
    </row>
    <row r="1316" spans="3:8" x14ac:dyDescent="0.3">
      <c r="C1316" s="42"/>
      <c r="D1316" s="42"/>
      <c r="E1316" s="42"/>
      <c r="F1316" s="42"/>
      <c r="G1316" s="42"/>
      <c r="H1316" s="42"/>
    </row>
    <row r="1317" spans="3:8" x14ac:dyDescent="0.3">
      <c r="C1317" s="42"/>
      <c r="D1317" s="42"/>
      <c r="E1317" s="42"/>
      <c r="F1317" s="42"/>
      <c r="G1317" s="42"/>
      <c r="H1317" s="42"/>
    </row>
    <row r="1318" spans="3:8" x14ac:dyDescent="0.3">
      <c r="C1318" s="42"/>
      <c r="D1318" s="42"/>
      <c r="E1318" s="42"/>
      <c r="F1318" s="42"/>
      <c r="G1318" s="42"/>
      <c r="H1318" s="42"/>
    </row>
    <row r="1319" spans="3:8" x14ac:dyDescent="0.3">
      <c r="C1319" s="42"/>
      <c r="D1319" s="42"/>
      <c r="E1319" s="42"/>
      <c r="F1319" s="42"/>
      <c r="G1319" s="42"/>
      <c r="H1319" s="42"/>
    </row>
    <row r="1320" spans="3:8" x14ac:dyDescent="0.3">
      <c r="C1320" s="42"/>
      <c r="D1320" s="42"/>
      <c r="E1320" s="42"/>
      <c r="F1320" s="42"/>
      <c r="G1320" s="42"/>
      <c r="H1320" s="42"/>
    </row>
    <row r="1321" spans="3:8" x14ac:dyDescent="0.3">
      <c r="C1321" s="42"/>
      <c r="D1321" s="42"/>
      <c r="E1321" s="42"/>
      <c r="F1321" s="42"/>
      <c r="G1321" s="42"/>
      <c r="H1321" s="42"/>
    </row>
    <row r="1322" spans="3:8" x14ac:dyDescent="0.3">
      <c r="C1322" s="42"/>
      <c r="D1322" s="42"/>
      <c r="E1322" s="42"/>
      <c r="F1322" s="42"/>
      <c r="G1322" s="42"/>
      <c r="H1322" s="42"/>
    </row>
    <row r="1323" spans="3:8" x14ac:dyDescent="0.3">
      <c r="C1323" s="42"/>
      <c r="D1323" s="42"/>
      <c r="E1323" s="42"/>
      <c r="F1323" s="42"/>
      <c r="G1323" s="42"/>
      <c r="H1323" s="42"/>
    </row>
    <row r="1324" spans="3:8" x14ac:dyDescent="0.3">
      <c r="C1324" s="42"/>
      <c r="D1324" s="42"/>
      <c r="E1324" s="42"/>
      <c r="F1324" s="42"/>
      <c r="G1324" s="42"/>
      <c r="H1324" s="42"/>
    </row>
    <row r="1325" spans="3:8" x14ac:dyDescent="0.3">
      <c r="C1325" s="42"/>
      <c r="D1325" s="42"/>
      <c r="E1325" s="42"/>
      <c r="F1325" s="42"/>
      <c r="G1325" s="42"/>
      <c r="H1325" s="42"/>
    </row>
    <row r="1326" spans="3:8" x14ac:dyDescent="0.3">
      <c r="C1326" s="42"/>
      <c r="D1326" s="42"/>
      <c r="E1326" s="42"/>
      <c r="F1326" s="42"/>
      <c r="G1326" s="42"/>
      <c r="H1326" s="42"/>
    </row>
    <row r="1327" spans="3:8" x14ac:dyDescent="0.3">
      <c r="C1327" s="42"/>
      <c r="D1327" s="42"/>
      <c r="E1327" s="42"/>
      <c r="F1327" s="42"/>
      <c r="G1327" s="42"/>
      <c r="H1327" s="42"/>
    </row>
    <row r="1328" spans="3:8" x14ac:dyDescent="0.3">
      <c r="C1328" s="42"/>
      <c r="D1328" s="42"/>
      <c r="E1328" s="42"/>
      <c r="F1328" s="42"/>
      <c r="G1328" s="42"/>
      <c r="H1328" s="42"/>
    </row>
    <row r="1329" spans="3:8" x14ac:dyDescent="0.3">
      <c r="C1329" s="42"/>
      <c r="D1329" s="42"/>
      <c r="E1329" s="42"/>
      <c r="F1329" s="42"/>
      <c r="G1329" s="42"/>
      <c r="H1329" s="42"/>
    </row>
    <row r="1330" spans="3:8" x14ac:dyDescent="0.3">
      <c r="C1330" s="42"/>
      <c r="D1330" s="42"/>
      <c r="E1330" s="42"/>
      <c r="F1330" s="42"/>
      <c r="G1330" s="42"/>
      <c r="H1330" s="42"/>
    </row>
    <row r="1331" spans="3:8" x14ac:dyDescent="0.3">
      <c r="C1331" s="42"/>
      <c r="D1331" s="42"/>
      <c r="E1331" s="42"/>
      <c r="F1331" s="42"/>
      <c r="G1331" s="42"/>
      <c r="H1331" s="42"/>
    </row>
    <row r="1332" spans="3:8" x14ac:dyDescent="0.3">
      <c r="C1332" s="42"/>
      <c r="D1332" s="42"/>
      <c r="E1332" s="42"/>
      <c r="F1332" s="42"/>
      <c r="G1332" s="42"/>
      <c r="H1332" s="42"/>
    </row>
    <row r="1333" spans="3:8" x14ac:dyDescent="0.3">
      <c r="C1333" s="42"/>
      <c r="D1333" s="42"/>
      <c r="E1333" s="42"/>
      <c r="F1333" s="42"/>
      <c r="G1333" s="42"/>
      <c r="H1333" s="42"/>
    </row>
    <row r="1334" spans="3:8" x14ac:dyDescent="0.3">
      <c r="C1334" s="42"/>
      <c r="D1334" s="42"/>
      <c r="E1334" s="42"/>
      <c r="F1334" s="42"/>
      <c r="G1334" s="42"/>
      <c r="H1334" s="42"/>
    </row>
    <row r="1335" spans="3:8" x14ac:dyDescent="0.3">
      <c r="C1335" s="42"/>
      <c r="D1335" s="42"/>
      <c r="E1335" s="42"/>
      <c r="F1335" s="42"/>
      <c r="G1335" s="42"/>
      <c r="H1335" s="42"/>
    </row>
    <row r="1336" spans="3:8" x14ac:dyDescent="0.3">
      <c r="C1336" s="42"/>
      <c r="D1336" s="42"/>
      <c r="E1336" s="42"/>
      <c r="F1336" s="42"/>
      <c r="G1336" s="42"/>
      <c r="H1336" s="42"/>
    </row>
    <row r="1337" spans="3:8" x14ac:dyDescent="0.3">
      <c r="C1337" s="42"/>
      <c r="D1337" s="42"/>
      <c r="E1337" s="42"/>
      <c r="F1337" s="42"/>
      <c r="G1337" s="42"/>
      <c r="H1337" s="42"/>
    </row>
    <row r="1338" spans="3:8" x14ac:dyDescent="0.3">
      <c r="C1338" s="42"/>
      <c r="D1338" s="42"/>
      <c r="E1338" s="42"/>
      <c r="F1338" s="42"/>
      <c r="G1338" s="42"/>
      <c r="H1338" s="42"/>
    </row>
    <row r="1339" spans="3:8" x14ac:dyDescent="0.3">
      <c r="C1339" s="42"/>
      <c r="D1339" s="42"/>
      <c r="E1339" s="42"/>
      <c r="F1339" s="42"/>
      <c r="G1339" s="42"/>
      <c r="H1339" s="42"/>
    </row>
    <row r="1340" spans="3:8" x14ac:dyDescent="0.3">
      <c r="C1340" s="42"/>
      <c r="D1340" s="42"/>
      <c r="E1340" s="42"/>
      <c r="F1340" s="42"/>
      <c r="G1340" s="42"/>
      <c r="H1340" s="42"/>
    </row>
    <row r="1341" spans="3:8" x14ac:dyDescent="0.3">
      <c r="C1341" s="42"/>
      <c r="D1341" s="42"/>
      <c r="E1341" s="42"/>
      <c r="F1341" s="42"/>
      <c r="G1341" s="42"/>
      <c r="H1341" s="42"/>
    </row>
    <row r="1342" spans="3:8" x14ac:dyDescent="0.3">
      <c r="C1342" s="42"/>
      <c r="D1342" s="42"/>
      <c r="E1342" s="42"/>
      <c r="F1342" s="42"/>
      <c r="G1342" s="42"/>
      <c r="H1342" s="42"/>
    </row>
    <row r="1343" spans="3:8" x14ac:dyDescent="0.3">
      <c r="C1343" s="42"/>
      <c r="D1343" s="42"/>
      <c r="E1343" s="42"/>
      <c r="F1343" s="42"/>
      <c r="G1343" s="42"/>
      <c r="H1343" s="42"/>
    </row>
    <row r="1344" spans="3:8" x14ac:dyDescent="0.3">
      <c r="C1344" s="42"/>
      <c r="D1344" s="42"/>
      <c r="E1344" s="42"/>
      <c r="F1344" s="42"/>
      <c r="G1344" s="42"/>
      <c r="H1344" s="42"/>
    </row>
    <row r="1345" spans="3:8" x14ac:dyDescent="0.3">
      <c r="C1345" s="42"/>
      <c r="D1345" s="42"/>
      <c r="E1345" s="42"/>
      <c r="F1345" s="42"/>
      <c r="G1345" s="42"/>
      <c r="H1345" s="42"/>
    </row>
    <row r="1346" spans="3:8" x14ac:dyDescent="0.3">
      <c r="C1346" s="42"/>
      <c r="D1346" s="42"/>
      <c r="E1346" s="42"/>
      <c r="F1346" s="42"/>
      <c r="G1346" s="42"/>
      <c r="H1346" s="42"/>
    </row>
    <row r="1347" spans="3:8" x14ac:dyDescent="0.3">
      <c r="C1347" s="42"/>
      <c r="D1347" s="42"/>
      <c r="E1347" s="42"/>
      <c r="F1347" s="42"/>
      <c r="G1347" s="42"/>
      <c r="H1347" s="42"/>
    </row>
    <row r="1348" spans="3:8" x14ac:dyDescent="0.3">
      <c r="C1348" s="42"/>
      <c r="D1348" s="42"/>
      <c r="E1348" s="42"/>
      <c r="F1348" s="42"/>
      <c r="G1348" s="42"/>
      <c r="H1348" s="42"/>
    </row>
    <row r="1349" spans="3:8" x14ac:dyDescent="0.3">
      <c r="C1349" s="42"/>
      <c r="D1349" s="42"/>
      <c r="E1349" s="42"/>
      <c r="F1349" s="42"/>
      <c r="G1349" s="42"/>
      <c r="H1349" s="42"/>
    </row>
    <row r="1350" spans="3:8" x14ac:dyDescent="0.3">
      <c r="C1350" s="42"/>
      <c r="D1350" s="42"/>
      <c r="E1350" s="42"/>
      <c r="F1350" s="42"/>
      <c r="G1350" s="42"/>
      <c r="H1350" s="42"/>
    </row>
    <row r="1351" spans="3:8" x14ac:dyDescent="0.3">
      <c r="C1351" s="42"/>
      <c r="D1351" s="42"/>
      <c r="E1351" s="42"/>
      <c r="F1351" s="42"/>
      <c r="G1351" s="42"/>
      <c r="H1351" s="42"/>
    </row>
    <row r="1352" spans="3:8" x14ac:dyDescent="0.3">
      <c r="C1352" s="42"/>
      <c r="D1352" s="42"/>
      <c r="E1352" s="42"/>
      <c r="F1352" s="42"/>
      <c r="G1352" s="42"/>
      <c r="H1352" s="42"/>
    </row>
    <row r="1353" spans="3:8" x14ac:dyDescent="0.3">
      <c r="C1353" s="42"/>
      <c r="D1353" s="42"/>
      <c r="E1353" s="42"/>
      <c r="F1353" s="42"/>
      <c r="G1353" s="42"/>
      <c r="H1353" s="42"/>
    </row>
    <row r="1354" spans="3:8" x14ac:dyDescent="0.3">
      <c r="C1354" s="42"/>
      <c r="D1354" s="42"/>
      <c r="E1354" s="42"/>
      <c r="F1354" s="42"/>
      <c r="G1354" s="42"/>
      <c r="H1354" s="42"/>
    </row>
    <row r="1355" spans="3:8" x14ac:dyDescent="0.3">
      <c r="C1355" s="42"/>
      <c r="D1355" s="42"/>
      <c r="E1355" s="42"/>
      <c r="F1355" s="42"/>
      <c r="G1355" s="42"/>
      <c r="H1355" s="42"/>
    </row>
    <row r="1356" spans="3:8" x14ac:dyDescent="0.3">
      <c r="C1356" s="42"/>
      <c r="D1356" s="42"/>
      <c r="E1356" s="42"/>
      <c r="F1356" s="42"/>
      <c r="G1356" s="42"/>
      <c r="H1356" s="42"/>
    </row>
    <row r="1357" spans="3:8" x14ac:dyDescent="0.3">
      <c r="C1357" s="42"/>
      <c r="D1357" s="42"/>
      <c r="E1357" s="42"/>
      <c r="F1357" s="42"/>
      <c r="G1357" s="42"/>
      <c r="H1357" s="42"/>
    </row>
    <row r="1358" spans="3:8" x14ac:dyDescent="0.3">
      <c r="C1358" s="42"/>
      <c r="D1358" s="42"/>
      <c r="E1358" s="42"/>
      <c r="F1358" s="42"/>
      <c r="G1358" s="42"/>
      <c r="H1358" s="42"/>
    </row>
    <row r="1359" spans="3:8" x14ac:dyDescent="0.3">
      <c r="C1359" s="42"/>
      <c r="D1359" s="42"/>
      <c r="E1359" s="42"/>
      <c r="F1359" s="42"/>
      <c r="G1359" s="42"/>
      <c r="H1359" s="42"/>
    </row>
    <row r="1360" spans="3:8" x14ac:dyDescent="0.3">
      <c r="C1360" s="42"/>
      <c r="D1360" s="42"/>
      <c r="E1360" s="42"/>
      <c r="F1360" s="42"/>
      <c r="G1360" s="42"/>
      <c r="H1360" s="42"/>
    </row>
    <row r="1361" spans="3:8" x14ac:dyDescent="0.3">
      <c r="C1361" s="42"/>
      <c r="D1361" s="42"/>
      <c r="E1361" s="42"/>
      <c r="F1361" s="42"/>
      <c r="G1361" s="42"/>
      <c r="H1361" s="42"/>
    </row>
    <row r="1362" spans="3:8" x14ac:dyDescent="0.3">
      <c r="C1362" s="42"/>
      <c r="D1362" s="42"/>
      <c r="E1362" s="42"/>
      <c r="F1362" s="42"/>
      <c r="G1362" s="42"/>
      <c r="H1362" s="42"/>
    </row>
    <row r="1363" spans="3:8" x14ac:dyDescent="0.3">
      <c r="C1363" s="42"/>
      <c r="D1363" s="42"/>
      <c r="E1363" s="42"/>
      <c r="F1363" s="42"/>
      <c r="G1363" s="42"/>
      <c r="H1363" s="42"/>
    </row>
    <row r="1364" spans="3:8" x14ac:dyDescent="0.3">
      <c r="C1364" s="42"/>
      <c r="D1364" s="42"/>
      <c r="E1364" s="42"/>
      <c r="F1364" s="42"/>
      <c r="G1364" s="42"/>
      <c r="H1364" s="42"/>
    </row>
    <row r="1365" spans="3:8" x14ac:dyDescent="0.3">
      <c r="C1365" s="42"/>
      <c r="D1365" s="42"/>
      <c r="E1365" s="42"/>
      <c r="F1365" s="42"/>
      <c r="G1365" s="42"/>
      <c r="H1365" s="42"/>
    </row>
    <row r="1366" spans="3:8" x14ac:dyDescent="0.3">
      <c r="C1366" s="42"/>
      <c r="D1366" s="42"/>
      <c r="E1366" s="42"/>
      <c r="F1366" s="42"/>
      <c r="G1366" s="42"/>
      <c r="H1366" s="42"/>
    </row>
    <row r="1367" spans="3:8" x14ac:dyDescent="0.3">
      <c r="C1367" s="42"/>
      <c r="D1367" s="42"/>
      <c r="E1367" s="42"/>
      <c r="F1367" s="42"/>
      <c r="G1367" s="42"/>
      <c r="H1367" s="42"/>
    </row>
    <row r="1368" spans="3:8" x14ac:dyDescent="0.3">
      <c r="C1368" s="42"/>
      <c r="D1368" s="42"/>
      <c r="E1368" s="42"/>
      <c r="F1368" s="42"/>
      <c r="G1368" s="42"/>
      <c r="H1368" s="42"/>
    </row>
    <row r="1369" spans="3:8" x14ac:dyDescent="0.3">
      <c r="C1369" s="42"/>
      <c r="D1369" s="42"/>
      <c r="E1369" s="42"/>
      <c r="F1369" s="42"/>
      <c r="G1369" s="42"/>
      <c r="H1369" s="42"/>
    </row>
    <row r="1370" spans="3:8" x14ac:dyDescent="0.3">
      <c r="C1370" s="42"/>
      <c r="D1370" s="42"/>
      <c r="E1370" s="42"/>
      <c r="F1370" s="42"/>
      <c r="G1370" s="42"/>
      <c r="H1370" s="42"/>
    </row>
    <row r="1371" spans="3:8" x14ac:dyDescent="0.3">
      <c r="C1371" s="42"/>
      <c r="D1371" s="42"/>
      <c r="E1371" s="42"/>
      <c r="F1371" s="42"/>
      <c r="G1371" s="42"/>
      <c r="H1371" s="42"/>
    </row>
    <row r="1372" spans="3:8" x14ac:dyDescent="0.3">
      <c r="C1372" s="42"/>
      <c r="D1372" s="42"/>
      <c r="E1372" s="42"/>
      <c r="F1372" s="42"/>
      <c r="G1372" s="42"/>
      <c r="H1372" s="42"/>
    </row>
    <row r="1373" spans="3:8" x14ac:dyDescent="0.3">
      <c r="C1373" s="42"/>
      <c r="D1373" s="42"/>
      <c r="E1373" s="42"/>
      <c r="F1373" s="42"/>
      <c r="G1373" s="42"/>
      <c r="H1373" s="42"/>
    </row>
    <row r="1374" spans="3:8" x14ac:dyDescent="0.3">
      <c r="C1374" s="42"/>
      <c r="D1374" s="42"/>
      <c r="E1374" s="42"/>
      <c r="F1374" s="42"/>
      <c r="G1374" s="42"/>
      <c r="H1374" s="42"/>
    </row>
    <row r="1375" spans="3:8" x14ac:dyDescent="0.3">
      <c r="C1375" s="42"/>
      <c r="D1375" s="42"/>
      <c r="E1375" s="42"/>
      <c r="F1375" s="42"/>
      <c r="G1375" s="42"/>
      <c r="H1375" s="42"/>
    </row>
    <row r="1376" spans="3:8" x14ac:dyDescent="0.3">
      <c r="C1376" s="42"/>
      <c r="D1376" s="42"/>
      <c r="E1376" s="42"/>
      <c r="F1376" s="42"/>
      <c r="G1376" s="42"/>
      <c r="H1376" s="42"/>
    </row>
    <row r="1377" spans="3:8" x14ac:dyDescent="0.3">
      <c r="C1377" s="42"/>
      <c r="D1377" s="42"/>
      <c r="E1377" s="42"/>
      <c r="F1377" s="42"/>
      <c r="G1377" s="42"/>
      <c r="H1377" s="42"/>
    </row>
    <row r="1378" spans="3:8" x14ac:dyDescent="0.3">
      <c r="C1378" s="42"/>
      <c r="D1378" s="42"/>
      <c r="E1378" s="42"/>
      <c r="F1378" s="42"/>
      <c r="G1378" s="42"/>
      <c r="H1378" s="42"/>
    </row>
    <row r="1379" spans="3:8" x14ac:dyDescent="0.3">
      <c r="C1379" s="42"/>
      <c r="D1379" s="42"/>
      <c r="E1379" s="42"/>
      <c r="F1379" s="42"/>
      <c r="G1379" s="42"/>
      <c r="H1379" s="42"/>
    </row>
    <row r="1380" spans="3:8" x14ac:dyDescent="0.3">
      <c r="C1380" s="42"/>
      <c r="D1380" s="42"/>
      <c r="E1380" s="42"/>
      <c r="F1380" s="42"/>
      <c r="G1380" s="42"/>
      <c r="H1380" s="42"/>
    </row>
    <row r="1381" spans="3:8" x14ac:dyDescent="0.3">
      <c r="C1381" s="42"/>
      <c r="D1381" s="42"/>
      <c r="E1381" s="42"/>
      <c r="F1381" s="42"/>
      <c r="G1381" s="42"/>
      <c r="H1381" s="42"/>
    </row>
    <row r="1382" spans="3:8" x14ac:dyDescent="0.3">
      <c r="C1382" s="42"/>
      <c r="D1382" s="42"/>
      <c r="E1382" s="42"/>
      <c r="F1382" s="42"/>
      <c r="G1382" s="42"/>
      <c r="H1382" s="42"/>
    </row>
    <row r="1383" spans="3:8" x14ac:dyDescent="0.3">
      <c r="C1383" s="42"/>
      <c r="D1383" s="42"/>
      <c r="E1383" s="42"/>
      <c r="F1383" s="42"/>
      <c r="G1383" s="42"/>
      <c r="H1383" s="42"/>
    </row>
    <row r="1384" spans="3:8" x14ac:dyDescent="0.3">
      <c r="C1384" s="42"/>
      <c r="D1384" s="42"/>
      <c r="E1384" s="42"/>
      <c r="F1384" s="42"/>
      <c r="G1384" s="42"/>
      <c r="H1384" s="42"/>
    </row>
    <row r="1385" spans="3:8" x14ac:dyDescent="0.3">
      <c r="C1385" s="42"/>
      <c r="D1385" s="42"/>
      <c r="E1385" s="42"/>
      <c r="F1385" s="42"/>
      <c r="G1385" s="42"/>
      <c r="H1385" s="42"/>
    </row>
    <row r="1386" spans="3:8" x14ac:dyDescent="0.3">
      <c r="C1386" s="42"/>
      <c r="D1386" s="42"/>
      <c r="E1386" s="42"/>
      <c r="F1386" s="42"/>
      <c r="G1386" s="42"/>
      <c r="H1386" s="42"/>
    </row>
    <row r="1387" spans="3:8" x14ac:dyDescent="0.3">
      <c r="C1387" s="42"/>
      <c r="D1387" s="42"/>
      <c r="E1387" s="42"/>
      <c r="F1387" s="42"/>
      <c r="G1387" s="42"/>
      <c r="H1387" s="42"/>
    </row>
    <row r="1388" spans="3:8" x14ac:dyDescent="0.3">
      <c r="C1388" s="42"/>
      <c r="D1388" s="42"/>
      <c r="E1388" s="42"/>
      <c r="F1388" s="42"/>
      <c r="G1388" s="42"/>
      <c r="H1388" s="42"/>
    </row>
    <row r="1389" spans="3:8" x14ac:dyDescent="0.3">
      <c r="C1389" s="42"/>
      <c r="D1389" s="42"/>
      <c r="E1389" s="42"/>
      <c r="F1389" s="42"/>
      <c r="G1389" s="42"/>
      <c r="H1389" s="42"/>
    </row>
    <row r="1390" spans="3:8" x14ac:dyDescent="0.3">
      <c r="C1390" s="42"/>
      <c r="D1390" s="42"/>
      <c r="E1390" s="42"/>
      <c r="F1390" s="42"/>
      <c r="G1390" s="42"/>
      <c r="H1390" s="42"/>
    </row>
    <row r="1391" spans="3:8" x14ac:dyDescent="0.3">
      <c r="C1391" s="42"/>
      <c r="D1391" s="42"/>
      <c r="E1391" s="42"/>
      <c r="F1391" s="42"/>
      <c r="G1391" s="42"/>
      <c r="H1391" s="42"/>
    </row>
    <row r="1392" spans="3:8" x14ac:dyDescent="0.3">
      <c r="C1392" s="42"/>
      <c r="D1392" s="42"/>
      <c r="E1392" s="42"/>
      <c r="F1392" s="42"/>
      <c r="G1392" s="42"/>
      <c r="H1392" s="42"/>
    </row>
    <row r="1393" spans="3:8" x14ac:dyDescent="0.3">
      <c r="C1393" s="42"/>
      <c r="D1393" s="42"/>
      <c r="E1393" s="42"/>
      <c r="F1393" s="42"/>
      <c r="G1393" s="42"/>
      <c r="H1393" s="42"/>
    </row>
    <row r="1394" spans="3:8" x14ac:dyDescent="0.3">
      <c r="C1394" s="42"/>
      <c r="D1394" s="42"/>
      <c r="E1394" s="42"/>
      <c r="F1394" s="42"/>
      <c r="G1394" s="42"/>
      <c r="H1394" s="42"/>
    </row>
    <row r="1395" spans="3:8" x14ac:dyDescent="0.3">
      <c r="C1395" s="42"/>
      <c r="D1395" s="42"/>
      <c r="E1395" s="42"/>
      <c r="F1395" s="42"/>
      <c r="G1395" s="42"/>
      <c r="H1395" s="42"/>
    </row>
    <row r="1396" spans="3:8" x14ac:dyDescent="0.3">
      <c r="C1396" s="42"/>
      <c r="D1396" s="42"/>
      <c r="E1396" s="42"/>
      <c r="F1396" s="42"/>
      <c r="G1396" s="42"/>
      <c r="H1396" s="42"/>
    </row>
    <row r="1397" spans="3:8" x14ac:dyDescent="0.3">
      <c r="C1397" s="42"/>
      <c r="D1397" s="42"/>
      <c r="E1397" s="42"/>
      <c r="F1397" s="42"/>
      <c r="G1397" s="42"/>
      <c r="H1397" s="42"/>
    </row>
    <row r="1398" spans="3:8" x14ac:dyDescent="0.3">
      <c r="C1398" s="42"/>
      <c r="D1398" s="42"/>
      <c r="E1398" s="42"/>
      <c r="F1398" s="42"/>
      <c r="G1398" s="42"/>
      <c r="H1398" s="42"/>
    </row>
    <row r="1399" spans="3:8" x14ac:dyDescent="0.3">
      <c r="C1399" s="42"/>
      <c r="D1399" s="42"/>
      <c r="E1399" s="42"/>
      <c r="F1399" s="42"/>
      <c r="G1399" s="42"/>
      <c r="H1399" s="42"/>
    </row>
    <row r="1400" spans="3:8" x14ac:dyDescent="0.3">
      <c r="C1400" s="42"/>
      <c r="D1400" s="42"/>
      <c r="E1400" s="42"/>
      <c r="F1400" s="42"/>
      <c r="G1400" s="42"/>
      <c r="H1400" s="42"/>
    </row>
    <row r="1401" spans="3:8" x14ac:dyDescent="0.3">
      <c r="C1401" s="42"/>
      <c r="D1401" s="42"/>
      <c r="E1401" s="42"/>
      <c r="F1401" s="42"/>
      <c r="G1401" s="42"/>
      <c r="H1401" s="42"/>
    </row>
    <row r="1402" spans="3:8" x14ac:dyDescent="0.3">
      <c r="C1402" s="42"/>
      <c r="D1402" s="42"/>
      <c r="E1402" s="42"/>
      <c r="F1402" s="42"/>
      <c r="G1402" s="42"/>
      <c r="H1402" s="42"/>
    </row>
    <row r="1403" spans="3:8" x14ac:dyDescent="0.3">
      <c r="C1403" s="42"/>
      <c r="D1403" s="42"/>
      <c r="E1403" s="42"/>
      <c r="F1403" s="42"/>
      <c r="G1403" s="42"/>
      <c r="H1403" s="42"/>
    </row>
    <row r="1404" spans="3:8" x14ac:dyDescent="0.3">
      <c r="C1404" s="42"/>
      <c r="D1404" s="42"/>
      <c r="E1404" s="42"/>
      <c r="F1404" s="42"/>
      <c r="G1404" s="42"/>
      <c r="H1404" s="42"/>
    </row>
    <row r="1405" spans="3:8" x14ac:dyDescent="0.3">
      <c r="C1405" s="42"/>
      <c r="D1405" s="42"/>
      <c r="E1405" s="42"/>
      <c r="F1405" s="42"/>
      <c r="G1405" s="42"/>
      <c r="H1405" s="42"/>
    </row>
    <row r="1406" spans="3:8" x14ac:dyDescent="0.3">
      <c r="C1406" s="42"/>
      <c r="D1406" s="42"/>
      <c r="E1406" s="42"/>
      <c r="F1406" s="42"/>
      <c r="G1406" s="42"/>
      <c r="H1406" s="42"/>
    </row>
    <row r="1407" spans="3:8" x14ac:dyDescent="0.3">
      <c r="C1407" s="42"/>
      <c r="D1407" s="42"/>
      <c r="E1407" s="42"/>
      <c r="F1407" s="42"/>
      <c r="G1407" s="42"/>
      <c r="H1407" s="42"/>
    </row>
    <row r="1408" spans="3:8" x14ac:dyDescent="0.3">
      <c r="C1408" s="42"/>
      <c r="D1408" s="42"/>
      <c r="E1408" s="42"/>
      <c r="F1408" s="42"/>
      <c r="G1408" s="42"/>
      <c r="H1408" s="42"/>
    </row>
    <row r="1409" spans="3:8" x14ac:dyDescent="0.3">
      <c r="C1409" s="42"/>
      <c r="D1409" s="42"/>
      <c r="E1409" s="42"/>
      <c r="F1409" s="42"/>
      <c r="G1409" s="42"/>
      <c r="H1409" s="42"/>
    </row>
    <row r="1410" spans="3:8" x14ac:dyDescent="0.3">
      <c r="C1410" s="42"/>
      <c r="D1410" s="42"/>
      <c r="E1410" s="42"/>
      <c r="F1410" s="42"/>
      <c r="G1410" s="42"/>
      <c r="H1410" s="42"/>
    </row>
    <row r="1411" spans="3:8" x14ac:dyDescent="0.3">
      <c r="C1411" s="42"/>
      <c r="D1411" s="42"/>
      <c r="E1411" s="42"/>
      <c r="F1411" s="42"/>
      <c r="G1411" s="42"/>
      <c r="H1411" s="42"/>
    </row>
    <row r="1412" spans="3:8" x14ac:dyDescent="0.3">
      <c r="C1412" s="42"/>
      <c r="D1412" s="42"/>
      <c r="E1412" s="42"/>
      <c r="F1412" s="42"/>
      <c r="G1412" s="42"/>
      <c r="H1412" s="42"/>
    </row>
    <row r="1413" spans="3:8" x14ac:dyDescent="0.3">
      <c r="C1413" s="42"/>
      <c r="D1413" s="42"/>
      <c r="E1413" s="42"/>
      <c r="F1413" s="42"/>
      <c r="G1413" s="42"/>
      <c r="H1413" s="42"/>
    </row>
    <row r="1414" spans="3:8" x14ac:dyDescent="0.3">
      <c r="C1414" s="42"/>
      <c r="D1414" s="42"/>
      <c r="E1414" s="42"/>
      <c r="F1414" s="42"/>
      <c r="G1414" s="42"/>
      <c r="H1414" s="42"/>
    </row>
    <row r="1415" spans="3:8" x14ac:dyDescent="0.3">
      <c r="C1415" s="42"/>
      <c r="D1415" s="42"/>
      <c r="E1415" s="42"/>
      <c r="F1415" s="42"/>
      <c r="G1415" s="42"/>
      <c r="H1415" s="42"/>
    </row>
    <row r="1416" spans="3:8" x14ac:dyDescent="0.3">
      <c r="C1416" s="42"/>
      <c r="D1416" s="42"/>
      <c r="E1416" s="42"/>
      <c r="F1416" s="42"/>
      <c r="G1416" s="42"/>
      <c r="H1416" s="42"/>
    </row>
    <row r="1417" spans="3:8" x14ac:dyDescent="0.3">
      <c r="C1417" s="42"/>
      <c r="D1417" s="42"/>
      <c r="E1417" s="42"/>
      <c r="F1417" s="42"/>
      <c r="G1417" s="42"/>
      <c r="H1417" s="42"/>
    </row>
    <row r="1418" spans="3:8" x14ac:dyDescent="0.3">
      <c r="C1418" s="42"/>
      <c r="D1418" s="42"/>
      <c r="E1418" s="42"/>
      <c r="F1418" s="42"/>
      <c r="G1418" s="42"/>
      <c r="H1418" s="42"/>
    </row>
    <row r="1419" spans="3:8" x14ac:dyDescent="0.3">
      <c r="C1419" s="42"/>
      <c r="D1419" s="42"/>
      <c r="E1419" s="42"/>
      <c r="F1419" s="42"/>
      <c r="G1419" s="42"/>
      <c r="H1419" s="42"/>
    </row>
    <row r="1420" spans="3:8" x14ac:dyDescent="0.3">
      <c r="C1420" s="42"/>
      <c r="D1420" s="42"/>
      <c r="E1420" s="42"/>
      <c r="F1420" s="42"/>
      <c r="G1420" s="42"/>
      <c r="H1420" s="42"/>
    </row>
    <row r="1421" spans="3:8" x14ac:dyDescent="0.3">
      <c r="C1421" s="42"/>
      <c r="D1421" s="42"/>
      <c r="E1421" s="42"/>
      <c r="F1421" s="42"/>
      <c r="G1421" s="42"/>
      <c r="H1421" s="42"/>
    </row>
    <row r="1422" spans="3:8" x14ac:dyDescent="0.3">
      <c r="C1422" s="42"/>
      <c r="D1422" s="42"/>
      <c r="E1422" s="42"/>
      <c r="F1422" s="42"/>
      <c r="G1422" s="42"/>
      <c r="H1422" s="42"/>
    </row>
    <row r="1423" spans="3:8" x14ac:dyDescent="0.3">
      <c r="C1423" s="42"/>
      <c r="D1423" s="42"/>
      <c r="E1423" s="42"/>
      <c r="F1423" s="42"/>
      <c r="G1423" s="42"/>
      <c r="H1423" s="42"/>
    </row>
    <row r="1424" spans="3:8" x14ac:dyDescent="0.3">
      <c r="C1424" s="42"/>
      <c r="D1424" s="42"/>
      <c r="E1424" s="42"/>
      <c r="F1424" s="42"/>
      <c r="G1424" s="42"/>
      <c r="H1424" s="42"/>
    </row>
    <row r="1425" spans="3:8" x14ac:dyDescent="0.3">
      <c r="C1425" s="42"/>
      <c r="D1425" s="42"/>
      <c r="E1425" s="42"/>
      <c r="F1425" s="42"/>
      <c r="G1425" s="42"/>
      <c r="H1425" s="42"/>
    </row>
    <row r="1426" spans="3:8" x14ac:dyDescent="0.3">
      <c r="C1426" s="42"/>
      <c r="D1426" s="42"/>
      <c r="E1426" s="42"/>
      <c r="F1426" s="42"/>
      <c r="G1426" s="42"/>
      <c r="H1426" s="42"/>
    </row>
    <row r="1427" spans="3:8" x14ac:dyDescent="0.3">
      <c r="C1427" s="42"/>
      <c r="D1427" s="42"/>
      <c r="E1427" s="42"/>
      <c r="F1427" s="42"/>
      <c r="G1427" s="42"/>
      <c r="H1427" s="42"/>
    </row>
    <row r="1428" spans="3:8" x14ac:dyDescent="0.3">
      <c r="C1428" s="42"/>
      <c r="D1428" s="42"/>
      <c r="E1428" s="42"/>
      <c r="F1428" s="42"/>
      <c r="G1428" s="42"/>
      <c r="H1428" s="42"/>
    </row>
    <row r="1429" spans="3:8" x14ac:dyDescent="0.3">
      <c r="C1429" s="42"/>
      <c r="D1429" s="42"/>
      <c r="E1429" s="42"/>
      <c r="F1429" s="42"/>
      <c r="G1429" s="42"/>
      <c r="H1429" s="42"/>
    </row>
    <row r="1430" spans="3:8" x14ac:dyDescent="0.3">
      <c r="C1430" s="42"/>
      <c r="D1430" s="42"/>
      <c r="E1430" s="42"/>
      <c r="F1430" s="42"/>
      <c r="G1430" s="42"/>
      <c r="H1430" s="42"/>
    </row>
    <row r="1431" spans="3:8" x14ac:dyDescent="0.3">
      <c r="C1431" s="42"/>
      <c r="D1431" s="42"/>
      <c r="E1431" s="42"/>
      <c r="F1431" s="42"/>
      <c r="G1431" s="42"/>
      <c r="H1431" s="42"/>
    </row>
    <row r="1432" spans="3:8" x14ac:dyDescent="0.3">
      <c r="C1432" s="42"/>
      <c r="D1432" s="42"/>
      <c r="E1432" s="42"/>
      <c r="F1432" s="42"/>
      <c r="G1432" s="42"/>
      <c r="H1432" s="42"/>
    </row>
    <row r="1433" spans="3:8" x14ac:dyDescent="0.3">
      <c r="C1433" s="42"/>
      <c r="D1433" s="42"/>
      <c r="E1433" s="42"/>
      <c r="F1433" s="42"/>
      <c r="G1433" s="42"/>
      <c r="H1433" s="42"/>
    </row>
    <row r="1434" spans="3:8" x14ac:dyDescent="0.3">
      <c r="C1434" s="42"/>
      <c r="D1434" s="42"/>
      <c r="E1434" s="42"/>
      <c r="F1434" s="42"/>
      <c r="G1434" s="42"/>
      <c r="H1434" s="42"/>
    </row>
    <row r="1435" spans="3:8" x14ac:dyDescent="0.3">
      <c r="C1435" s="42"/>
      <c r="D1435" s="42"/>
      <c r="E1435" s="42"/>
      <c r="F1435" s="42"/>
      <c r="G1435" s="42"/>
      <c r="H1435" s="42"/>
    </row>
    <row r="1436" spans="3:8" x14ac:dyDescent="0.3">
      <c r="C1436" s="42"/>
      <c r="D1436" s="42"/>
      <c r="E1436" s="42"/>
      <c r="F1436" s="42"/>
      <c r="G1436" s="42"/>
      <c r="H1436" s="42"/>
    </row>
    <row r="1437" spans="3:8" x14ac:dyDescent="0.3">
      <c r="C1437" s="42"/>
      <c r="D1437" s="42"/>
      <c r="E1437" s="42"/>
      <c r="F1437" s="42"/>
      <c r="G1437" s="42"/>
      <c r="H1437" s="42"/>
    </row>
    <row r="1438" spans="3:8" x14ac:dyDescent="0.3">
      <c r="C1438" s="42"/>
      <c r="D1438" s="42"/>
      <c r="E1438" s="42"/>
      <c r="F1438" s="42"/>
      <c r="G1438" s="42"/>
      <c r="H1438" s="42"/>
    </row>
    <row r="1439" spans="3:8" x14ac:dyDescent="0.3">
      <c r="C1439" s="42"/>
      <c r="D1439" s="42"/>
      <c r="E1439" s="42"/>
      <c r="F1439" s="42"/>
      <c r="G1439" s="42"/>
      <c r="H1439" s="42"/>
    </row>
    <row r="1440" spans="3:8" x14ac:dyDescent="0.3">
      <c r="C1440" s="42"/>
      <c r="D1440" s="42"/>
      <c r="E1440" s="42"/>
      <c r="F1440" s="42"/>
      <c r="G1440" s="42"/>
      <c r="H1440" s="42"/>
    </row>
    <row r="1441" spans="3:8" x14ac:dyDescent="0.3">
      <c r="C1441" s="42"/>
      <c r="D1441" s="42"/>
      <c r="E1441" s="42"/>
      <c r="F1441" s="42"/>
      <c r="G1441" s="42"/>
      <c r="H1441" s="42"/>
    </row>
    <row r="1442" spans="3:8" x14ac:dyDescent="0.3">
      <c r="C1442" s="42"/>
      <c r="D1442" s="42"/>
      <c r="E1442" s="42"/>
      <c r="F1442" s="42"/>
      <c r="G1442" s="42"/>
      <c r="H1442" s="42"/>
    </row>
    <row r="1443" spans="3:8" x14ac:dyDescent="0.3">
      <c r="C1443" s="42"/>
      <c r="D1443" s="42"/>
      <c r="E1443" s="42"/>
      <c r="F1443" s="42"/>
      <c r="G1443" s="42"/>
      <c r="H1443" s="42"/>
    </row>
    <row r="1444" spans="3:8" x14ac:dyDescent="0.3">
      <c r="C1444" s="42"/>
      <c r="D1444" s="42"/>
      <c r="E1444" s="42"/>
      <c r="F1444" s="42"/>
      <c r="G1444" s="42"/>
      <c r="H1444" s="42"/>
    </row>
    <row r="1445" spans="3:8" x14ac:dyDescent="0.3">
      <c r="C1445" s="42"/>
      <c r="D1445" s="42"/>
      <c r="E1445" s="42"/>
      <c r="F1445" s="42"/>
      <c r="G1445" s="42"/>
      <c r="H1445" s="42"/>
    </row>
    <row r="1446" spans="3:8" x14ac:dyDescent="0.3">
      <c r="C1446" s="42"/>
      <c r="D1446" s="42"/>
      <c r="E1446" s="42"/>
      <c r="F1446" s="42"/>
      <c r="G1446" s="42"/>
      <c r="H1446" s="42"/>
    </row>
    <row r="1447" spans="3:8" x14ac:dyDescent="0.3">
      <c r="C1447" s="42"/>
      <c r="D1447" s="42"/>
      <c r="E1447" s="42"/>
      <c r="F1447" s="42"/>
      <c r="G1447" s="42"/>
      <c r="H1447" s="42"/>
    </row>
    <row r="1448" spans="3:8" x14ac:dyDescent="0.3">
      <c r="C1448" s="42"/>
      <c r="D1448" s="42"/>
      <c r="E1448" s="42"/>
      <c r="F1448" s="42"/>
      <c r="G1448" s="42"/>
      <c r="H1448" s="42"/>
    </row>
    <row r="1449" spans="3:8" x14ac:dyDescent="0.3">
      <c r="C1449" s="42"/>
      <c r="D1449" s="42"/>
      <c r="E1449" s="42"/>
      <c r="F1449" s="42"/>
      <c r="G1449" s="42"/>
      <c r="H1449" s="42"/>
    </row>
    <row r="1450" spans="3:8" x14ac:dyDescent="0.3">
      <c r="C1450" s="42"/>
      <c r="D1450" s="42"/>
      <c r="E1450" s="42"/>
      <c r="F1450" s="42"/>
      <c r="G1450" s="42"/>
      <c r="H1450" s="42"/>
    </row>
    <row r="1451" spans="3:8" x14ac:dyDescent="0.3">
      <c r="C1451" s="42"/>
      <c r="D1451" s="42"/>
      <c r="E1451" s="42"/>
      <c r="F1451" s="42"/>
      <c r="G1451" s="42"/>
      <c r="H1451" s="42"/>
    </row>
    <row r="1452" spans="3:8" x14ac:dyDescent="0.3">
      <c r="C1452" s="42"/>
      <c r="D1452" s="42"/>
      <c r="E1452" s="42"/>
      <c r="F1452" s="42"/>
      <c r="G1452" s="42"/>
      <c r="H1452" s="42"/>
    </row>
    <row r="1453" spans="3:8" x14ac:dyDescent="0.3">
      <c r="C1453" s="42"/>
      <c r="D1453" s="42"/>
      <c r="E1453" s="42"/>
      <c r="F1453" s="42"/>
      <c r="G1453" s="42"/>
      <c r="H1453" s="42"/>
    </row>
    <row r="1454" spans="3:8" x14ac:dyDescent="0.3">
      <c r="C1454" s="42"/>
      <c r="D1454" s="42"/>
      <c r="E1454" s="42"/>
      <c r="F1454" s="42"/>
      <c r="G1454" s="42"/>
      <c r="H1454" s="42"/>
    </row>
    <row r="1455" spans="3:8" x14ac:dyDescent="0.3">
      <c r="C1455" s="42"/>
      <c r="D1455" s="42"/>
      <c r="E1455" s="42"/>
      <c r="F1455" s="42"/>
      <c r="G1455" s="42"/>
      <c r="H1455" s="42"/>
    </row>
    <row r="1456" spans="3:8" x14ac:dyDescent="0.3">
      <c r="C1456" s="42"/>
      <c r="D1456" s="42"/>
      <c r="E1456" s="42"/>
      <c r="F1456" s="42"/>
      <c r="G1456" s="42"/>
      <c r="H1456" s="42"/>
    </row>
    <row r="1457" spans="3:8" x14ac:dyDescent="0.3">
      <c r="C1457" s="42"/>
      <c r="D1457" s="42"/>
      <c r="E1457" s="42"/>
      <c r="F1457" s="42"/>
      <c r="G1457" s="42"/>
      <c r="H1457" s="42"/>
    </row>
    <row r="1458" spans="3:8" x14ac:dyDescent="0.3">
      <c r="C1458" s="42"/>
      <c r="D1458" s="42"/>
      <c r="E1458" s="42"/>
      <c r="F1458" s="42"/>
      <c r="G1458" s="42"/>
      <c r="H1458" s="42"/>
    </row>
    <row r="1459" spans="3:8" x14ac:dyDescent="0.3">
      <c r="C1459" s="42"/>
      <c r="D1459" s="42"/>
      <c r="E1459" s="42"/>
      <c r="F1459" s="42"/>
      <c r="G1459" s="42"/>
      <c r="H1459" s="42"/>
    </row>
    <row r="1460" spans="3:8" x14ac:dyDescent="0.3">
      <c r="C1460" s="42"/>
      <c r="D1460" s="42"/>
      <c r="E1460" s="42"/>
      <c r="F1460" s="42"/>
      <c r="G1460" s="42"/>
      <c r="H1460" s="42"/>
    </row>
    <row r="1461" spans="3:8" x14ac:dyDescent="0.3">
      <c r="C1461" s="42"/>
      <c r="D1461" s="42"/>
      <c r="E1461" s="42"/>
      <c r="F1461" s="42"/>
      <c r="G1461" s="42"/>
      <c r="H1461" s="42"/>
    </row>
    <row r="1462" spans="3:8" x14ac:dyDescent="0.3">
      <c r="C1462" s="42"/>
      <c r="D1462" s="42"/>
      <c r="E1462" s="42"/>
      <c r="F1462" s="42"/>
      <c r="G1462" s="42"/>
      <c r="H1462" s="42"/>
    </row>
    <row r="1463" spans="3:8" x14ac:dyDescent="0.3">
      <c r="C1463" s="42"/>
      <c r="D1463" s="42"/>
      <c r="E1463" s="42"/>
      <c r="F1463" s="42"/>
      <c r="G1463" s="42"/>
      <c r="H1463" s="42"/>
    </row>
    <row r="1464" spans="3:8" x14ac:dyDescent="0.3">
      <c r="C1464" s="42"/>
      <c r="D1464" s="42"/>
      <c r="E1464" s="42"/>
      <c r="F1464" s="42"/>
      <c r="G1464" s="42"/>
      <c r="H1464" s="42"/>
    </row>
    <row r="1465" spans="3:8" x14ac:dyDescent="0.3">
      <c r="C1465" s="42"/>
      <c r="D1465" s="42"/>
      <c r="E1465" s="42"/>
      <c r="F1465" s="42"/>
      <c r="G1465" s="42"/>
      <c r="H1465" s="42"/>
    </row>
    <row r="1466" spans="3:8" x14ac:dyDescent="0.3">
      <c r="C1466" s="42"/>
      <c r="D1466" s="42"/>
      <c r="E1466" s="42"/>
      <c r="F1466" s="42"/>
      <c r="G1466" s="42"/>
      <c r="H1466" s="42"/>
    </row>
    <row r="1467" spans="3:8" x14ac:dyDescent="0.3">
      <c r="C1467" s="42"/>
      <c r="D1467" s="42"/>
      <c r="E1467" s="42"/>
      <c r="F1467" s="42"/>
      <c r="G1467" s="42"/>
      <c r="H1467" s="42"/>
    </row>
    <row r="1468" spans="3:8" x14ac:dyDescent="0.3">
      <c r="C1468" s="42"/>
      <c r="D1468" s="42"/>
      <c r="E1468" s="42"/>
      <c r="F1468" s="42"/>
      <c r="G1468" s="42"/>
      <c r="H1468" s="42"/>
    </row>
    <row r="1469" spans="3:8" x14ac:dyDescent="0.3">
      <c r="C1469" s="42"/>
      <c r="D1469" s="42"/>
      <c r="E1469" s="42"/>
      <c r="F1469" s="42"/>
      <c r="G1469" s="42"/>
      <c r="H1469" s="42"/>
    </row>
    <row r="1470" spans="3:8" x14ac:dyDescent="0.3">
      <c r="C1470" s="42"/>
      <c r="D1470" s="42"/>
      <c r="E1470" s="42"/>
      <c r="F1470" s="42"/>
      <c r="G1470" s="42"/>
      <c r="H1470" s="42"/>
    </row>
    <row r="1471" spans="3:8" x14ac:dyDescent="0.3">
      <c r="C1471" s="42"/>
      <c r="D1471" s="42"/>
      <c r="E1471" s="42"/>
      <c r="F1471" s="42"/>
      <c r="G1471" s="42"/>
      <c r="H1471" s="42"/>
    </row>
    <row r="1472" spans="3:8" x14ac:dyDescent="0.3">
      <c r="C1472" s="42"/>
      <c r="D1472" s="42"/>
      <c r="E1472" s="42"/>
      <c r="F1472" s="42"/>
      <c r="G1472" s="42"/>
      <c r="H1472" s="42"/>
    </row>
    <row r="1473" spans="3:8" x14ac:dyDescent="0.3">
      <c r="C1473" s="42"/>
      <c r="D1473" s="42"/>
      <c r="E1473" s="42"/>
      <c r="F1473" s="42"/>
      <c r="G1473" s="42"/>
      <c r="H1473" s="42"/>
    </row>
    <row r="1474" spans="3:8" x14ac:dyDescent="0.3">
      <c r="C1474" s="42"/>
      <c r="D1474" s="42"/>
      <c r="E1474" s="42"/>
      <c r="F1474" s="42"/>
      <c r="G1474" s="42"/>
      <c r="H1474" s="42"/>
    </row>
    <row r="1475" spans="3:8" x14ac:dyDescent="0.3">
      <c r="C1475" s="42"/>
      <c r="D1475" s="42"/>
      <c r="E1475" s="42"/>
      <c r="F1475" s="42"/>
      <c r="G1475" s="42"/>
      <c r="H1475" s="42"/>
    </row>
    <row r="1476" spans="3:8" x14ac:dyDescent="0.3">
      <c r="C1476" s="42"/>
      <c r="D1476" s="42"/>
      <c r="E1476" s="42"/>
      <c r="F1476" s="42"/>
      <c r="G1476" s="42"/>
      <c r="H1476" s="42"/>
    </row>
    <row r="1477" spans="3:8" x14ac:dyDescent="0.3">
      <c r="C1477" s="42"/>
      <c r="D1477" s="42"/>
      <c r="E1477" s="42"/>
      <c r="F1477" s="42"/>
      <c r="G1477" s="42"/>
      <c r="H1477" s="42"/>
    </row>
    <row r="1478" spans="3:8" x14ac:dyDescent="0.3">
      <c r="C1478" s="42"/>
      <c r="D1478" s="42"/>
      <c r="E1478" s="42"/>
      <c r="F1478" s="42"/>
      <c r="G1478" s="42"/>
      <c r="H1478" s="42"/>
    </row>
    <row r="1479" spans="3:8" x14ac:dyDescent="0.3">
      <c r="C1479" s="42"/>
      <c r="D1479" s="42"/>
      <c r="E1479" s="42"/>
      <c r="F1479" s="42"/>
      <c r="G1479" s="42"/>
      <c r="H1479" s="42"/>
    </row>
    <row r="1480" spans="3:8" x14ac:dyDescent="0.3">
      <c r="C1480" s="42"/>
      <c r="D1480" s="42"/>
      <c r="E1480" s="42"/>
      <c r="F1480" s="42"/>
      <c r="G1480" s="42"/>
      <c r="H1480" s="42"/>
    </row>
    <row r="1481" spans="3:8" x14ac:dyDescent="0.3">
      <c r="C1481" s="42"/>
      <c r="D1481" s="42"/>
      <c r="E1481" s="42"/>
      <c r="F1481" s="42"/>
      <c r="G1481" s="42"/>
      <c r="H1481" s="42"/>
    </row>
    <row r="1482" spans="3:8" x14ac:dyDescent="0.3">
      <c r="C1482" s="42"/>
      <c r="D1482" s="42"/>
      <c r="E1482" s="42"/>
      <c r="F1482" s="42"/>
      <c r="G1482" s="42"/>
      <c r="H1482" s="42"/>
    </row>
    <row r="1483" spans="3:8" x14ac:dyDescent="0.3">
      <c r="C1483" s="42"/>
      <c r="D1483" s="42"/>
      <c r="E1483" s="42"/>
      <c r="F1483" s="42"/>
      <c r="G1483" s="42"/>
      <c r="H1483" s="42"/>
    </row>
    <row r="1484" spans="3:8" x14ac:dyDescent="0.3">
      <c r="C1484" s="42"/>
      <c r="D1484" s="42"/>
      <c r="E1484" s="42"/>
      <c r="F1484" s="42"/>
      <c r="G1484" s="42"/>
      <c r="H1484" s="42"/>
    </row>
    <row r="1485" spans="3:8" x14ac:dyDescent="0.3">
      <c r="C1485" s="42"/>
      <c r="D1485" s="42"/>
      <c r="E1485" s="42"/>
      <c r="F1485" s="42"/>
      <c r="G1485" s="42"/>
      <c r="H1485" s="42"/>
    </row>
    <row r="1486" spans="3:8" x14ac:dyDescent="0.3">
      <c r="C1486" s="42"/>
      <c r="D1486" s="42"/>
      <c r="E1486" s="42"/>
      <c r="F1486" s="42"/>
      <c r="G1486" s="42"/>
      <c r="H1486" s="42"/>
    </row>
    <row r="1487" spans="3:8" x14ac:dyDescent="0.3">
      <c r="C1487" s="42"/>
      <c r="D1487" s="42"/>
      <c r="E1487" s="42"/>
      <c r="F1487" s="42"/>
      <c r="G1487" s="42"/>
      <c r="H1487" s="42"/>
    </row>
    <row r="1488" spans="3:8" x14ac:dyDescent="0.3">
      <c r="C1488" s="42"/>
      <c r="D1488" s="42"/>
      <c r="E1488" s="42"/>
      <c r="F1488" s="42"/>
      <c r="G1488" s="42"/>
      <c r="H1488" s="42"/>
    </row>
    <row r="1489" spans="3:8" x14ac:dyDescent="0.3">
      <c r="C1489" s="42"/>
      <c r="D1489" s="42"/>
      <c r="E1489" s="42"/>
      <c r="F1489" s="42"/>
      <c r="G1489" s="42"/>
      <c r="H1489" s="42"/>
    </row>
    <row r="1490" spans="3:8" x14ac:dyDescent="0.3">
      <c r="C1490" s="42"/>
      <c r="D1490" s="42"/>
      <c r="E1490" s="42"/>
      <c r="F1490" s="42"/>
      <c r="G1490" s="42"/>
      <c r="H1490" s="42"/>
    </row>
    <row r="1491" spans="3:8" x14ac:dyDescent="0.3">
      <c r="C1491" s="42"/>
      <c r="D1491" s="42"/>
      <c r="E1491" s="42"/>
      <c r="F1491" s="42"/>
      <c r="G1491" s="42"/>
      <c r="H1491" s="42"/>
    </row>
    <row r="1492" spans="3:8" x14ac:dyDescent="0.3">
      <c r="C1492" s="42"/>
      <c r="D1492" s="42"/>
      <c r="E1492" s="42"/>
      <c r="F1492" s="42"/>
      <c r="G1492" s="42"/>
      <c r="H1492" s="42"/>
    </row>
    <row r="1493" spans="3:8" x14ac:dyDescent="0.3">
      <c r="C1493" s="42"/>
      <c r="D1493" s="42"/>
      <c r="E1493" s="42"/>
      <c r="F1493" s="42"/>
      <c r="G1493" s="42"/>
      <c r="H1493" s="42"/>
    </row>
    <row r="1494" spans="3:8" x14ac:dyDescent="0.3">
      <c r="C1494" s="42"/>
      <c r="D1494" s="42"/>
      <c r="E1494" s="42"/>
      <c r="F1494" s="42"/>
      <c r="G1494" s="42"/>
      <c r="H1494" s="42"/>
    </row>
    <row r="1495" spans="3:8" x14ac:dyDescent="0.3">
      <c r="C1495" s="42"/>
      <c r="D1495" s="42"/>
      <c r="E1495" s="42"/>
      <c r="F1495" s="42"/>
      <c r="G1495" s="42"/>
      <c r="H1495" s="42"/>
    </row>
    <row r="1496" spans="3:8" x14ac:dyDescent="0.3">
      <c r="C1496" s="42"/>
      <c r="D1496" s="42"/>
      <c r="E1496" s="42"/>
      <c r="F1496" s="42"/>
      <c r="G1496" s="42"/>
      <c r="H1496" s="42"/>
    </row>
    <row r="1497" spans="3:8" x14ac:dyDescent="0.3">
      <c r="C1497" s="42"/>
      <c r="D1497" s="42"/>
      <c r="E1497" s="42"/>
      <c r="F1497" s="42"/>
      <c r="G1497" s="42"/>
      <c r="H1497" s="42"/>
    </row>
    <row r="1498" spans="3:8" x14ac:dyDescent="0.3">
      <c r="C1498" s="42"/>
      <c r="D1498" s="42"/>
      <c r="E1498" s="42"/>
      <c r="F1498" s="42"/>
      <c r="G1498" s="42"/>
      <c r="H1498" s="42"/>
    </row>
    <row r="1499" spans="3:8" x14ac:dyDescent="0.3">
      <c r="C1499" s="42"/>
      <c r="D1499" s="42"/>
      <c r="E1499" s="42"/>
      <c r="F1499" s="42"/>
      <c r="G1499" s="42"/>
      <c r="H1499" s="42"/>
    </row>
    <row r="1500" spans="3:8" x14ac:dyDescent="0.3">
      <c r="C1500" s="42"/>
      <c r="D1500" s="42"/>
      <c r="E1500" s="42"/>
      <c r="F1500" s="42"/>
      <c r="G1500" s="42"/>
      <c r="H1500" s="42"/>
    </row>
    <row r="1501" spans="3:8" x14ac:dyDescent="0.3">
      <c r="C1501" s="42"/>
      <c r="D1501" s="42"/>
      <c r="E1501" s="42"/>
      <c r="F1501" s="42"/>
      <c r="G1501" s="42"/>
      <c r="H1501" s="42"/>
    </row>
    <row r="1502" spans="3:8" x14ac:dyDescent="0.3">
      <c r="C1502" s="42"/>
      <c r="D1502" s="42"/>
      <c r="E1502" s="42"/>
      <c r="F1502" s="42"/>
      <c r="G1502" s="42"/>
      <c r="H1502" s="42"/>
    </row>
    <row r="1503" spans="3:8" x14ac:dyDescent="0.3">
      <c r="C1503" s="42"/>
      <c r="D1503" s="42"/>
      <c r="E1503" s="42"/>
      <c r="F1503" s="42"/>
      <c r="G1503" s="42"/>
      <c r="H1503" s="42"/>
    </row>
    <row r="1504" spans="3:8" x14ac:dyDescent="0.3">
      <c r="C1504" s="42"/>
      <c r="D1504" s="42"/>
      <c r="E1504" s="42"/>
      <c r="F1504" s="42"/>
      <c r="G1504" s="42"/>
      <c r="H1504" s="42"/>
    </row>
    <row r="1505" spans="3:8" x14ac:dyDescent="0.3">
      <c r="C1505" s="42"/>
      <c r="D1505" s="42"/>
      <c r="E1505" s="42"/>
      <c r="F1505" s="42"/>
      <c r="G1505" s="42"/>
      <c r="H1505" s="42"/>
    </row>
    <row r="1506" spans="3:8" x14ac:dyDescent="0.3">
      <c r="C1506" s="42"/>
      <c r="D1506" s="42"/>
      <c r="E1506" s="42"/>
      <c r="F1506" s="42"/>
      <c r="G1506" s="42"/>
      <c r="H1506" s="42"/>
    </row>
    <row r="1507" spans="3:8" x14ac:dyDescent="0.3">
      <c r="C1507" s="42"/>
      <c r="D1507" s="42"/>
      <c r="E1507" s="42"/>
      <c r="F1507" s="42"/>
      <c r="G1507" s="42"/>
      <c r="H1507" s="42"/>
    </row>
    <row r="1508" spans="3:8" x14ac:dyDescent="0.3">
      <c r="C1508" s="42"/>
      <c r="D1508" s="42"/>
      <c r="E1508" s="42"/>
      <c r="F1508" s="42"/>
      <c r="G1508" s="42"/>
      <c r="H1508" s="42"/>
    </row>
    <row r="1509" spans="3:8" x14ac:dyDescent="0.3">
      <c r="C1509" s="42"/>
      <c r="D1509" s="42"/>
      <c r="E1509" s="42"/>
      <c r="F1509" s="42"/>
      <c r="G1509" s="42"/>
      <c r="H1509" s="42"/>
    </row>
    <row r="1510" spans="3:8" x14ac:dyDescent="0.3">
      <c r="C1510" s="42"/>
      <c r="D1510" s="42"/>
      <c r="E1510" s="42"/>
      <c r="F1510" s="42"/>
      <c r="G1510" s="42"/>
      <c r="H1510" s="42"/>
    </row>
    <row r="1511" spans="3:8" x14ac:dyDescent="0.3">
      <c r="C1511" s="42"/>
      <c r="D1511" s="42"/>
      <c r="E1511" s="42"/>
      <c r="F1511" s="42"/>
      <c r="G1511" s="42"/>
      <c r="H1511" s="42"/>
    </row>
    <row r="1512" spans="3:8" x14ac:dyDescent="0.3">
      <c r="C1512" s="42"/>
      <c r="D1512" s="42"/>
      <c r="E1512" s="42"/>
      <c r="F1512" s="42"/>
      <c r="G1512" s="42"/>
      <c r="H1512" s="42"/>
    </row>
    <row r="1513" spans="3:8" x14ac:dyDescent="0.3">
      <c r="C1513" s="42"/>
      <c r="D1513" s="42"/>
      <c r="E1513" s="42"/>
      <c r="F1513" s="42"/>
      <c r="G1513" s="42"/>
      <c r="H1513" s="42"/>
    </row>
    <row r="1514" spans="3:8" x14ac:dyDescent="0.3">
      <c r="C1514" s="42"/>
      <c r="D1514" s="42"/>
      <c r="E1514" s="42"/>
      <c r="F1514" s="42"/>
      <c r="G1514" s="42"/>
      <c r="H1514" s="42"/>
    </row>
    <row r="1515" spans="3:8" x14ac:dyDescent="0.3">
      <c r="C1515" s="42"/>
      <c r="D1515" s="42"/>
      <c r="E1515" s="42"/>
      <c r="F1515" s="42"/>
      <c r="G1515" s="42"/>
      <c r="H1515" s="42"/>
    </row>
    <row r="1516" spans="3:8" x14ac:dyDescent="0.3">
      <c r="C1516" s="42"/>
      <c r="D1516" s="42"/>
      <c r="E1516" s="42"/>
      <c r="F1516" s="42"/>
      <c r="G1516" s="42"/>
      <c r="H1516" s="42"/>
    </row>
    <row r="1517" spans="3:8" x14ac:dyDescent="0.3">
      <c r="C1517" s="42"/>
      <c r="D1517" s="42"/>
      <c r="E1517" s="42"/>
      <c r="F1517" s="42"/>
      <c r="G1517" s="42"/>
      <c r="H1517" s="42"/>
    </row>
    <row r="1518" spans="3:8" x14ac:dyDescent="0.3">
      <c r="C1518" s="42"/>
      <c r="D1518" s="42"/>
      <c r="E1518" s="42"/>
      <c r="F1518" s="42"/>
      <c r="G1518" s="42"/>
      <c r="H1518" s="42"/>
    </row>
    <row r="1519" spans="3:8" x14ac:dyDescent="0.3">
      <c r="C1519" s="42"/>
      <c r="D1519" s="42"/>
      <c r="E1519" s="42"/>
      <c r="F1519" s="42"/>
      <c r="G1519" s="42"/>
      <c r="H1519" s="42"/>
    </row>
    <row r="1520" spans="3:8" x14ac:dyDescent="0.3">
      <c r="C1520" s="42"/>
      <c r="D1520" s="42"/>
      <c r="E1520" s="42"/>
      <c r="F1520" s="42"/>
      <c r="G1520" s="42"/>
      <c r="H1520" s="42"/>
    </row>
    <row r="1521" spans="3:8" x14ac:dyDescent="0.3">
      <c r="C1521" s="42"/>
      <c r="D1521" s="42"/>
      <c r="E1521" s="42"/>
      <c r="F1521" s="42"/>
      <c r="G1521" s="42"/>
      <c r="H1521" s="42"/>
    </row>
    <row r="1522" spans="3:8" x14ac:dyDescent="0.3">
      <c r="C1522" s="42"/>
      <c r="D1522" s="42"/>
      <c r="E1522" s="42"/>
      <c r="F1522" s="42"/>
      <c r="G1522" s="42"/>
      <c r="H1522" s="42"/>
    </row>
    <row r="1523" spans="3:8" x14ac:dyDescent="0.3">
      <c r="C1523" s="42"/>
      <c r="D1523" s="42"/>
      <c r="E1523" s="42"/>
      <c r="F1523" s="42"/>
      <c r="G1523" s="42"/>
      <c r="H1523" s="42"/>
    </row>
    <row r="1524" spans="3:8" x14ac:dyDescent="0.3">
      <c r="C1524" s="42"/>
      <c r="D1524" s="42"/>
      <c r="E1524" s="42"/>
      <c r="F1524" s="42"/>
      <c r="G1524" s="42"/>
      <c r="H1524" s="42"/>
    </row>
    <row r="1525" spans="3:8" x14ac:dyDescent="0.3">
      <c r="C1525" s="42"/>
      <c r="D1525" s="42"/>
      <c r="E1525" s="42"/>
      <c r="F1525" s="42"/>
      <c r="G1525" s="42"/>
      <c r="H1525" s="42"/>
    </row>
    <row r="1526" spans="3:8" x14ac:dyDescent="0.3">
      <c r="C1526" s="42"/>
      <c r="D1526" s="42"/>
      <c r="E1526" s="42"/>
      <c r="F1526" s="42"/>
      <c r="G1526" s="42"/>
      <c r="H1526" s="42"/>
    </row>
    <row r="1527" spans="3:8" x14ac:dyDescent="0.3">
      <c r="C1527" s="42"/>
      <c r="D1527" s="42"/>
      <c r="E1527" s="42"/>
      <c r="F1527" s="42"/>
      <c r="G1527" s="42"/>
      <c r="H1527" s="42"/>
    </row>
    <row r="1528" spans="3:8" x14ac:dyDescent="0.3">
      <c r="C1528" s="42"/>
      <c r="D1528" s="42"/>
      <c r="E1528" s="42"/>
      <c r="F1528" s="42"/>
      <c r="G1528" s="42"/>
      <c r="H1528" s="42"/>
    </row>
    <row r="1529" spans="3:8" x14ac:dyDescent="0.3">
      <c r="C1529" s="42"/>
      <c r="D1529" s="42"/>
      <c r="E1529" s="42"/>
      <c r="F1529" s="42"/>
      <c r="G1529" s="42"/>
      <c r="H1529" s="42"/>
    </row>
    <row r="1530" spans="3:8" x14ac:dyDescent="0.3">
      <c r="C1530" s="42"/>
      <c r="D1530" s="42"/>
      <c r="E1530" s="42"/>
      <c r="F1530" s="42"/>
      <c r="G1530" s="42"/>
      <c r="H1530" s="42"/>
    </row>
    <row r="1531" spans="3:8" x14ac:dyDescent="0.3">
      <c r="C1531" s="42"/>
      <c r="D1531" s="42"/>
      <c r="E1531" s="42"/>
      <c r="F1531" s="42"/>
      <c r="G1531" s="42"/>
      <c r="H1531" s="42"/>
    </row>
    <row r="1532" spans="3:8" x14ac:dyDescent="0.3">
      <c r="C1532" s="42"/>
      <c r="D1532" s="42"/>
      <c r="E1532" s="42"/>
      <c r="F1532" s="42"/>
      <c r="G1532" s="42"/>
      <c r="H1532" s="42"/>
    </row>
    <row r="1533" spans="3:8" x14ac:dyDescent="0.3">
      <c r="C1533" s="42"/>
      <c r="D1533" s="42"/>
      <c r="E1533" s="42"/>
      <c r="F1533" s="42"/>
      <c r="G1533" s="42"/>
      <c r="H1533" s="42"/>
    </row>
    <row r="1534" spans="3:8" x14ac:dyDescent="0.3">
      <c r="C1534" s="42"/>
      <c r="D1534" s="42"/>
      <c r="E1534" s="42"/>
      <c r="F1534" s="42"/>
      <c r="G1534" s="42"/>
      <c r="H1534" s="42"/>
    </row>
    <row r="1535" spans="3:8" x14ac:dyDescent="0.3">
      <c r="C1535" s="42"/>
      <c r="D1535" s="42"/>
      <c r="E1535" s="42"/>
      <c r="F1535" s="42"/>
      <c r="G1535" s="42"/>
      <c r="H1535" s="42"/>
    </row>
    <row r="1536" spans="3:8" x14ac:dyDescent="0.3">
      <c r="C1536" s="42"/>
      <c r="D1536" s="42"/>
      <c r="E1536" s="42"/>
      <c r="F1536" s="42"/>
      <c r="G1536" s="42"/>
      <c r="H1536" s="42"/>
    </row>
    <row r="1537" spans="3:8" x14ac:dyDescent="0.3">
      <c r="C1537" s="42"/>
      <c r="D1537" s="42"/>
      <c r="E1537" s="42"/>
      <c r="F1537" s="42"/>
      <c r="G1537" s="42"/>
      <c r="H1537" s="42"/>
    </row>
    <row r="1538" spans="3:8" x14ac:dyDescent="0.3">
      <c r="C1538" s="42"/>
      <c r="D1538" s="42"/>
      <c r="E1538" s="42"/>
      <c r="F1538" s="42"/>
      <c r="G1538" s="42"/>
      <c r="H1538" s="42"/>
    </row>
    <row r="1539" spans="3:8" x14ac:dyDescent="0.3">
      <c r="C1539" s="42"/>
      <c r="D1539" s="42"/>
      <c r="E1539" s="42"/>
      <c r="F1539" s="42"/>
      <c r="G1539" s="42"/>
      <c r="H1539" s="42"/>
    </row>
    <row r="1540" spans="3:8" x14ac:dyDescent="0.3">
      <c r="C1540" s="42"/>
      <c r="D1540" s="42"/>
      <c r="E1540" s="42"/>
      <c r="F1540" s="42"/>
      <c r="G1540" s="42"/>
      <c r="H1540" s="42"/>
    </row>
    <row r="1541" spans="3:8" x14ac:dyDescent="0.3">
      <c r="C1541" s="42"/>
      <c r="D1541" s="42"/>
      <c r="E1541" s="42"/>
      <c r="F1541" s="42"/>
      <c r="G1541" s="42"/>
      <c r="H1541" s="42"/>
    </row>
    <row r="1542" spans="3:8" x14ac:dyDescent="0.3">
      <c r="C1542" s="42"/>
      <c r="D1542" s="42"/>
      <c r="E1542" s="42"/>
      <c r="F1542" s="42"/>
      <c r="G1542" s="42"/>
      <c r="H1542" s="42"/>
    </row>
    <row r="1543" spans="3:8" x14ac:dyDescent="0.3">
      <c r="C1543" s="42"/>
      <c r="D1543" s="42"/>
      <c r="E1543" s="42"/>
      <c r="F1543" s="42"/>
      <c r="G1543" s="42"/>
      <c r="H1543" s="42"/>
    </row>
    <row r="1544" spans="3:8" x14ac:dyDescent="0.3">
      <c r="C1544" s="42"/>
      <c r="D1544" s="42"/>
      <c r="E1544" s="42"/>
      <c r="F1544" s="42"/>
      <c r="G1544" s="42"/>
      <c r="H1544" s="42"/>
    </row>
    <row r="1545" spans="3:8" x14ac:dyDescent="0.3">
      <c r="C1545" s="42"/>
      <c r="D1545" s="42"/>
      <c r="E1545" s="42"/>
      <c r="F1545" s="42"/>
      <c r="G1545" s="42"/>
      <c r="H1545" s="42"/>
    </row>
    <row r="1546" spans="3:8" x14ac:dyDescent="0.3">
      <c r="C1546" s="42"/>
      <c r="D1546" s="42"/>
      <c r="E1546" s="42"/>
      <c r="F1546" s="42"/>
      <c r="G1546" s="42"/>
      <c r="H1546" s="42"/>
    </row>
    <row r="1547" spans="3:8" x14ac:dyDescent="0.3">
      <c r="C1547" s="42"/>
      <c r="D1547" s="42"/>
      <c r="E1547" s="42"/>
      <c r="F1547" s="42"/>
      <c r="G1547" s="42"/>
      <c r="H1547" s="42"/>
    </row>
    <row r="1548" spans="3:8" x14ac:dyDescent="0.3">
      <c r="C1548" s="42"/>
      <c r="D1548" s="42"/>
      <c r="E1548" s="42"/>
      <c r="F1548" s="42"/>
      <c r="G1548" s="42"/>
      <c r="H1548" s="42"/>
    </row>
    <row r="1549" spans="3:8" x14ac:dyDescent="0.3">
      <c r="C1549" s="42"/>
      <c r="D1549" s="42"/>
      <c r="E1549" s="42"/>
      <c r="F1549" s="42"/>
      <c r="G1549" s="42"/>
      <c r="H1549" s="42"/>
    </row>
    <row r="1550" spans="3:8" x14ac:dyDescent="0.3">
      <c r="C1550" s="42"/>
      <c r="D1550" s="42"/>
      <c r="E1550" s="42"/>
      <c r="F1550" s="42"/>
      <c r="G1550" s="42"/>
      <c r="H1550" s="42"/>
    </row>
    <row r="1551" spans="3:8" x14ac:dyDescent="0.3">
      <c r="C1551" s="42"/>
      <c r="D1551" s="42"/>
      <c r="E1551" s="42"/>
      <c r="F1551" s="42"/>
      <c r="G1551" s="42"/>
      <c r="H1551" s="42"/>
    </row>
    <row r="1552" spans="3:8" x14ac:dyDescent="0.3">
      <c r="C1552" s="42"/>
      <c r="D1552" s="42"/>
      <c r="E1552" s="42"/>
      <c r="F1552" s="42"/>
      <c r="G1552" s="42"/>
      <c r="H1552" s="42"/>
    </row>
    <row r="1553" spans="3:8" x14ac:dyDescent="0.3">
      <c r="C1553" s="42"/>
      <c r="D1553" s="42"/>
      <c r="E1553" s="42"/>
      <c r="F1553" s="42"/>
      <c r="G1553" s="42"/>
      <c r="H1553" s="42"/>
    </row>
    <row r="1554" spans="3:8" x14ac:dyDescent="0.3">
      <c r="C1554" s="42"/>
      <c r="D1554" s="42"/>
      <c r="E1554" s="42"/>
      <c r="F1554" s="42"/>
      <c r="G1554" s="42"/>
      <c r="H1554" s="42"/>
    </row>
    <row r="1555" spans="3:8" x14ac:dyDescent="0.3">
      <c r="C1555" s="42"/>
      <c r="D1555" s="42"/>
      <c r="E1555" s="42"/>
      <c r="F1555" s="42"/>
      <c r="G1555" s="42"/>
      <c r="H1555" s="42"/>
    </row>
    <row r="1556" spans="3:8" x14ac:dyDescent="0.3">
      <c r="C1556" s="42"/>
      <c r="D1556" s="42"/>
      <c r="E1556" s="42"/>
      <c r="F1556" s="42"/>
      <c r="G1556" s="42"/>
      <c r="H1556" s="42"/>
    </row>
    <row r="1557" spans="3:8" x14ac:dyDescent="0.3">
      <c r="C1557" s="42"/>
      <c r="D1557" s="42"/>
      <c r="E1557" s="42"/>
      <c r="F1557" s="42"/>
      <c r="G1557" s="42"/>
      <c r="H1557" s="42"/>
    </row>
    <row r="1558" spans="3:8" x14ac:dyDescent="0.3">
      <c r="C1558" s="42"/>
      <c r="D1558" s="42"/>
      <c r="E1558" s="42"/>
      <c r="F1558" s="42"/>
      <c r="G1558" s="42"/>
      <c r="H1558" s="42"/>
    </row>
    <row r="1559" spans="3:8" x14ac:dyDescent="0.3">
      <c r="C1559" s="42"/>
      <c r="D1559" s="42"/>
      <c r="E1559" s="42"/>
      <c r="F1559" s="42"/>
      <c r="G1559" s="42"/>
      <c r="H1559" s="42"/>
    </row>
    <row r="1560" spans="3:8" x14ac:dyDescent="0.3">
      <c r="C1560" s="42"/>
      <c r="D1560" s="42"/>
      <c r="E1560" s="42"/>
      <c r="F1560" s="42"/>
      <c r="G1560" s="42"/>
      <c r="H1560" s="42"/>
    </row>
    <row r="1561" spans="3:8" x14ac:dyDescent="0.3">
      <c r="C1561" s="42"/>
      <c r="D1561" s="42"/>
      <c r="E1561" s="42"/>
      <c r="F1561" s="42"/>
      <c r="G1561" s="42"/>
      <c r="H1561" s="42"/>
    </row>
    <row r="1562" spans="3:8" x14ac:dyDescent="0.3">
      <c r="C1562" s="42"/>
      <c r="D1562" s="42"/>
      <c r="E1562" s="42"/>
      <c r="F1562" s="42"/>
      <c r="G1562" s="42"/>
      <c r="H1562" s="42"/>
    </row>
    <row r="1563" spans="3:8" x14ac:dyDescent="0.3">
      <c r="C1563" s="42"/>
      <c r="D1563" s="42"/>
      <c r="E1563" s="42"/>
      <c r="F1563" s="42"/>
      <c r="G1563" s="42"/>
      <c r="H1563" s="42"/>
    </row>
    <row r="1564" spans="3:8" x14ac:dyDescent="0.3">
      <c r="C1564" s="42"/>
      <c r="D1564" s="42"/>
      <c r="E1564" s="42"/>
      <c r="F1564" s="42"/>
      <c r="G1564" s="42"/>
      <c r="H1564" s="42"/>
    </row>
    <row r="1565" spans="3:8" x14ac:dyDescent="0.3">
      <c r="C1565" s="42"/>
      <c r="D1565" s="42"/>
      <c r="E1565" s="42"/>
      <c r="F1565" s="42"/>
      <c r="G1565" s="42"/>
      <c r="H1565" s="42"/>
    </row>
    <row r="1566" spans="3:8" x14ac:dyDescent="0.3">
      <c r="C1566" s="42"/>
      <c r="D1566" s="42"/>
      <c r="E1566" s="42"/>
      <c r="F1566" s="42"/>
      <c r="G1566" s="42"/>
      <c r="H1566" s="42"/>
    </row>
    <row r="1567" spans="3:8" x14ac:dyDescent="0.3">
      <c r="C1567" s="42"/>
      <c r="D1567" s="42"/>
      <c r="E1567" s="42"/>
      <c r="F1567" s="42"/>
      <c r="G1567" s="42"/>
      <c r="H1567" s="42"/>
    </row>
    <row r="1568" spans="3:8" x14ac:dyDescent="0.3">
      <c r="C1568" s="42"/>
      <c r="D1568" s="42"/>
      <c r="E1568" s="42"/>
      <c r="F1568" s="42"/>
      <c r="G1568" s="42"/>
      <c r="H1568" s="42"/>
    </row>
    <row r="1569" spans="3:8" x14ac:dyDescent="0.3">
      <c r="C1569" s="42"/>
      <c r="D1569" s="42"/>
      <c r="E1569" s="42"/>
      <c r="F1569" s="42"/>
      <c r="G1569" s="42"/>
      <c r="H1569" s="42"/>
    </row>
    <row r="1570" spans="3:8" x14ac:dyDescent="0.3">
      <c r="C1570" s="42"/>
      <c r="D1570" s="42"/>
      <c r="E1570" s="42"/>
      <c r="F1570" s="42"/>
      <c r="G1570" s="42"/>
      <c r="H1570" s="42"/>
    </row>
    <row r="1571" spans="3:8" x14ac:dyDescent="0.3">
      <c r="C1571" s="42"/>
      <c r="D1571" s="42"/>
      <c r="E1571" s="42"/>
      <c r="F1571" s="42"/>
      <c r="G1571" s="42"/>
      <c r="H1571" s="42"/>
    </row>
    <row r="1572" spans="3:8" x14ac:dyDescent="0.3">
      <c r="C1572" s="42"/>
      <c r="D1572" s="42"/>
      <c r="E1572" s="42"/>
      <c r="F1572" s="42"/>
      <c r="G1572" s="42"/>
      <c r="H1572" s="42"/>
    </row>
    <row r="1573" spans="3:8" x14ac:dyDescent="0.3">
      <c r="C1573" s="42"/>
      <c r="D1573" s="42"/>
      <c r="E1573" s="42"/>
      <c r="F1573" s="42"/>
      <c r="G1573" s="42"/>
      <c r="H1573" s="42"/>
    </row>
    <row r="1574" spans="3:8" x14ac:dyDescent="0.3">
      <c r="C1574" s="42"/>
      <c r="D1574" s="42"/>
      <c r="E1574" s="42"/>
      <c r="F1574" s="42"/>
      <c r="G1574" s="42"/>
      <c r="H1574" s="42"/>
    </row>
    <row r="1575" spans="3:8" x14ac:dyDescent="0.3">
      <c r="C1575" s="42"/>
      <c r="D1575" s="42"/>
      <c r="E1575" s="42"/>
      <c r="F1575" s="42"/>
      <c r="G1575" s="42"/>
      <c r="H1575" s="42"/>
    </row>
    <row r="1576" spans="3:8" x14ac:dyDescent="0.3">
      <c r="C1576" s="42"/>
      <c r="D1576" s="42"/>
      <c r="E1576" s="42"/>
      <c r="F1576" s="42"/>
      <c r="G1576" s="42"/>
      <c r="H1576" s="42"/>
    </row>
    <row r="1577" spans="3:8" x14ac:dyDescent="0.3">
      <c r="C1577" s="42"/>
      <c r="D1577" s="42"/>
      <c r="E1577" s="42"/>
      <c r="F1577" s="42"/>
      <c r="G1577" s="42"/>
      <c r="H1577" s="42"/>
    </row>
    <row r="1578" spans="3:8" x14ac:dyDescent="0.3">
      <c r="C1578" s="42"/>
      <c r="D1578" s="42"/>
      <c r="E1578" s="42"/>
      <c r="F1578" s="42"/>
      <c r="G1578" s="42"/>
      <c r="H1578" s="42"/>
    </row>
    <row r="1579" spans="3:8" x14ac:dyDescent="0.3">
      <c r="C1579" s="42"/>
      <c r="D1579" s="42"/>
      <c r="E1579" s="42"/>
      <c r="F1579" s="42"/>
      <c r="G1579" s="42"/>
      <c r="H1579" s="42"/>
    </row>
    <row r="1580" spans="3:8" x14ac:dyDescent="0.3">
      <c r="C1580" s="42"/>
      <c r="D1580" s="42"/>
      <c r="E1580" s="42"/>
      <c r="F1580" s="42"/>
      <c r="G1580" s="42"/>
      <c r="H1580" s="42"/>
    </row>
    <row r="1581" spans="3:8" x14ac:dyDescent="0.3">
      <c r="C1581" s="42"/>
      <c r="D1581" s="42"/>
      <c r="E1581" s="42"/>
      <c r="F1581" s="42"/>
      <c r="G1581" s="42"/>
      <c r="H1581" s="42"/>
    </row>
    <row r="1582" spans="3:8" x14ac:dyDescent="0.3">
      <c r="C1582" s="42"/>
      <c r="D1582" s="42"/>
      <c r="E1582" s="42"/>
      <c r="F1582" s="42"/>
      <c r="G1582" s="42"/>
      <c r="H1582" s="42"/>
    </row>
    <row r="1583" spans="3:8" x14ac:dyDescent="0.3">
      <c r="C1583" s="42"/>
      <c r="D1583" s="42"/>
      <c r="E1583" s="42"/>
      <c r="F1583" s="42"/>
      <c r="G1583" s="42"/>
      <c r="H1583" s="42"/>
    </row>
    <row r="1584" spans="3:8" x14ac:dyDescent="0.3">
      <c r="C1584" s="42"/>
      <c r="D1584" s="42"/>
      <c r="E1584" s="42"/>
      <c r="F1584" s="42"/>
      <c r="G1584" s="42"/>
      <c r="H1584" s="42"/>
    </row>
    <row r="1585" spans="3:8" x14ac:dyDescent="0.3">
      <c r="C1585" s="42"/>
      <c r="D1585" s="42"/>
      <c r="E1585" s="42"/>
      <c r="F1585" s="42"/>
      <c r="G1585" s="42"/>
      <c r="H1585" s="42"/>
    </row>
    <row r="1586" spans="3:8" x14ac:dyDescent="0.3">
      <c r="C1586" s="42"/>
      <c r="D1586" s="42"/>
      <c r="E1586" s="42"/>
      <c r="F1586" s="42"/>
      <c r="G1586" s="42"/>
      <c r="H1586" s="42"/>
    </row>
    <row r="1587" spans="3:8" x14ac:dyDescent="0.3">
      <c r="C1587" s="42"/>
      <c r="D1587" s="42"/>
      <c r="E1587" s="42"/>
      <c r="F1587" s="42"/>
      <c r="G1587" s="42"/>
      <c r="H1587" s="42"/>
    </row>
    <row r="1588" spans="3:8" x14ac:dyDescent="0.3">
      <c r="C1588" s="42"/>
      <c r="D1588" s="42"/>
      <c r="E1588" s="42"/>
      <c r="F1588" s="42"/>
      <c r="G1588" s="42"/>
      <c r="H1588" s="42"/>
    </row>
    <row r="1589" spans="3:8" x14ac:dyDescent="0.3">
      <c r="C1589" s="42"/>
      <c r="D1589" s="42"/>
      <c r="E1589" s="42"/>
      <c r="F1589" s="42"/>
      <c r="G1589" s="42"/>
      <c r="H1589" s="42"/>
    </row>
    <row r="1590" spans="3:8" x14ac:dyDescent="0.3">
      <c r="C1590" s="42"/>
      <c r="D1590" s="42"/>
      <c r="E1590" s="42"/>
      <c r="F1590" s="42"/>
      <c r="G1590" s="42"/>
      <c r="H1590" s="42"/>
    </row>
    <row r="1591" spans="3:8" x14ac:dyDescent="0.3">
      <c r="C1591" s="42"/>
      <c r="D1591" s="42"/>
      <c r="E1591" s="42"/>
      <c r="F1591" s="42"/>
      <c r="G1591" s="42"/>
      <c r="H1591" s="42"/>
    </row>
    <row r="1592" spans="3:8" x14ac:dyDescent="0.3">
      <c r="C1592" s="42"/>
      <c r="D1592" s="42"/>
      <c r="E1592" s="42"/>
      <c r="F1592" s="42"/>
      <c r="G1592" s="42"/>
      <c r="H1592" s="42"/>
    </row>
    <row r="1593" spans="3:8" x14ac:dyDescent="0.3">
      <c r="C1593" s="42"/>
      <c r="D1593" s="42"/>
      <c r="E1593" s="42"/>
      <c r="F1593" s="42"/>
      <c r="G1593" s="42"/>
      <c r="H1593" s="42"/>
    </row>
    <row r="1594" spans="3:8" x14ac:dyDescent="0.3">
      <c r="C1594" s="42"/>
      <c r="D1594" s="42"/>
      <c r="E1594" s="42"/>
      <c r="F1594" s="42"/>
      <c r="G1594" s="42"/>
      <c r="H1594" s="42"/>
    </row>
    <row r="1595" spans="3:8" x14ac:dyDescent="0.3">
      <c r="C1595" s="42"/>
      <c r="D1595" s="42"/>
      <c r="E1595" s="42"/>
      <c r="F1595" s="42"/>
      <c r="G1595" s="42"/>
      <c r="H1595" s="42"/>
    </row>
    <row r="1596" spans="3:8" x14ac:dyDescent="0.3">
      <c r="C1596" s="42"/>
      <c r="D1596" s="42"/>
      <c r="E1596" s="42"/>
      <c r="F1596" s="42"/>
      <c r="G1596" s="42"/>
      <c r="H1596" s="42"/>
    </row>
    <row r="1597" spans="3:8" x14ac:dyDescent="0.3">
      <c r="C1597" s="42"/>
      <c r="D1597" s="42"/>
      <c r="E1597" s="42"/>
      <c r="F1597" s="42"/>
      <c r="G1597" s="42"/>
      <c r="H1597" s="42"/>
    </row>
    <row r="1598" spans="3:8" x14ac:dyDescent="0.3">
      <c r="C1598" s="42"/>
      <c r="D1598" s="42"/>
      <c r="E1598" s="42"/>
      <c r="F1598" s="42"/>
      <c r="G1598" s="42"/>
      <c r="H1598" s="42"/>
    </row>
    <row r="1599" spans="3:8" x14ac:dyDescent="0.3">
      <c r="C1599" s="42"/>
      <c r="D1599" s="42"/>
      <c r="E1599" s="42"/>
      <c r="F1599" s="42"/>
      <c r="G1599" s="42"/>
      <c r="H1599" s="42"/>
    </row>
    <row r="1600" spans="3:8" x14ac:dyDescent="0.3">
      <c r="C1600" s="42"/>
      <c r="D1600" s="42"/>
      <c r="E1600" s="42"/>
      <c r="F1600" s="42"/>
      <c r="G1600" s="42"/>
      <c r="H1600" s="42"/>
    </row>
    <row r="1601" spans="3:8" x14ac:dyDescent="0.3">
      <c r="C1601" s="42"/>
      <c r="D1601" s="42"/>
      <c r="E1601" s="42"/>
      <c r="F1601" s="42"/>
      <c r="G1601" s="42"/>
      <c r="H1601" s="42"/>
    </row>
    <row r="1602" spans="3:8" x14ac:dyDescent="0.3">
      <c r="C1602" s="42"/>
      <c r="D1602" s="42"/>
      <c r="E1602" s="42"/>
      <c r="F1602" s="42"/>
      <c r="G1602" s="42"/>
      <c r="H1602" s="42"/>
    </row>
    <row r="1603" spans="3:8" x14ac:dyDescent="0.3">
      <c r="C1603" s="42"/>
      <c r="D1603" s="42"/>
      <c r="E1603" s="42"/>
      <c r="F1603" s="42"/>
      <c r="G1603" s="42"/>
      <c r="H1603" s="42"/>
    </row>
    <row r="1604" spans="3:8" x14ac:dyDescent="0.3">
      <c r="C1604" s="42"/>
      <c r="D1604" s="42"/>
      <c r="E1604" s="42"/>
      <c r="F1604" s="42"/>
      <c r="G1604" s="42"/>
      <c r="H1604" s="42"/>
    </row>
    <row r="1605" spans="3:8" x14ac:dyDescent="0.3">
      <c r="C1605" s="42"/>
      <c r="D1605" s="42"/>
      <c r="E1605" s="42"/>
      <c r="F1605" s="42"/>
      <c r="G1605" s="42"/>
      <c r="H1605" s="42"/>
    </row>
    <row r="1606" spans="3:8" x14ac:dyDescent="0.3">
      <c r="C1606" s="42"/>
      <c r="D1606" s="42"/>
      <c r="E1606" s="42"/>
      <c r="F1606" s="42"/>
      <c r="G1606" s="42"/>
      <c r="H1606" s="42"/>
    </row>
    <row r="1607" spans="3:8" x14ac:dyDescent="0.3">
      <c r="C1607" s="42"/>
      <c r="D1607" s="42"/>
      <c r="E1607" s="42"/>
      <c r="F1607" s="42"/>
      <c r="G1607" s="42"/>
      <c r="H1607" s="42"/>
    </row>
    <row r="1608" spans="3:8" x14ac:dyDescent="0.3">
      <c r="C1608" s="42"/>
      <c r="D1608" s="42"/>
      <c r="E1608" s="42"/>
      <c r="F1608" s="42"/>
      <c r="G1608" s="42"/>
      <c r="H1608" s="42"/>
    </row>
    <row r="1609" spans="3:8" x14ac:dyDescent="0.3">
      <c r="C1609" s="42"/>
      <c r="D1609" s="42"/>
      <c r="E1609" s="42"/>
      <c r="F1609" s="42"/>
      <c r="G1609" s="42"/>
      <c r="H1609" s="42"/>
    </row>
    <row r="1610" spans="3:8" x14ac:dyDescent="0.3">
      <c r="C1610" s="42"/>
      <c r="D1610" s="42"/>
      <c r="E1610" s="42"/>
      <c r="F1610" s="42"/>
      <c r="G1610" s="42"/>
      <c r="H1610" s="42"/>
    </row>
    <row r="1611" spans="3:8" x14ac:dyDescent="0.3">
      <c r="C1611" s="42"/>
      <c r="D1611" s="42"/>
      <c r="E1611" s="42"/>
      <c r="F1611" s="42"/>
      <c r="G1611" s="42"/>
      <c r="H1611" s="42"/>
    </row>
    <row r="1612" spans="3:8" x14ac:dyDescent="0.3">
      <c r="C1612" s="42"/>
      <c r="D1612" s="42"/>
      <c r="E1612" s="42"/>
      <c r="F1612" s="42"/>
      <c r="G1612" s="42"/>
      <c r="H1612" s="42"/>
    </row>
    <row r="1613" spans="3:8" x14ac:dyDescent="0.3">
      <c r="C1613" s="42"/>
      <c r="D1613" s="42"/>
      <c r="E1613" s="42"/>
      <c r="F1613" s="42"/>
      <c r="G1613" s="42"/>
      <c r="H1613" s="42"/>
    </row>
    <row r="1614" spans="3:8" x14ac:dyDescent="0.3">
      <c r="C1614" s="42"/>
      <c r="D1614" s="42"/>
      <c r="E1614" s="42"/>
      <c r="F1614" s="42"/>
      <c r="G1614" s="42"/>
      <c r="H1614" s="42"/>
    </row>
    <row r="1615" spans="3:8" x14ac:dyDescent="0.3">
      <c r="C1615" s="42"/>
      <c r="D1615" s="42"/>
      <c r="E1615" s="42"/>
      <c r="F1615" s="42"/>
      <c r="G1615" s="42"/>
      <c r="H1615" s="42"/>
    </row>
    <row r="1616" spans="3:8" x14ac:dyDescent="0.3">
      <c r="C1616" s="42"/>
      <c r="D1616" s="42"/>
      <c r="E1616" s="42"/>
      <c r="F1616" s="42"/>
      <c r="G1616" s="42"/>
      <c r="H1616" s="42"/>
    </row>
    <row r="1617" spans="3:8" x14ac:dyDescent="0.3">
      <c r="C1617" s="42"/>
      <c r="D1617" s="42"/>
      <c r="E1617" s="42"/>
      <c r="F1617" s="42"/>
      <c r="G1617" s="42"/>
      <c r="H1617" s="42"/>
    </row>
    <row r="1618" spans="3:8" x14ac:dyDescent="0.3">
      <c r="C1618" s="42"/>
      <c r="D1618" s="42"/>
      <c r="E1618" s="42"/>
      <c r="F1618" s="42"/>
      <c r="G1618" s="42"/>
      <c r="H1618" s="42"/>
    </row>
    <row r="1619" spans="3:8" x14ac:dyDescent="0.3">
      <c r="C1619" s="42"/>
      <c r="D1619" s="42"/>
      <c r="E1619" s="42"/>
      <c r="F1619" s="42"/>
      <c r="G1619" s="42"/>
      <c r="H1619" s="42"/>
    </row>
    <row r="1620" spans="3:8" x14ac:dyDescent="0.3">
      <c r="C1620" s="42"/>
      <c r="D1620" s="42"/>
      <c r="E1620" s="42"/>
      <c r="F1620" s="42"/>
      <c r="G1620" s="42"/>
      <c r="H1620" s="42"/>
    </row>
    <row r="1621" spans="3:8" x14ac:dyDescent="0.3">
      <c r="C1621" s="42"/>
      <c r="D1621" s="42"/>
      <c r="E1621" s="42"/>
      <c r="F1621" s="42"/>
      <c r="G1621" s="42"/>
      <c r="H1621" s="42"/>
    </row>
    <row r="1622" spans="3:8" x14ac:dyDescent="0.3">
      <c r="C1622" s="42"/>
      <c r="D1622" s="42"/>
      <c r="E1622" s="42"/>
      <c r="F1622" s="42"/>
      <c r="G1622" s="42"/>
      <c r="H1622" s="42"/>
    </row>
    <row r="1623" spans="3:8" x14ac:dyDescent="0.3">
      <c r="C1623" s="42"/>
      <c r="D1623" s="42"/>
      <c r="E1623" s="42"/>
      <c r="F1623" s="42"/>
      <c r="G1623" s="42"/>
      <c r="H1623" s="42"/>
    </row>
    <row r="1624" spans="3:8" x14ac:dyDescent="0.3">
      <c r="C1624" s="42"/>
      <c r="D1624" s="42"/>
      <c r="E1624" s="42"/>
      <c r="F1624" s="42"/>
      <c r="G1624" s="42"/>
      <c r="H1624" s="42"/>
    </row>
    <row r="1625" spans="3:8" x14ac:dyDescent="0.3">
      <c r="C1625" s="42"/>
      <c r="D1625" s="42"/>
      <c r="E1625" s="42"/>
      <c r="F1625" s="42"/>
      <c r="G1625" s="42"/>
      <c r="H1625" s="42"/>
    </row>
    <row r="1626" spans="3:8" x14ac:dyDescent="0.3">
      <c r="C1626" s="42"/>
      <c r="D1626" s="42"/>
      <c r="E1626" s="42"/>
      <c r="F1626" s="42"/>
      <c r="G1626" s="42"/>
      <c r="H1626" s="42"/>
    </row>
    <row r="1627" spans="3:8" x14ac:dyDescent="0.3">
      <c r="C1627" s="42"/>
      <c r="D1627" s="42"/>
      <c r="E1627" s="42"/>
      <c r="F1627" s="42"/>
      <c r="G1627" s="42"/>
      <c r="H1627" s="42"/>
    </row>
    <row r="1628" spans="3:8" x14ac:dyDescent="0.3">
      <c r="C1628" s="42"/>
      <c r="D1628" s="42"/>
      <c r="E1628" s="42"/>
      <c r="F1628" s="42"/>
      <c r="G1628" s="42"/>
      <c r="H1628" s="42"/>
    </row>
    <row r="1629" spans="3:8" x14ac:dyDescent="0.3">
      <c r="C1629" s="42"/>
      <c r="D1629" s="42"/>
      <c r="E1629" s="42"/>
      <c r="F1629" s="42"/>
      <c r="G1629" s="42"/>
      <c r="H1629" s="42"/>
    </row>
    <row r="1630" spans="3:8" x14ac:dyDescent="0.3">
      <c r="C1630" s="42"/>
      <c r="D1630" s="42"/>
      <c r="E1630" s="42"/>
      <c r="F1630" s="42"/>
      <c r="G1630" s="42"/>
      <c r="H1630" s="42"/>
    </row>
    <row r="1631" spans="3:8" x14ac:dyDescent="0.3">
      <c r="C1631" s="42"/>
      <c r="D1631" s="42"/>
      <c r="E1631" s="42"/>
      <c r="F1631" s="42"/>
      <c r="G1631" s="42"/>
      <c r="H1631" s="42"/>
    </row>
    <row r="1632" spans="3:8" x14ac:dyDescent="0.3">
      <c r="C1632" s="42"/>
      <c r="D1632" s="42"/>
      <c r="E1632" s="42"/>
      <c r="F1632" s="42"/>
      <c r="G1632" s="42"/>
      <c r="H1632" s="42"/>
    </row>
    <row r="1633" spans="3:8" x14ac:dyDescent="0.3">
      <c r="C1633" s="42"/>
      <c r="D1633" s="42"/>
      <c r="E1633" s="42"/>
      <c r="F1633" s="42"/>
      <c r="G1633" s="42"/>
      <c r="H1633" s="42"/>
    </row>
    <row r="1634" spans="3:8" x14ac:dyDescent="0.3">
      <c r="C1634" s="42"/>
      <c r="D1634" s="42"/>
      <c r="E1634" s="42"/>
      <c r="F1634" s="42"/>
      <c r="G1634" s="42"/>
      <c r="H1634" s="42"/>
    </row>
    <row r="1635" spans="3:8" x14ac:dyDescent="0.3">
      <c r="C1635" s="42"/>
      <c r="D1635" s="42"/>
      <c r="E1635" s="42"/>
      <c r="F1635" s="42"/>
      <c r="G1635" s="42"/>
      <c r="H1635" s="42"/>
    </row>
    <row r="1636" spans="3:8" x14ac:dyDescent="0.3">
      <c r="C1636" s="42"/>
      <c r="D1636" s="42"/>
      <c r="E1636" s="42"/>
      <c r="F1636" s="42"/>
      <c r="G1636" s="42"/>
      <c r="H1636" s="42"/>
    </row>
    <row r="1637" spans="3:8" x14ac:dyDescent="0.3">
      <c r="C1637" s="42"/>
      <c r="D1637" s="42"/>
      <c r="E1637" s="42"/>
      <c r="F1637" s="42"/>
      <c r="G1637" s="42"/>
      <c r="H1637" s="42"/>
    </row>
    <row r="1638" spans="3:8" x14ac:dyDescent="0.3">
      <c r="C1638" s="42"/>
      <c r="D1638" s="42"/>
      <c r="E1638" s="42"/>
      <c r="F1638" s="42"/>
      <c r="G1638" s="42"/>
      <c r="H1638" s="42"/>
    </row>
    <row r="1639" spans="3:8" x14ac:dyDescent="0.3">
      <c r="C1639" s="42"/>
      <c r="D1639" s="42"/>
      <c r="E1639" s="42"/>
      <c r="F1639" s="42"/>
      <c r="G1639" s="42"/>
      <c r="H1639" s="42"/>
    </row>
    <row r="1640" spans="3:8" x14ac:dyDescent="0.3">
      <c r="C1640" s="42"/>
      <c r="D1640" s="42"/>
      <c r="E1640" s="42"/>
      <c r="F1640" s="42"/>
      <c r="G1640" s="42"/>
      <c r="H1640" s="42"/>
    </row>
    <row r="1641" spans="3:8" x14ac:dyDescent="0.3">
      <c r="C1641" s="42"/>
      <c r="D1641" s="42"/>
      <c r="E1641" s="42"/>
      <c r="F1641" s="42"/>
      <c r="G1641" s="42"/>
      <c r="H1641" s="42"/>
    </row>
    <row r="1642" spans="3:8" x14ac:dyDescent="0.3">
      <c r="C1642" s="42"/>
      <c r="D1642" s="42"/>
      <c r="E1642" s="42"/>
      <c r="F1642" s="42"/>
      <c r="G1642" s="42"/>
      <c r="H1642" s="42"/>
    </row>
    <row r="1643" spans="3:8" x14ac:dyDescent="0.3">
      <c r="C1643" s="42"/>
      <c r="D1643" s="42"/>
      <c r="E1643" s="42"/>
      <c r="F1643" s="42"/>
      <c r="G1643" s="42"/>
      <c r="H1643" s="42"/>
    </row>
    <row r="1644" spans="3:8" x14ac:dyDescent="0.3">
      <c r="C1644" s="42"/>
      <c r="D1644" s="42"/>
      <c r="E1644" s="42"/>
      <c r="F1644" s="42"/>
      <c r="G1644" s="42"/>
      <c r="H1644" s="42"/>
    </row>
    <row r="1645" spans="3:8" x14ac:dyDescent="0.3">
      <c r="C1645" s="42"/>
      <c r="D1645" s="42"/>
      <c r="E1645" s="42"/>
      <c r="F1645" s="42"/>
      <c r="G1645" s="42"/>
      <c r="H1645" s="42"/>
    </row>
    <row r="1646" spans="3:8" x14ac:dyDescent="0.3">
      <c r="C1646" s="42"/>
      <c r="D1646" s="42"/>
      <c r="E1646" s="42"/>
      <c r="F1646" s="42"/>
      <c r="G1646" s="42"/>
      <c r="H1646" s="42"/>
    </row>
    <row r="1647" spans="3:8" x14ac:dyDescent="0.3">
      <c r="C1647" s="42"/>
      <c r="D1647" s="42"/>
      <c r="E1647" s="42"/>
      <c r="F1647" s="42"/>
      <c r="G1647" s="42"/>
      <c r="H1647" s="42"/>
    </row>
    <row r="1648" spans="3:8" x14ac:dyDescent="0.3">
      <c r="C1648" s="42"/>
      <c r="D1648" s="42"/>
      <c r="E1648" s="42"/>
      <c r="F1648" s="42"/>
      <c r="G1648" s="42"/>
      <c r="H1648" s="42"/>
    </row>
    <row r="1649" spans="3:8" x14ac:dyDescent="0.3">
      <c r="C1649" s="42"/>
      <c r="D1649" s="42"/>
      <c r="E1649" s="42"/>
      <c r="F1649" s="42"/>
      <c r="G1649" s="42"/>
      <c r="H1649" s="42"/>
    </row>
    <row r="1650" spans="3:8" x14ac:dyDescent="0.3">
      <c r="C1650" s="42"/>
      <c r="D1650" s="42"/>
      <c r="E1650" s="42"/>
      <c r="F1650" s="42"/>
      <c r="G1650" s="42"/>
      <c r="H1650" s="42"/>
    </row>
    <row r="1651" spans="3:8" x14ac:dyDescent="0.3">
      <c r="C1651" s="42"/>
      <c r="D1651" s="42"/>
      <c r="E1651" s="42"/>
      <c r="F1651" s="42"/>
      <c r="G1651" s="42"/>
      <c r="H1651" s="42"/>
    </row>
    <row r="1652" spans="3:8" x14ac:dyDescent="0.3">
      <c r="C1652" s="42"/>
      <c r="D1652" s="42"/>
      <c r="E1652" s="42"/>
      <c r="F1652" s="42"/>
      <c r="G1652" s="42"/>
      <c r="H1652" s="42"/>
    </row>
    <row r="1653" spans="3:8" x14ac:dyDescent="0.3">
      <c r="C1653" s="42"/>
      <c r="D1653" s="42"/>
      <c r="E1653" s="42"/>
      <c r="F1653" s="42"/>
      <c r="G1653" s="42"/>
      <c r="H1653" s="42"/>
    </row>
    <row r="1654" spans="3:8" x14ac:dyDescent="0.3">
      <c r="C1654" s="42"/>
      <c r="D1654" s="42"/>
      <c r="E1654" s="42"/>
      <c r="F1654" s="42"/>
      <c r="G1654" s="42"/>
      <c r="H1654" s="42"/>
    </row>
    <row r="1655" spans="3:8" x14ac:dyDescent="0.3">
      <c r="C1655" s="42"/>
      <c r="D1655" s="42"/>
      <c r="E1655" s="42"/>
      <c r="F1655" s="42"/>
      <c r="G1655" s="42"/>
      <c r="H1655" s="42"/>
    </row>
    <row r="1656" spans="3:8" x14ac:dyDescent="0.3">
      <c r="C1656" s="42"/>
      <c r="D1656" s="42"/>
      <c r="E1656" s="42"/>
      <c r="F1656" s="42"/>
      <c r="G1656" s="42"/>
      <c r="H1656" s="42"/>
    </row>
    <row r="1657" spans="3:8" x14ac:dyDescent="0.3">
      <c r="C1657" s="42"/>
      <c r="D1657" s="42"/>
      <c r="E1657" s="42"/>
      <c r="F1657" s="42"/>
      <c r="G1657" s="42"/>
      <c r="H1657" s="42"/>
    </row>
    <row r="1658" spans="3:8" x14ac:dyDescent="0.3">
      <c r="C1658" s="42"/>
      <c r="D1658" s="42"/>
      <c r="E1658" s="42"/>
      <c r="F1658" s="42"/>
      <c r="G1658" s="42"/>
      <c r="H1658" s="42"/>
    </row>
    <row r="1659" spans="3:8" x14ac:dyDescent="0.3">
      <c r="C1659" s="42"/>
      <c r="D1659" s="42"/>
      <c r="E1659" s="42"/>
      <c r="F1659" s="42"/>
      <c r="G1659" s="42"/>
      <c r="H1659" s="42"/>
    </row>
    <row r="1660" spans="3:8" x14ac:dyDescent="0.3">
      <c r="C1660" s="42"/>
      <c r="D1660" s="42"/>
      <c r="E1660" s="42"/>
      <c r="F1660" s="42"/>
      <c r="G1660" s="42"/>
      <c r="H1660" s="42"/>
    </row>
    <row r="1661" spans="3:8" x14ac:dyDescent="0.3">
      <c r="C1661" s="42"/>
      <c r="D1661" s="42"/>
      <c r="E1661" s="42"/>
      <c r="F1661" s="42"/>
      <c r="G1661" s="42"/>
      <c r="H1661" s="42"/>
    </row>
    <row r="1662" spans="3:8" x14ac:dyDescent="0.3">
      <c r="C1662" s="42"/>
      <c r="D1662" s="42"/>
      <c r="E1662" s="42"/>
      <c r="F1662" s="42"/>
      <c r="G1662" s="42"/>
      <c r="H1662" s="42"/>
    </row>
    <row r="1663" spans="3:8" x14ac:dyDescent="0.3">
      <c r="C1663" s="42"/>
      <c r="D1663" s="42"/>
      <c r="E1663" s="42"/>
      <c r="F1663" s="42"/>
      <c r="G1663" s="42"/>
      <c r="H1663" s="42"/>
    </row>
    <row r="1664" spans="3:8" x14ac:dyDescent="0.3">
      <c r="C1664" s="42"/>
      <c r="D1664" s="42"/>
      <c r="E1664" s="42"/>
      <c r="F1664" s="42"/>
      <c r="G1664" s="42"/>
      <c r="H1664" s="42"/>
    </row>
    <row r="1665" spans="3:8" x14ac:dyDescent="0.3">
      <c r="C1665" s="42"/>
      <c r="D1665" s="42"/>
      <c r="E1665" s="42"/>
      <c r="F1665" s="42"/>
      <c r="G1665" s="42"/>
      <c r="H1665" s="42"/>
    </row>
    <row r="1666" spans="3:8" x14ac:dyDescent="0.3">
      <c r="C1666" s="42"/>
      <c r="D1666" s="42"/>
      <c r="E1666" s="42"/>
      <c r="F1666" s="42"/>
      <c r="G1666" s="42"/>
      <c r="H1666" s="42"/>
    </row>
    <row r="1667" spans="3:8" x14ac:dyDescent="0.3">
      <c r="C1667" s="42"/>
      <c r="D1667" s="42"/>
      <c r="E1667" s="42"/>
      <c r="F1667" s="42"/>
      <c r="G1667" s="42"/>
      <c r="H1667" s="42"/>
    </row>
    <row r="1668" spans="3:8" x14ac:dyDescent="0.3">
      <c r="C1668" s="42"/>
      <c r="D1668" s="42"/>
      <c r="E1668" s="42"/>
      <c r="F1668" s="42"/>
      <c r="G1668" s="42"/>
      <c r="H1668" s="42"/>
    </row>
    <row r="1669" spans="3:8" x14ac:dyDescent="0.3">
      <c r="C1669" s="42"/>
      <c r="D1669" s="42"/>
      <c r="E1669" s="42"/>
      <c r="F1669" s="42"/>
      <c r="G1669" s="42"/>
      <c r="H1669" s="42"/>
    </row>
    <row r="1670" spans="3:8" x14ac:dyDescent="0.3">
      <c r="C1670" s="42"/>
      <c r="D1670" s="42"/>
      <c r="E1670" s="42"/>
      <c r="F1670" s="42"/>
      <c r="G1670" s="42"/>
      <c r="H1670" s="42"/>
    </row>
    <row r="1671" spans="3:8" x14ac:dyDescent="0.3">
      <c r="C1671" s="42"/>
      <c r="D1671" s="42"/>
      <c r="E1671" s="42"/>
      <c r="F1671" s="42"/>
      <c r="G1671" s="42"/>
      <c r="H1671" s="42"/>
    </row>
    <row r="1672" spans="3:8" x14ac:dyDescent="0.3">
      <c r="C1672" s="42"/>
      <c r="D1672" s="42"/>
      <c r="E1672" s="42"/>
      <c r="F1672" s="42"/>
      <c r="G1672" s="42"/>
      <c r="H1672" s="42"/>
    </row>
    <row r="1673" spans="3:8" x14ac:dyDescent="0.3">
      <c r="C1673" s="42"/>
      <c r="D1673" s="42"/>
      <c r="E1673" s="42"/>
      <c r="F1673" s="42"/>
      <c r="G1673" s="42"/>
      <c r="H1673" s="42"/>
    </row>
    <row r="1674" spans="3:8" x14ac:dyDescent="0.3">
      <c r="C1674" s="42"/>
      <c r="D1674" s="42"/>
      <c r="E1674" s="42"/>
      <c r="F1674" s="42"/>
      <c r="G1674" s="42"/>
      <c r="H1674" s="42"/>
    </row>
    <row r="1675" spans="3:8" x14ac:dyDescent="0.3">
      <c r="C1675" s="42"/>
      <c r="D1675" s="42"/>
      <c r="E1675" s="42"/>
      <c r="F1675" s="42"/>
      <c r="G1675" s="42"/>
      <c r="H1675" s="42"/>
    </row>
    <row r="1676" spans="3:8" x14ac:dyDescent="0.3">
      <c r="C1676" s="42"/>
      <c r="D1676" s="42"/>
      <c r="E1676" s="42"/>
      <c r="F1676" s="42"/>
      <c r="G1676" s="42"/>
      <c r="H1676" s="42"/>
    </row>
    <row r="1677" spans="3:8" x14ac:dyDescent="0.3">
      <c r="C1677" s="42"/>
      <c r="D1677" s="42"/>
      <c r="E1677" s="42"/>
      <c r="F1677" s="42"/>
      <c r="G1677" s="42"/>
      <c r="H1677" s="42"/>
    </row>
    <row r="1678" spans="3:8" x14ac:dyDescent="0.3">
      <c r="C1678" s="42"/>
      <c r="D1678" s="42"/>
      <c r="E1678" s="42"/>
      <c r="F1678" s="42"/>
      <c r="G1678" s="42"/>
      <c r="H1678" s="42"/>
    </row>
    <row r="1679" spans="3:8" x14ac:dyDescent="0.3">
      <c r="C1679" s="42"/>
      <c r="D1679" s="42"/>
      <c r="E1679" s="42"/>
      <c r="F1679" s="42"/>
      <c r="G1679" s="42"/>
      <c r="H1679" s="42"/>
    </row>
    <row r="1680" spans="3:8" x14ac:dyDescent="0.3">
      <c r="C1680" s="42"/>
      <c r="D1680" s="42"/>
      <c r="E1680" s="42"/>
      <c r="F1680" s="42"/>
      <c r="G1680" s="42"/>
      <c r="H1680" s="42"/>
    </row>
    <row r="1681" spans="3:8" x14ac:dyDescent="0.3">
      <c r="C1681" s="42"/>
      <c r="D1681" s="42"/>
      <c r="E1681" s="42"/>
      <c r="F1681" s="42"/>
      <c r="G1681" s="42"/>
      <c r="H1681" s="42"/>
    </row>
    <row r="1682" spans="3:8" x14ac:dyDescent="0.3">
      <c r="C1682" s="42"/>
      <c r="D1682" s="42"/>
      <c r="E1682" s="42"/>
      <c r="F1682" s="42"/>
      <c r="G1682" s="42"/>
      <c r="H1682" s="42"/>
    </row>
    <row r="1683" spans="3:8" x14ac:dyDescent="0.3">
      <c r="C1683" s="42"/>
      <c r="D1683" s="42"/>
      <c r="E1683" s="42"/>
      <c r="F1683" s="42"/>
      <c r="G1683" s="42"/>
      <c r="H1683" s="42"/>
    </row>
    <row r="1684" spans="3:8" x14ac:dyDescent="0.3">
      <c r="C1684" s="42"/>
      <c r="D1684" s="42"/>
      <c r="E1684" s="42"/>
      <c r="F1684" s="42"/>
      <c r="G1684" s="42"/>
      <c r="H1684" s="42"/>
    </row>
    <row r="1685" spans="3:8" x14ac:dyDescent="0.3">
      <c r="C1685" s="42"/>
      <c r="D1685" s="42"/>
      <c r="E1685" s="42"/>
      <c r="F1685" s="42"/>
      <c r="G1685" s="42"/>
      <c r="H1685" s="42"/>
    </row>
    <row r="1686" spans="3:8" x14ac:dyDescent="0.3">
      <c r="C1686" s="42"/>
      <c r="D1686" s="42"/>
      <c r="E1686" s="42"/>
      <c r="F1686" s="42"/>
      <c r="G1686" s="42"/>
      <c r="H1686" s="42"/>
    </row>
    <row r="1687" spans="3:8" x14ac:dyDescent="0.3">
      <c r="C1687" s="42"/>
      <c r="D1687" s="42"/>
      <c r="E1687" s="42"/>
      <c r="F1687" s="42"/>
      <c r="G1687" s="42"/>
      <c r="H1687" s="42"/>
    </row>
    <row r="1688" spans="3:8" x14ac:dyDescent="0.3">
      <c r="C1688" s="42"/>
      <c r="D1688" s="42"/>
      <c r="E1688" s="42"/>
      <c r="F1688" s="42"/>
      <c r="G1688" s="42"/>
      <c r="H1688" s="42"/>
    </row>
    <row r="1689" spans="3:8" x14ac:dyDescent="0.3">
      <c r="C1689" s="42"/>
      <c r="D1689" s="42"/>
      <c r="E1689" s="42"/>
      <c r="F1689" s="42"/>
      <c r="G1689" s="42"/>
      <c r="H1689" s="42"/>
    </row>
    <row r="1690" spans="3:8" x14ac:dyDescent="0.3">
      <c r="C1690" s="42"/>
      <c r="D1690" s="42"/>
      <c r="E1690" s="42"/>
      <c r="F1690" s="42"/>
      <c r="G1690" s="42"/>
      <c r="H1690" s="42"/>
    </row>
    <row r="1691" spans="3:8" x14ac:dyDescent="0.3">
      <c r="C1691" s="42"/>
      <c r="D1691" s="42"/>
      <c r="E1691" s="42"/>
      <c r="F1691" s="42"/>
      <c r="G1691" s="42"/>
      <c r="H1691" s="42"/>
    </row>
    <row r="1692" spans="3:8" x14ac:dyDescent="0.3">
      <c r="C1692" s="42"/>
      <c r="D1692" s="42"/>
      <c r="E1692" s="42"/>
      <c r="F1692" s="42"/>
      <c r="G1692" s="42"/>
      <c r="H1692" s="42"/>
    </row>
    <row r="1693" spans="3:8" x14ac:dyDescent="0.3">
      <c r="C1693" s="42"/>
      <c r="D1693" s="42"/>
      <c r="E1693" s="42"/>
      <c r="F1693" s="42"/>
      <c r="G1693" s="42"/>
      <c r="H1693" s="42"/>
    </row>
    <row r="1694" spans="3:8" x14ac:dyDescent="0.3">
      <c r="C1694" s="42"/>
      <c r="D1694" s="42"/>
      <c r="E1694" s="42"/>
      <c r="F1694" s="42"/>
      <c r="G1694" s="42"/>
      <c r="H1694" s="42"/>
    </row>
    <row r="1695" spans="3:8" x14ac:dyDescent="0.3">
      <c r="C1695" s="42"/>
      <c r="D1695" s="42"/>
      <c r="E1695" s="42"/>
      <c r="F1695" s="42"/>
      <c r="G1695" s="42"/>
      <c r="H1695" s="42"/>
    </row>
    <row r="1696" spans="3:8" x14ac:dyDescent="0.3">
      <c r="C1696" s="42"/>
      <c r="D1696" s="42"/>
      <c r="E1696" s="42"/>
      <c r="F1696" s="42"/>
      <c r="G1696" s="42"/>
      <c r="H1696" s="42"/>
    </row>
    <row r="1697" spans="3:8" x14ac:dyDescent="0.3">
      <c r="C1697" s="42"/>
      <c r="D1697" s="42"/>
      <c r="E1697" s="42"/>
      <c r="F1697" s="42"/>
      <c r="G1697" s="42"/>
      <c r="H1697" s="42"/>
    </row>
    <row r="1698" spans="3:8" x14ac:dyDescent="0.3">
      <c r="C1698" s="42"/>
      <c r="D1698" s="42"/>
      <c r="E1698" s="42"/>
      <c r="F1698" s="42"/>
      <c r="G1698" s="42"/>
      <c r="H1698" s="42"/>
    </row>
    <row r="1699" spans="3:8" x14ac:dyDescent="0.3">
      <c r="C1699" s="42"/>
      <c r="D1699" s="42"/>
      <c r="E1699" s="42"/>
      <c r="F1699" s="42"/>
      <c r="G1699" s="42"/>
      <c r="H1699" s="42"/>
    </row>
    <row r="1700" spans="3:8" x14ac:dyDescent="0.3">
      <c r="C1700" s="42"/>
      <c r="D1700" s="42"/>
      <c r="E1700" s="42"/>
      <c r="F1700" s="42"/>
      <c r="G1700" s="42"/>
      <c r="H1700" s="42"/>
    </row>
    <row r="1701" spans="3:8" x14ac:dyDescent="0.3">
      <c r="C1701" s="42"/>
      <c r="D1701" s="42"/>
      <c r="E1701" s="42"/>
      <c r="F1701" s="42"/>
      <c r="G1701" s="42"/>
      <c r="H1701" s="42"/>
    </row>
    <row r="1702" spans="3:8" x14ac:dyDescent="0.3">
      <c r="C1702" s="42"/>
      <c r="D1702" s="42"/>
      <c r="E1702" s="42"/>
      <c r="F1702" s="42"/>
      <c r="G1702" s="42"/>
      <c r="H1702" s="42"/>
    </row>
    <row r="1703" spans="3:8" x14ac:dyDescent="0.3">
      <c r="C1703" s="42"/>
      <c r="D1703" s="42"/>
      <c r="E1703" s="42"/>
      <c r="F1703" s="42"/>
      <c r="G1703" s="42"/>
      <c r="H1703" s="42"/>
    </row>
    <row r="1704" spans="3:8" x14ac:dyDescent="0.3">
      <c r="C1704" s="42"/>
      <c r="D1704" s="42"/>
      <c r="E1704" s="42"/>
      <c r="F1704" s="42"/>
      <c r="G1704" s="42"/>
      <c r="H1704" s="42"/>
    </row>
    <row r="1705" spans="3:8" x14ac:dyDescent="0.3">
      <c r="C1705" s="42"/>
      <c r="D1705" s="42"/>
      <c r="E1705" s="42"/>
      <c r="F1705" s="42"/>
      <c r="G1705" s="42"/>
      <c r="H1705" s="42"/>
    </row>
    <row r="1706" spans="3:8" x14ac:dyDescent="0.3">
      <c r="C1706" s="42"/>
      <c r="D1706" s="42"/>
      <c r="E1706" s="42"/>
      <c r="F1706" s="42"/>
      <c r="G1706" s="42"/>
      <c r="H1706" s="42"/>
    </row>
    <row r="1707" spans="3:8" x14ac:dyDescent="0.3">
      <c r="C1707" s="42"/>
      <c r="D1707" s="42"/>
      <c r="E1707" s="42"/>
      <c r="F1707" s="42"/>
      <c r="G1707" s="42"/>
      <c r="H1707" s="42"/>
    </row>
    <row r="1708" spans="3:8" x14ac:dyDescent="0.3">
      <c r="C1708" s="42"/>
      <c r="D1708" s="42"/>
      <c r="E1708" s="42"/>
      <c r="F1708" s="42"/>
      <c r="G1708" s="42"/>
      <c r="H1708" s="42"/>
    </row>
    <row r="1709" spans="3:8" x14ac:dyDescent="0.3">
      <c r="C1709" s="42"/>
      <c r="D1709" s="42"/>
      <c r="E1709" s="42"/>
      <c r="F1709" s="42"/>
      <c r="G1709" s="42"/>
      <c r="H1709" s="42"/>
    </row>
    <row r="1710" spans="3:8" x14ac:dyDescent="0.3">
      <c r="C1710" s="42"/>
      <c r="D1710" s="42"/>
      <c r="E1710" s="42"/>
      <c r="F1710" s="42"/>
      <c r="G1710" s="42"/>
      <c r="H1710" s="42"/>
    </row>
    <row r="1711" spans="3:8" x14ac:dyDescent="0.3">
      <c r="C1711" s="42"/>
      <c r="D1711" s="42"/>
      <c r="E1711" s="42"/>
      <c r="F1711" s="42"/>
      <c r="G1711" s="42"/>
      <c r="H1711" s="42"/>
    </row>
    <row r="1712" spans="3:8" x14ac:dyDescent="0.3">
      <c r="C1712" s="42"/>
      <c r="D1712" s="42"/>
      <c r="E1712" s="42"/>
      <c r="F1712" s="42"/>
      <c r="G1712" s="42"/>
      <c r="H1712" s="42"/>
    </row>
    <row r="1713" spans="3:8" x14ac:dyDescent="0.3">
      <c r="C1713" s="42"/>
      <c r="D1713" s="42"/>
      <c r="E1713" s="42"/>
      <c r="F1713" s="42"/>
      <c r="G1713" s="42"/>
      <c r="H1713" s="42"/>
    </row>
    <row r="1714" spans="3:8" x14ac:dyDescent="0.3">
      <c r="C1714" s="42"/>
      <c r="D1714" s="42"/>
      <c r="E1714" s="42"/>
      <c r="F1714" s="42"/>
      <c r="G1714" s="42"/>
      <c r="H1714" s="42"/>
    </row>
    <row r="1715" spans="3:8" x14ac:dyDescent="0.3">
      <c r="C1715" s="42"/>
      <c r="D1715" s="42"/>
      <c r="E1715" s="42"/>
      <c r="F1715" s="42"/>
      <c r="G1715" s="42"/>
      <c r="H1715" s="42"/>
    </row>
    <row r="1716" spans="3:8" x14ac:dyDescent="0.3">
      <c r="C1716" s="42"/>
      <c r="D1716" s="42"/>
      <c r="E1716" s="42"/>
      <c r="F1716" s="42"/>
      <c r="G1716" s="42"/>
      <c r="H1716" s="42"/>
    </row>
    <row r="1717" spans="3:8" x14ac:dyDescent="0.3">
      <c r="C1717" s="42"/>
      <c r="D1717" s="42"/>
      <c r="E1717" s="42"/>
      <c r="F1717" s="42"/>
      <c r="G1717" s="42"/>
      <c r="H1717" s="42"/>
    </row>
    <row r="1718" spans="3:8" x14ac:dyDescent="0.3">
      <c r="C1718" s="42"/>
      <c r="D1718" s="42"/>
      <c r="E1718" s="42"/>
      <c r="F1718" s="42"/>
      <c r="G1718" s="42"/>
      <c r="H1718" s="42"/>
    </row>
    <row r="1719" spans="3:8" x14ac:dyDescent="0.3">
      <c r="C1719" s="42"/>
      <c r="D1719" s="42"/>
      <c r="E1719" s="42"/>
      <c r="F1719" s="42"/>
      <c r="G1719" s="42"/>
      <c r="H1719" s="42"/>
    </row>
    <row r="1720" spans="3:8" x14ac:dyDescent="0.3">
      <c r="C1720" s="42"/>
      <c r="D1720" s="42"/>
      <c r="E1720" s="42"/>
      <c r="F1720" s="42"/>
      <c r="G1720" s="42"/>
      <c r="H1720" s="42"/>
    </row>
    <row r="1721" spans="3:8" x14ac:dyDescent="0.3">
      <c r="C1721" s="42"/>
      <c r="D1721" s="42"/>
      <c r="E1721" s="42"/>
      <c r="F1721" s="42"/>
      <c r="G1721" s="42"/>
      <c r="H1721" s="42"/>
    </row>
    <row r="1722" spans="3:8" x14ac:dyDescent="0.3">
      <c r="C1722" s="42"/>
      <c r="D1722" s="42"/>
      <c r="E1722" s="42"/>
      <c r="F1722" s="42"/>
      <c r="G1722" s="42"/>
      <c r="H1722" s="42"/>
    </row>
    <row r="1723" spans="3:8" x14ac:dyDescent="0.3">
      <c r="C1723" s="42"/>
      <c r="D1723" s="42"/>
      <c r="E1723" s="42"/>
      <c r="F1723" s="42"/>
      <c r="G1723" s="42"/>
      <c r="H1723" s="42"/>
    </row>
    <row r="1724" spans="3:8" x14ac:dyDescent="0.3">
      <c r="C1724" s="42"/>
      <c r="D1724" s="42"/>
      <c r="E1724" s="42"/>
      <c r="F1724" s="42"/>
      <c r="G1724" s="42"/>
      <c r="H1724" s="42"/>
    </row>
    <row r="1725" spans="3:8" x14ac:dyDescent="0.3">
      <c r="C1725" s="42"/>
      <c r="D1725" s="42"/>
      <c r="E1725" s="42"/>
      <c r="F1725" s="42"/>
      <c r="G1725" s="42"/>
      <c r="H1725" s="42"/>
    </row>
    <row r="1726" spans="3:8" x14ac:dyDescent="0.3">
      <c r="C1726" s="42"/>
      <c r="D1726" s="42"/>
      <c r="E1726" s="42"/>
      <c r="F1726" s="42"/>
      <c r="G1726" s="42"/>
      <c r="H1726" s="42"/>
    </row>
    <row r="1727" spans="3:8" x14ac:dyDescent="0.3">
      <c r="C1727" s="42"/>
      <c r="D1727" s="42"/>
      <c r="E1727" s="42"/>
      <c r="F1727" s="42"/>
      <c r="G1727" s="42"/>
      <c r="H1727" s="42"/>
    </row>
    <row r="1728" spans="3:8" x14ac:dyDescent="0.3">
      <c r="C1728" s="42"/>
      <c r="D1728" s="42"/>
      <c r="E1728" s="42"/>
      <c r="F1728" s="42"/>
      <c r="G1728" s="42"/>
      <c r="H1728" s="42"/>
    </row>
    <row r="1729" spans="3:8" x14ac:dyDescent="0.3">
      <c r="C1729" s="42"/>
      <c r="D1729" s="42"/>
      <c r="E1729" s="42"/>
      <c r="F1729" s="42"/>
      <c r="G1729" s="42"/>
      <c r="H1729" s="42"/>
    </row>
    <row r="1730" spans="3:8" x14ac:dyDescent="0.3">
      <c r="C1730" s="42"/>
      <c r="D1730" s="42"/>
      <c r="E1730" s="42"/>
      <c r="F1730" s="42"/>
      <c r="G1730" s="42"/>
      <c r="H1730" s="42"/>
    </row>
    <row r="1731" spans="3:8" x14ac:dyDescent="0.3">
      <c r="C1731" s="42"/>
      <c r="D1731" s="42"/>
      <c r="E1731" s="42"/>
      <c r="F1731" s="42"/>
      <c r="G1731" s="42"/>
      <c r="H1731" s="42"/>
    </row>
    <row r="1732" spans="3:8" x14ac:dyDescent="0.3">
      <c r="C1732" s="42"/>
      <c r="D1732" s="42"/>
      <c r="E1732" s="42"/>
      <c r="F1732" s="42"/>
      <c r="G1732" s="42"/>
      <c r="H1732" s="42"/>
    </row>
    <row r="1733" spans="3:8" x14ac:dyDescent="0.3">
      <c r="C1733" s="42"/>
      <c r="D1733" s="42"/>
      <c r="E1733" s="42"/>
      <c r="F1733" s="42"/>
      <c r="G1733" s="42"/>
      <c r="H1733" s="42"/>
    </row>
    <row r="1734" spans="3:8" x14ac:dyDescent="0.3">
      <c r="C1734" s="42"/>
      <c r="D1734" s="42"/>
      <c r="E1734" s="42"/>
      <c r="F1734" s="42"/>
      <c r="G1734" s="42"/>
      <c r="H1734" s="42"/>
    </row>
    <row r="1735" spans="3:8" x14ac:dyDescent="0.3">
      <c r="C1735" s="42"/>
      <c r="D1735" s="42"/>
      <c r="E1735" s="42"/>
      <c r="F1735" s="42"/>
      <c r="G1735" s="42"/>
      <c r="H1735" s="42"/>
    </row>
    <row r="1736" spans="3:8" x14ac:dyDescent="0.3">
      <c r="C1736" s="42"/>
      <c r="D1736" s="42"/>
      <c r="E1736" s="42"/>
      <c r="F1736" s="42"/>
      <c r="G1736" s="42"/>
      <c r="H1736" s="42"/>
    </row>
    <row r="1737" spans="3:8" x14ac:dyDescent="0.3">
      <c r="C1737" s="42"/>
      <c r="D1737" s="42"/>
      <c r="E1737" s="42"/>
      <c r="F1737" s="42"/>
      <c r="G1737" s="42"/>
      <c r="H1737" s="42"/>
    </row>
    <row r="1738" spans="3:8" x14ac:dyDescent="0.3">
      <c r="C1738" s="42"/>
      <c r="D1738" s="42"/>
      <c r="E1738" s="42"/>
      <c r="F1738" s="42"/>
      <c r="G1738" s="42"/>
      <c r="H1738" s="42"/>
    </row>
    <row r="1739" spans="3:8" x14ac:dyDescent="0.3">
      <c r="C1739" s="42"/>
      <c r="D1739" s="42"/>
      <c r="E1739" s="42"/>
      <c r="F1739" s="42"/>
      <c r="G1739" s="42"/>
      <c r="H1739" s="42"/>
    </row>
    <row r="1740" spans="3:8" x14ac:dyDescent="0.3">
      <c r="C1740" s="42"/>
      <c r="D1740" s="42"/>
      <c r="E1740" s="42"/>
      <c r="F1740" s="42"/>
      <c r="G1740" s="42"/>
      <c r="H1740" s="42"/>
    </row>
    <row r="1741" spans="3:8" x14ac:dyDescent="0.3">
      <c r="C1741" s="42"/>
      <c r="D1741" s="42"/>
      <c r="E1741" s="42"/>
      <c r="F1741" s="42"/>
      <c r="G1741" s="42"/>
      <c r="H1741" s="42"/>
    </row>
    <row r="1742" spans="3:8" x14ac:dyDescent="0.3">
      <c r="C1742" s="42"/>
      <c r="D1742" s="42"/>
      <c r="E1742" s="42"/>
      <c r="F1742" s="42"/>
      <c r="G1742" s="42"/>
      <c r="H1742" s="42"/>
    </row>
    <row r="1743" spans="3:8" x14ac:dyDescent="0.3">
      <c r="C1743" s="42"/>
      <c r="D1743" s="42"/>
      <c r="E1743" s="42"/>
      <c r="F1743" s="42"/>
      <c r="G1743" s="42"/>
      <c r="H1743" s="42"/>
    </row>
    <row r="1744" spans="3:8" x14ac:dyDescent="0.3">
      <c r="C1744" s="42"/>
      <c r="D1744" s="42"/>
      <c r="E1744" s="42"/>
      <c r="F1744" s="42"/>
      <c r="G1744" s="42"/>
      <c r="H1744" s="42"/>
    </row>
    <row r="1745" spans="3:8" x14ac:dyDescent="0.3">
      <c r="C1745" s="42"/>
      <c r="D1745" s="42"/>
      <c r="E1745" s="42"/>
      <c r="F1745" s="42"/>
      <c r="G1745" s="42"/>
      <c r="H1745" s="42"/>
    </row>
    <row r="1746" spans="3:8" x14ac:dyDescent="0.3">
      <c r="C1746" s="42"/>
      <c r="D1746" s="42"/>
      <c r="E1746" s="42"/>
      <c r="F1746" s="42"/>
      <c r="G1746" s="42"/>
      <c r="H1746" s="42"/>
    </row>
    <row r="1747" spans="3:8" x14ac:dyDescent="0.3">
      <c r="C1747" s="42"/>
      <c r="D1747" s="42"/>
      <c r="E1747" s="42"/>
      <c r="F1747" s="42"/>
      <c r="G1747" s="42"/>
      <c r="H1747" s="42"/>
    </row>
    <row r="1748" spans="3:8" x14ac:dyDescent="0.3">
      <c r="C1748" s="42"/>
      <c r="D1748" s="42"/>
      <c r="E1748" s="42"/>
      <c r="F1748" s="42"/>
      <c r="G1748" s="42"/>
      <c r="H1748" s="42"/>
    </row>
    <row r="1749" spans="3:8" x14ac:dyDescent="0.3">
      <c r="C1749" s="42"/>
      <c r="D1749" s="42"/>
      <c r="E1749" s="42"/>
      <c r="F1749" s="42"/>
      <c r="G1749" s="42"/>
      <c r="H1749" s="42"/>
    </row>
    <row r="1750" spans="3:8" x14ac:dyDescent="0.3">
      <c r="C1750" s="42"/>
      <c r="D1750" s="42"/>
      <c r="E1750" s="42"/>
      <c r="F1750" s="42"/>
      <c r="G1750" s="42"/>
      <c r="H1750" s="42"/>
    </row>
    <row r="1751" spans="3:8" x14ac:dyDescent="0.3">
      <c r="C1751" s="42"/>
      <c r="D1751" s="42"/>
      <c r="E1751" s="42"/>
      <c r="F1751" s="42"/>
      <c r="G1751" s="42"/>
      <c r="H1751" s="42"/>
    </row>
    <row r="1752" spans="3:8" x14ac:dyDescent="0.3">
      <c r="C1752" s="42"/>
      <c r="D1752" s="42"/>
      <c r="E1752" s="42"/>
      <c r="F1752" s="42"/>
      <c r="G1752" s="42"/>
      <c r="H1752" s="42"/>
    </row>
    <row r="1753" spans="3:8" x14ac:dyDescent="0.3">
      <c r="C1753" s="42"/>
      <c r="D1753" s="42"/>
      <c r="E1753" s="42"/>
      <c r="F1753" s="42"/>
      <c r="G1753" s="42"/>
      <c r="H1753" s="42"/>
    </row>
    <row r="1754" spans="3:8" x14ac:dyDescent="0.3">
      <c r="C1754" s="42"/>
      <c r="D1754" s="42"/>
      <c r="E1754" s="42"/>
      <c r="F1754" s="42"/>
      <c r="G1754" s="42"/>
      <c r="H1754" s="42"/>
    </row>
    <row r="1755" spans="3:8" x14ac:dyDescent="0.3">
      <c r="C1755" s="42"/>
      <c r="D1755" s="42"/>
      <c r="E1755" s="42"/>
      <c r="F1755" s="42"/>
      <c r="G1755" s="42"/>
      <c r="H1755" s="42"/>
    </row>
    <row r="1756" spans="3:8" x14ac:dyDescent="0.3">
      <c r="C1756" s="42"/>
      <c r="D1756" s="42"/>
      <c r="E1756" s="42"/>
      <c r="F1756" s="42"/>
      <c r="G1756" s="42"/>
      <c r="H1756" s="42"/>
    </row>
    <row r="1757" spans="3:8" x14ac:dyDescent="0.3">
      <c r="C1757" s="42"/>
      <c r="D1757" s="42"/>
      <c r="E1757" s="42"/>
      <c r="F1757" s="42"/>
      <c r="G1757" s="42"/>
      <c r="H1757" s="42"/>
    </row>
    <row r="1758" spans="3:8" x14ac:dyDescent="0.3">
      <c r="C1758" s="42"/>
      <c r="D1758" s="42"/>
      <c r="E1758" s="42"/>
      <c r="F1758" s="42"/>
      <c r="G1758" s="42"/>
      <c r="H1758" s="42"/>
    </row>
    <row r="1759" spans="3:8" x14ac:dyDescent="0.3">
      <c r="C1759" s="42"/>
      <c r="D1759" s="42"/>
      <c r="E1759" s="42"/>
      <c r="F1759" s="42"/>
      <c r="G1759" s="42"/>
      <c r="H1759" s="42"/>
    </row>
    <row r="1760" spans="3:8" x14ac:dyDescent="0.3">
      <c r="C1760" s="42"/>
      <c r="D1760" s="42"/>
      <c r="E1760" s="42"/>
      <c r="F1760" s="42"/>
      <c r="G1760" s="42"/>
      <c r="H1760" s="42"/>
    </row>
    <row r="1761" spans="3:8" x14ac:dyDescent="0.3">
      <c r="C1761" s="42"/>
      <c r="D1761" s="42"/>
      <c r="E1761" s="42"/>
      <c r="F1761" s="42"/>
      <c r="G1761" s="42"/>
      <c r="H1761" s="42"/>
    </row>
    <row r="1762" spans="3:8" x14ac:dyDescent="0.3">
      <c r="C1762" s="42"/>
      <c r="D1762" s="42"/>
      <c r="E1762" s="42"/>
      <c r="F1762" s="42"/>
      <c r="G1762" s="42"/>
      <c r="H1762" s="42"/>
    </row>
    <row r="1763" spans="3:8" x14ac:dyDescent="0.3">
      <c r="C1763" s="42"/>
      <c r="D1763" s="42"/>
      <c r="E1763" s="42"/>
      <c r="F1763" s="42"/>
      <c r="G1763" s="42"/>
      <c r="H1763" s="42"/>
    </row>
    <row r="1764" spans="3:8" x14ac:dyDescent="0.3">
      <c r="C1764" s="42"/>
      <c r="D1764" s="42"/>
      <c r="E1764" s="42"/>
      <c r="F1764" s="42"/>
      <c r="G1764" s="42"/>
      <c r="H1764" s="42"/>
    </row>
    <row r="1765" spans="3:8" x14ac:dyDescent="0.3">
      <c r="C1765" s="42"/>
      <c r="D1765" s="42"/>
      <c r="E1765" s="42"/>
      <c r="F1765" s="42"/>
      <c r="G1765" s="42"/>
      <c r="H1765" s="42"/>
    </row>
    <row r="1766" spans="3:8" x14ac:dyDescent="0.3">
      <c r="C1766" s="42"/>
      <c r="D1766" s="42"/>
      <c r="E1766" s="42"/>
      <c r="F1766" s="42"/>
      <c r="G1766" s="42"/>
      <c r="H1766" s="42"/>
    </row>
    <row r="1767" spans="3:8" x14ac:dyDescent="0.3">
      <c r="C1767" s="42"/>
      <c r="D1767" s="42"/>
      <c r="E1767" s="42"/>
      <c r="F1767" s="42"/>
      <c r="G1767" s="42"/>
      <c r="H1767" s="42"/>
    </row>
    <row r="1768" spans="3:8" x14ac:dyDescent="0.3">
      <c r="C1768" s="42"/>
      <c r="D1768" s="42"/>
      <c r="E1768" s="42"/>
      <c r="F1768" s="42"/>
      <c r="G1768" s="42"/>
      <c r="H1768" s="42"/>
    </row>
    <row r="1769" spans="3:8" x14ac:dyDescent="0.3">
      <c r="C1769" s="42"/>
      <c r="D1769" s="42"/>
      <c r="E1769" s="42"/>
      <c r="F1769" s="42"/>
      <c r="G1769" s="42"/>
      <c r="H1769" s="42"/>
    </row>
    <row r="1770" spans="3:8" x14ac:dyDescent="0.3">
      <c r="C1770" s="42"/>
      <c r="D1770" s="42"/>
      <c r="E1770" s="42"/>
      <c r="F1770" s="42"/>
      <c r="G1770" s="42"/>
      <c r="H1770" s="42"/>
    </row>
    <row r="1771" spans="3:8" x14ac:dyDescent="0.3">
      <c r="C1771" s="42"/>
      <c r="D1771" s="42"/>
      <c r="E1771" s="42"/>
      <c r="F1771" s="42"/>
      <c r="G1771" s="42"/>
      <c r="H1771" s="42"/>
    </row>
    <row r="1772" spans="3:8" x14ac:dyDescent="0.3">
      <c r="C1772" s="42"/>
      <c r="D1772" s="42"/>
      <c r="E1772" s="42"/>
      <c r="F1772" s="42"/>
      <c r="G1772" s="42"/>
      <c r="H1772" s="42"/>
    </row>
    <row r="1773" spans="3:8" x14ac:dyDescent="0.3">
      <c r="C1773" s="42"/>
      <c r="D1773" s="42"/>
      <c r="E1773" s="42"/>
      <c r="F1773" s="42"/>
      <c r="G1773" s="42"/>
      <c r="H1773" s="42"/>
    </row>
    <row r="1774" spans="3:8" x14ac:dyDescent="0.3">
      <c r="C1774" s="42"/>
      <c r="D1774" s="42"/>
      <c r="E1774" s="42"/>
      <c r="F1774" s="42"/>
      <c r="G1774" s="42"/>
      <c r="H1774" s="42"/>
    </row>
    <row r="1775" spans="3:8" x14ac:dyDescent="0.3">
      <c r="C1775" s="42"/>
      <c r="D1775" s="42"/>
      <c r="E1775" s="42"/>
      <c r="F1775" s="42"/>
      <c r="G1775" s="42"/>
      <c r="H1775" s="42"/>
    </row>
    <row r="1776" spans="3:8" x14ac:dyDescent="0.3">
      <c r="C1776" s="42"/>
      <c r="D1776" s="42"/>
      <c r="E1776" s="42"/>
      <c r="F1776" s="42"/>
      <c r="G1776" s="42"/>
      <c r="H1776" s="42"/>
    </row>
    <row r="1777" spans="3:8" x14ac:dyDescent="0.3">
      <c r="C1777" s="42"/>
      <c r="D1777" s="42"/>
      <c r="E1777" s="42"/>
      <c r="F1777" s="42"/>
      <c r="G1777" s="42"/>
      <c r="H1777" s="42"/>
    </row>
    <row r="1778" spans="3:8" x14ac:dyDescent="0.3">
      <c r="C1778" s="42"/>
      <c r="D1778" s="42"/>
      <c r="E1778" s="42"/>
      <c r="F1778" s="42"/>
      <c r="G1778" s="42"/>
      <c r="H1778" s="42"/>
    </row>
    <row r="1779" spans="3:8" x14ac:dyDescent="0.3">
      <c r="C1779" s="42"/>
      <c r="D1779" s="42"/>
      <c r="E1779" s="42"/>
      <c r="F1779" s="42"/>
      <c r="G1779" s="42"/>
      <c r="H1779" s="42"/>
    </row>
    <row r="1780" spans="3:8" x14ac:dyDescent="0.3">
      <c r="C1780" s="42"/>
      <c r="D1780" s="42"/>
      <c r="E1780" s="42"/>
      <c r="F1780" s="42"/>
      <c r="G1780" s="42"/>
      <c r="H1780" s="42"/>
    </row>
    <row r="1781" spans="3:8" x14ac:dyDescent="0.3">
      <c r="C1781" s="42"/>
      <c r="D1781" s="42"/>
      <c r="E1781" s="42"/>
      <c r="F1781" s="42"/>
      <c r="G1781" s="42"/>
      <c r="H1781" s="42"/>
    </row>
    <row r="1782" spans="3:8" x14ac:dyDescent="0.3">
      <c r="C1782" s="42"/>
      <c r="D1782" s="42"/>
      <c r="E1782" s="42"/>
      <c r="F1782" s="42"/>
      <c r="G1782" s="42"/>
      <c r="H1782" s="42"/>
    </row>
    <row r="1783" spans="3:8" x14ac:dyDescent="0.3">
      <c r="C1783" s="42"/>
      <c r="D1783" s="42"/>
      <c r="E1783" s="42"/>
      <c r="F1783" s="42"/>
      <c r="G1783" s="42"/>
      <c r="H1783" s="42"/>
    </row>
    <row r="1784" spans="3:8" x14ac:dyDescent="0.3">
      <c r="C1784" s="42"/>
      <c r="D1784" s="42"/>
      <c r="E1784" s="42"/>
      <c r="F1784" s="42"/>
      <c r="G1784" s="42"/>
      <c r="H1784" s="42"/>
    </row>
    <row r="1785" spans="3:8" x14ac:dyDescent="0.3">
      <c r="C1785" s="42"/>
      <c r="D1785" s="42"/>
      <c r="E1785" s="42"/>
      <c r="F1785" s="42"/>
      <c r="G1785" s="42"/>
      <c r="H1785" s="42"/>
    </row>
    <row r="1786" spans="3:8" x14ac:dyDescent="0.3">
      <c r="C1786" s="42"/>
      <c r="D1786" s="42"/>
      <c r="E1786" s="42"/>
      <c r="F1786" s="42"/>
      <c r="G1786" s="42"/>
      <c r="H1786" s="42"/>
    </row>
    <row r="1787" spans="3:8" x14ac:dyDescent="0.3">
      <c r="C1787" s="42"/>
      <c r="D1787" s="42"/>
      <c r="E1787" s="42"/>
      <c r="F1787" s="42"/>
      <c r="G1787" s="42"/>
      <c r="H1787" s="42"/>
    </row>
    <row r="1788" spans="3:8" x14ac:dyDescent="0.3">
      <c r="C1788" s="42"/>
      <c r="D1788" s="42"/>
      <c r="E1788" s="42"/>
      <c r="F1788" s="42"/>
      <c r="G1788" s="42"/>
      <c r="H1788" s="42"/>
    </row>
    <row r="1789" spans="3:8" x14ac:dyDescent="0.3">
      <c r="C1789" s="42"/>
      <c r="D1789" s="42"/>
      <c r="E1789" s="42"/>
      <c r="F1789" s="42"/>
      <c r="G1789" s="42"/>
      <c r="H1789" s="42"/>
    </row>
    <row r="1790" spans="3:8" x14ac:dyDescent="0.3">
      <c r="C1790" s="42"/>
      <c r="D1790" s="42"/>
      <c r="E1790" s="42"/>
      <c r="F1790" s="42"/>
      <c r="G1790" s="42"/>
      <c r="H1790" s="42"/>
    </row>
    <row r="1791" spans="3:8" x14ac:dyDescent="0.3">
      <c r="C1791" s="42"/>
      <c r="D1791" s="42"/>
      <c r="E1791" s="42"/>
      <c r="F1791" s="42"/>
      <c r="G1791" s="42"/>
      <c r="H1791" s="42"/>
    </row>
    <row r="1792" spans="3:8" x14ac:dyDescent="0.3">
      <c r="C1792" s="42"/>
      <c r="D1792" s="42"/>
      <c r="E1792" s="42"/>
      <c r="F1792" s="42"/>
      <c r="G1792" s="42"/>
      <c r="H1792" s="42"/>
    </row>
    <row r="1793" spans="3:8" x14ac:dyDescent="0.3">
      <c r="C1793" s="42"/>
      <c r="D1793" s="42"/>
      <c r="E1793" s="42"/>
      <c r="F1793" s="42"/>
      <c r="G1793" s="42"/>
      <c r="H1793" s="42"/>
    </row>
    <row r="1794" spans="3:8" x14ac:dyDescent="0.3">
      <c r="C1794" s="42"/>
      <c r="D1794" s="42"/>
      <c r="E1794" s="42"/>
      <c r="F1794" s="42"/>
      <c r="G1794" s="42"/>
      <c r="H1794" s="42"/>
    </row>
    <row r="1795" spans="3:8" x14ac:dyDescent="0.3">
      <c r="C1795" s="42"/>
      <c r="D1795" s="42"/>
      <c r="E1795" s="42"/>
      <c r="F1795" s="42"/>
      <c r="G1795" s="42"/>
      <c r="H1795" s="42"/>
    </row>
    <row r="1796" spans="3:8" x14ac:dyDescent="0.3">
      <c r="C1796" s="42"/>
      <c r="D1796" s="42"/>
      <c r="E1796" s="42"/>
      <c r="F1796" s="42"/>
      <c r="G1796" s="42"/>
      <c r="H1796" s="42"/>
    </row>
    <row r="1797" spans="3:8" x14ac:dyDescent="0.3">
      <c r="C1797" s="42"/>
      <c r="D1797" s="42"/>
      <c r="E1797" s="42"/>
      <c r="F1797" s="42"/>
      <c r="G1797" s="42"/>
      <c r="H1797" s="42"/>
    </row>
    <row r="1798" spans="3:8" x14ac:dyDescent="0.3">
      <c r="C1798" s="42"/>
      <c r="D1798" s="42"/>
      <c r="E1798" s="42"/>
      <c r="F1798" s="42"/>
      <c r="G1798" s="42"/>
      <c r="H1798" s="42"/>
    </row>
    <row r="1799" spans="3:8" x14ac:dyDescent="0.3">
      <c r="C1799" s="42"/>
      <c r="D1799" s="42"/>
      <c r="E1799" s="42"/>
      <c r="F1799" s="42"/>
      <c r="G1799" s="42"/>
      <c r="H1799" s="42"/>
    </row>
    <row r="1800" spans="3:8" x14ac:dyDescent="0.3">
      <c r="C1800" s="42"/>
      <c r="D1800" s="42"/>
      <c r="E1800" s="42"/>
      <c r="F1800" s="42"/>
      <c r="G1800" s="42"/>
      <c r="H1800" s="42"/>
    </row>
    <row r="1801" spans="3:8" x14ac:dyDescent="0.3">
      <c r="C1801" s="42"/>
      <c r="D1801" s="42"/>
      <c r="E1801" s="42"/>
      <c r="F1801" s="42"/>
      <c r="G1801" s="42"/>
      <c r="H1801" s="42"/>
    </row>
    <row r="1802" spans="3:8" x14ac:dyDescent="0.3">
      <c r="C1802" s="42"/>
      <c r="D1802" s="42"/>
      <c r="E1802" s="42"/>
      <c r="F1802" s="42"/>
      <c r="G1802" s="42"/>
      <c r="H1802" s="42"/>
    </row>
    <row r="1803" spans="3:8" x14ac:dyDescent="0.3">
      <c r="C1803" s="42"/>
      <c r="D1803" s="42"/>
      <c r="E1803" s="42"/>
      <c r="F1803" s="42"/>
      <c r="G1803" s="42"/>
      <c r="H1803" s="42"/>
    </row>
    <row r="1804" spans="3:8" x14ac:dyDescent="0.3">
      <c r="C1804" s="42"/>
      <c r="D1804" s="42"/>
      <c r="E1804" s="42"/>
      <c r="F1804" s="42"/>
      <c r="G1804" s="42"/>
      <c r="H1804" s="42"/>
    </row>
    <row r="1805" spans="3:8" x14ac:dyDescent="0.3">
      <c r="C1805" s="42"/>
      <c r="D1805" s="42"/>
      <c r="E1805" s="42"/>
      <c r="F1805" s="42"/>
      <c r="G1805" s="42"/>
      <c r="H1805" s="42"/>
    </row>
    <row r="1806" spans="3:8" x14ac:dyDescent="0.3">
      <c r="C1806" s="42"/>
      <c r="D1806" s="42"/>
      <c r="E1806" s="42"/>
      <c r="F1806" s="42"/>
      <c r="G1806" s="42"/>
      <c r="H1806" s="42"/>
    </row>
    <row r="1807" spans="3:8" x14ac:dyDescent="0.3">
      <c r="C1807" s="42"/>
      <c r="D1807" s="42"/>
      <c r="E1807" s="42"/>
      <c r="F1807" s="42"/>
      <c r="G1807" s="42"/>
      <c r="H1807" s="42"/>
    </row>
    <row r="1808" spans="3:8" x14ac:dyDescent="0.3">
      <c r="C1808" s="42"/>
      <c r="D1808" s="42"/>
      <c r="E1808" s="42"/>
      <c r="F1808" s="42"/>
      <c r="G1808" s="42"/>
      <c r="H1808" s="42"/>
    </row>
    <row r="1809" spans="3:8" x14ac:dyDescent="0.3">
      <c r="C1809" s="42"/>
      <c r="D1809" s="42"/>
      <c r="E1809" s="42"/>
      <c r="F1809" s="42"/>
      <c r="G1809" s="42"/>
      <c r="H1809" s="42"/>
    </row>
    <row r="1810" spans="3:8" x14ac:dyDescent="0.3">
      <c r="C1810" s="42"/>
      <c r="D1810" s="42"/>
      <c r="E1810" s="42"/>
      <c r="F1810" s="42"/>
      <c r="G1810" s="42"/>
      <c r="H1810" s="42"/>
    </row>
    <row r="1811" spans="3:8" x14ac:dyDescent="0.3">
      <c r="C1811" s="42"/>
      <c r="D1811" s="42"/>
      <c r="E1811" s="42"/>
      <c r="F1811" s="42"/>
      <c r="G1811" s="42"/>
      <c r="H1811" s="42"/>
    </row>
    <row r="1812" spans="3:8" x14ac:dyDescent="0.3">
      <c r="C1812" s="42"/>
      <c r="D1812" s="42"/>
      <c r="E1812" s="42"/>
      <c r="F1812" s="42"/>
      <c r="G1812" s="42"/>
      <c r="H1812" s="42"/>
    </row>
    <row r="1813" spans="3:8" x14ac:dyDescent="0.3">
      <c r="C1813" s="42"/>
      <c r="D1813" s="42"/>
      <c r="E1813" s="42"/>
      <c r="F1813" s="42"/>
      <c r="G1813" s="42"/>
      <c r="H1813" s="42"/>
    </row>
    <row r="1814" spans="3:8" x14ac:dyDescent="0.3">
      <c r="C1814" s="42"/>
      <c r="D1814" s="42"/>
      <c r="E1814" s="42"/>
      <c r="F1814" s="42"/>
      <c r="G1814" s="42"/>
      <c r="H1814" s="42"/>
    </row>
    <row r="1815" spans="3:8" x14ac:dyDescent="0.3">
      <c r="C1815" s="42"/>
      <c r="D1815" s="42"/>
      <c r="E1815" s="42"/>
      <c r="F1815" s="42"/>
      <c r="G1815" s="42"/>
      <c r="H1815" s="42"/>
    </row>
    <row r="1816" spans="3:8" x14ac:dyDescent="0.3">
      <c r="C1816" s="42"/>
      <c r="D1816" s="42"/>
      <c r="E1816" s="42"/>
      <c r="F1816" s="42"/>
      <c r="G1816" s="42"/>
      <c r="H1816" s="42"/>
    </row>
    <row r="1817" spans="3:8" x14ac:dyDescent="0.3">
      <c r="C1817" s="42"/>
      <c r="D1817" s="42"/>
      <c r="E1817" s="42"/>
      <c r="F1817" s="42"/>
      <c r="G1817" s="42"/>
      <c r="H1817" s="42"/>
    </row>
    <row r="1818" spans="3:8" x14ac:dyDescent="0.3">
      <c r="C1818" s="42"/>
      <c r="D1818" s="42"/>
      <c r="E1818" s="42"/>
      <c r="F1818" s="42"/>
      <c r="G1818" s="42"/>
      <c r="H1818" s="42"/>
    </row>
    <row r="1819" spans="3:8" x14ac:dyDescent="0.3">
      <c r="C1819" s="42"/>
      <c r="D1819" s="42"/>
      <c r="E1819" s="42"/>
      <c r="F1819" s="42"/>
      <c r="G1819" s="42"/>
      <c r="H1819" s="42"/>
    </row>
    <row r="1820" spans="3:8" x14ac:dyDescent="0.3">
      <c r="C1820" s="42"/>
      <c r="D1820" s="42"/>
      <c r="E1820" s="42"/>
      <c r="F1820" s="42"/>
      <c r="G1820" s="42"/>
      <c r="H1820" s="42"/>
    </row>
    <row r="1821" spans="3:8" x14ac:dyDescent="0.3">
      <c r="C1821" s="42"/>
      <c r="D1821" s="42"/>
      <c r="E1821" s="42"/>
      <c r="F1821" s="42"/>
      <c r="G1821" s="42"/>
      <c r="H1821" s="42"/>
    </row>
    <row r="1822" spans="3:8" x14ac:dyDescent="0.3">
      <c r="C1822" s="42"/>
      <c r="D1822" s="42"/>
      <c r="E1822" s="42"/>
      <c r="F1822" s="42"/>
      <c r="G1822" s="42"/>
      <c r="H1822" s="42"/>
    </row>
    <row r="1823" spans="3:8" x14ac:dyDescent="0.3">
      <c r="C1823" s="42"/>
      <c r="D1823" s="42"/>
      <c r="E1823" s="42"/>
      <c r="F1823" s="42"/>
      <c r="G1823" s="42"/>
      <c r="H1823" s="42"/>
    </row>
    <row r="1824" spans="3:8" x14ac:dyDescent="0.3">
      <c r="C1824" s="42"/>
      <c r="D1824" s="42"/>
      <c r="E1824" s="42"/>
      <c r="F1824" s="42"/>
      <c r="G1824" s="42"/>
      <c r="H1824" s="42"/>
    </row>
    <row r="1825" spans="3:8" x14ac:dyDescent="0.3">
      <c r="C1825" s="42"/>
      <c r="D1825" s="42"/>
      <c r="E1825" s="42"/>
      <c r="F1825" s="42"/>
      <c r="G1825" s="42"/>
      <c r="H1825" s="42"/>
    </row>
    <row r="1826" spans="3:8" x14ac:dyDescent="0.3">
      <c r="C1826" s="42"/>
      <c r="D1826" s="42"/>
      <c r="E1826" s="42"/>
      <c r="F1826" s="42"/>
      <c r="G1826" s="42"/>
      <c r="H1826" s="42"/>
    </row>
    <row r="1827" spans="3:8" x14ac:dyDescent="0.3">
      <c r="C1827" s="42"/>
      <c r="D1827" s="42"/>
      <c r="E1827" s="42"/>
      <c r="F1827" s="42"/>
      <c r="G1827" s="42"/>
      <c r="H1827" s="42"/>
    </row>
    <row r="1828" spans="3:8" x14ac:dyDescent="0.3">
      <c r="C1828" s="42"/>
      <c r="D1828" s="42"/>
      <c r="E1828" s="42"/>
      <c r="F1828" s="42"/>
      <c r="G1828" s="42"/>
      <c r="H1828" s="42"/>
    </row>
    <row r="1829" spans="3:8" x14ac:dyDescent="0.3">
      <c r="C1829" s="42"/>
      <c r="D1829" s="42"/>
      <c r="E1829" s="42"/>
      <c r="F1829" s="42"/>
      <c r="G1829" s="42"/>
      <c r="H1829" s="42"/>
    </row>
    <row r="1830" spans="3:8" x14ac:dyDescent="0.3">
      <c r="C1830" s="42"/>
      <c r="D1830" s="42"/>
      <c r="E1830" s="42"/>
      <c r="F1830" s="42"/>
      <c r="G1830" s="42"/>
      <c r="H1830" s="42"/>
    </row>
    <row r="1831" spans="3:8" x14ac:dyDescent="0.3">
      <c r="C1831" s="42"/>
      <c r="D1831" s="42"/>
      <c r="E1831" s="42"/>
      <c r="F1831" s="42"/>
      <c r="G1831" s="42"/>
      <c r="H1831" s="42"/>
    </row>
    <row r="1832" spans="3:8" x14ac:dyDescent="0.3">
      <c r="C1832" s="42"/>
      <c r="D1832" s="42"/>
      <c r="E1832" s="42"/>
      <c r="F1832" s="42"/>
      <c r="G1832" s="42"/>
      <c r="H1832" s="42"/>
    </row>
    <row r="1833" spans="3:8" x14ac:dyDescent="0.3">
      <c r="C1833" s="42"/>
      <c r="D1833" s="42"/>
      <c r="E1833" s="42"/>
      <c r="F1833" s="42"/>
      <c r="G1833" s="42"/>
      <c r="H1833" s="42"/>
    </row>
    <row r="1834" spans="3:8" x14ac:dyDescent="0.3">
      <c r="C1834" s="42"/>
      <c r="D1834" s="42"/>
      <c r="E1834" s="42"/>
      <c r="F1834" s="42"/>
      <c r="G1834" s="42"/>
      <c r="H1834" s="42"/>
    </row>
    <row r="1835" spans="3:8" x14ac:dyDescent="0.3">
      <c r="C1835" s="42"/>
      <c r="D1835" s="42"/>
      <c r="E1835" s="42"/>
      <c r="F1835" s="42"/>
      <c r="G1835" s="42"/>
      <c r="H1835" s="42"/>
    </row>
    <row r="1836" spans="3:8" x14ac:dyDescent="0.3">
      <c r="C1836" s="42"/>
      <c r="D1836" s="42"/>
      <c r="E1836" s="42"/>
      <c r="F1836" s="42"/>
      <c r="G1836" s="42"/>
      <c r="H1836" s="42"/>
    </row>
    <row r="1837" spans="3:8" x14ac:dyDescent="0.3">
      <c r="C1837" s="42"/>
      <c r="D1837" s="42"/>
      <c r="E1837" s="42"/>
      <c r="F1837" s="42"/>
      <c r="G1837" s="42"/>
      <c r="H1837" s="42"/>
    </row>
    <row r="1838" spans="3:8" x14ac:dyDescent="0.3">
      <c r="C1838" s="42"/>
      <c r="D1838" s="42"/>
      <c r="E1838" s="42"/>
      <c r="F1838" s="42"/>
      <c r="G1838" s="42"/>
      <c r="H1838" s="42"/>
    </row>
    <row r="1839" spans="3:8" x14ac:dyDescent="0.3">
      <c r="C1839" s="42"/>
      <c r="D1839" s="42"/>
      <c r="E1839" s="42"/>
      <c r="F1839" s="42"/>
      <c r="G1839" s="42"/>
      <c r="H1839" s="42"/>
    </row>
    <row r="1840" spans="3:8" x14ac:dyDescent="0.3">
      <c r="C1840" s="42"/>
      <c r="D1840" s="42"/>
      <c r="E1840" s="42"/>
      <c r="F1840" s="42"/>
      <c r="G1840" s="42"/>
      <c r="H1840" s="42"/>
    </row>
    <row r="1841" spans="3:8" x14ac:dyDescent="0.3">
      <c r="C1841" s="42"/>
      <c r="D1841" s="42"/>
      <c r="E1841" s="42"/>
      <c r="F1841" s="42"/>
      <c r="G1841" s="42"/>
      <c r="H1841" s="42"/>
    </row>
    <row r="1842" spans="3:8" x14ac:dyDescent="0.3">
      <c r="C1842" s="42"/>
      <c r="D1842" s="42"/>
      <c r="E1842" s="42"/>
      <c r="F1842" s="42"/>
      <c r="G1842" s="42"/>
      <c r="H1842" s="42"/>
    </row>
    <row r="1843" spans="3:8" x14ac:dyDescent="0.3">
      <c r="C1843" s="42"/>
      <c r="D1843" s="42"/>
      <c r="E1843" s="42"/>
      <c r="F1843" s="42"/>
      <c r="G1843" s="42"/>
      <c r="H1843" s="42"/>
    </row>
    <row r="1844" spans="3:8" x14ac:dyDescent="0.3">
      <c r="C1844" s="42"/>
      <c r="D1844" s="42"/>
      <c r="E1844" s="42"/>
      <c r="F1844" s="42"/>
      <c r="G1844" s="42"/>
      <c r="H1844" s="42"/>
    </row>
    <row r="1845" spans="3:8" x14ac:dyDescent="0.3">
      <c r="C1845" s="42"/>
      <c r="D1845" s="42"/>
      <c r="E1845" s="42"/>
      <c r="F1845" s="42"/>
      <c r="G1845" s="42"/>
      <c r="H1845" s="42"/>
    </row>
    <row r="1846" spans="3:8" x14ac:dyDescent="0.3">
      <c r="C1846" s="42"/>
      <c r="D1846" s="42"/>
      <c r="E1846" s="42"/>
      <c r="F1846" s="42"/>
      <c r="G1846" s="42"/>
      <c r="H1846" s="42"/>
    </row>
    <row r="1847" spans="3:8" x14ac:dyDescent="0.3">
      <c r="C1847" s="42"/>
      <c r="D1847" s="42"/>
      <c r="E1847" s="42"/>
      <c r="F1847" s="42"/>
      <c r="G1847" s="42"/>
      <c r="H1847" s="42"/>
    </row>
    <row r="1848" spans="3:8" x14ac:dyDescent="0.3">
      <c r="C1848" s="42"/>
      <c r="D1848" s="42"/>
      <c r="E1848" s="42"/>
      <c r="F1848" s="42"/>
      <c r="G1848" s="42"/>
      <c r="H1848" s="42"/>
    </row>
    <row r="1849" spans="3:8" x14ac:dyDescent="0.3">
      <c r="C1849" s="42"/>
      <c r="D1849" s="42"/>
      <c r="E1849" s="42"/>
      <c r="F1849" s="42"/>
      <c r="G1849" s="42"/>
      <c r="H1849" s="42"/>
    </row>
    <row r="1850" spans="3:8" x14ac:dyDescent="0.3">
      <c r="C1850" s="42"/>
      <c r="D1850" s="42"/>
      <c r="E1850" s="42"/>
      <c r="F1850" s="42"/>
      <c r="G1850" s="42"/>
      <c r="H1850" s="42"/>
    </row>
    <row r="1851" spans="3:8" x14ac:dyDescent="0.3">
      <c r="C1851" s="42"/>
      <c r="D1851" s="42"/>
      <c r="E1851" s="42"/>
      <c r="F1851" s="42"/>
      <c r="G1851" s="42"/>
      <c r="H1851" s="42"/>
    </row>
    <row r="1852" spans="3:8" x14ac:dyDescent="0.3">
      <c r="C1852" s="42"/>
      <c r="D1852" s="42"/>
      <c r="E1852" s="42"/>
      <c r="F1852" s="42"/>
      <c r="G1852" s="42"/>
      <c r="H1852" s="42"/>
    </row>
    <row r="1853" spans="3:8" x14ac:dyDescent="0.3">
      <c r="C1853" s="42"/>
      <c r="D1853" s="42"/>
      <c r="E1853" s="42"/>
      <c r="F1853" s="42"/>
      <c r="G1853" s="42"/>
      <c r="H1853" s="42"/>
    </row>
    <row r="1854" spans="3:8" x14ac:dyDescent="0.3">
      <c r="C1854" s="42"/>
      <c r="D1854" s="42"/>
      <c r="E1854" s="42"/>
      <c r="F1854" s="42"/>
      <c r="G1854" s="42"/>
      <c r="H1854" s="42"/>
    </row>
    <row r="1855" spans="3:8" x14ac:dyDescent="0.3">
      <c r="C1855" s="42"/>
      <c r="D1855" s="42"/>
      <c r="E1855" s="42"/>
      <c r="F1855" s="42"/>
      <c r="G1855" s="42"/>
      <c r="H1855" s="42"/>
    </row>
    <row r="1856" spans="3:8" x14ac:dyDescent="0.3">
      <c r="C1856" s="42"/>
      <c r="D1856" s="42"/>
      <c r="E1856" s="42"/>
      <c r="F1856" s="42"/>
      <c r="G1856" s="42"/>
      <c r="H1856" s="42"/>
    </row>
    <row r="1857" spans="3:8" x14ac:dyDescent="0.3">
      <c r="C1857" s="42"/>
      <c r="D1857" s="42"/>
      <c r="E1857" s="42"/>
      <c r="F1857" s="42"/>
      <c r="G1857" s="42"/>
      <c r="H1857" s="42"/>
    </row>
    <row r="1858" spans="3:8" x14ac:dyDescent="0.3">
      <c r="C1858" s="42"/>
      <c r="D1858" s="42"/>
      <c r="E1858" s="42"/>
      <c r="F1858" s="42"/>
      <c r="G1858" s="42"/>
      <c r="H1858" s="42"/>
    </row>
    <row r="1859" spans="3:8" x14ac:dyDescent="0.3">
      <c r="C1859" s="42"/>
      <c r="D1859" s="42"/>
      <c r="E1859" s="42"/>
      <c r="F1859" s="42"/>
      <c r="G1859" s="42"/>
      <c r="H1859" s="42"/>
    </row>
    <row r="1860" spans="3:8" x14ac:dyDescent="0.3">
      <c r="C1860" s="42"/>
      <c r="D1860" s="42"/>
      <c r="E1860" s="42"/>
      <c r="F1860" s="42"/>
      <c r="G1860" s="42"/>
      <c r="H1860" s="42"/>
    </row>
    <row r="1861" spans="3:8" x14ac:dyDescent="0.3">
      <c r="C1861" s="42"/>
      <c r="D1861" s="42"/>
      <c r="E1861" s="42"/>
      <c r="F1861" s="42"/>
      <c r="G1861" s="42"/>
      <c r="H1861" s="42"/>
    </row>
    <row r="1862" spans="3:8" x14ac:dyDescent="0.3">
      <c r="C1862" s="42"/>
      <c r="D1862" s="42"/>
      <c r="E1862" s="42"/>
      <c r="F1862" s="42"/>
      <c r="G1862" s="42"/>
      <c r="H1862" s="42"/>
    </row>
    <row r="1863" spans="3:8" x14ac:dyDescent="0.3">
      <c r="C1863" s="42"/>
      <c r="D1863" s="42"/>
      <c r="E1863" s="42"/>
      <c r="F1863" s="42"/>
      <c r="G1863" s="42"/>
      <c r="H1863" s="42"/>
    </row>
    <row r="1864" spans="3:8" x14ac:dyDescent="0.3">
      <c r="C1864" s="42"/>
      <c r="D1864" s="42"/>
      <c r="E1864" s="42"/>
      <c r="F1864" s="42"/>
      <c r="G1864" s="42"/>
      <c r="H1864" s="42"/>
    </row>
    <row r="1865" spans="3:8" x14ac:dyDescent="0.3">
      <c r="C1865" s="42"/>
      <c r="D1865" s="42"/>
      <c r="E1865" s="42"/>
      <c r="F1865" s="42"/>
      <c r="G1865" s="42"/>
      <c r="H1865" s="42"/>
    </row>
    <row r="1866" spans="3:8" x14ac:dyDescent="0.3">
      <c r="C1866" s="42"/>
      <c r="D1866" s="42"/>
      <c r="E1866" s="42"/>
      <c r="F1866" s="42"/>
      <c r="G1866" s="42"/>
      <c r="H1866" s="42"/>
    </row>
    <row r="1867" spans="3:8" x14ac:dyDescent="0.3">
      <c r="C1867" s="42"/>
      <c r="D1867" s="42"/>
      <c r="E1867" s="42"/>
      <c r="F1867" s="42"/>
      <c r="G1867" s="42"/>
      <c r="H1867" s="42"/>
    </row>
    <row r="1868" spans="3:8" x14ac:dyDescent="0.3">
      <c r="C1868" s="42"/>
      <c r="D1868" s="42"/>
      <c r="E1868" s="42"/>
      <c r="F1868" s="42"/>
      <c r="G1868" s="42"/>
      <c r="H1868" s="42"/>
    </row>
    <row r="1869" spans="3:8" x14ac:dyDescent="0.3">
      <c r="C1869" s="42"/>
      <c r="D1869" s="42"/>
      <c r="E1869" s="42"/>
      <c r="F1869" s="42"/>
      <c r="G1869" s="42"/>
      <c r="H1869" s="42"/>
    </row>
    <row r="1870" spans="3:8" x14ac:dyDescent="0.3">
      <c r="C1870" s="42"/>
      <c r="D1870" s="42"/>
      <c r="E1870" s="42"/>
      <c r="F1870" s="42"/>
      <c r="G1870" s="42"/>
      <c r="H1870" s="42"/>
    </row>
    <row r="1871" spans="3:8" x14ac:dyDescent="0.3">
      <c r="C1871" s="42"/>
      <c r="D1871" s="42"/>
      <c r="E1871" s="42"/>
      <c r="F1871" s="42"/>
      <c r="G1871" s="42"/>
      <c r="H1871" s="42"/>
    </row>
    <row r="1872" spans="3:8" x14ac:dyDescent="0.3">
      <c r="C1872" s="42"/>
      <c r="D1872" s="42"/>
      <c r="E1872" s="42"/>
      <c r="F1872" s="42"/>
      <c r="G1872" s="42"/>
      <c r="H1872" s="42"/>
    </row>
    <row r="1873" spans="3:8" x14ac:dyDescent="0.3">
      <c r="C1873" s="42"/>
      <c r="D1873" s="42"/>
      <c r="E1873" s="42"/>
      <c r="F1873" s="42"/>
      <c r="G1873" s="42"/>
      <c r="H1873" s="42"/>
    </row>
    <row r="1874" spans="3:8" x14ac:dyDescent="0.3">
      <c r="C1874" s="42"/>
      <c r="D1874" s="42"/>
      <c r="E1874" s="42"/>
      <c r="F1874" s="42"/>
      <c r="G1874" s="42"/>
      <c r="H1874" s="42"/>
    </row>
    <row r="1875" spans="3:8" x14ac:dyDescent="0.3">
      <c r="C1875" s="42"/>
      <c r="D1875" s="42"/>
      <c r="E1875" s="42"/>
      <c r="F1875" s="42"/>
      <c r="G1875" s="42"/>
      <c r="H1875" s="42"/>
    </row>
    <row r="1876" spans="3:8" x14ac:dyDescent="0.3">
      <c r="C1876" s="42"/>
      <c r="D1876" s="42"/>
      <c r="E1876" s="42"/>
      <c r="F1876" s="42"/>
      <c r="G1876" s="42"/>
      <c r="H1876" s="42"/>
    </row>
    <row r="1877" spans="3:8" x14ac:dyDescent="0.3">
      <c r="C1877" s="42"/>
      <c r="D1877" s="42"/>
      <c r="E1877" s="42"/>
      <c r="F1877" s="42"/>
      <c r="G1877" s="42"/>
      <c r="H1877" s="42"/>
    </row>
    <row r="1878" spans="3:8" x14ac:dyDescent="0.3">
      <c r="C1878" s="42"/>
      <c r="D1878" s="42"/>
      <c r="E1878" s="42"/>
      <c r="F1878" s="42"/>
      <c r="G1878" s="42"/>
      <c r="H1878" s="42"/>
    </row>
    <row r="1879" spans="3:8" x14ac:dyDescent="0.3">
      <c r="C1879" s="42"/>
      <c r="D1879" s="42"/>
      <c r="E1879" s="42"/>
      <c r="F1879" s="42"/>
      <c r="G1879" s="42"/>
      <c r="H1879" s="42"/>
    </row>
    <row r="1880" spans="3:8" x14ac:dyDescent="0.3">
      <c r="C1880" s="42"/>
      <c r="D1880" s="42"/>
      <c r="E1880" s="42"/>
      <c r="F1880" s="42"/>
      <c r="G1880" s="42"/>
      <c r="H1880" s="42"/>
    </row>
    <row r="1881" spans="3:8" x14ac:dyDescent="0.3">
      <c r="C1881" s="42"/>
      <c r="D1881" s="42"/>
      <c r="E1881" s="42"/>
      <c r="F1881" s="42"/>
      <c r="G1881" s="42"/>
      <c r="H1881" s="42"/>
    </row>
    <row r="1882" spans="3:8" x14ac:dyDescent="0.3">
      <c r="C1882" s="42"/>
      <c r="D1882" s="42"/>
      <c r="E1882" s="42"/>
      <c r="F1882" s="42"/>
      <c r="G1882" s="42"/>
      <c r="H1882" s="42"/>
    </row>
    <row r="1883" spans="3:8" x14ac:dyDescent="0.3">
      <c r="C1883" s="42"/>
      <c r="D1883" s="42"/>
      <c r="E1883" s="42"/>
      <c r="F1883" s="42"/>
      <c r="G1883" s="42"/>
      <c r="H1883" s="42"/>
    </row>
    <row r="1884" spans="3:8" x14ac:dyDescent="0.3">
      <c r="C1884" s="42"/>
      <c r="D1884" s="42"/>
      <c r="E1884" s="42"/>
      <c r="F1884" s="42"/>
      <c r="G1884" s="42"/>
      <c r="H1884" s="42"/>
    </row>
    <row r="1885" spans="3:8" x14ac:dyDescent="0.3">
      <c r="C1885" s="42"/>
      <c r="D1885" s="42"/>
      <c r="E1885" s="42"/>
      <c r="F1885" s="42"/>
      <c r="G1885" s="42"/>
      <c r="H1885" s="42"/>
    </row>
    <row r="1886" spans="3:8" x14ac:dyDescent="0.3">
      <c r="C1886" s="42"/>
      <c r="D1886" s="42"/>
      <c r="E1886" s="42"/>
      <c r="F1886" s="42"/>
      <c r="G1886" s="42"/>
      <c r="H1886" s="42"/>
    </row>
    <row r="1887" spans="3:8" x14ac:dyDescent="0.3">
      <c r="C1887" s="42"/>
      <c r="D1887" s="42"/>
      <c r="E1887" s="42"/>
      <c r="F1887" s="42"/>
      <c r="G1887" s="42"/>
      <c r="H1887" s="42"/>
    </row>
    <row r="1888" spans="3:8" x14ac:dyDescent="0.3">
      <c r="C1888" s="42"/>
      <c r="D1888" s="42"/>
      <c r="E1888" s="42"/>
      <c r="F1888" s="42"/>
      <c r="G1888" s="42"/>
      <c r="H1888" s="42"/>
    </row>
    <row r="1889" spans="3:8" x14ac:dyDescent="0.3">
      <c r="C1889" s="42"/>
      <c r="D1889" s="42"/>
      <c r="E1889" s="42"/>
      <c r="F1889" s="42"/>
      <c r="G1889" s="42"/>
      <c r="H1889" s="42"/>
    </row>
    <row r="1890" spans="3:8" x14ac:dyDescent="0.3">
      <c r="C1890" s="42"/>
      <c r="D1890" s="42"/>
      <c r="E1890" s="42"/>
      <c r="F1890" s="42"/>
      <c r="G1890" s="42"/>
      <c r="H1890" s="42"/>
    </row>
    <row r="1891" spans="3:8" x14ac:dyDescent="0.3">
      <c r="C1891" s="42"/>
      <c r="D1891" s="42"/>
      <c r="E1891" s="42"/>
      <c r="F1891" s="42"/>
      <c r="G1891" s="42"/>
      <c r="H1891" s="42"/>
    </row>
    <row r="1892" spans="3:8" x14ac:dyDescent="0.3">
      <c r="C1892" s="42"/>
      <c r="D1892" s="42"/>
      <c r="E1892" s="42"/>
      <c r="F1892" s="42"/>
      <c r="G1892" s="42"/>
      <c r="H1892" s="42"/>
    </row>
    <row r="1893" spans="3:8" x14ac:dyDescent="0.3">
      <c r="C1893" s="42"/>
      <c r="D1893" s="42"/>
      <c r="E1893" s="42"/>
      <c r="F1893" s="42"/>
      <c r="G1893" s="42"/>
      <c r="H1893" s="42"/>
    </row>
    <row r="1894" spans="3:8" x14ac:dyDescent="0.3">
      <c r="C1894" s="42"/>
      <c r="D1894" s="42"/>
      <c r="E1894" s="42"/>
      <c r="F1894" s="42"/>
      <c r="G1894" s="42"/>
      <c r="H1894" s="42"/>
    </row>
    <row r="1895" spans="3:8" x14ac:dyDescent="0.3">
      <c r="C1895" s="42"/>
      <c r="D1895" s="42"/>
      <c r="E1895" s="42"/>
      <c r="F1895" s="42"/>
      <c r="G1895" s="42"/>
      <c r="H1895" s="42"/>
    </row>
    <row r="1896" spans="3:8" x14ac:dyDescent="0.3">
      <c r="C1896" s="42"/>
      <c r="D1896" s="42"/>
      <c r="E1896" s="42"/>
      <c r="F1896" s="42"/>
      <c r="G1896" s="42"/>
      <c r="H1896" s="42"/>
    </row>
    <row r="1897" spans="3:8" x14ac:dyDescent="0.3">
      <c r="C1897" s="42"/>
      <c r="D1897" s="42"/>
      <c r="E1897" s="42"/>
      <c r="F1897" s="42"/>
      <c r="G1897" s="42"/>
      <c r="H1897" s="42"/>
    </row>
    <row r="1898" spans="3:8" x14ac:dyDescent="0.3">
      <c r="C1898" s="42"/>
      <c r="D1898" s="42"/>
      <c r="E1898" s="42"/>
      <c r="F1898" s="42"/>
      <c r="G1898" s="42"/>
      <c r="H1898" s="42"/>
    </row>
    <row r="1899" spans="3:8" x14ac:dyDescent="0.3">
      <c r="C1899" s="42"/>
      <c r="D1899" s="42"/>
      <c r="E1899" s="42"/>
      <c r="F1899" s="42"/>
      <c r="G1899" s="42"/>
      <c r="H1899" s="42"/>
    </row>
    <row r="1900" spans="3:8" x14ac:dyDescent="0.3">
      <c r="C1900" s="42"/>
      <c r="D1900" s="42"/>
      <c r="E1900" s="42"/>
      <c r="F1900" s="42"/>
      <c r="G1900" s="42"/>
      <c r="H1900" s="42"/>
    </row>
    <row r="1901" spans="3:8" x14ac:dyDescent="0.3">
      <c r="C1901" s="42"/>
      <c r="D1901" s="42"/>
      <c r="E1901" s="42"/>
      <c r="F1901" s="42"/>
      <c r="G1901" s="42"/>
      <c r="H1901" s="42"/>
    </row>
    <row r="1902" spans="3:8" x14ac:dyDescent="0.3">
      <c r="C1902" s="42"/>
      <c r="D1902" s="42"/>
      <c r="E1902" s="42"/>
      <c r="F1902" s="42"/>
      <c r="G1902" s="42"/>
      <c r="H1902" s="42"/>
    </row>
    <row r="1903" spans="3:8" x14ac:dyDescent="0.3">
      <c r="C1903" s="42"/>
      <c r="D1903" s="42"/>
      <c r="E1903" s="42"/>
      <c r="F1903" s="42"/>
      <c r="G1903" s="42"/>
      <c r="H1903" s="42"/>
    </row>
    <row r="1904" spans="3:8" x14ac:dyDescent="0.3">
      <c r="C1904" s="42"/>
      <c r="D1904" s="42"/>
      <c r="E1904" s="42"/>
      <c r="F1904" s="42"/>
      <c r="G1904" s="42"/>
      <c r="H1904" s="42"/>
    </row>
    <row r="1905" spans="3:8" x14ac:dyDescent="0.3">
      <c r="C1905" s="42"/>
      <c r="D1905" s="42"/>
      <c r="E1905" s="42"/>
      <c r="F1905" s="42"/>
      <c r="G1905" s="42"/>
      <c r="H1905" s="42"/>
    </row>
    <row r="1906" spans="3:8" x14ac:dyDescent="0.3">
      <c r="C1906" s="42"/>
      <c r="D1906" s="42"/>
      <c r="E1906" s="42"/>
      <c r="F1906" s="42"/>
      <c r="G1906" s="42"/>
      <c r="H1906" s="42"/>
    </row>
    <row r="1907" spans="3:8" x14ac:dyDescent="0.3">
      <c r="C1907" s="42"/>
      <c r="D1907" s="42"/>
      <c r="E1907" s="42"/>
      <c r="F1907" s="42"/>
      <c r="G1907" s="42"/>
      <c r="H1907" s="42"/>
    </row>
    <row r="1908" spans="3:8" x14ac:dyDescent="0.3">
      <c r="C1908" s="42"/>
      <c r="D1908" s="42"/>
      <c r="E1908" s="42"/>
      <c r="F1908" s="42"/>
      <c r="G1908" s="42"/>
      <c r="H1908" s="42"/>
    </row>
    <row r="1909" spans="3:8" x14ac:dyDescent="0.3">
      <c r="C1909" s="42"/>
      <c r="D1909" s="42"/>
      <c r="E1909" s="42"/>
      <c r="F1909" s="42"/>
      <c r="G1909" s="42"/>
      <c r="H1909" s="42"/>
    </row>
    <row r="1910" spans="3:8" x14ac:dyDescent="0.3">
      <c r="C1910" s="42"/>
      <c r="D1910" s="42"/>
      <c r="E1910" s="42"/>
      <c r="F1910" s="42"/>
      <c r="G1910" s="42"/>
      <c r="H1910" s="42"/>
    </row>
    <row r="1911" spans="3:8" x14ac:dyDescent="0.3">
      <c r="C1911" s="42"/>
      <c r="D1911" s="42"/>
      <c r="E1911" s="42"/>
      <c r="F1911" s="42"/>
      <c r="G1911" s="42"/>
      <c r="H1911" s="42"/>
    </row>
    <row r="1912" spans="3:8" x14ac:dyDescent="0.3">
      <c r="C1912" s="42"/>
      <c r="D1912" s="42"/>
      <c r="E1912" s="42"/>
      <c r="F1912" s="42"/>
      <c r="G1912" s="42"/>
      <c r="H1912" s="42"/>
    </row>
    <row r="1913" spans="3:8" x14ac:dyDescent="0.3">
      <c r="C1913" s="42"/>
      <c r="D1913" s="42"/>
      <c r="E1913" s="42"/>
      <c r="F1913" s="42"/>
      <c r="G1913" s="42"/>
      <c r="H1913" s="42"/>
    </row>
    <row r="1914" spans="3:8" x14ac:dyDescent="0.3">
      <c r="C1914" s="42"/>
      <c r="D1914" s="42"/>
      <c r="E1914" s="42"/>
      <c r="F1914" s="42"/>
      <c r="G1914" s="42"/>
      <c r="H1914" s="42"/>
    </row>
    <row r="1915" spans="3:8" x14ac:dyDescent="0.3">
      <c r="C1915" s="42"/>
      <c r="D1915" s="42"/>
      <c r="E1915" s="42"/>
      <c r="F1915" s="42"/>
      <c r="G1915" s="42"/>
      <c r="H1915" s="42"/>
    </row>
    <row r="1916" spans="3:8" x14ac:dyDescent="0.3">
      <c r="C1916" s="42"/>
      <c r="D1916" s="42"/>
      <c r="E1916" s="42"/>
      <c r="F1916" s="42"/>
      <c r="G1916" s="42"/>
      <c r="H1916" s="42"/>
    </row>
    <row r="1917" spans="3:8" x14ac:dyDescent="0.3">
      <c r="C1917" s="42"/>
      <c r="D1917" s="42"/>
      <c r="E1917" s="42"/>
      <c r="F1917" s="42"/>
      <c r="G1917" s="42"/>
      <c r="H1917" s="42"/>
    </row>
    <row r="1918" spans="3:8" x14ac:dyDescent="0.3">
      <c r="C1918" s="42"/>
      <c r="D1918" s="42"/>
      <c r="E1918" s="42"/>
      <c r="F1918" s="42"/>
      <c r="G1918" s="42"/>
      <c r="H1918" s="42"/>
    </row>
    <row r="1919" spans="3:8" x14ac:dyDescent="0.3">
      <c r="C1919" s="42"/>
      <c r="D1919" s="42"/>
      <c r="E1919" s="42"/>
      <c r="F1919" s="42"/>
      <c r="G1919" s="42"/>
      <c r="H1919" s="42"/>
    </row>
    <row r="1920" spans="3:8" x14ac:dyDescent="0.3">
      <c r="C1920" s="42"/>
      <c r="D1920" s="42"/>
      <c r="E1920" s="42"/>
      <c r="F1920" s="42"/>
      <c r="G1920" s="42"/>
      <c r="H1920" s="42"/>
    </row>
    <row r="1921" spans="3:8" x14ac:dyDescent="0.3">
      <c r="C1921" s="42"/>
      <c r="D1921" s="42"/>
      <c r="E1921" s="42"/>
      <c r="F1921" s="42"/>
      <c r="G1921" s="42"/>
      <c r="H1921" s="42"/>
    </row>
    <row r="1922" spans="3:8" x14ac:dyDescent="0.3">
      <c r="C1922" s="42"/>
      <c r="D1922" s="42"/>
      <c r="E1922" s="42"/>
      <c r="F1922" s="42"/>
      <c r="G1922" s="42"/>
      <c r="H1922" s="42"/>
    </row>
    <row r="1923" spans="3:8" x14ac:dyDescent="0.3">
      <c r="C1923" s="42"/>
      <c r="D1923" s="42"/>
      <c r="E1923" s="42"/>
      <c r="F1923" s="42"/>
      <c r="G1923" s="42"/>
      <c r="H1923" s="42"/>
    </row>
    <row r="1924" spans="3:8" x14ac:dyDescent="0.3">
      <c r="C1924" s="42"/>
      <c r="D1924" s="42"/>
      <c r="E1924" s="42"/>
      <c r="F1924" s="42"/>
      <c r="G1924" s="42"/>
      <c r="H1924" s="42"/>
    </row>
    <row r="1925" spans="3:8" x14ac:dyDescent="0.3">
      <c r="C1925" s="42"/>
      <c r="D1925" s="42"/>
      <c r="E1925" s="42"/>
      <c r="F1925" s="42"/>
      <c r="G1925" s="42"/>
      <c r="H1925" s="42"/>
    </row>
    <row r="1926" spans="3:8" x14ac:dyDescent="0.3">
      <c r="C1926" s="42"/>
      <c r="D1926" s="42"/>
      <c r="E1926" s="42"/>
      <c r="F1926" s="42"/>
      <c r="G1926" s="42"/>
      <c r="H1926" s="42"/>
    </row>
    <row r="1927" spans="3:8" x14ac:dyDescent="0.3">
      <c r="C1927" s="42"/>
      <c r="D1927" s="42"/>
      <c r="E1927" s="42"/>
      <c r="F1927" s="42"/>
      <c r="G1927" s="42"/>
      <c r="H1927" s="42"/>
    </row>
    <row r="1928" spans="3:8" x14ac:dyDescent="0.3">
      <c r="C1928" s="42"/>
      <c r="D1928" s="42"/>
      <c r="E1928" s="42"/>
      <c r="F1928" s="42"/>
      <c r="G1928" s="42"/>
      <c r="H1928" s="42"/>
    </row>
    <row r="1929" spans="3:8" x14ac:dyDescent="0.3">
      <c r="C1929" s="42"/>
      <c r="D1929" s="42"/>
      <c r="E1929" s="42"/>
      <c r="F1929" s="42"/>
      <c r="G1929" s="42"/>
      <c r="H1929" s="42"/>
    </row>
    <row r="1930" spans="3:8" x14ac:dyDescent="0.3">
      <c r="C1930" s="42"/>
      <c r="D1930" s="42"/>
      <c r="E1930" s="42"/>
      <c r="F1930" s="42"/>
      <c r="G1930" s="42"/>
      <c r="H1930" s="42"/>
    </row>
    <row r="1931" spans="3:8" x14ac:dyDescent="0.3">
      <c r="C1931" s="42"/>
      <c r="D1931" s="42"/>
      <c r="E1931" s="42"/>
      <c r="F1931" s="42"/>
      <c r="G1931" s="42"/>
      <c r="H1931" s="42"/>
    </row>
    <row r="1932" spans="3:8" x14ac:dyDescent="0.3">
      <c r="C1932" s="42"/>
      <c r="D1932" s="42"/>
      <c r="E1932" s="42"/>
      <c r="F1932" s="42"/>
      <c r="G1932" s="42"/>
      <c r="H1932" s="42"/>
    </row>
    <row r="1933" spans="3:8" x14ac:dyDescent="0.3">
      <c r="C1933" s="42"/>
      <c r="D1933" s="42"/>
      <c r="E1933" s="42"/>
      <c r="F1933" s="42"/>
      <c r="G1933" s="42"/>
      <c r="H1933" s="42"/>
    </row>
    <row r="1934" spans="3:8" x14ac:dyDescent="0.3">
      <c r="C1934" s="42"/>
      <c r="D1934" s="42"/>
      <c r="E1934" s="42"/>
      <c r="F1934" s="42"/>
      <c r="G1934" s="42"/>
      <c r="H1934" s="42"/>
    </row>
    <row r="1935" spans="3:8" x14ac:dyDescent="0.3">
      <c r="C1935" s="42"/>
      <c r="D1935" s="42"/>
      <c r="E1935" s="42"/>
      <c r="F1935" s="42"/>
      <c r="G1935" s="42"/>
      <c r="H1935" s="42"/>
    </row>
    <row r="1936" spans="3:8" x14ac:dyDescent="0.3">
      <c r="C1936" s="42"/>
      <c r="D1936" s="42"/>
      <c r="E1936" s="42"/>
      <c r="F1936" s="42"/>
      <c r="G1936" s="42"/>
      <c r="H1936" s="42"/>
    </row>
    <row r="1937" spans="3:8" x14ac:dyDescent="0.3">
      <c r="C1937" s="42"/>
      <c r="D1937" s="42"/>
      <c r="E1937" s="42"/>
      <c r="F1937" s="42"/>
      <c r="G1937" s="42"/>
      <c r="H1937" s="42"/>
    </row>
    <row r="1938" spans="3:8" x14ac:dyDescent="0.3">
      <c r="C1938" s="42"/>
      <c r="D1938" s="42"/>
      <c r="E1938" s="42"/>
      <c r="F1938" s="42"/>
      <c r="G1938" s="42"/>
      <c r="H1938" s="42"/>
    </row>
    <row r="1939" spans="3:8" x14ac:dyDescent="0.3">
      <c r="C1939" s="42"/>
      <c r="D1939" s="42"/>
      <c r="E1939" s="42"/>
      <c r="F1939" s="42"/>
      <c r="G1939" s="42"/>
      <c r="H1939" s="42"/>
    </row>
    <row r="1940" spans="3:8" x14ac:dyDescent="0.3">
      <c r="C1940" s="42"/>
      <c r="D1940" s="42"/>
      <c r="E1940" s="42"/>
      <c r="F1940" s="42"/>
      <c r="G1940" s="42"/>
      <c r="H1940" s="42"/>
    </row>
    <row r="1941" spans="3:8" x14ac:dyDescent="0.3">
      <c r="C1941" s="42"/>
      <c r="D1941" s="42"/>
      <c r="E1941" s="42"/>
      <c r="F1941" s="42"/>
      <c r="G1941" s="42"/>
      <c r="H1941" s="42"/>
    </row>
    <row r="1942" spans="3:8" x14ac:dyDescent="0.3">
      <c r="C1942" s="42"/>
      <c r="D1942" s="42"/>
      <c r="E1942" s="42"/>
      <c r="F1942" s="42"/>
      <c r="G1942" s="42"/>
      <c r="H1942" s="42"/>
    </row>
    <row r="1943" spans="3:8" x14ac:dyDescent="0.3">
      <c r="C1943" s="42"/>
      <c r="D1943" s="42"/>
      <c r="E1943" s="42"/>
      <c r="F1943" s="42"/>
      <c r="G1943" s="42"/>
      <c r="H1943" s="42"/>
    </row>
    <row r="1944" spans="3:8" x14ac:dyDescent="0.3">
      <c r="C1944" s="42"/>
      <c r="D1944" s="42"/>
      <c r="E1944" s="42"/>
      <c r="F1944" s="42"/>
      <c r="G1944" s="42"/>
      <c r="H1944" s="42"/>
    </row>
    <row r="1945" spans="3:8" x14ac:dyDescent="0.3">
      <c r="C1945" s="42"/>
      <c r="D1945" s="42"/>
      <c r="E1945" s="42"/>
      <c r="F1945" s="42"/>
      <c r="G1945" s="42"/>
      <c r="H1945" s="42"/>
    </row>
    <row r="1946" spans="3:8" x14ac:dyDescent="0.3">
      <c r="C1946" s="42"/>
      <c r="D1946" s="42"/>
      <c r="E1946" s="42"/>
      <c r="F1946" s="42"/>
      <c r="G1946" s="42"/>
      <c r="H1946" s="42"/>
    </row>
    <row r="1947" spans="3:8" x14ac:dyDescent="0.3">
      <c r="C1947" s="42"/>
      <c r="D1947" s="42"/>
      <c r="E1947" s="42"/>
      <c r="F1947" s="42"/>
      <c r="G1947" s="42"/>
      <c r="H1947" s="42"/>
    </row>
    <row r="1948" spans="3:8" x14ac:dyDescent="0.3">
      <c r="C1948" s="42"/>
      <c r="D1948" s="42"/>
      <c r="E1948" s="42"/>
      <c r="F1948" s="42"/>
      <c r="G1948" s="42"/>
      <c r="H1948" s="42"/>
    </row>
    <row r="1949" spans="3:8" x14ac:dyDescent="0.3">
      <c r="C1949" s="42"/>
      <c r="D1949" s="42"/>
      <c r="E1949" s="42"/>
      <c r="F1949" s="42"/>
      <c r="G1949" s="42"/>
      <c r="H1949" s="42"/>
    </row>
    <row r="1950" spans="3:8" x14ac:dyDescent="0.3">
      <c r="C1950" s="42"/>
      <c r="D1950" s="42"/>
      <c r="E1950" s="42"/>
      <c r="F1950" s="42"/>
      <c r="G1950" s="42"/>
      <c r="H1950" s="42"/>
    </row>
    <row r="1951" spans="3:8" x14ac:dyDescent="0.3">
      <c r="C1951" s="42"/>
      <c r="D1951" s="42"/>
      <c r="E1951" s="42"/>
      <c r="F1951" s="42"/>
      <c r="G1951" s="42"/>
      <c r="H1951" s="42"/>
    </row>
    <row r="1952" spans="3:8" x14ac:dyDescent="0.3">
      <c r="C1952" s="42"/>
      <c r="D1952" s="42"/>
      <c r="E1952" s="42"/>
      <c r="F1952" s="42"/>
      <c r="G1952" s="42"/>
      <c r="H1952" s="42"/>
    </row>
    <row r="1953" spans="3:8" x14ac:dyDescent="0.3">
      <c r="C1953" s="42"/>
      <c r="D1953" s="42"/>
      <c r="E1953" s="42"/>
      <c r="F1953" s="42"/>
      <c r="G1953" s="42"/>
      <c r="H1953" s="42"/>
    </row>
    <row r="1954" spans="3:8" x14ac:dyDescent="0.3">
      <c r="C1954" s="42"/>
      <c r="D1954" s="42"/>
      <c r="E1954" s="42"/>
      <c r="F1954" s="42"/>
      <c r="G1954" s="42"/>
      <c r="H1954" s="42"/>
    </row>
    <row r="1955" spans="3:8" x14ac:dyDescent="0.3">
      <c r="C1955" s="42"/>
      <c r="D1955" s="42"/>
      <c r="E1955" s="42"/>
      <c r="F1955" s="42"/>
      <c r="G1955" s="42"/>
      <c r="H1955" s="42"/>
    </row>
    <row r="1956" spans="3:8" x14ac:dyDescent="0.3">
      <c r="C1956" s="42"/>
      <c r="D1956" s="42"/>
      <c r="E1956" s="42"/>
      <c r="F1956" s="42"/>
      <c r="G1956" s="42"/>
      <c r="H1956" s="42"/>
    </row>
    <row r="1957" spans="3:8" x14ac:dyDescent="0.3">
      <c r="C1957" s="42"/>
      <c r="D1957" s="42"/>
      <c r="E1957" s="42"/>
      <c r="F1957" s="42"/>
      <c r="G1957" s="42"/>
      <c r="H1957" s="42"/>
    </row>
    <row r="1958" spans="3:8" x14ac:dyDescent="0.3">
      <c r="C1958" s="42"/>
      <c r="D1958" s="42"/>
      <c r="E1958" s="42"/>
      <c r="F1958" s="42"/>
      <c r="G1958" s="42"/>
      <c r="H1958" s="42"/>
    </row>
    <row r="1959" spans="3:8" x14ac:dyDescent="0.3">
      <c r="C1959" s="42"/>
      <c r="D1959" s="42"/>
      <c r="E1959" s="42"/>
      <c r="F1959" s="42"/>
      <c r="G1959" s="42"/>
      <c r="H1959" s="42"/>
    </row>
    <row r="1960" spans="3:8" x14ac:dyDescent="0.3">
      <c r="C1960" s="42"/>
      <c r="D1960" s="42"/>
      <c r="E1960" s="42"/>
      <c r="F1960" s="42"/>
      <c r="G1960" s="42"/>
      <c r="H1960" s="42"/>
    </row>
    <row r="1961" spans="3:8" x14ac:dyDescent="0.3">
      <c r="C1961" s="42"/>
      <c r="D1961" s="42"/>
      <c r="E1961" s="42"/>
      <c r="F1961" s="42"/>
      <c r="G1961" s="42"/>
      <c r="H1961" s="42"/>
    </row>
    <row r="1962" spans="3:8" x14ac:dyDescent="0.3">
      <c r="C1962" s="42"/>
      <c r="D1962" s="42"/>
      <c r="E1962" s="42"/>
      <c r="F1962" s="42"/>
      <c r="G1962" s="42"/>
      <c r="H1962" s="42"/>
    </row>
    <row r="1963" spans="3:8" x14ac:dyDescent="0.3">
      <c r="C1963" s="42"/>
      <c r="D1963" s="42"/>
      <c r="E1963" s="42"/>
      <c r="F1963" s="42"/>
      <c r="G1963" s="42"/>
      <c r="H1963" s="42"/>
    </row>
    <row r="1964" spans="3:8" x14ac:dyDescent="0.3">
      <c r="C1964" s="42"/>
      <c r="D1964" s="42"/>
      <c r="E1964" s="42"/>
      <c r="F1964" s="42"/>
      <c r="G1964" s="42"/>
      <c r="H1964" s="42"/>
    </row>
    <row r="1965" spans="3:8" x14ac:dyDescent="0.3">
      <c r="C1965" s="42"/>
      <c r="D1965" s="42"/>
      <c r="E1965" s="42"/>
      <c r="F1965" s="42"/>
      <c r="G1965" s="42"/>
      <c r="H1965" s="42"/>
    </row>
    <row r="1966" spans="3:8" x14ac:dyDescent="0.3">
      <c r="C1966" s="42"/>
      <c r="D1966" s="42"/>
      <c r="E1966" s="42"/>
      <c r="F1966" s="42"/>
      <c r="G1966" s="42"/>
      <c r="H1966" s="42"/>
    </row>
    <row r="1967" spans="3:8" x14ac:dyDescent="0.3">
      <c r="C1967" s="42"/>
      <c r="D1967" s="42"/>
      <c r="E1967" s="42"/>
      <c r="F1967" s="42"/>
      <c r="G1967" s="42"/>
      <c r="H1967" s="42"/>
    </row>
    <row r="1968" spans="3:8" x14ac:dyDescent="0.3">
      <c r="C1968" s="42"/>
      <c r="D1968" s="42"/>
      <c r="E1968" s="42"/>
      <c r="F1968" s="42"/>
      <c r="G1968" s="42"/>
      <c r="H1968" s="42"/>
    </row>
    <row r="1969" spans="3:8" x14ac:dyDescent="0.3">
      <c r="C1969" s="42"/>
      <c r="D1969" s="42"/>
      <c r="E1969" s="42"/>
      <c r="F1969" s="42"/>
      <c r="G1969" s="42"/>
      <c r="H1969" s="42"/>
    </row>
    <row r="1970" spans="3:8" x14ac:dyDescent="0.3">
      <c r="C1970" s="42"/>
      <c r="D1970" s="42"/>
      <c r="E1970" s="42"/>
      <c r="F1970" s="42"/>
      <c r="G1970" s="42"/>
      <c r="H1970" s="42"/>
    </row>
    <row r="1971" spans="3:8" x14ac:dyDescent="0.3">
      <c r="C1971" s="42"/>
      <c r="D1971" s="42"/>
      <c r="E1971" s="42"/>
      <c r="F1971" s="42"/>
      <c r="G1971" s="42"/>
      <c r="H1971" s="42"/>
    </row>
    <row r="1972" spans="3:8" x14ac:dyDescent="0.3">
      <c r="C1972" s="42"/>
      <c r="D1972" s="42"/>
      <c r="E1972" s="42"/>
      <c r="F1972" s="42"/>
      <c r="G1972" s="42"/>
      <c r="H1972" s="42"/>
    </row>
    <row r="1973" spans="3:8" x14ac:dyDescent="0.3">
      <c r="C1973" s="42"/>
      <c r="D1973" s="42"/>
      <c r="E1973" s="42"/>
      <c r="F1973" s="42"/>
      <c r="G1973" s="42"/>
      <c r="H1973" s="42"/>
    </row>
    <row r="1974" spans="3:8" x14ac:dyDescent="0.3">
      <c r="C1974" s="42"/>
      <c r="D1974" s="42"/>
      <c r="E1974" s="42"/>
      <c r="F1974" s="42"/>
      <c r="G1974" s="42"/>
      <c r="H1974" s="42"/>
    </row>
    <row r="1975" spans="3:8" x14ac:dyDescent="0.3">
      <c r="C1975" s="42"/>
      <c r="D1975" s="42"/>
      <c r="E1975" s="42"/>
      <c r="F1975" s="42"/>
      <c r="G1975" s="42"/>
      <c r="H1975" s="42"/>
    </row>
    <row r="1976" spans="3:8" x14ac:dyDescent="0.3">
      <c r="C1976" s="42"/>
      <c r="D1976" s="42"/>
      <c r="E1976" s="42"/>
      <c r="F1976" s="42"/>
      <c r="G1976" s="42"/>
      <c r="H1976" s="42"/>
    </row>
    <row r="1977" spans="3:8" x14ac:dyDescent="0.3">
      <c r="C1977" s="42"/>
      <c r="D1977" s="42"/>
      <c r="E1977" s="42"/>
      <c r="F1977" s="42"/>
      <c r="G1977" s="42"/>
      <c r="H1977" s="42"/>
    </row>
    <row r="1978" spans="3:8" x14ac:dyDescent="0.3">
      <c r="C1978" s="42"/>
      <c r="D1978" s="42"/>
      <c r="E1978" s="42"/>
      <c r="F1978" s="42"/>
      <c r="G1978" s="42"/>
      <c r="H1978" s="42"/>
    </row>
    <row r="1979" spans="3:8" x14ac:dyDescent="0.3">
      <c r="C1979" s="42"/>
      <c r="D1979" s="42"/>
      <c r="E1979" s="42"/>
      <c r="F1979" s="42"/>
      <c r="G1979" s="42"/>
      <c r="H1979" s="42"/>
    </row>
    <row r="1980" spans="3:8" x14ac:dyDescent="0.3">
      <c r="C1980" s="42"/>
      <c r="D1980" s="42"/>
      <c r="E1980" s="42"/>
      <c r="F1980" s="42"/>
      <c r="G1980" s="42"/>
      <c r="H1980" s="42"/>
    </row>
    <row r="1981" spans="3:8" x14ac:dyDescent="0.3">
      <c r="C1981" s="42"/>
      <c r="D1981" s="42"/>
      <c r="E1981" s="42"/>
      <c r="F1981" s="42"/>
      <c r="G1981" s="42"/>
      <c r="H1981" s="42"/>
    </row>
    <row r="1982" spans="3:8" x14ac:dyDescent="0.3">
      <c r="C1982" s="42"/>
      <c r="D1982" s="42"/>
      <c r="E1982" s="42"/>
      <c r="F1982" s="42"/>
      <c r="G1982" s="42"/>
      <c r="H1982" s="42"/>
    </row>
    <row r="1983" spans="3:8" x14ac:dyDescent="0.3">
      <c r="C1983" s="42"/>
      <c r="D1983" s="42"/>
      <c r="E1983" s="42"/>
      <c r="F1983" s="42"/>
      <c r="G1983" s="42"/>
      <c r="H1983" s="42"/>
    </row>
    <row r="1984" spans="3:8" x14ac:dyDescent="0.3">
      <c r="C1984" s="42"/>
      <c r="D1984" s="42"/>
      <c r="E1984" s="42"/>
      <c r="F1984" s="42"/>
      <c r="G1984" s="42"/>
      <c r="H1984" s="42"/>
    </row>
    <row r="1985" spans="3:8" x14ac:dyDescent="0.3">
      <c r="C1985" s="42"/>
      <c r="D1985" s="42"/>
      <c r="E1985" s="42"/>
      <c r="F1985" s="42"/>
      <c r="G1985" s="42"/>
      <c r="H1985" s="42"/>
    </row>
    <row r="1986" spans="3:8" x14ac:dyDescent="0.3">
      <c r="C1986" s="42"/>
      <c r="D1986" s="42"/>
      <c r="E1986" s="42"/>
      <c r="F1986" s="42"/>
      <c r="G1986" s="42"/>
      <c r="H1986" s="42"/>
    </row>
    <row r="1987" spans="3:8" x14ac:dyDescent="0.3">
      <c r="C1987" s="42"/>
      <c r="D1987" s="42"/>
      <c r="E1987" s="42"/>
      <c r="F1987" s="42"/>
      <c r="G1987" s="42"/>
      <c r="H1987" s="42"/>
    </row>
    <row r="1988" spans="3:8" x14ac:dyDescent="0.3">
      <c r="C1988" s="42"/>
      <c r="D1988" s="42"/>
      <c r="E1988" s="42"/>
      <c r="F1988" s="42"/>
      <c r="G1988" s="42"/>
      <c r="H1988" s="42"/>
    </row>
    <row r="1989" spans="3:8" x14ac:dyDescent="0.3">
      <c r="C1989" s="42"/>
      <c r="D1989" s="42"/>
      <c r="E1989" s="42"/>
      <c r="F1989" s="42"/>
      <c r="G1989" s="42"/>
      <c r="H1989" s="42"/>
    </row>
    <row r="1990" spans="3:8" x14ac:dyDescent="0.3">
      <c r="C1990" s="42"/>
      <c r="D1990" s="42"/>
      <c r="E1990" s="42"/>
      <c r="F1990" s="42"/>
      <c r="G1990" s="42"/>
      <c r="H1990" s="42"/>
    </row>
    <row r="1991" spans="3:8" x14ac:dyDescent="0.3">
      <c r="C1991" s="42"/>
      <c r="D1991" s="42"/>
      <c r="E1991" s="42"/>
      <c r="F1991" s="42"/>
      <c r="G1991" s="42"/>
      <c r="H1991" s="42"/>
    </row>
    <row r="1992" spans="3:8" x14ac:dyDescent="0.3">
      <c r="C1992" s="42"/>
      <c r="D1992" s="42"/>
      <c r="E1992" s="42"/>
      <c r="F1992" s="42"/>
      <c r="G1992" s="42"/>
      <c r="H1992" s="42"/>
    </row>
    <row r="1993" spans="3:8" x14ac:dyDescent="0.3">
      <c r="C1993" s="42"/>
      <c r="D1993" s="42"/>
      <c r="E1993" s="42"/>
      <c r="F1993" s="42"/>
      <c r="G1993" s="42"/>
      <c r="H1993" s="42"/>
    </row>
    <row r="1994" spans="3:8" x14ac:dyDescent="0.3">
      <c r="C1994" s="42"/>
      <c r="D1994" s="42"/>
      <c r="E1994" s="42"/>
      <c r="F1994" s="42"/>
      <c r="G1994" s="42"/>
      <c r="H1994" s="42"/>
    </row>
    <row r="1995" spans="3:8" x14ac:dyDescent="0.3">
      <c r="C1995" s="42"/>
      <c r="D1995" s="42"/>
      <c r="E1995" s="42"/>
      <c r="F1995" s="42"/>
      <c r="G1995" s="42"/>
      <c r="H1995" s="42"/>
    </row>
    <row r="1996" spans="3:8" x14ac:dyDescent="0.3">
      <c r="C1996" s="42"/>
      <c r="D1996" s="42"/>
      <c r="E1996" s="42"/>
      <c r="F1996" s="42"/>
      <c r="G1996" s="42"/>
      <c r="H1996" s="42"/>
    </row>
    <row r="1997" spans="3:8" x14ac:dyDescent="0.3">
      <c r="C1997" s="42"/>
      <c r="D1997" s="42"/>
      <c r="E1997" s="42"/>
      <c r="F1997" s="42"/>
      <c r="G1997" s="42"/>
      <c r="H1997" s="42"/>
    </row>
    <row r="1998" spans="3:8" x14ac:dyDescent="0.3">
      <c r="C1998" s="42"/>
      <c r="D1998" s="42"/>
      <c r="E1998" s="42"/>
      <c r="F1998" s="42"/>
      <c r="G1998" s="42"/>
      <c r="H1998" s="42"/>
    </row>
    <row r="1999" spans="3:8" x14ac:dyDescent="0.3">
      <c r="C1999" s="42"/>
      <c r="D1999" s="42"/>
      <c r="E1999" s="42"/>
      <c r="F1999" s="42"/>
      <c r="G1999" s="42"/>
      <c r="H1999" s="42"/>
    </row>
    <row r="2000" spans="3:8" x14ac:dyDescent="0.3">
      <c r="C2000" s="42"/>
      <c r="D2000" s="42"/>
      <c r="E2000" s="42"/>
      <c r="F2000" s="42"/>
      <c r="G2000" s="42"/>
      <c r="H2000" s="42"/>
    </row>
    <row r="2001" spans="3:8" x14ac:dyDescent="0.3">
      <c r="C2001" s="42"/>
      <c r="D2001" s="42"/>
      <c r="E2001" s="42"/>
      <c r="F2001" s="42"/>
      <c r="G2001" s="42"/>
      <c r="H2001" s="42"/>
    </row>
    <row r="2002" spans="3:8" x14ac:dyDescent="0.3">
      <c r="C2002" s="42"/>
      <c r="D2002" s="42"/>
      <c r="E2002" s="42"/>
      <c r="F2002" s="42"/>
      <c r="G2002" s="42"/>
      <c r="H2002" s="42"/>
    </row>
    <row r="2003" spans="3:8" x14ac:dyDescent="0.3">
      <c r="C2003" s="42"/>
      <c r="D2003" s="42"/>
      <c r="E2003" s="42"/>
      <c r="F2003" s="42"/>
      <c r="G2003" s="42"/>
      <c r="H2003" s="42"/>
    </row>
    <row r="2004" spans="3:8" x14ac:dyDescent="0.3">
      <c r="C2004" s="42"/>
      <c r="D2004" s="42"/>
      <c r="E2004" s="42"/>
      <c r="F2004" s="42"/>
      <c r="G2004" s="42"/>
      <c r="H2004" s="42"/>
    </row>
    <row r="2005" spans="3:8" x14ac:dyDescent="0.3">
      <c r="C2005" s="42"/>
      <c r="D2005" s="42"/>
      <c r="E2005" s="42"/>
      <c r="F2005" s="42"/>
      <c r="G2005" s="42"/>
      <c r="H2005" s="42"/>
    </row>
    <row r="2006" spans="3:8" x14ac:dyDescent="0.3">
      <c r="C2006" s="42"/>
      <c r="D2006" s="42"/>
      <c r="E2006" s="42"/>
      <c r="F2006" s="42"/>
      <c r="G2006" s="42"/>
      <c r="H2006" s="42"/>
    </row>
    <row r="2007" spans="3:8" x14ac:dyDescent="0.3">
      <c r="C2007" s="42"/>
      <c r="D2007" s="42"/>
      <c r="E2007" s="42"/>
      <c r="F2007" s="42"/>
      <c r="G2007" s="42"/>
      <c r="H2007" s="42"/>
    </row>
    <row r="2008" spans="3:8" x14ac:dyDescent="0.3">
      <c r="C2008" s="42"/>
      <c r="D2008" s="42"/>
      <c r="E2008" s="42"/>
      <c r="F2008" s="42"/>
      <c r="G2008" s="42"/>
      <c r="H2008" s="42"/>
    </row>
    <row r="2009" spans="3:8" x14ac:dyDescent="0.3">
      <c r="C2009" s="42"/>
      <c r="D2009" s="42"/>
      <c r="E2009" s="42"/>
      <c r="F2009" s="42"/>
      <c r="G2009" s="42"/>
      <c r="H2009" s="42"/>
    </row>
    <row r="2010" spans="3:8" x14ac:dyDescent="0.3">
      <c r="C2010" s="42"/>
      <c r="D2010" s="42"/>
      <c r="E2010" s="42"/>
      <c r="F2010" s="42"/>
      <c r="G2010" s="42"/>
      <c r="H2010" s="42"/>
    </row>
    <row r="2011" spans="3:8" x14ac:dyDescent="0.3">
      <c r="C2011" s="42"/>
      <c r="D2011" s="42"/>
      <c r="E2011" s="42"/>
      <c r="F2011" s="42"/>
      <c r="G2011" s="42"/>
      <c r="H2011" s="42"/>
    </row>
    <row r="2012" spans="3:8" x14ac:dyDescent="0.3">
      <c r="C2012" s="42"/>
      <c r="D2012" s="42"/>
      <c r="E2012" s="42"/>
      <c r="F2012" s="42"/>
      <c r="G2012" s="42"/>
      <c r="H2012" s="42"/>
    </row>
    <row r="2013" spans="3:8" x14ac:dyDescent="0.3">
      <c r="C2013" s="42"/>
      <c r="D2013" s="42"/>
      <c r="E2013" s="42"/>
      <c r="F2013" s="42"/>
      <c r="G2013" s="42"/>
      <c r="H2013" s="42"/>
    </row>
    <row r="2014" spans="3:8" x14ac:dyDescent="0.3">
      <c r="C2014" s="42"/>
      <c r="D2014" s="42"/>
      <c r="E2014" s="42"/>
      <c r="F2014" s="42"/>
      <c r="G2014" s="42"/>
      <c r="H2014" s="42"/>
    </row>
    <row r="2015" spans="3:8" x14ac:dyDescent="0.3">
      <c r="C2015" s="42"/>
      <c r="D2015" s="42"/>
      <c r="E2015" s="42"/>
      <c r="F2015" s="42"/>
      <c r="G2015" s="42"/>
      <c r="H2015" s="42"/>
    </row>
    <row r="2016" spans="3:8" x14ac:dyDescent="0.3">
      <c r="C2016" s="42"/>
      <c r="D2016" s="42"/>
      <c r="E2016" s="42"/>
      <c r="F2016" s="42"/>
      <c r="G2016" s="42"/>
      <c r="H2016" s="42"/>
    </row>
    <row r="2017" spans="3:8" x14ac:dyDescent="0.3">
      <c r="C2017" s="42"/>
      <c r="D2017" s="42"/>
      <c r="E2017" s="42"/>
      <c r="F2017" s="42"/>
      <c r="G2017" s="42"/>
      <c r="H2017" s="42"/>
    </row>
    <row r="2018" spans="3:8" x14ac:dyDescent="0.3">
      <c r="C2018" s="42"/>
      <c r="D2018" s="42"/>
      <c r="E2018" s="42"/>
      <c r="F2018" s="42"/>
      <c r="G2018" s="42"/>
      <c r="H2018" s="42"/>
    </row>
    <row r="2019" spans="3:8" x14ac:dyDescent="0.3">
      <c r="C2019" s="42"/>
      <c r="D2019" s="42"/>
      <c r="E2019" s="42"/>
      <c r="F2019" s="42"/>
      <c r="G2019" s="42"/>
      <c r="H2019" s="42"/>
    </row>
    <row r="2020" spans="3:8" x14ac:dyDescent="0.3">
      <c r="C2020" s="42"/>
      <c r="D2020" s="42"/>
      <c r="E2020" s="42"/>
      <c r="F2020" s="42"/>
      <c r="G2020" s="42"/>
      <c r="H2020" s="42"/>
    </row>
    <row r="2021" spans="3:8" x14ac:dyDescent="0.3">
      <c r="C2021" s="42"/>
      <c r="D2021" s="42"/>
      <c r="E2021" s="42"/>
      <c r="F2021" s="42"/>
      <c r="G2021" s="42"/>
      <c r="H2021" s="42"/>
    </row>
    <row r="2022" spans="3:8" x14ac:dyDescent="0.3">
      <c r="C2022" s="42"/>
      <c r="D2022" s="42"/>
      <c r="E2022" s="42"/>
      <c r="F2022" s="42"/>
      <c r="G2022" s="42"/>
      <c r="H2022" s="42"/>
    </row>
    <row r="2023" spans="3:8" x14ac:dyDescent="0.3">
      <c r="C2023" s="42"/>
      <c r="D2023" s="42"/>
      <c r="E2023" s="42"/>
      <c r="F2023" s="42"/>
      <c r="G2023" s="42"/>
      <c r="H2023" s="42"/>
    </row>
    <row r="2024" spans="3:8" x14ac:dyDescent="0.3">
      <c r="C2024" s="42"/>
      <c r="D2024" s="42"/>
      <c r="E2024" s="42"/>
      <c r="F2024" s="42"/>
      <c r="G2024" s="42"/>
      <c r="H2024" s="42"/>
    </row>
    <row r="2025" spans="3:8" x14ac:dyDescent="0.3">
      <c r="C2025" s="42"/>
      <c r="D2025" s="42"/>
      <c r="E2025" s="42"/>
      <c r="F2025" s="42"/>
      <c r="G2025" s="42"/>
      <c r="H2025" s="42"/>
    </row>
    <row r="2026" spans="3:8" x14ac:dyDescent="0.3">
      <c r="C2026" s="42"/>
      <c r="D2026" s="42"/>
      <c r="E2026" s="42"/>
      <c r="F2026" s="42"/>
      <c r="G2026" s="42"/>
      <c r="H2026" s="42"/>
    </row>
    <row r="2027" spans="3:8" x14ac:dyDescent="0.3">
      <c r="C2027" s="42"/>
      <c r="D2027" s="42"/>
      <c r="E2027" s="42"/>
      <c r="F2027" s="42"/>
      <c r="G2027" s="42"/>
      <c r="H2027" s="42"/>
    </row>
    <row r="2028" spans="3:8" x14ac:dyDescent="0.3">
      <c r="C2028" s="42"/>
      <c r="D2028" s="42"/>
      <c r="E2028" s="42"/>
      <c r="F2028" s="42"/>
      <c r="G2028" s="42"/>
      <c r="H2028" s="42"/>
    </row>
    <row r="2029" spans="3:8" x14ac:dyDescent="0.3">
      <c r="C2029" s="42"/>
      <c r="D2029" s="42"/>
      <c r="E2029" s="42"/>
      <c r="F2029" s="42"/>
      <c r="G2029" s="42"/>
      <c r="H2029" s="42"/>
    </row>
    <row r="2030" spans="3:8" x14ac:dyDescent="0.3">
      <c r="C2030" s="42"/>
      <c r="D2030" s="42"/>
      <c r="E2030" s="42"/>
      <c r="F2030" s="42"/>
      <c r="G2030" s="42"/>
      <c r="H2030" s="42"/>
    </row>
    <row r="2031" spans="3:8" x14ac:dyDescent="0.3">
      <c r="C2031" s="42"/>
      <c r="D2031" s="42"/>
      <c r="E2031" s="42"/>
      <c r="F2031" s="42"/>
      <c r="G2031" s="42"/>
      <c r="H2031" s="42"/>
    </row>
    <row r="2032" spans="3:8" x14ac:dyDescent="0.3">
      <c r="C2032" s="42"/>
      <c r="D2032" s="42"/>
      <c r="E2032" s="42"/>
      <c r="F2032" s="42"/>
      <c r="G2032" s="42"/>
      <c r="H2032" s="42"/>
    </row>
    <row r="2033" spans="3:8" x14ac:dyDescent="0.3">
      <c r="C2033" s="42"/>
      <c r="D2033" s="42"/>
      <c r="E2033" s="42"/>
      <c r="F2033" s="42"/>
      <c r="G2033" s="42"/>
      <c r="H2033" s="42"/>
    </row>
    <row r="2034" spans="3:8" x14ac:dyDescent="0.3">
      <c r="C2034" s="42"/>
      <c r="D2034" s="42"/>
      <c r="E2034" s="42"/>
      <c r="F2034" s="42"/>
      <c r="G2034" s="42"/>
      <c r="H2034" s="42"/>
    </row>
    <row r="2035" spans="3:8" x14ac:dyDescent="0.3">
      <c r="C2035" s="42"/>
      <c r="D2035" s="42"/>
      <c r="E2035" s="42"/>
      <c r="F2035" s="42"/>
      <c r="G2035" s="42"/>
      <c r="H2035" s="42"/>
    </row>
    <row r="2036" spans="3:8" x14ac:dyDescent="0.3">
      <c r="C2036" s="42"/>
      <c r="D2036" s="42"/>
      <c r="E2036" s="42"/>
      <c r="F2036" s="42"/>
      <c r="G2036" s="42"/>
      <c r="H2036" s="42"/>
    </row>
    <row r="2037" spans="3:8" x14ac:dyDescent="0.3">
      <c r="C2037" s="42"/>
      <c r="D2037" s="42"/>
      <c r="E2037" s="42"/>
      <c r="F2037" s="42"/>
      <c r="G2037" s="42"/>
      <c r="H2037" s="42"/>
    </row>
    <row r="2038" spans="3:8" x14ac:dyDescent="0.3">
      <c r="C2038" s="42"/>
      <c r="D2038" s="42"/>
      <c r="E2038" s="42"/>
      <c r="F2038" s="42"/>
      <c r="G2038" s="42"/>
      <c r="H2038" s="42"/>
    </row>
    <row r="2039" spans="3:8" x14ac:dyDescent="0.3">
      <c r="C2039" s="42"/>
      <c r="D2039" s="42"/>
      <c r="E2039" s="42"/>
      <c r="F2039" s="42"/>
      <c r="G2039" s="42"/>
      <c r="H2039" s="42"/>
    </row>
    <row r="2040" spans="3:8" x14ac:dyDescent="0.3">
      <c r="C2040" s="42"/>
      <c r="D2040" s="42"/>
      <c r="E2040" s="42"/>
      <c r="F2040" s="42"/>
      <c r="G2040" s="42"/>
      <c r="H2040" s="42"/>
    </row>
    <row r="2041" spans="3:8" x14ac:dyDescent="0.3">
      <c r="C2041" s="42"/>
      <c r="D2041" s="42"/>
      <c r="E2041" s="42"/>
      <c r="F2041" s="42"/>
      <c r="G2041" s="42"/>
      <c r="H2041" s="42"/>
    </row>
    <row r="2042" spans="3:8" x14ac:dyDescent="0.3">
      <c r="C2042" s="42"/>
      <c r="D2042" s="42"/>
      <c r="E2042" s="42"/>
      <c r="F2042" s="42"/>
      <c r="G2042" s="42"/>
      <c r="H2042" s="42"/>
    </row>
    <row r="2043" spans="3:8" x14ac:dyDescent="0.3">
      <c r="C2043" s="42"/>
      <c r="D2043" s="42"/>
      <c r="E2043" s="42"/>
      <c r="F2043" s="42"/>
      <c r="G2043" s="42"/>
      <c r="H2043" s="42"/>
    </row>
    <row r="2044" spans="3:8" x14ac:dyDescent="0.3">
      <c r="C2044" s="42"/>
      <c r="D2044" s="42"/>
      <c r="E2044" s="42"/>
      <c r="F2044" s="42"/>
      <c r="G2044" s="42"/>
      <c r="H2044" s="42"/>
    </row>
    <row r="2045" spans="3:8" x14ac:dyDescent="0.3">
      <c r="C2045" s="42"/>
      <c r="D2045" s="42"/>
      <c r="E2045" s="42"/>
      <c r="F2045" s="42"/>
      <c r="G2045" s="42"/>
      <c r="H2045" s="42"/>
    </row>
    <row r="2046" spans="3:8" x14ac:dyDescent="0.3">
      <c r="C2046" s="42"/>
      <c r="D2046" s="42"/>
      <c r="E2046" s="42"/>
      <c r="F2046" s="42"/>
      <c r="G2046" s="42"/>
      <c r="H2046" s="42"/>
    </row>
    <row r="2047" spans="3:8" x14ac:dyDescent="0.3">
      <c r="C2047" s="42"/>
      <c r="D2047" s="42"/>
      <c r="E2047" s="42"/>
      <c r="F2047" s="42"/>
      <c r="G2047" s="42"/>
      <c r="H2047" s="42"/>
    </row>
    <row r="2048" spans="3:8" x14ac:dyDescent="0.3">
      <c r="C2048" s="42"/>
      <c r="D2048" s="42"/>
      <c r="E2048" s="42"/>
      <c r="F2048" s="42"/>
      <c r="G2048" s="42"/>
      <c r="H2048" s="42"/>
    </row>
    <row r="2049" spans="3:8" x14ac:dyDescent="0.3">
      <c r="C2049" s="42"/>
      <c r="D2049" s="42"/>
      <c r="E2049" s="42"/>
      <c r="F2049" s="42"/>
      <c r="G2049" s="42"/>
      <c r="H2049" s="42"/>
    </row>
    <row r="2050" spans="3:8" x14ac:dyDescent="0.3">
      <c r="C2050" s="42"/>
      <c r="D2050" s="42"/>
      <c r="E2050" s="42"/>
      <c r="F2050" s="42"/>
      <c r="G2050" s="42"/>
      <c r="H2050" s="42"/>
    </row>
    <row r="2051" spans="3:8" x14ac:dyDescent="0.3">
      <c r="C2051" s="42"/>
      <c r="D2051" s="42"/>
      <c r="E2051" s="42"/>
      <c r="F2051" s="42"/>
      <c r="G2051" s="42"/>
      <c r="H2051" s="42"/>
    </row>
    <row r="2052" spans="3:8" x14ac:dyDescent="0.3">
      <c r="C2052" s="42"/>
      <c r="D2052" s="42"/>
      <c r="E2052" s="42"/>
      <c r="F2052" s="42"/>
      <c r="G2052" s="42"/>
      <c r="H2052" s="42"/>
    </row>
    <row r="2053" spans="3:8" x14ac:dyDescent="0.3">
      <c r="C2053" s="42"/>
      <c r="D2053" s="42"/>
      <c r="E2053" s="42"/>
      <c r="F2053" s="42"/>
      <c r="G2053" s="42"/>
      <c r="H2053" s="42"/>
    </row>
    <row r="2054" spans="3:8" x14ac:dyDescent="0.3">
      <c r="C2054" s="42"/>
      <c r="D2054" s="42"/>
      <c r="E2054" s="42"/>
      <c r="F2054" s="42"/>
      <c r="G2054" s="42"/>
      <c r="H2054" s="42"/>
    </row>
    <row r="2055" spans="3:8" x14ac:dyDescent="0.3">
      <c r="C2055" s="42"/>
      <c r="D2055" s="42"/>
      <c r="E2055" s="42"/>
      <c r="F2055" s="42"/>
      <c r="G2055" s="42"/>
      <c r="H2055" s="42"/>
    </row>
    <row r="2056" spans="3:8" x14ac:dyDescent="0.3">
      <c r="C2056" s="42"/>
      <c r="D2056" s="42"/>
      <c r="E2056" s="42"/>
      <c r="F2056" s="42"/>
      <c r="G2056" s="42"/>
      <c r="H2056" s="42"/>
    </row>
    <row r="2057" spans="3:8" x14ac:dyDescent="0.3">
      <c r="C2057" s="42"/>
      <c r="D2057" s="42"/>
      <c r="E2057" s="42"/>
      <c r="F2057" s="42"/>
      <c r="G2057" s="42"/>
      <c r="H2057" s="42"/>
    </row>
    <row r="2058" spans="3:8" x14ac:dyDescent="0.3">
      <c r="C2058" s="42"/>
      <c r="D2058" s="42"/>
      <c r="E2058" s="42"/>
      <c r="F2058" s="42"/>
      <c r="G2058" s="42"/>
      <c r="H2058" s="42"/>
    </row>
    <row r="2059" spans="3:8" x14ac:dyDescent="0.3">
      <c r="C2059" s="42"/>
      <c r="D2059" s="42"/>
      <c r="E2059" s="42"/>
      <c r="F2059" s="42"/>
      <c r="G2059" s="42"/>
      <c r="H2059" s="42"/>
    </row>
    <row r="2060" spans="3:8" x14ac:dyDescent="0.3">
      <c r="C2060" s="42"/>
      <c r="D2060" s="42"/>
      <c r="E2060" s="42"/>
      <c r="F2060" s="42"/>
      <c r="G2060" s="42"/>
      <c r="H2060" s="42"/>
    </row>
    <row r="2061" spans="3:8" x14ac:dyDescent="0.3">
      <c r="C2061" s="42"/>
      <c r="D2061" s="42"/>
      <c r="E2061" s="42"/>
      <c r="F2061" s="42"/>
      <c r="G2061" s="42"/>
      <c r="H2061" s="42"/>
    </row>
    <row r="2062" spans="3:8" x14ac:dyDescent="0.3">
      <c r="C2062" s="42"/>
      <c r="D2062" s="42"/>
      <c r="E2062" s="42"/>
      <c r="F2062" s="42"/>
      <c r="G2062" s="42"/>
      <c r="H2062" s="42"/>
    </row>
    <row r="2063" spans="3:8" x14ac:dyDescent="0.3">
      <c r="C2063" s="42"/>
      <c r="D2063" s="42"/>
      <c r="E2063" s="42"/>
      <c r="F2063" s="42"/>
      <c r="G2063" s="42"/>
      <c r="H2063" s="42"/>
    </row>
    <row r="2064" spans="3:8" x14ac:dyDescent="0.3">
      <c r="C2064" s="42"/>
      <c r="D2064" s="42"/>
      <c r="E2064" s="42"/>
      <c r="F2064" s="42"/>
      <c r="G2064" s="42"/>
      <c r="H2064" s="42"/>
    </row>
    <row r="2065" spans="3:8" x14ac:dyDescent="0.3">
      <c r="C2065" s="42"/>
      <c r="D2065" s="42"/>
      <c r="E2065" s="42"/>
      <c r="F2065" s="42"/>
      <c r="G2065" s="42"/>
      <c r="H2065" s="42"/>
    </row>
    <row r="2066" spans="3:8" x14ac:dyDescent="0.3">
      <c r="C2066" s="42"/>
      <c r="D2066" s="42"/>
      <c r="E2066" s="42"/>
      <c r="F2066" s="42"/>
      <c r="G2066" s="42"/>
      <c r="H2066" s="42"/>
    </row>
    <row r="2067" spans="3:8" x14ac:dyDescent="0.3">
      <c r="C2067" s="42"/>
      <c r="D2067" s="42"/>
      <c r="E2067" s="42"/>
      <c r="F2067" s="42"/>
      <c r="G2067" s="42"/>
      <c r="H2067" s="42"/>
    </row>
    <row r="2068" spans="3:8" x14ac:dyDescent="0.3">
      <c r="C2068" s="42"/>
      <c r="D2068" s="42"/>
      <c r="E2068" s="42"/>
      <c r="F2068" s="42"/>
      <c r="G2068" s="42"/>
      <c r="H2068" s="42"/>
    </row>
    <row r="2069" spans="3:8" x14ac:dyDescent="0.3">
      <c r="C2069" s="42"/>
      <c r="D2069" s="42"/>
      <c r="E2069" s="42"/>
      <c r="F2069" s="42"/>
      <c r="G2069" s="42"/>
      <c r="H2069" s="42"/>
    </row>
    <row r="2070" spans="3:8" x14ac:dyDescent="0.3">
      <c r="C2070" s="42"/>
      <c r="D2070" s="42"/>
      <c r="E2070" s="42"/>
      <c r="F2070" s="42"/>
      <c r="G2070" s="42"/>
      <c r="H2070" s="42"/>
    </row>
    <row r="2071" spans="3:8" x14ac:dyDescent="0.3">
      <c r="C2071" s="42"/>
      <c r="D2071" s="42"/>
      <c r="E2071" s="42"/>
      <c r="F2071" s="42"/>
      <c r="G2071" s="42"/>
      <c r="H2071" s="42"/>
    </row>
    <row r="2072" spans="3:8" x14ac:dyDescent="0.3">
      <c r="C2072" s="42"/>
      <c r="D2072" s="42"/>
      <c r="E2072" s="42"/>
      <c r="F2072" s="42"/>
      <c r="G2072" s="42"/>
      <c r="H2072" s="42"/>
    </row>
    <row r="2073" spans="3:8" x14ac:dyDescent="0.3">
      <c r="C2073" s="42"/>
      <c r="D2073" s="42"/>
      <c r="E2073" s="42"/>
      <c r="F2073" s="42"/>
      <c r="G2073" s="42"/>
      <c r="H2073" s="42"/>
    </row>
    <row r="2074" spans="3:8" x14ac:dyDescent="0.3">
      <c r="C2074" s="42"/>
      <c r="D2074" s="42"/>
      <c r="E2074" s="42"/>
      <c r="F2074" s="42"/>
      <c r="G2074" s="42"/>
      <c r="H2074" s="42"/>
    </row>
    <row r="2075" spans="3:8" x14ac:dyDescent="0.3">
      <c r="C2075" s="42"/>
      <c r="D2075" s="42"/>
      <c r="E2075" s="42"/>
      <c r="F2075" s="42"/>
      <c r="G2075" s="42"/>
      <c r="H2075" s="42"/>
    </row>
    <row r="2076" spans="3:8" x14ac:dyDescent="0.3">
      <c r="C2076" s="42"/>
      <c r="D2076" s="42"/>
      <c r="E2076" s="42"/>
      <c r="F2076" s="42"/>
      <c r="G2076" s="42"/>
      <c r="H2076" s="42"/>
    </row>
    <row r="2077" spans="3:8" x14ac:dyDescent="0.3">
      <c r="C2077" s="42"/>
      <c r="D2077" s="42"/>
      <c r="E2077" s="42"/>
      <c r="F2077" s="42"/>
      <c r="G2077" s="42"/>
      <c r="H2077" s="42"/>
    </row>
    <row r="2078" spans="3:8" x14ac:dyDescent="0.3">
      <c r="C2078" s="42"/>
      <c r="D2078" s="42"/>
      <c r="E2078" s="42"/>
      <c r="F2078" s="42"/>
      <c r="G2078" s="42"/>
      <c r="H2078" s="42"/>
    </row>
    <row r="2079" spans="3:8" x14ac:dyDescent="0.3">
      <c r="C2079" s="42"/>
      <c r="D2079" s="42"/>
      <c r="E2079" s="42"/>
      <c r="F2079" s="42"/>
      <c r="G2079" s="42"/>
      <c r="H2079" s="42"/>
    </row>
    <row r="2080" spans="3:8" x14ac:dyDescent="0.3">
      <c r="C2080" s="42"/>
      <c r="D2080" s="42"/>
      <c r="E2080" s="42"/>
      <c r="F2080" s="42"/>
      <c r="G2080" s="42"/>
      <c r="H2080" s="42"/>
    </row>
    <row r="2081" spans="3:8" x14ac:dyDescent="0.3">
      <c r="C2081" s="42"/>
      <c r="D2081" s="42"/>
      <c r="E2081" s="42"/>
      <c r="F2081" s="42"/>
      <c r="G2081" s="42"/>
      <c r="H2081" s="42"/>
    </row>
    <row r="2082" spans="3:8" x14ac:dyDescent="0.3">
      <c r="C2082" s="42"/>
      <c r="D2082" s="42"/>
      <c r="E2082" s="42"/>
      <c r="F2082" s="42"/>
      <c r="G2082" s="42"/>
      <c r="H2082" s="42"/>
    </row>
    <row r="2083" spans="3:8" x14ac:dyDescent="0.3">
      <c r="C2083" s="42"/>
      <c r="D2083" s="42"/>
      <c r="E2083" s="42"/>
      <c r="F2083" s="42"/>
      <c r="G2083" s="42"/>
      <c r="H2083" s="42"/>
    </row>
    <row r="2084" spans="3:8" x14ac:dyDescent="0.3">
      <c r="C2084" s="42"/>
      <c r="D2084" s="42"/>
      <c r="E2084" s="42"/>
      <c r="F2084" s="42"/>
      <c r="G2084" s="42"/>
      <c r="H2084" s="42"/>
    </row>
    <row r="2085" spans="3:8" x14ac:dyDescent="0.3">
      <c r="C2085" s="42"/>
      <c r="D2085" s="42"/>
      <c r="E2085" s="42"/>
      <c r="F2085" s="42"/>
      <c r="G2085" s="42"/>
      <c r="H2085" s="42"/>
    </row>
    <row r="2086" spans="3:8" x14ac:dyDescent="0.3">
      <c r="C2086" s="42"/>
      <c r="D2086" s="42"/>
      <c r="E2086" s="42"/>
      <c r="F2086" s="42"/>
      <c r="G2086" s="42"/>
      <c r="H2086" s="42"/>
    </row>
    <row r="2087" spans="3:8" x14ac:dyDescent="0.3">
      <c r="C2087" s="42"/>
      <c r="D2087" s="42"/>
      <c r="E2087" s="42"/>
      <c r="F2087" s="42"/>
      <c r="G2087" s="42"/>
      <c r="H2087" s="42"/>
    </row>
    <row r="2088" spans="3:8" x14ac:dyDescent="0.3">
      <c r="C2088" s="42"/>
      <c r="D2088" s="42"/>
      <c r="E2088" s="42"/>
      <c r="F2088" s="42"/>
      <c r="G2088" s="42"/>
      <c r="H2088" s="42"/>
    </row>
    <row r="2089" spans="3:8" x14ac:dyDescent="0.3">
      <c r="C2089" s="42"/>
      <c r="D2089" s="42"/>
      <c r="E2089" s="42"/>
      <c r="F2089" s="42"/>
      <c r="G2089" s="42"/>
      <c r="H2089" s="42"/>
    </row>
    <row r="2090" spans="3:8" x14ac:dyDescent="0.3">
      <c r="C2090" s="42"/>
      <c r="D2090" s="42"/>
      <c r="E2090" s="42"/>
      <c r="F2090" s="42"/>
      <c r="G2090" s="42"/>
      <c r="H2090" s="42"/>
    </row>
    <row r="2091" spans="3:8" x14ac:dyDescent="0.3">
      <c r="C2091" s="42"/>
      <c r="D2091" s="42"/>
      <c r="E2091" s="42"/>
      <c r="F2091" s="42"/>
      <c r="G2091" s="42"/>
      <c r="H2091" s="42"/>
    </row>
    <row r="2092" spans="3:8" x14ac:dyDescent="0.3">
      <c r="C2092" s="42"/>
      <c r="D2092" s="42"/>
      <c r="E2092" s="42"/>
      <c r="F2092" s="42"/>
      <c r="G2092" s="42"/>
      <c r="H2092" s="42"/>
    </row>
    <row r="2093" spans="3:8" x14ac:dyDescent="0.3">
      <c r="C2093" s="42"/>
      <c r="D2093" s="42"/>
      <c r="E2093" s="42"/>
      <c r="F2093" s="42"/>
      <c r="G2093" s="42"/>
      <c r="H2093" s="42"/>
    </row>
    <row r="2094" spans="3:8" x14ac:dyDescent="0.3">
      <c r="C2094" s="42"/>
      <c r="D2094" s="42"/>
      <c r="E2094" s="42"/>
      <c r="F2094" s="42"/>
      <c r="G2094" s="42"/>
      <c r="H2094" s="42"/>
    </row>
    <row r="2095" spans="3:8" x14ac:dyDescent="0.3">
      <c r="C2095" s="42"/>
      <c r="D2095" s="42"/>
      <c r="E2095" s="42"/>
      <c r="F2095" s="42"/>
      <c r="G2095" s="42"/>
      <c r="H2095" s="42"/>
    </row>
    <row r="2096" spans="3:8" x14ac:dyDescent="0.3">
      <c r="C2096" s="42"/>
      <c r="D2096" s="42"/>
      <c r="E2096" s="42"/>
      <c r="F2096" s="42"/>
      <c r="G2096" s="42"/>
      <c r="H2096" s="42"/>
    </row>
    <row r="2097" spans="3:8" x14ac:dyDescent="0.3">
      <c r="C2097" s="42"/>
      <c r="D2097" s="42"/>
      <c r="E2097" s="42"/>
      <c r="F2097" s="42"/>
      <c r="G2097" s="42"/>
      <c r="H2097" s="42"/>
    </row>
    <row r="2098" spans="3:8" x14ac:dyDescent="0.3">
      <c r="C2098" s="42"/>
      <c r="D2098" s="42"/>
      <c r="E2098" s="42"/>
      <c r="F2098" s="42"/>
      <c r="G2098" s="42"/>
      <c r="H2098" s="42"/>
    </row>
    <row r="2099" spans="3:8" x14ac:dyDescent="0.3">
      <c r="C2099" s="42"/>
      <c r="D2099" s="42"/>
      <c r="E2099" s="42"/>
      <c r="F2099" s="42"/>
      <c r="G2099" s="42"/>
      <c r="H2099" s="42"/>
    </row>
    <row r="2100" spans="3:8" x14ac:dyDescent="0.3">
      <c r="C2100" s="42"/>
      <c r="D2100" s="42"/>
      <c r="E2100" s="42"/>
      <c r="F2100" s="42"/>
      <c r="G2100" s="42"/>
      <c r="H2100" s="42"/>
    </row>
    <row r="2101" spans="3:8" x14ac:dyDescent="0.3">
      <c r="C2101" s="42"/>
      <c r="D2101" s="42"/>
      <c r="E2101" s="42"/>
      <c r="F2101" s="42"/>
      <c r="G2101" s="42"/>
      <c r="H2101" s="42"/>
    </row>
    <row r="2102" spans="3:8" x14ac:dyDescent="0.3">
      <c r="C2102" s="42"/>
      <c r="D2102" s="42"/>
      <c r="E2102" s="42"/>
      <c r="F2102" s="42"/>
      <c r="G2102" s="42"/>
      <c r="H2102" s="42"/>
    </row>
    <row r="2103" spans="3:8" x14ac:dyDescent="0.3">
      <c r="C2103" s="42"/>
      <c r="D2103" s="42"/>
      <c r="E2103" s="42"/>
      <c r="F2103" s="42"/>
      <c r="G2103" s="42"/>
      <c r="H2103" s="42"/>
    </row>
    <row r="2104" spans="3:8" x14ac:dyDescent="0.3">
      <c r="C2104" s="42"/>
      <c r="D2104" s="42"/>
      <c r="E2104" s="42"/>
      <c r="F2104" s="42"/>
      <c r="G2104" s="42"/>
      <c r="H2104" s="42"/>
    </row>
    <row r="2105" spans="3:8" x14ac:dyDescent="0.3">
      <c r="C2105" s="42"/>
      <c r="D2105" s="42"/>
      <c r="E2105" s="42"/>
      <c r="F2105" s="42"/>
      <c r="G2105" s="42"/>
      <c r="H2105" s="42"/>
    </row>
    <row r="2106" spans="3:8" x14ac:dyDescent="0.3">
      <c r="C2106" s="42"/>
      <c r="D2106" s="42"/>
      <c r="E2106" s="42"/>
      <c r="F2106" s="42"/>
      <c r="G2106" s="42"/>
      <c r="H2106" s="42"/>
    </row>
    <row r="2107" spans="3:8" x14ac:dyDescent="0.3">
      <c r="C2107" s="42"/>
      <c r="D2107" s="42"/>
      <c r="E2107" s="42"/>
      <c r="F2107" s="42"/>
      <c r="G2107" s="42"/>
      <c r="H2107" s="42"/>
    </row>
    <row r="2108" spans="3:8" x14ac:dyDescent="0.3">
      <c r="C2108" s="42"/>
      <c r="D2108" s="42"/>
      <c r="E2108" s="42"/>
      <c r="F2108" s="42"/>
      <c r="G2108" s="42"/>
      <c r="H2108" s="42"/>
    </row>
    <row r="2109" spans="3:8" x14ac:dyDescent="0.3">
      <c r="C2109" s="42"/>
      <c r="D2109" s="42"/>
      <c r="E2109" s="42"/>
      <c r="F2109" s="42"/>
      <c r="G2109" s="42"/>
      <c r="H2109" s="42"/>
    </row>
    <row r="2110" spans="3:8" x14ac:dyDescent="0.3">
      <c r="C2110" s="42"/>
      <c r="D2110" s="42"/>
      <c r="E2110" s="42"/>
      <c r="F2110" s="42"/>
      <c r="G2110" s="42"/>
      <c r="H2110" s="42"/>
    </row>
    <row r="2111" spans="3:8" x14ac:dyDescent="0.3">
      <c r="C2111" s="42"/>
      <c r="D2111" s="42"/>
      <c r="E2111" s="42"/>
      <c r="F2111" s="42"/>
      <c r="G2111" s="42"/>
      <c r="H2111" s="42"/>
    </row>
    <row r="2112" spans="3:8" x14ac:dyDescent="0.3">
      <c r="C2112" s="42"/>
      <c r="D2112" s="42"/>
      <c r="E2112" s="42"/>
      <c r="F2112" s="42"/>
      <c r="G2112" s="42"/>
      <c r="H2112" s="42"/>
    </row>
    <row r="2113" spans="3:8" x14ac:dyDescent="0.3">
      <c r="C2113" s="42"/>
      <c r="D2113" s="42"/>
      <c r="E2113" s="42"/>
      <c r="F2113" s="42"/>
      <c r="G2113" s="42"/>
      <c r="H2113" s="42"/>
    </row>
    <row r="2114" spans="3:8" x14ac:dyDescent="0.3">
      <c r="C2114" s="42"/>
      <c r="D2114" s="42"/>
      <c r="E2114" s="42"/>
      <c r="F2114" s="42"/>
      <c r="G2114" s="42"/>
      <c r="H2114" s="42"/>
    </row>
    <row r="2115" spans="3:8" x14ac:dyDescent="0.3">
      <c r="C2115" s="42"/>
      <c r="D2115" s="42"/>
      <c r="E2115" s="42"/>
      <c r="F2115" s="42"/>
      <c r="G2115" s="42"/>
      <c r="H2115" s="42"/>
    </row>
    <row r="2116" spans="3:8" x14ac:dyDescent="0.3">
      <c r="C2116" s="42"/>
      <c r="D2116" s="42"/>
      <c r="E2116" s="42"/>
      <c r="F2116" s="42"/>
      <c r="G2116" s="42"/>
      <c r="H2116" s="42"/>
    </row>
    <row r="2117" spans="3:8" x14ac:dyDescent="0.3">
      <c r="C2117" s="42"/>
      <c r="D2117" s="42"/>
      <c r="E2117" s="42"/>
      <c r="F2117" s="42"/>
      <c r="G2117" s="42"/>
      <c r="H2117" s="42"/>
    </row>
    <row r="2118" spans="3:8" x14ac:dyDescent="0.3">
      <c r="C2118" s="42"/>
      <c r="D2118" s="42"/>
      <c r="E2118" s="42"/>
      <c r="F2118" s="42"/>
      <c r="G2118" s="42"/>
      <c r="H2118" s="42"/>
    </row>
    <row r="2119" spans="3:8" x14ac:dyDescent="0.3">
      <c r="C2119" s="42"/>
      <c r="D2119" s="42"/>
      <c r="E2119" s="42"/>
      <c r="F2119" s="42"/>
      <c r="G2119" s="42"/>
      <c r="H2119" s="42"/>
    </row>
    <row r="2120" spans="3:8" x14ac:dyDescent="0.3">
      <c r="C2120" s="42"/>
      <c r="D2120" s="42"/>
      <c r="E2120" s="42"/>
      <c r="F2120" s="42"/>
      <c r="G2120" s="42"/>
      <c r="H2120" s="42"/>
    </row>
    <row r="2121" spans="3:8" x14ac:dyDescent="0.3">
      <c r="C2121" s="42"/>
      <c r="D2121" s="42"/>
      <c r="E2121" s="42"/>
      <c r="F2121" s="42"/>
      <c r="G2121" s="42"/>
      <c r="H2121" s="42"/>
    </row>
    <row r="2122" spans="3:8" x14ac:dyDescent="0.3">
      <c r="C2122" s="42"/>
      <c r="D2122" s="42"/>
      <c r="E2122" s="42"/>
      <c r="F2122" s="42"/>
      <c r="G2122" s="42"/>
      <c r="H2122" s="42"/>
    </row>
    <row r="2123" spans="3:8" x14ac:dyDescent="0.3">
      <c r="C2123" s="42"/>
      <c r="D2123" s="42"/>
      <c r="E2123" s="42"/>
      <c r="F2123" s="42"/>
      <c r="G2123" s="42"/>
      <c r="H2123" s="42"/>
    </row>
    <row r="2124" spans="3:8" x14ac:dyDescent="0.3">
      <c r="C2124" s="42"/>
      <c r="D2124" s="42"/>
      <c r="E2124" s="42"/>
      <c r="F2124" s="42"/>
      <c r="G2124" s="42"/>
      <c r="H2124" s="42"/>
    </row>
    <row r="2125" spans="3:8" x14ac:dyDescent="0.3">
      <c r="C2125" s="42"/>
      <c r="D2125" s="42"/>
      <c r="E2125" s="42"/>
      <c r="F2125" s="42"/>
      <c r="G2125" s="42"/>
      <c r="H2125" s="42"/>
    </row>
    <row r="2126" spans="3:8" x14ac:dyDescent="0.3">
      <c r="C2126" s="42"/>
      <c r="D2126" s="42"/>
      <c r="E2126" s="42"/>
      <c r="F2126" s="42"/>
      <c r="G2126" s="42"/>
      <c r="H2126" s="42"/>
    </row>
    <row r="2127" spans="3:8" x14ac:dyDescent="0.3">
      <c r="C2127" s="42"/>
      <c r="D2127" s="42"/>
      <c r="E2127" s="42"/>
      <c r="F2127" s="42"/>
      <c r="G2127" s="42"/>
      <c r="H2127" s="42"/>
    </row>
    <row r="2128" spans="3:8" x14ac:dyDescent="0.3">
      <c r="C2128" s="42"/>
      <c r="D2128" s="42"/>
      <c r="E2128" s="42"/>
      <c r="F2128" s="42"/>
      <c r="G2128" s="42"/>
      <c r="H2128" s="42"/>
    </row>
    <row r="2129" spans="3:8" x14ac:dyDescent="0.3">
      <c r="C2129" s="42"/>
      <c r="D2129" s="42"/>
      <c r="E2129" s="42"/>
      <c r="F2129" s="42"/>
      <c r="G2129" s="42"/>
      <c r="H2129" s="42"/>
    </row>
    <row r="2130" spans="3:8" x14ac:dyDescent="0.3">
      <c r="C2130" s="42"/>
      <c r="D2130" s="42"/>
      <c r="E2130" s="42"/>
      <c r="F2130" s="42"/>
      <c r="G2130" s="42"/>
      <c r="H2130" s="42"/>
    </row>
    <row r="2131" spans="3:8" x14ac:dyDescent="0.3">
      <c r="C2131" s="42"/>
      <c r="D2131" s="42"/>
      <c r="E2131" s="42"/>
      <c r="F2131" s="42"/>
      <c r="G2131" s="42"/>
      <c r="H2131" s="42"/>
    </row>
    <row r="2132" spans="3:8" x14ac:dyDescent="0.3">
      <c r="C2132" s="42"/>
      <c r="D2132" s="42"/>
      <c r="E2132" s="42"/>
      <c r="F2132" s="42"/>
      <c r="G2132" s="42"/>
      <c r="H2132" s="42"/>
    </row>
    <row r="2133" spans="3:8" x14ac:dyDescent="0.3">
      <c r="C2133" s="42"/>
      <c r="D2133" s="42"/>
      <c r="E2133" s="42"/>
      <c r="F2133" s="42"/>
      <c r="G2133" s="42"/>
      <c r="H2133" s="42"/>
    </row>
    <row r="2134" spans="3:8" x14ac:dyDescent="0.3">
      <c r="C2134" s="42"/>
      <c r="D2134" s="42"/>
      <c r="E2134" s="42"/>
      <c r="F2134" s="42"/>
      <c r="G2134" s="42"/>
      <c r="H2134" s="42"/>
    </row>
    <row r="2135" spans="3:8" x14ac:dyDescent="0.3">
      <c r="C2135" s="42"/>
      <c r="D2135" s="42"/>
      <c r="E2135" s="42"/>
      <c r="F2135" s="42"/>
      <c r="G2135" s="42"/>
      <c r="H2135" s="42"/>
    </row>
    <row r="2136" spans="3:8" x14ac:dyDescent="0.3">
      <c r="C2136" s="42"/>
      <c r="D2136" s="42"/>
      <c r="E2136" s="42"/>
      <c r="F2136" s="42"/>
      <c r="G2136" s="42"/>
      <c r="H2136" s="42"/>
    </row>
    <row r="2137" spans="3:8" x14ac:dyDescent="0.3">
      <c r="C2137" s="42"/>
      <c r="D2137" s="42"/>
      <c r="E2137" s="42"/>
      <c r="F2137" s="42"/>
      <c r="G2137" s="42"/>
      <c r="H2137" s="42"/>
    </row>
    <row r="2138" spans="3:8" x14ac:dyDescent="0.3">
      <c r="C2138" s="42"/>
      <c r="D2138" s="42"/>
      <c r="E2138" s="42"/>
      <c r="F2138" s="42"/>
      <c r="G2138" s="42"/>
      <c r="H2138" s="42"/>
    </row>
    <row r="2139" spans="3:8" x14ac:dyDescent="0.3">
      <c r="C2139" s="42"/>
      <c r="D2139" s="42"/>
      <c r="E2139" s="42"/>
      <c r="F2139" s="42"/>
      <c r="G2139" s="42"/>
      <c r="H2139" s="42"/>
    </row>
    <row r="2140" spans="3:8" x14ac:dyDescent="0.3">
      <c r="C2140" s="42"/>
      <c r="D2140" s="42"/>
      <c r="E2140" s="42"/>
      <c r="F2140" s="42"/>
      <c r="G2140" s="42"/>
      <c r="H2140" s="42"/>
    </row>
    <row r="2141" spans="3:8" x14ac:dyDescent="0.3">
      <c r="C2141" s="42"/>
      <c r="D2141" s="42"/>
      <c r="E2141" s="42"/>
      <c r="F2141" s="42"/>
      <c r="G2141" s="42"/>
      <c r="H2141" s="42"/>
    </row>
    <row r="2142" spans="3:8" x14ac:dyDescent="0.3">
      <c r="C2142" s="42"/>
      <c r="D2142" s="42"/>
      <c r="E2142" s="42"/>
      <c r="F2142" s="42"/>
      <c r="G2142" s="42"/>
      <c r="H2142" s="42"/>
    </row>
    <row r="2143" spans="3:8" x14ac:dyDescent="0.3">
      <c r="C2143" s="42"/>
      <c r="D2143" s="42"/>
      <c r="E2143" s="42"/>
      <c r="F2143" s="42"/>
      <c r="G2143" s="42"/>
      <c r="H2143" s="42"/>
    </row>
    <row r="2144" spans="3:8" x14ac:dyDescent="0.3">
      <c r="C2144" s="42"/>
      <c r="D2144" s="42"/>
      <c r="E2144" s="42"/>
      <c r="F2144" s="42"/>
      <c r="G2144" s="42"/>
      <c r="H2144" s="42"/>
    </row>
    <row r="2145" spans="3:8" x14ac:dyDescent="0.3">
      <c r="C2145" s="42"/>
      <c r="D2145" s="42"/>
      <c r="E2145" s="42"/>
      <c r="F2145" s="42"/>
      <c r="G2145" s="42"/>
      <c r="H2145" s="42"/>
    </row>
    <row r="2146" spans="3:8" x14ac:dyDescent="0.3">
      <c r="C2146" s="42"/>
      <c r="D2146" s="42"/>
      <c r="E2146" s="42"/>
      <c r="F2146" s="42"/>
      <c r="G2146" s="42"/>
      <c r="H2146" s="42"/>
    </row>
    <row r="2147" spans="3:8" x14ac:dyDescent="0.3">
      <c r="C2147" s="42"/>
      <c r="D2147" s="42"/>
      <c r="E2147" s="42"/>
      <c r="F2147" s="42"/>
      <c r="G2147" s="42"/>
      <c r="H2147" s="42"/>
    </row>
    <row r="2148" spans="3:8" x14ac:dyDescent="0.3">
      <c r="C2148" s="42"/>
      <c r="D2148" s="42"/>
      <c r="E2148" s="42"/>
      <c r="F2148" s="42"/>
      <c r="G2148" s="42"/>
      <c r="H2148" s="42"/>
    </row>
    <row r="2149" spans="3:8" x14ac:dyDescent="0.3">
      <c r="C2149" s="42"/>
      <c r="D2149" s="42"/>
      <c r="E2149" s="42"/>
      <c r="F2149" s="42"/>
      <c r="G2149" s="42"/>
      <c r="H2149" s="42"/>
    </row>
    <row r="2150" spans="3:8" x14ac:dyDescent="0.3">
      <c r="C2150" s="42"/>
      <c r="D2150" s="42"/>
      <c r="E2150" s="42"/>
      <c r="F2150" s="42"/>
      <c r="G2150" s="42"/>
      <c r="H2150" s="42"/>
    </row>
    <row r="2151" spans="3:8" x14ac:dyDescent="0.3">
      <c r="C2151" s="42"/>
      <c r="D2151" s="42"/>
      <c r="E2151" s="42"/>
      <c r="F2151" s="42"/>
      <c r="G2151" s="42"/>
      <c r="H2151" s="42"/>
    </row>
    <row r="2152" spans="3:8" x14ac:dyDescent="0.3">
      <c r="C2152" s="42"/>
      <c r="D2152" s="42"/>
      <c r="E2152" s="42"/>
      <c r="F2152" s="42"/>
      <c r="G2152" s="42"/>
      <c r="H2152" s="42"/>
    </row>
    <row r="2153" spans="3:8" x14ac:dyDescent="0.3">
      <c r="C2153" s="42"/>
      <c r="D2153" s="42"/>
      <c r="E2153" s="42"/>
      <c r="F2153" s="42"/>
      <c r="G2153" s="42"/>
      <c r="H2153" s="42"/>
    </row>
    <row r="2154" spans="3:8" x14ac:dyDescent="0.3">
      <c r="C2154" s="42"/>
      <c r="D2154" s="42"/>
      <c r="E2154" s="42"/>
      <c r="F2154" s="42"/>
      <c r="G2154" s="42"/>
      <c r="H2154" s="42"/>
    </row>
    <row r="2155" spans="3:8" x14ac:dyDescent="0.3">
      <c r="C2155" s="42"/>
      <c r="D2155" s="42"/>
      <c r="E2155" s="42"/>
      <c r="F2155" s="42"/>
      <c r="G2155" s="42"/>
      <c r="H2155" s="42"/>
    </row>
    <row r="2156" spans="3:8" x14ac:dyDescent="0.3">
      <c r="C2156" s="42"/>
      <c r="D2156" s="42"/>
      <c r="E2156" s="42"/>
      <c r="F2156" s="42"/>
      <c r="G2156" s="42"/>
      <c r="H2156" s="42"/>
    </row>
    <row r="2157" spans="3:8" x14ac:dyDescent="0.3">
      <c r="C2157" s="42"/>
      <c r="D2157" s="42"/>
      <c r="E2157" s="42"/>
      <c r="F2157" s="42"/>
      <c r="G2157" s="42"/>
      <c r="H2157" s="42"/>
    </row>
    <row r="2158" spans="3:8" x14ac:dyDescent="0.3">
      <c r="C2158" s="42"/>
      <c r="D2158" s="42"/>
      <c r="E2158" s="42"/>
      <c r="F2158" s="42"/>
      <c r="G2158" s="42"/>
      <c r="H2158" s="42"/>
    </row>
    <row r="2159" spans="3:8" x14ac:dyDescent="0.3">
      <c r="C2159" s="42"/>
      <c r="D2159" s="42"/>
      <c r="E2159" s="42"/>
      <c r="F2159" s="42"/>
      <c r="G2159" s="42"/>
      <c r="H2159" s="42"/>
    </row>
    <row r="2160" spans="3:8" x14ac:dyDescent="0.3">
      <c r="C2160" s="42"/>
      <c r="D2160" s="42"/>
      <c r="E2160" s="42"/>
      <c r="F2160" s="42"/>
      <c r="G2160" s="42"/>
      <c r="H2160" s="42"/>
    </row>
    <row r="2161" spans="3:8" x14ac:dyDescent="0.3">
      <c r="C2161" s="42"/>
      <c r="D2161" s="42"/>
      <c r="E2161" s="42"/>
      <c r="F2161" s="42"/>
      <c r="G2161" s="42"/>
      <c r="H2161" s="42"/>
    </row>
    <row r="2162" spans="3:8" x14ac:dyDescent="0.3">
      <c r="C2162" s="42"/>
      <c r="D2162" s="42"/>
      <c r="E2162" s="42"/>
      <c r="F2162" s="42"/>
      <c r="G2162" s="42"/>
      <c r="H2162" s="42"/>
    </row>
    <row r="2163" spans="3:8" x14ac:dyDescent="0.3">
      <c r="C2163" s="42"/>
      <c r="D2163" s="42"/>
      <c r="E2163" s="42"/>
      <c r="F2163" s="42"/>
      <c r="G2163" s="42"/>
      <c r="H2163" s="42"/>
    </row>
    <row r="2164" spans="3:8" x14ac:dyDescent="0.3">
      <c r="C2164" s="42"/>
      <c r="D2164" s="42"/>
      <c r="E2164" s="42"/>
      <c r="F2164" s="42"/>
      <c r="G2164" s="42"/>
      <c r="H2164" s="42"/>
    </row>
    <row r="2165" spans="3:8" x14ac:dyDescent="0.3">
      <c r="C2165" s="42"/>
      <c r="D2165" s="42"/>
      <c r="E2165" s="42"/>
      <c r="F2165" s="42"/>
      <c r="G2165" s="42"/>
      <c r="H2165" s="42"/>
    </row>
    <row r="2166" spans="3:8" x14ac:dyDescent="0.3">
      <c r="C2166" s="42"/>
      <c r="D2166" s="42"/>
      <c r="E2166" s="42"/>
      <c r="F2166" s="42"/>
      <c r="G2166" s="42"/>
      <c r="H2166" s="42"/>
    </row>
    <row r="2167" spans="3:8" x14ac:dyDescent="0.3">
      <c r="C2167" s="42"/>
      <c r="D2167" s="42"/>
      <c r="E2167" s="42"/>
      <c r="F2167" s="42"/>
      <c r="G2167" s="42"/>
      <c r="H2167" s="42"/>
    </row>
    <row r="2168" spans="3:8" x14ac:dyDescent="0.3">
      <c r="C2168" s="42"/>
      <c r="D2168" s="42"/>
      <c r="E2168" s="42"/>
      <c r="F2168" s="42"/>
      <c r="G2168" s="42"/>
      <c r="H2168" s="42"/>
    </row>
    <row r="2169" spans="3:8" x14ac:dyDescent="0.3">
      <c r="C2169" s="42"/>
      <c r="D2169" s="42"/>
      <c r="E2169" s="42"/>
      <c r="F2169" s="42"/>
      <c r="G2169" s="42"/>
      <c r="H2169" s="42"/>
    </row>
    <row r="2170" spans="3:8" x14ac:dyDescent="0.3">
      <c r="C2170" s="42"/>
      <c r="D2170" s="42"/>
      <c r="E2170" s="42"/>
      <c r="F2170" s="42"/>
      <c r="G2170" s="42"/>
      <c r="H2170" s="42"/>
    </row>
    <row r="2171" spans="3:8" x14ac:dyDescent="0.3">
      <c r="C2171" s="42"/>
      <c r="D2171" s="42"/>
      <c r="E2171" s="42"/>
      <c r="F2171" s="42"/>
      <c r="G2171" s="42"/>
      <c r="H2171" s="42"/>
    </row>
    <row r="2172" spans="3:8" x14ac:dyDescent="0.3">
      <c r="C2172" s="42"/>
      <c r="D2172" s="42"/>
      <c r="E2172" s="42"/>
      <c r="F2172" s="42"/>
      <c r="G2172" s="42"/>
      <c r="H2172" s="42"/>
    </row>
    <row r="2173" spans="3:8" x14ac:dyDescent="0.3">
      <c r="C2173" s="42"/>
      <c r="D2173" s="42"/>
      <c r="E2173" s="42"/>
      <c r="F2173" s="42"/>
      <c r="G2173" s="42"/>
      <c r="H2173" s="42"/>
    </row>
    <row r="2174" spans="3:8" x14ac:dyDescent="0.3">
      <c r="C2174" s="42"/>
      <c r="D2174" s="42"/>
      <c r="E2174" s="42"/>
      <c r="F2174" s="42"/>
      <c r="G2174" s="42"/>
      <c r="H2174" s="42"/>
    </row>
    <row r="2175" spans="3:8" x14ac:dyDescent="0.3">
      <c r="C2175" s="42"/>
      <c r="D2175" s="42"/>
      <c r="E2175" s="42"/>
      <c r="F2175" s="42"/>
      <c r="G2175" s="42"/>
      <c r="H2175" s="42"/>
    </row>
    <row r="2176" spans="3:8" x14ac:dyDescent="0.3">
      <c r="C2176" s="42"/>
      <c r="D2176" s="42"/>
      <c r="E2176" s="42"/>
      <c r="F2176" s="42"/>
      <c r="G2176" s="42"/>
      <c r="H2176" s="42"/>
    </row>
    <row r="2177" spans="3:8" x14ac:dyDescent="0.3">
      <c r="C2177" s="42"/>
      <c r="D2177" s="42"/>
      <c r="E2177" s="42"/>
      <c r="F2177" s="42"/>
      <c r="G2177" s="42"/>
      <c r="H2177" s="42"/>
    </row>
    <row r="2178" spans="3:8" x14ac:dyDescent="0.3">
      <c r="C2178" s="42"/>
      <c r="D2178" s="42"/>
      <c r="E2178" s="42"/>
      <c r="F2178" s="42"/>
      <c r="G2178" s="42"/>
      <c r="H2178" s="42"/>
    </row>
    <row r="2179" spans="3:8" x14ac:dyDescent="0.3">
      <c r="C2179" s="42"/>
      <c r="D2179" s="42"/>
      <c r="E2179" s="42"/>
      <c r="F2179" s="42"/>
      <c r="G2179" s="42"/>
      <c r="H2179" s="42"/>
    </row>
    <row r="2180" spans="3:8" x14ac:dyDescent="0.3">
      <c r="C2180" s="42"/>
      <c r="D2180" s="42"/>
      <c r="E2180" s="42"/>
      <c r="F2180" s="42"/>
      <c r="G2180" s="42"/>
      <c r="H2180" s="42"/>
    </row>
    <row r="2181" spans="3:8" x14ac:dyDescent="0.3">
      <c r="C2181" s="42"/>
      <c r="D2181" s="42"/>
      <c r="E2181" s="42"/>
      <c r="F2181" s="42"/>
      <c r="G2181" s="42"/>
      <c r="H2181" s="42"/>
    </row>
    <row r="2182" spans="3:8" x14ac:dyDescent="0.3">
      <c r="C2182" s="42"/>
      <c r="D2182" s="42"/>
      <c r="E2182" s="42"/>
      <c r="F2182" s="42"/>
      <c r="G2182" s="42"/>
      <c r="H2182" s="42"/>
    </row>
    <row r="2183" spans="3:8" x14ac:dyDescent="0.3">
      <c r="C2183" s="42"/>
      <c r="D2183" s="42"/>
      <c r="E2183" s="42"/>
      <c r="F2183" s="42"/>
      <c r="G2183" s="42"/>
      <c r="H2183" s="42"/>
    </row>
    <row r="2184" spans="3:8" x14ac:dyDescent="0.3">
      <c r="C2184" s="42"/>
      <c r="D2184" s="42"/>
      <c r="E2184" s="42"/>
      <c r="F2184" s="42"/>
      <c r="G2184" s="42"/>
      <c r="H2184" s="42"/>
    </row>
    <row r="2185" spans="3:8" x14ac:dyDescent="0.3">
      <c r="C2185" s="42"/>
      <c r="D2185" s="42"/>
      <c r="E2185" s="42"/>
      <c r="F2185" s="42"/>
      <c r="G2185" s="42"/>
      <c r="H2185" s="42"/>
    </row>
    <row r="2186" spans="3:8" x14ac:dyDescent="0.3">
      <c r="C2186" s="42"/>
      <c r="D2186" s="42"/>
      <c r="E2186" s="42"/>
      <c r="F2186" s="42"/>
      <c r="G2186" s="42"/>
      <c r="H2186" s="42"/>
    </row>
    <row r="2187" spans="3:8" x14ac:dyDescent="0.3">
      <c r="C2187" s="42"/>
      <c r="D2187" s="42"/>
      <c r="E2187" s="42"/>
      <c r="F2187" s="42"/>
      <c r="G2187" s="42"/>
      <c r="H2187" s="42"/>
    </row>
    <row r="2188" spans="3:8" x14ac:dyDescent="0.3">
      <c r="C2188" s="42"/>
      <c r="D2188" s="42"/>
      <c r="E2188" s="42"/>
      <c r="F2188" s="42"/>
      <c r="G2188" s="42"/>
      <c r="H2188" s="42"/>
    </row>
    <row r="2189" spans="3:8" x14ac:dyDescent="0.3">
      <c r="C2189" s="42"/>
      <c r="D2189" s="42"/>
      <c r="E2189" s="42"/>
      <c r="F2189" s="42"/>
      <c r="G2189" s="42"/>
      <c r="H2189" s="42"/>
    </row>
    <row r="2190" spans="3:8" x14ac:dyDescent="0.3">
      <c r="C2190" s="42"/>
      <c r="D2190" s="42"/>
      <c r="E2190" s="42"/>
      <c r="F2190" s="42"/>
      <c r="G2190" s="42"/>
      <c r="H2190" s="42"/>
    </row>
    <row r="2191" spans="3:8" x14ac:dyDescent="0.3">
      <c r="C2191" s="42"/>
      <c r="D2191" s="42"/>
      <c r="E2191" s="42"/>
      <c r="F2191" s="42"/>
      <c r="G2191" s="42"/>
      <c r="H2191" s="42"/>
    </row>
    <row r="2192" spans="3:8" x14ac:dyDescent="0.3">
      <c r="C2192" s="42"/>
      <c r="D2192" s="42"/>
      <c r="E2192" s="42"/>
      <c r="F2192" s="42"/>
      <c r="G2192" s="42"/>
      <c r="H2192" s="42"/>
    </row>
    <row r="2193" spans="3:8" x14ac:dyDescent="0.3">
      <c r="C2193" s="42"/>
      <c r="D2193" s="42"/>
      <c r="E2193" s="42"/>
      <c r="F2193" s="42"/>
      <c r="G2193" s="42"/>
      <c r="H2193" s="42"/>
    </row>
    <row r="2194" spans="3:8" x14ac:dyDescent="0.3">
      <c r="C2194" s="42"/>
      <c r="D2194" s="42"/>
      <c r="E2194" s="42"/>
      <c r="F2194" s="42"/>
      <c r="G2194" s="42"/>
      <c r="H2194" s="42"/>
    </row>
    <row r="2195" spans="3:8" x14ac:dyDescent="0.3">
      <c r="C2195" s="42"/>
      <c r="D2195" s="42"/>
      <c r="E2195" s="42"/>
      <c r="F2195" s="42"/>
      <c r="G2195" s="42"/>
      <c r="H2195" s="42"/>
    </row>
    <row r="2196" spans="3:8" x14ac:dyDescent="0.3">
      <c r="C2196" s="42"/>
      <c r="D2196" s="42"/>
      <c r="E2196" s="42"/>
      <c r="F2196" s="42"/>
      <c r="G2196" s="42"/>
      <c r="H2196" s="42"/>
    </row>
    <row r="2197" spans="3:8" x14ac:dyDescent="0.3">
      <c r="C2197" s="42"/>
      <c r="D2197" s="42"/>
      <c r="E2197" s="42"/>
      <c r="F2197" s="42"/>
      <c r="G2197" s="42"/>
      <c r="H2197" s="42"/>
    </row>
    <row r="2198" spans="3:8" x14ac:dyDescent="0.3">
      <c r="C2198" s="42"/>
      <c r="D2198" s="42"/>
      <c r="E2198" s="42"/>
      <c r="F2198" s="42"/>
      <c r="G2198" s="42"/>
      <c r="H2198" s="42"/>
    </row>
    <row r="2199" spans="3:8" x14ac:dyDescent="0.3">
      <c r="C2199" s="42"/>
      <c r="D2199" s="42"/>
      <c r="E2199" s="42"/>
      <c r="F2199" s="42"/>
      <c r="G2199" s="42"/>
      <c r="H2199" s="42"/>
    </row>
    <row r="2200" spans="3:8" x14ac:dyDescent="0.3">
      <c r="C2200" s="42"/>
      <c r="D2200" s="42"/>
      <c r="E2200" s="42"/>
      <c r="F2200" s="42"/>
      <c r="G2200" s="42"/>
      <c r="H2200" s="42"/>
    </row>
    <row r="2201" spans="3:8" x14ac:dyDescent="0.3">
      <c r="C2201" s="42"/>
      <c r="D2201" s="42"/>
      <c r="E2201" s="42"/>
      <c r="F2201" s="42"/>
      <c r="G2201" s="42"/>
      <c r="H2201" s="42"/>
    </row>
    <row r="2202" spans="3:8" x14ac:dyDescent="0.3">
      <c r="C2202" s="42"/>
      <c r="D2202" s="42"/>
      <c r="E2202" s="42"/>
      <c r="F2202" s="42"/>
      <c r="G2202" s="42"/>
      <c r="H2202" s="42"/>
    </row>
    <row r="2203" spans="3:8" x14ac:dyDescent="0.3">
      <c r="C2203" s="42"/>
      <c r="D2203" s="42"/>
      <c r="E2203" s="42"/>
      <c r="F2203" s="42"/>
      <c r="G2203" s="42"/>
      <c r="H2203" s="42"/>
    </row>
    <row r="2204" spans="3:8" x14ac:dyDescent="0.3">
      <c r="C2204" s="42"/>
      <c r="D2204" s="42"/>
      <c r="E2204" s="42"/>
      <c r="F2204" s="42"/>
      <c r="G2204" s="42"/>
      <c r="H2204" s="42"/>
    </row>
    <row r="2205" spans="3:8" x14ac:dyDescent="0.3">
      <c r="C2205" s="42"/>
      <c r="D2205" s="42"/>
      <c r="E2205" s="42"/>
      <c r="F2205" s="42"/>
      <c r="G2205" s="42"/>
      <c r="H2205" s="42"/>
    </row>
    <row r="2206" spans="3:8" x14ac:dyDescent="0.3">
      <c r="C2206" s="42"/>
      <c r="D2206" s="42"/>
      <c r="E2206" s="42"/>
      <c r="F2206" s="42"/>
      <c r="G2206" s="42"/>
      <c r="H2206" s="42"/>
    </row>
    <row r="2207" spans="3:8" x14ac:dyDescent="0.3">
      <c r="C2207" s="42"/>
      <c r="D2207" s="42"/>
      <c r="E2207" s="42"/>
      <c r="F2207" s="42"/>
      <c r="G2207" s="42"/>
      <c r="H2207" s="42"/>
    </row>
    <row r="2208" spans="3:8" x14ac:dyDescent="0.3">
      <c r="C2208" s="42"/>
      <c r="D2208" s="42"/>
      <c r="E2208" s="42"/>
      <c r="F2208" s="42"/>
      <c r="G2208" s="42"/>
      <c r="H2208" s="42"/>
    </row>
    <row r="2209" spans="3:8" x14ac:dyDescent="0.3">
      <c r="C2209" s="42"/>
      <c r="D2209" s="42"/>
      <c r="E2209" s="42"/>
      <c r="F2209" s="42"/>
      <c r="G2209" s="42"/>
      <c r="H2209" s="42"/>
    </row>
    <row r="2210" spans="3:8" x14ac:dyDescent="0.3">
      <c r="C2210" s="42"/>
      <c r="D2210" s="42"/>
      <c r="E2210" s="42"/>
      <c r="F2210" s="42"/>
      <c r="G2210" s="42"/>
      <c r="H2210" s="42"/>
    </row>
    <row r="2211" spans="3:8" x14ac:dyDescent="0.3">
      <c r="C2211" s="42"/>
      <c r="D2211" s="42"/>
      <c r="E2211" s="42"/>
      <c r="F2211" s="42"/>
      <c r="G2211" s="42"/>
      <c r="H2211" s="42"/>
    </row>
    <row r="2212" spans="3:8" x14ac:dyDescent="0.3">
      <c r="C2212" s="42"/>
      <c r="D2212" s="42"/>
      <c r="E2212" s="42"/>
      <c r="F2212" s="42"/>
      <c r="G2212" s="42"/>
      <c r="H2212" s="42"/>
    </row>
    <row r="2213" spans="3:8" x14ac:dyDescent="0.3">
      <c r="C2213" s="42"/>
      <c r="D2213" s="42"/>
      <c r="E2213" s="42"/>
      <c r="F2213" s="42"/>
      <c r="G2213" s="42"/>
      <c r="H2213" s="42"/>
    </row>
    <row r="2214" spans="3:8" x14ac:dyDescent="0.3">
      <c r="C2214" s="42"/>
      <c r="D2214" s="42"/>
      <c r="E2214" s="42"/>
      <c r="F2214" s="42"/>
      <c r="G2214" s="42"/>
      <c r="H2214" s="42"/>
    </row>
    <row r="2215" spans="3:8" x14ac:dyDescent="0.3">
      <c r="C2215" s="42"/>
      <c r="D2215" s="42"/>
      <c r="E2215" s="42"/>
      <c r="F2215" s="42"/>
      <c r="G2215" s="42"/>
      <c r="H2215" s="42"/>
    </row>
    <row r="2216" spans="3:8" x14ac:dyDescent="0.3">
      <c r="C2216" s="42"/>
      <c r="D2216" s="42"/>
      <c r="E2216" s="42"/>
      <c r="F2216" s="42"/>
      <c r="G2216" s="42"/>
      <c r="H2216" s="42"/>
    </row>
    <row r="2217" spans="3:8" x14ac:dyDescent="0.3">
      <c r="C2217" s="42"/>
      <c r="D2217" s="42"/>
      <c r="E2217" s="42"/>
      <c r="F2217" s="42"/>
      <c r="G2217" s="42"/>
      <c r="H2217" s="42"/>
    </row>
    <row r="2218" spans="3:8" x14ac:dyDescent="0.3">
      <c r="C2218" s="42"/>
      <c r="D2218" s="42"/>
      <c r="E2218" s="42"/>
      <c r="F2218" s="42"/>
      <c r="G2218" s="42"/>
      <c r="H2218" s="42"/>
    </row>
    <row r="2219" spans="3:8" x14ac:dyDescent="0.3">
      <c r="C2219" s="42"/>
      <c r="D2219" s="42"/>
      <c r="E2219" s="42"/>
      <c r="F2219" s="42"/>
      <c r="G2219" s="42"/>
      <c r="H2219" s="42"/>
    </row>
    <row r="2220" spans="3:8" x14ac:dyDescent="0.3">
      <c r="C2220" s="42"/>
      <c r="D2220" s="42"/>
      <c r="E2220" s="42"/>
      <c r="F2220" s="42"/>
      <c r="G2220" s="42"/>
      <c r="H2220" s="42"/>
    </row>
    <row r="2221" spans="3:8" x14ac:dyDescent="0.3">
      <c r="C2221" s="42"/>
      <c r="D2221" s="42"/>
      <c r="E2221" s="42"/>
      <c r="F2221" s="42"/>
      <c r="G2221" s="42"/>
      <c r="H2221" s="42"/>
    </row>
    <row r="2222" spans="3:8" x14ac:dyDescent="0.3">
      <c r="C2222" s="42"/>
      <c r="D2222" s="42"/>
      <c r="E2222" s="42"/>
      <c r="F2222" s="42"/>
      <c r="G2222" s="42"/>
      <c r="H2222" s="42"/>
    </row>
    <row r="2223" spans="3:8" x14ac:dyDescent="0.3">
      <c r="C2223" s="42"/>
      <c r="D2223" s="42"/>
      <c r="E2223" s="42"/>
      <c r="F2223" s="42"/>
      <c r="G2223" s="42"/>
      <c r="H2223" s="42"/>
    </row>
    <row r="2224" spans="3:8" x14ac:dyDescent="0.3">
      <c r="C2224" s="42"/>
      <c r="D2224" s="42"/>
      <c r="E2224" s="42"/>
      <c r="F2224" s="42"/>
      <c r="G2224" s="42"/>
      <c r="H2224" s="42"/>
    </row>
    <row r="2225" spans="3:8" x14ac:dyDescent="0.3">
      <c r="C2225" s="42"/>
      <c r="D2225" s="42"/>
      <c r="E2225" s="42"/>
      <c r="F2225" s="42"/>
      <c r="G2225" s="42"/>
      <c r="H2225" s="42"/>
    </row>
    <row r="2226" spans="3:8" x14ac:dyDescent="0.3">
      <c r="C2226" s="42"/>
      <c r="D2226" s="42"/>
      <c r="E2226" s="42"/>
      <c r="F2226" s="42"/>
      <c r="G2226" s="42"/>
      <c r="H2226" s="42"/>
    </row>
    <row r="2227" spans="3:8" x14ac:dyDescent="0.3">
      <c r="C2227" s="42"/>
      <c r="D2227" s="42"/>
      <c r="E2227" s="42"/>
      <c r="F2227" s="42"/>
      <c r="G2227" s="42"/>
      <c r="H2227" s="42"/>
    </row>
    <row r="2228" spans="3:8" x14ac:dyDescent="0.3">
      <c r="C2228" s="42"/>
      <c r="D2228" s="42"/>
      <c r="E2228" s="42"/>
      <c r="F2228" s="42"/>
      <c r="G2228" s="42"/>
      <c r="H2228" s="42"/>
    </row>
    <row r="2229" spans="3:8" x14ac:dyDescent="0.3">
      <c r="C2229" s="42"/>
      <c r="D2229" s="42"/>
      <c r="E2229" s="42"/>
      <c r="F2229" s="42"/>
      <c r="G2229" s="42"/>
      <c r="H2229" s="42"/>
    </row>
    <row r="2230" spans="3:8" x14ac:dyDescent="0.3">
      <c r="C2230" s="42"/>
      <c r="D2230" s="42"/>
      <c r="E2230" s="42"/>
      <c r="F2230" s="42"/>
      <c r="G2230" s="42"/>
      <c r="H2230" s="42"/>
    </row>
    <row r="2231" spans="3:8" x14ac:dyDescent="0.3">
      <c r="C2231" s="42"/>
      <c r="D2231" s="42"/>
      <c r="E2231" s="42"/>
      <c r="F2231" s="42"/>
      <c r="G2231" s="42"/>
      <c r="H2231" s="42"/>
    </row>
    <row r="2232" spans="3:8" x14ac:dyDescent="0.3">
      <c r="C2232" s="42"/>
      <c r="D2232" s="42"/>
      <c r="E2232" s="42"/>
      <c r="F2232" s="42"/>
      <c r="G2232" s="42"/>
      <c r="H2232" s="42"/>
    </row>
    <row r="2233" spans="3:8" x14ac:dyDescent="0.3">
      <c r="C2233" s="42"/>
      <c r="D2233" s="42"/>
      <c r="E2233" s="42"/>
      <c r="F2233" s="42"/>
      <c r="G2233" s="42"/>
      <c r="H2233" s="42"/>
    </row>
    <row r="2234" spans="3:8" x14ac:dyDescent="0.3">
      <c r="C2234" s="42"/>
      <c r="D2234" s="42"/>
      <c r="E2234" s="42"/>
      <c r="F2234" s="42"/>
      <c r="G2234" s="42"/>
      <c r="H2234" s="42"/>
    </row>
    <row r="2235" spans="3:8" x14ac:dyDescent="0.3">
      <c r="C2235" s="42"/>
      <c r="D2235" s="42"/>
      <c r="E2235" s="42"/>
      <c r="F2235" s="42"/>
      <c r="G2235" s="42"/>
      <c r="H2235" s="42"/>
    </row>
    <row r="2236" spans="3:8" x14ac:dyDescent="0.3">
      <c r="C2236" s="42"/>
      <c r="D2236" s="42"/>
      <c r="E2236" s="42"/>
      <c r="F2236" s="42"/>
      <c r="G2236" s="42"/>
      <c r="H2236" s="42"/>
    </row>
    <row r="2237" spans="3:8" x14ac:dyDescent="0.3">
      <c r="C2237" s="42"/>
      <c r="D2237" s="42"/>
      <c r="E2237" s="42"/>
      <c r="F2237" s="42"/>
      <c r="G2237" s="42"/>
      <c r="H2237" s="42"/>
    </row>
    <row r="2238" spans="3:8" x14ac:dyDescent="0.3">
      <c r="C2238" s="42"/>
      <c r="D2238" s="42"/>
      <c r="E2238" s="42"/>
      <c r="F2238" s="42"/>
      <c r="G2238" s="42"/>
      <c r="H2238" s="42"/>
    </row>
    <row r="2239" spans="3:8" x14ac:dyDescent="0.3">
      <c r="C2239" s="42"/>
      <c r="D2239" s="42"/>
      <c r="E2239" s="42"/>
      <c r="F2239" s="42"/>
      <c r="G2239" s="42"/>
      <c r="H2239" s="42"/>
    </row>
    <row r="2240" spans="3:8" x14ac:dyDescent="0.3">
      <c r="C2240" s="42"/>
      <c r="D2240" s="42"/>
      <c r="E2240" s="42"/>
      <c r="F2240" s="42"/>
      <c r="G2240" s="42"/>
      <c r="H2240" s="42"/>
    </row>
    <row r="2241" spans="3:8" x14ac:dyDescent="0.3">
      <c r="C2241" s="42"/>
      <c r="D2241" s="42"/>
      <c r="E2241" s="42"/>
      <c r="F2241" s="42"/>
      <c r="G2241" s="42"/>
      <c r="H2241" s="42"/>
    </row>
    <row r="2242" spans="3:8" x14ac:dyDescent="0.3">
      <c r="C2242" s="42"/>
      <c r="D2242" s="42"/>
      <c r="E2242" s="42"/>
      <c r="F2242" s="42"/>
      <c r="G2242" s="42"/>
      <c r="H2242" s="42"/>
    </row>
    <row r="2243" spans="3:8" x14ac:dyDescent="0.3">
      <c r="C2243" s="42"/>
      <c r="D2243" s="42"/>
      <c r="E2243" s="42"/>
      <c r="F2243" s="42"/>
      <c r="G2243" s="42"/>
      <c r="H2243" s="42"/>
    </row>
    <row r="2244" spans="3:8" x14ac:dyDescent="0.3">
      <c r="C2244" s="42"/>
      <c r="D2244" s="42"/>
      <c r="E2244" s="42"/>
      <c r="F2244" s="42"/>
      <c r="G2244" s="42"/>
      <c r="H2244" s="42"/>
    </row>
    <row r="2245" spans="3:8" x14ac:dyDescent="0.3">
      <c r="C2245" s="42"/>
      <c r="D2245" s="42"/>
      <c r="E2245" s="42"/>
      <c r="F2245" s="42"/>
      <c r="G2245" s="42"/>
      <c r="H2245" s="42"/>
    </row>
    <row r="2246" spans="3:8" x14ac:dyDescent="0.3">
      <c r="C2246" s="42"/>
      <c r="D2246" s="42"/>
      <c r="E2246" s="42"/>
      <c r="F2246" s="42"/>
      <c r="G2246" s="42"/>
      <c r="H2246" s="42"/>
    </row>
    <row r="2247" spans="3:8" x14ac:dyDescent="0.3">
      <c r="C2247" s="42"/>
      <c r="D2247" s="42"/>
      <c r="E2247" s="42"/>
      <c r="F2247" s="42"/>
      <c r="G2247" s="42"/>
      <c r="H2247" s="42"/>
    </row>
    <row r="2248" spans="3:8" x14ac:dyDescent="0.3">
      <c r="C2248" s="42"/>
      <c r="D2248" s="42"/>
      <c r="E2248" s="42"/>
      <c r="F2248" s="42"/>
      <c r="G2248" s="42"/>
      <c r="H2248" s="42"/>
    </row>
    <row r="2249" spans="3:8" x14ac:dyDescent="0.3">
      <c r="C2249" s="42"/>
      <c r="D2249" s="42"/>
      <c r="E2249" s="42"/>
      <c r="F2249" s="42"/>
      <c r="G2249" s="42"/>
      <c r="H2249" s="42"/>
    </row>
    <row r="2250" spans="3:8" x14ac:dyDescent="0.3">
      <c r="C2250" s="42"/>
      <c r="D2250" s="42"/>
      <c r="E2250" s="42"/>
      <c r="F2250" s="42"/>
      <c r="G2250" s="42"/>
      <c r="H2250" s="42"/>
    </row>
    <row r="2251" spans="3:8" x14ac:dyDescent="0.3">
      <c r="C2251" s="42"/>
      <c r="D2251" s="42"/>
      <c r="E2251" s="42"/>
      <c r="F2251" s="42"/>
      <c r="G2251" s="42"/>
      <c r="H2251" s="42"/>
    </row>
    <row r="2252" spans="3:8" x14ac:dyDescent="0.3">
      <c r="C2252" s="42"/>
      <c r="D2252" s="42"/>
      <c r="E2252" s="42"/>
      <c r="F2252" s="42"/>
      <c r="G2252" s="42"/>
      <c r="H2252" s="42"/>
    </row>
    <row r="2253" spans="3:8" x14ac:dyDescent="0.3">
      <c r="C2253" s="42"/>
      <c r="D2253" s="42"/>
      <c r="E2253" s="42"/>
      <c r="F2253" s="42"/>
      <c r="G2253" s="42"/>
      <c r="H2253" s="42"/>
    </row>
    <row r="2254" spans="3:8" x14ac:dyDescent="0.3">
      <c r="C2254" s="42"/>
      <c r="D2254" s="42"/>
      <c r="E2254" s="42"/>
      <c r="F2254" s="42"/>
      <c r="G2254" s="42"/>
      <c r="H2254" s="42"/>
    </row>
    <row r="2255" spans="3:8" x14ac:dyDescent="0.3">
      <c r="C2255" s="42"/>
      <c r="D2255" s="42"/>
      <c r="E2255" s="42"/>
      <c r="F2255" s="42"/>
      <c r="G2255" s="42"/>
      <c r="H2255" s="42"/>
    </row>
    <row r="2256" spans="3:8" x14ac:dyDescent="0.3">
      <c r="C2256" s="42"/>
      <c r="D2256" s="42"/>
      <c r="E2256" s="42"/>
      <c r="F2256" s="42"/>
      <c r="G2256" s="42"/>
      <c r="H2256" s="42"/>
    </row>
    <row r="2257" spans="3:8" x14ac:dyDescent="0.3">
      <c r="C2257" s="42"/>
      <c r="D2257" s="42"/>
      <c r="E2257" s="42"/>
      <c r="F2257" s="42"/>
      <c r="G2257" s="42"/>
      <c r="H2257" s="42"/>
    </row>
    <row r="2258" spans="3:8" x14ac:dyDescent="0.3">
      <c r="C2258" s="42"/>
      <c r="D2258" s="42"/>
      <c r="E2258" s="42"/>
      <c r="F2258" s="42"/>
      <c r="G2258" s="42"/>
      <c r="H2258" s="42"/>
    </row>
    <row r="2259" spans="3:8" x14ac:dyDescent="0.3">
      <c r="C2259" s="42"/>
      <c r="D2259" s="42"/>
      <c r="E2259" s="42"/>
      <c r="F2259" s="42"/>
      <c r="G2259" s="42"/>
      <c r="H2259" s="42"/>
    </row>
    <row r="2260" spans="3:8" x14ac:dyDescent="0.3">
      <c r="C2260" s="42"/>
      <c r="D2260" s="42"/>
      <c r="E2260" s="42"/>
      <c r="F2260" s="42"/>
      <c r="G2260" s="42"/>
      <c r="H2260" s="42"/>
    </row>
    <row r="2261" spans="3:8" x14ac:dyDescent="0.3">
      <c r="C2261" s="42"/>
      <c r="D2261" s="42"/>
      <c r="E2261" s="42"/>
      <c r="F2261" s="42"/>
      <c r="G2261" s="42"/>
      <c r="H2261" s="42"/>
    </row>
    <row r="2262" spans="3:8" x14ac:dyDescent="0.3">
      <c r="C2262" s="42"/>
      <c r="D2262" s="42"/>
      <c r="E2262" s="42"/>
      <c r="F2262" s="42"/>
      <c r="G2262" s="42"/>
      <c r="H2262" s="42"/>
    </row>
    <row r="2263" spans="3:8" x14ac:dyDescent="0.3">
      <c r="C2263" s="42"/>
      <c r="D2263" s="42"/>
      <c r="E2263" s="42"/>
      <c r="F2263" s="42"/>
      <c r="G2263" s="42"/>
      <c r="H2263" s="42"/>
    </row>
    <row r="2264" spans="3:8" x14ac:dyDescent="0.3">
      <c r="C2264" s="42"/>
      <c r="D2264" s="42"/>
      <c r="E2264" s="42"/>
      <c r="F2264" s="42"/>
      <c r="G2264" s="42"/>
      <c r="H2264" s="42"/>
    </row>
    <row r="2265" spans="3:8" x14ac:dyDescent="0.3">
      <c r="C2265" s="42"/>
      <c r="D2265" s="42"/>
      <c r="E2265" s="42"/>
      <c r="F2265" s="42"/>
      <c r="G2265" s="42"/>
      <c r="H2265" s="42"/>
    </row>
    <row r="2266" spans="3:8" x14ac:dyDescent="0.3">
      <c r="C2266" s="42"/>
      <c r="D2266" s="42"/>
      <c r="E2266" s="42"/>
      <c r="F2266" s="42"/>
      <c r="G2266" s="42"/>
      <c r="H2266" s="42"/>
    </row>
    <row r="2267" spans="3:8" x14ac:dyDescent="0.3">
      <c r="C2267" s="42"/>
      <c r="D2267" s="42"/>
      <c r="E2267" s="42"/>
      <c r="F2267" s="42"/>
      <c r="G2267" s="42"/>
      <c r="H2267" s="42"/>
    </row>
    <row r="2268" spans="3:8" x14ac:dyDescent="0.3">
      <c r="C2268" s="42"/>
      <c r="D2268" s="42"/>
      <c r="E2268" s="42"/>
      <c r="F2268" s="42"/>
      <c r="G2268" s="42"/>
      <c r="H2268" s="42"/>
    </row>
    <row r="2269" spans="3:8" x14ac:dyDescent="0.3">
      <c r="C2269" s="42"/>
      <c r="D2269" s="42"/>
      <c r="E2269" s="42"/>
      <c r="F2269" s="42"/>
      <c r="G2269" s="42"/>
      <c r="H2269" s="42"/>
    </row>
    <row r="2270" spans="3:8" x14ac:dyDescent="0.3">
      <c r="C2270" s="42"/>
      <c r="D2270" s="42"/>
      <c r="E2270" s="42"/>
      <c r="F2270" s="42"/>
      <c r="G2270" s="42"/>
      <c r="H2270" s="42"/>
    </row>
    <row r="2271" spans="3:8" x14ac:dyDescent="0.3">
      <c r="C2271" s="42"/>
      <c r="D2271" s="42"/>
      <c r="E2271" s="42"/>
      <c r="F2271" s="42"/>
      <c r="G2271" s="42"/>
      <c r="H2271" s="42"/>
    </row>
    <row r="2272" spans="3:8" x14ac:dyDescent="0.3">
      <c r="C2272" s="42"/>
      <c r="D2272" s="42"/>
      <c r="E2272" s="42"/>
      <c r="F2272" s="42"/>
      <c r="G2272" s="42"/>
      <c r="H2272" s="42"/>
    </row>
    <row r="2273" spans="3:8" x14ac:dyDescent="0.3">
      <c r="C2273" s="42"/>
      <c r="D2273" s="42"/>
      <c r="E2273" s="42"/>
      <c r="F2273" s="42"/>
      <c r="G2273" s="42"/>
      <c r="H2273" s="42"/>
    </row>
    <row r="2274" spans="3:8" x14ac:dyDescent="0.3">
      <c r="C2274" s="42"/>
      <c r="D2274" s="42"/>
      <c r="E2274" s="42"/>
      <c r="F2274" s="42"/>
      <c r="G2274" s="42"/>
      <c r="H2274" s="42"/>
    </row>
    <row r="2275" spans="3:8" x14ac:dyDescent="0.3">
      <c r="C2275" s="42"/>
      <c r="D2275" s="42"/>
      <c r="E2275" s="42"/>
      <c r="F2275" s="42"/>
      <c r="G2275" s="42"/>
      <c r="H2275" s="42"/>
    </row>
    <row r="2276" spans="3:8" x14ac:dyDescent="0.3">
      <c r="C2276" s="42"/>
      <c r="D2276" s="42"/>
      <c r="E2276" s="42"/>
      <c r="F2276" s="42"/>
      <c r="G2276" s="42"/>
      <c r="H2276" s="42"/>
    </row>
    <row r="2277" spans="3:8" x14ac:dyDescent="0.3">
      <c r="C2277" s="42"/>
      <c r="D2277" s="42"/>
      <c r="E2277" s="42"/>
      <c r="F2277" s="42"/>
      <c r="G2277" s="42"/>
      <c r="H2277" s="42"/>
    </row>
    <row r="2278" spans="3:8" x14ac:dyDescent="0.3">
      <c r="C2278" s="42"/>
      <c r="D2278" s="42"/>
      <c r="E2278" s="42"/>
      <c r="F2278" s="42"/>
      <c r="G2278" s="42"/>
      <c r="H2278" s="42"/>
    </row>
    <row r="2279" spans="3:8" x14ac:dyDescent="0.3">
      <c r="C2279" s="42"/>
      <c r="D2279" s="42"/>
      <c r="E2279" s="42"/>
      <c r="F2279" s="42"/>
      <c r="G2279" s="42"/>
      <c r="H2279" s="42"/>
    </row>
    <row r="2280" spans="3:8" x14ac:dyDescent="0.3">
      <c r="C2280" s="42"/>
      <c r="D2280" s="42"/>
      <c r="E2280" s="42"/>
      <c r="F2280" s="42"/>
      <c r="G2280" s="42"/>
      <c r="H2280" s="42"/>
    </row>
    <row r="2281" spans="3:8" x14ac:dyDescent="0.3">
      <c r="C2281" s="42"/>
      <c r="D2281" s="42"/>
      <c r="E2281" s="42"/>
      <c r="F2281" s="42"/>
      <c r="G2281" s="42"/>
      <c r="H2281" s="42"/>
    </row>
    <row r="2282" spans="3:8" x14ac:dyDescent="0.3">
      <c r="C2282" s="42"/>
      <c r="D2282" s="42"/>
      <c r="E2282" s="42"/>
      <c r="F2282" s="42"/>
      <c r="G2282" s="42"/>
      <c r="H2282" s="42"/>
    </row>
    <row r="2283" spans="3:8" x14ac:dyDescent="0.3">
      <c r="C2283" s="42"/>
      <c r="D2283" s="42"/>
      <c r="E2283" s="42"/>
      <c r="F2283" s="42"/>
      <c r="G2283" s="42"/>
      <c r="H2283" s="42"/>
    </row>
    <row r="2284" spans="3:8" x14ac:dyDescent="0.3">
      <c r="C2284" s="42"/>
      <c r="D2284" s="42"/>
      <c r="E2284" s="42"/>
      <c r="F2284" s="42"/>
      <c r="G2284" s="42"/>
      <c r="H2284" s="42"/>
    </row>
    <row r="2285" spans="3:8" x14ac:dyDescent="0.3">
      <c r="C2285" s="42"/>
      <c r="D2285" s="42"/>
      <c r="E2285" s="42"/>
      <c r="F2285" s="42"/>
      <c r="G2285" s="42"/>
      <c r="H2285" s="42"/>
    </row>
    <row r="2286" spans="3:8" x14ac:dyDescent="0.3">
      <c r="C2286" s="42"/>
      <c r="D2286" s="42"/>
      <c r="E2286" s="42"/>
      <c r="F2286" s="42"/>
      <c r="G2286" s="42"/>
      <c r="H2286" s="42"/>
    </row>
    <row r="2287" spans="3:8" x14ac:dyDescent="0.3">
      <c r="C2287" s="42"/>
      <c r="D2287" s="42"/>
      <c r="E2287" s="42"/>
      <c r="F2287" s="42"/>
      <c r="G2287" s="42"/>
      <c r="H2287" s="42"/>
    </row>
    <row r="2288" spans="3:8" x14ac:dyDescent="0.3">
      <c r="C2288" s="42"/>
      <c r="D2288" s="42"/>
      <c r="E2288" s="42"/>
      <c r="F2288" s="42"/>
      <c r="G2288" s="42"/>
      <c r="H2288" s="42"/>
    </row>
    <row r="2289" spans="3:8" x14ac:dyDescent="0.3">
      <c r="C2289" s="42"/>
      <c r="D2289" s="42"/>
      <c r="E2289" s="42"/>
      <c r="F2289" s="42"/>
      <c r="G2289" s="42"/>
      <c r="H2289" s="42"/>
    </row>
    <row r="2290" spans="3:8" x14ac:dyDescent="0.3">
      <c r="C2290" s="42"/>
      <c r="D2290" s="42"/>
      <c r="E2290" s="42"/>
      <c r="F2290" s="42"/>
      <c r="G2290" s="42"/>
      <c r="H2290" s="42"/>
    </row>
    <row r="2291" spans="3:8" x14ac:dyDescent="0.3">
      <c r="C2291" s="42"/>
      <c r="D2291" s="42"/>
      <c r="E2291" s="42"/>
      <c r="F2291" s="42"/>
      <c r="G2291" s="42"/>
      <c r="H2291" s="42"/>
    </row>
    <row r="2292" spans="3:8" x14ac:dyDescent="0.3">
      <c r="C2292" s="42"/>
      <c r="D2292" s="42"/>
      <c r="E2292" s="42"/>
      <c r="F2292" s="42"/>
      <c r="G2292" s="42"/>
      <c r="H2292" s="42"/>
    </row>
    <row r="2293" spans="3:8" x14ac:dyDescent="0.3">
      <c r="C2293" s="42"/>
      <c r="D2293" s="42"/>
      <c r="E2293" s="42"/>
      <c r="F2293" s="42"/>
      <c r="G2293" s="42"/>
      <c r="H2293" s="42"/>
    </row>
    <row r="2294" spans="3:8" x14ac:dyDescent="0.3">
      <c r="C2294" s="42"/>
      <c r="D2294" s="42"/>
      <c r="E2294" s="42"/>
      <c r="F2294" s="42"/>
      <c r="G2294" s="42"/>
      <c r="H2294" s="42"/>
    </row>
    <row r="2295" spans="3:8" x14ac:dyDescent="0.3">
      <c r="C2295" s="42"/>
      <c r="D2295" s="42"/>
      <c r="E2295" s="42"/>
      <c r="F2295" s="42"/>
      <c r="G2295" s="42"/>
      <c r="H2295" s="42"/>
    </row>
    <row r="2296" spans="3:8" x14ac:dyDescent="0.3">
      <c r="C2296" s="42"/>
      <c r="D2296" s="42"/>
      <c r="E2296" s="42"/>
      <c r="F2296" s="42"/>
      <c r="G2296" s="42"/>
      <c r="H2296" s="42"/>
    </row>
    <row r="2297" spans="3:8" x14ac:dyDescent="0.3">
      <c r="C2297" s="42"/>
      <c r="D2297" s="42"/>
      <c r="E2297" s="42"/>
      <c r="F2297" s="42"/>
      <c r="G2297" s="42"/>
      <c r="H2297" s="42"/>
    </row>
    <row r="2298" spans="3:8" x14ac:dyDescent="0.3">
      <c r="C2298" s="42"/>
      <c r="D2298" s="42"/>
      <c r="E2298" s="42"/>
      <c r="F2298" s="42"/>
      <c r="G2298" s="42"/>
      <c r="H2298" s="42"/>
    </row>
    <row r="2299" spans="3:8" x14ac:dyDescent="0.3">
      <c r="C2299" s="42"/>
      <c r="D2299" s="42"/>
      <c r="E2299" s="42"/>
      <c r="F2299" s="42"/>
      <c r="G2299" s="42"/>
      <c r="H2299" s="42"/>
    </row>
    <row r="2300" spans="3:8" x14ac:dyDescent="0.3">
      <c r="C2300" s="42"/>
      <c r="D2300" s="42"/>
      <c r="E2300" s="42"/>
      <c r="F2300" s="42"/>
      <c r="G2300" s="42"/>
      <c r="H2300" s="42"/>
    </row>
    <row r="2301" spans="3:8" x14ac:dyDescent="0.3">
      <c r="C2301" s="42"/>
      <c r="D2301" s="42"/>
      <c r="E2301" s="42"/>
      <c r="F2301" s="42"/>
      <c r="G2301" s="42"/>
      <c r="H2301" s="42"/>
    </row>
    <row r="2302" spans="3:8" x14ac:dyDescent="0.3">
      <c r="C2302" s="42"/>
      <c r="D2302" s="42"/>
      <c r="E2302" s="42"/>
      <c r="F2302" s="42"/>
      <c r="G2302" s="42"/>
      <c r="H2302" s="42"/>
    </row>
    <row r="2303" spans="3:8" x14ac:dyDescent="0.3">
      <c r="C2303" s="42"/>
      <c r="D2303" s="42"/>
      <c r="E2303" s="42"/>
      <c r="F2303" s="42"/>
      <c r="G2303" s="42"/>
      <c r="H2303" s="42"/>
    </row>
    <row r="2304" spans="3:8" x14ac:dyDescent="0.3">
      <c r="C2304" s="42"/>
      <c r="D2304" s="42"/>
      <c r="E2304" s="42"/>
      <c r="F2304" s="42"/>
      <c r="G2304" s="42"/>
      <c r="H2304" s="42"/>
    </row>
    <row r="2305" spans="3:8" x14ac:dyDescent="0.3">
      <c r="C2305" s="42"/>
      <c r="D2305" s="42"/>
      <c r="E2305" s="42"/>
      <c r="F2305" s="42"/>
      <c r="G2305" s="42"/>
      <c r="H2305" s="42"/>
    </row>
    <row r="2306" spans="3:8" x14ac:dyDescent="0.3">
      <c r="C2306" s="42"/>
      <c r="D2306" s="42"/>
      <c r="E2306" s="42"/>
      <c r="F2306" s="42"/>
      <c r="G2306" s="42"/>
      <c r="H2306" s="42"/>
    </row>
    <row r="2307" spans="3:8" x14ac:dyDescent="0.3">
      <c r="C2307" s="42"/>
      <c r="D2307" s="42"/>
      <c r="E2307" s="42"/>
      <c r="F2307" s="42"/>
      <c r="G2307" s="42"/>
      <c r="H2307" s="42"/>
    </row>
    <row r="2308" spans="3:8" x14ac:dyDescent="0.3">
      <c r="C2308" s="42"/>
      <c r="D2308" s="42"/>
      <c r="E2308" s="42"/>
      <c r="F2308" s="42"/>
      <c r="G2308" s="42"/>
      <c r="H2308" s="42"/>
    </row>
    <row r="2309" spans="3:8" x14ac:dyDescent="0.3">
      <c r="C2309" s="42"/>
      <c r="D2309" s="42"/>
      <c r="E2309" s="42"/>
      <c r="F2309" s="42"/>
      <c r="G2309" s="42"/>
      <c r="H2309" s="42"/>
    </row>
    <row r="2310" spans="3:8" x14ac:dyDescent="0.3">
      <c r="C2310" s="42"/>
      <c r="D2310" s="42"/>
      <c r="E2310" s="42"/>
      <c r="F2310" s="42"/>
      <c r="G2310" s="42"/>
      <c r="H2310" s="42"/>
    </row>
    <row r="2311" spans="3:8" x14ac:dyDescent="0.3">
      <c r="C2311" s="42"/>
      <c r="D2311" s="42"/>
      <c r="E2311" s="42"/>
      <c r="F2311" s="42"/>
      <c r="G2311" s="42"/>
      <c r="H2311" s="42"/>
    </row>
    <row r="2312" spans="3:8" x14ac:dyDescent="0.3">
      <c r="C2312" s="42"/>
      <c r="D2312" s="42"/>
      <c r="E2312" s="42"/>
      <c r="F2312" s="42"/>
      <c r="G2312" s="42"/>
      <c r="H2312" s="42"/>
    </row>
    <row r="2313" spans="3:8" x14ac:dyDescent="0.3">
      <c r="C2313" s="42"/>
      <c r="D2313" s="42"/>
      <c r="E2313" s="42"/>
      <c r="F2313" s="42"/>
      <c r="G2313" s="42"/>
      <c r="H2313" s="42"/>
    </row>
    <row r="2314" spans="3:8" x14ac:dyDescent="0.3">
      <c r="C2314" s="42"/>
      <c r="D2314" s="42"/>
      <c r="E2314" s="42"/>
      <c r="F2314" s="42"/>
      <c r="G2314" s="42"/>
      <c r="H2314" s="42"/>
    </row>
    <row r="2315" spans="3:8" x14ac:dyDescent="0.3">
      <c r="C2315" s="42"/>
      <c r="D2315" s="42"/>
      <c r="E2315" s="42"/>
      <c r="F2315" s="42"/>
      <c r="G2315" s="42"/>
      <c r="H2315" s="42"/>
    </row>
    <row r="2316" spans="3:8" x14ac:dyDescent="0.3">
      <c r="C2316" s="42"/>
      <c r="D2316" s="42"/>
      <c r="E2316" s="42"/>
      <c r="F2316" s="42"/>
      <c r="G2316" s="42"/>
      <c r="H2316" s="42"/>
    </row>
    <row r="2317" spans="3:8" x14ac:dyDescent="0.3">
      <c r="C2317" s="42"/>
      <c r="D2317" s="42"/>
      <c r="E2317" s="42"/>
      <c r="F2317" s="42"/>
      <c r="G2317" s="42"/>
      <c r="H2317" s="42"/>
    </row>
    <row r="2318" spans="3:8" x14ac:dyDescent="0.3">
      <c r="C2318" s="42"/>
      <c r="D2318" s="42"/>
      <c r="E2318" s="42"/>
      <c r="F2318" s="42"/>
      <c r="G2318" s="42"/>
      <c r="H2318" s="42"/>
    </row>
    <row r="2319" spans="3:8" x14ac:dyDescent="0.3">
      <c r="C2319" s="42"/>
      <c r="D2319" s="42"/>
      <c r="E2319" s="42"/>
      <c r="F2319" s="42"/>
      <c r="G2319" s="42"/>
      <c r="H2319" s="42"/>
    </row>
    <row r="2320" spans="3:8" x14ac:dyDescent="0.3">
      <c r="C2320" s="42"/>
      <c r="D2320" s="42"/>
      <c r="E2320" s="42"/>
      <c r="F2320" s="42"/>
      <c r="G2320" s="42"/>
      <c r="H2320" s="42"/>
    </row>
    <row r="2321" spans="3:8" x14ac:dyDescent="0.3">
      <c r="C2321" s="42"/>
      <c r="D2321" s="42"/>
      <c r="E2321" s="42"/>
      <c r="F2321" s="42"/>
      <c r="G2321" s="42"/>
      <c r="H2321" s="42"/>
    </row>
    <row r="2322" spans="3:8" x14ac:dyDescent="0.3">
      <c r="C2322" s="42"/>
      <c r="D2322" s="42"/>
      <c r="E2322" s="42"/>
      <c r="F2322" s="42"/>
      <c r="G2322" s="42"/>
      <c r="H2322" s="42"/>
    </row>
    <row r="2323" spans="3:8" x14ac:dyDescent="0.3">
      <c r="C2323" s="42"/>
      <c r="D2323" s="42"/>
      <c r="E2323" s="42"/>
      <c r="F2323" s="42"/>
      <c r="G2323" s="42"/>
      <c r="H2323" s="42"/>
    </row>
    <row r="2324" spans="3:8" x14ac:dyDescent="0.3">
      <c r="C2324" s="42"/>
      <c r="D2324" s="42"/>
      <c r="E2324" s="42"/>
      <c r="F2324" s="42"/>
      <c r="G2324" s="42"/>
      <c r="H2324" s="42"/>
    </row>
    <row r="2325" spans="3:8" x14ac:dyDescent="0.3">
      <c r="C2325" s="42"/>
      <c r="D2325" s="42"/>
      <c r="E2325" s="42"/>
      <c r="F2325" s="42"/>
      <c r="G2325" s="42"/>
      <c r="H2325" s="42"/>
    </row>
    <row r="2326" spans="3:8" x14ac:dyDescent="0.3">
      <c r="C2326" s="42"/>
      <c r="D2326" s="42"/>
      <c r="E2326" s="42"/>
      <c r="F2326" s="42"/>
      <c r="G2326" s="42"/>
      <c r="H2326" s="42"/>
    </row>
    <row r="2327" spans="3:8" x14ac:dyDescent="0.3">
      <c r="C2327" s="42"/>
      <c r="D2327" s="42"/>
      <c r="E2327" s="42"/>
      <c r="F2327" s="42"/>
      <c r="G2327" s="42"/>
      <c r="H2327" s="42"/>
    </row>
    <row r="2328" spans="3:8" x14ac:dyDescent="0.3">
      <c r="C2328" s="42"/>
      <c r="D2328" s="42"/>
      <c r="E2328" s="42"/>
      <c r="F2328" s="42"/>
      <c r="G2328" s="42"/>
      <c r="H2328" s="42"/>
    </row>
    <row r="2329" spans="3:8" x14ac:dyDescent="0.3">
      <c r="C2329" s="42"/>
      <c r="D2329" s="42"/>
      <c r="E2329" s="42"/>
      <c r="F2329" s="42"/>
      <c r="G2329" s="42"/>
      <c r="H2329" s="42"/>
    </row>
    <row r="2330" spans="3:8" x14ac:dyDescent="0.3">
      <c r="C2330" s="42"/>
      <c r="D2330" s="42"/>
      <c r="E2330" s="42"/>
      <c r="F2330" s="42"/>
      <c r="G2330" s="42"/>
      <c r="H2330" s="42"/>
    </row>
    <row r="2331" spans="3:8" x14ac:dyDescent="0.3">
      <c r="C2331" s="42"/>
      <c r="D2331" s="42"/>
      <c r="E2331" s="42"/>
      <c r="F2331" s="42"/>
      <c r="G2331" s="42"/>
      <c r="H2331" s="42"/>
    </row>
    <row r="2332" spans="3:8" x14ac:dyDescent="0.3">
      <c r="C2332" s="42"/>
      <c r="D2332" s="42"/>
      <c r="E2332" s="42"/>
      <c r="F2332" s="42"/>
      <c r="G2332" s="42"/>
      <c r="H2332" s="42"/>
    </row>
    <row r="2333" spans="3:8" x14ac:dyDescent="0.3">
      <c r="C2333" s="42"/>
      <c r="D2333" s="42"/>
      <c r="E2333" s="42"/>
      <c r="F2333" s="42"/>
      <c r="G2333" s="42"/>
      <c r="H2333" s="42"/>
    </row>
    <row r="2334" spans="3:8" x14ac:dyDescent="0.3">
      <c r="C2334" s="42"/>
      <c r="D2334" s="42"/>
      <c r="E2334" s="42"/>
      <c r="F2334" s="42"/>
      <c r="G2334" s="42"/>
      <c r="H2334" s="42"/>
    </row>
    <row r="2335" spans="3:8" x14ac:dyDescent="0.3">
      <c r="C2335" s="42"/>
      <c r="D2335" s="42"/>
      <c r="E2335" s="42"/>
      <c r="F2335" s="42"/>
      <c r="G2335" s="42"/>
      <c r="H2335" s="42"/>
    </row>
    <row r="2336" spans="3:8" x14ac:dyDescent="0.3">
      <c r="C2336" s="42"/>
      <c r="D2336" s="42"/>
      <c r="E2336" s="42"/>
      <c r="F2336" s="42"/>
      <c r="G2336" s="42"/>
      <c r="H2336" s="42"/>
    </row>
    <row r="2337" spans="3:8" x14ac:dyDescent="0.3">
      <c r="C2337" s="42"/>
      <c r="D2337" s="42"/>
      <c r="E2337" s="42"/>
      <c r="F2337" s="42"/>
      <c r="G2337" s="42"/>
      <c r="H2337" s="42"/>
    </row>
    <row r="2338" spans="3:8" x14ac:dyDescent="0.3">
      <c r="C2338" s="42"/>
      <c r="D2338" s="42"/>
      <c r="E2338" s="42"/>
      <c r="F2338" s="42"/>
      <c r="G2338" s="42"/>
      <c r="H2338" s="42"/>
    </row>
    <row r="2339" spans="3:8" x14ac:dyDescent="0.3">
      <c r="C2339" s="42"/>
      <c r="D2339" s="42"/>
      <c r="E2339" s="42"/>
      <c r="F2339" s="42"/>
      <c r="G2339" s="42"/>
      <c r="H2339" s="42"/>
    </row>
    <row r="2340" spans="3:8" x14ac:dyDescent="0.3">
      <c r="C2340" s="42"/>
      <c r="D2340" s="42"/>
      <c r="E2340" s="42"/>
      <c r="F2340" s="42"/>
      <c r="G2340" s="42"/>
      <c r="H2340" s="42"/>
    </row>
    <row r="2341" spans="3:8" x14ac:dyDescent="0.3">
      <c r="C2341" s="42"/>
      <c r="D2341" s="42"/>
      <c r="E2341" s="42"/>
      <c r="F2341" s="42"/>
      <c r="G2341" s="42"/>
      <c r="H2341" s="42"/>
    </row>
    <row r="2342" spans="3:8" x14ac:dyDescent="0.3">
      <c r="C2342" s="42"/>
      <c r="D2342" s="42"/>
      <c r="E2342" s="42"/>
      <c r="F2342" s="42"/>
      <c r="G2342" s="42"/>
      <c r="H2342" s="42"/>
    </row>
    <row r="2343" spans="3:8" x14ac:dyDescent="0.3">
      <c r="C2343" s="42"/>
      <c r="D2343" s="42"/>
      <c r="E2343" s="42"/>
      <c r="F2343" s="42"/>
      <c r="G2343" s="42"/>
      <c r="H2343" s="42"/>
    </row>
    <row r="2344" spans="3:8" x14ac:dyDescent="0.3">
      <c r="C2344" s="42"/>
      <c r="D2344" s="42"/>
      <c r="E2344" s="42"/>
      <c r="F2344" s="42"/>
      <c r="G2344" s="42"/>
      <c r="H2344" s="42"/>
    </row>
    <row r="2345" spans="3:8" x14ac:dyDescent="0.3">
      <c r="C2345" s="42"/>
      <c r="D2345" s="42"/>
      <c r="E2345" s="42"/>
      <c r="F2345" s="42"/>
      <c r="G2345" s="42"/>
      <c r="H2345" s="42"/>
    </row>
    <row r="2346" spans="3:8" x14ac:dyDescent="0.3">
      <c r="C2346" s="42"/>
      <c r="D2346" s="42"/>
      <c r="E2346" s="42"/>
      <c r="F2346" s="42"/>
      <c r="G2346" s="42"/>
      <c r="H2346" s="42"/>
    </row>
    <row r="2347" spans="3:8" x14ac:dyDescent="0.3">
      <c r="C2347" s="42"/>
      <c r="D2347" s="42"/>
      <c r="E2347" s="42"/>
      <c r="F2347" s="42"/>
      <c r="G2347" s="42"/>
      <c r="H2347" s="42"/>
    </row>
    <row r="2348" spans="3:8" x14ac:dyDescent="0.3">
      <c r="C2348" s="42"/>
      <c r="D2348" s="42"/>
      <c r="E2348" s="42"/>
      <c r="F2348" s="42"/>
      <c r="G2348" s="42"/>
      <c r="H2348" s="42"/>
    </row>
    <row r="2349" spans="3:8" x14ac:dyDescent="0.3">
      <c r="C2349" s="42"/>
      <c r="D2349" s="42"/>
      <c r="E2349" s="42"/>
      <c r="F2349" s="42"/>
      <c r="G2349" s="42"/>
      <c r="H2349" s="42"/>
    </row>
    <row r="2350" spans="3:8" x14ac:dyDescent="0.3">
      <c r="C2350" s="42"/>
      <c r="D2350" s="42"/>
      <c r="E2350" s="42"/>
      <c r="F2350" s="42"/>
      <c r="G2350" s="42"/>
      <c r="H2350" s="42"/>
    </row>
    <row r="2351" spans="3:8" x14ac:dyDescent="0.3">
      <c r="C2351" s="42"/>
      <c r="D2351" s="42"/>
      <c r="E2351" s="42"/>
      <c r="F2351" s="42"/>
      <c r="G2351" s="42"/>
      <c r="H2351" s="42"/>
    </row>
    <row r="2352" spans="3:8" x14ac:dyDescent="0.3">
      <c r="C2352" s="42"/>
      <c r="D2352" s="42"/>
      <c r="E2352" s="42"/>
      <c r="F2352" s="42"/>
      <c r="G2352" s="42"/>
      <c r="H2352" s="42"/>
    </row>
    <row r="2353" spans="3:8" x14ac:dyDescent="0.3">
      <c r="C2353" s="42"/>
      <c r="D2353" s="42"/>
      <c r="E2353" s="42"/>
      <c r="F2353" s="42"/>
      <c r="G2353" s="42"/>
      <c r="H2353" s="42"/>
    </row>
    <row r="2354" spans="3:8" x14ac:dyDescent="0.3">
      <c r="C2354" s="42"/>
      <c r="D2354" s="42"/>
      <c r="E2354" s="42"/>
      <c r="F2354" s="42"/>
      <c r="G2354" s="42"/>
      <c r="H2354" s="42"/>
    </row>
    <row r="2355" spans="3:8" x14ac:dyDescent="0.3">
      <c r="C2355" s="42"/>
      <c r="D2355" s="42"/>
      <c r="E2355" s="42"/>
      <c r="F2355" s="42"/>
      <c r="G2355" s="42"/>
      <c r="H2355" s="42"/>
    </row>
    <row r="2356" spans="3:8" x14ac:dyDescent="0.3">
      <c r="C2356" s="42"/>
      <c r="D2356" s="42"/>
      <c r="E2356" s="42"/>
      <c r="F2356" s="42"/>
      <c r="G2356" s="42"/>
      <c r="H2356" s="42"/>
    </row>
    <row r="2357" spans="3:8" x14ac:dyDescent="0.3">
      <c r="C2357" s="42"/>
      <c r="D2357" s="42"/>
      <c r="E2357" s="42"/>
      <c r="F2357" s="42"/>
      <c r="G2357" s="42"/>
      <c r="H2357" s="42"/>
    </row>
    <row r="2358" spans="3:8" x14ac:dyDescent="0.3">
      <c r="C2358" s="42"/>
      <c r="D2358" s="42"/>
      <c r="E2358" s="42"/>
      <c r="F2358" s="42"/>
      <c r="G2358" s="42"/>
      <c r="H2358" s="42"/>
    </row>
    <row r="2359" spans="3:8" x14ac:dyDescent="0.3">
      <c r="C2359" s="42"/>
      <c r="D2359" s="42"/>
      <c r="E2359" s="42"/>
      <c r="F2359" s="42"/>
      <c r="G2359" s="42"/>
      <c r="H2359" s="42"/>
    </row>
    <row r="2360" spans="3:8" x14ac:dyDescent="0.3">
      <c r="C2360" s="42"/>
      <c r="D2360" s="42"/>
      <c r="E2360" s="42"/>
      <c r="F2360" s="42"/>
      <c r="G2360" s="42"/>
      <c r="H2360" s="42"/>
    </row>
    <row r="2361" spans="3:8" x14ac:dyDescent="0.3">
      <c r="C2361" s="42"/>
      <c r="D2361" s="42"/>
      <c r="E2361" s="42"/>
      <c r="F2361" s="42"/>
      <c r="G2361" s="42"/>
      <c r="H2361" s="42"/>
    </row>
    <row r="2362" spans="3:8" x14ac:dyDescent="0.3">
      <c r="C2362" s="42"/>
      <c r="D2362" s="42"/>
      <c r="E2362" s="42"/>
      <c r="F2362" s="42"/>
      <c r="G2362" s="42"/>
      <c r="H2362" s="42"/>
    </row>
    <row r="2363" spans="3:8" x14ac:dyDescent="0.3">
      <c r="C2363" s="42"/>
      <c r="D2363" s="42"/>
      <c r="E2363" s="42"/>
      <c r="F2363" s="42"/>
      <c r="G2363" s="42"/>
      <c r="H2363" s="42"/>
    </row>
    <row r="2364" spans="3:8" x14ac:dyDescent="0.3">
      <c r="C2364" s="42"/>
      <c r="D2364" s="42"/>
      <c r="E2364" s="42"/>
      <c r="F2364" s="42"/>
      <c r="G2364" s="42"/>
      <c r="H2364" s="42"/>
    </row>
    <row r="2365" spans="3:8" x14ac:dyDescent="0.3">
      <c r="C2365" s="42"/>
      <c r="D2365" s="42"/>
      <c r="E2365" s="42"/>
      <c r="F2365" s="42"/>
      <c r="G2365" s="42"/>
      <c r="H2365" s="42"/>
    </row>
    <row r="2366" spans="3:8" x14ac:dyDescent="0.3">
      <c r="C2366" s="42"/>
      <c r="D2366" s="42"/>
      <c r="E2366" s="42"/>
      <c r="F2366" s="42"/>
      <c r="G2366" s="42"/>
      <c r="H2366" s="42"/>
    </row>
    <row r="2367" spans="3:8" x14ac:dyDescent="0.3">
      <c r="C2367" s="42"/>
      <c r="D2367" s="42"/>
      <c r="E2367" s="42"/>
      <c r="F2367" s="42"/>
      <c r="G2367" s="42"/>
      <c r="H2367" s="42"/>
    </row>
    <row r="2368" spans="3:8" x14ac:dyDescent="0.3">
      <c r="C2368" s="42"/>
      <c r="D2368" s="42"/>
      <c r="E2368" s="42"/>
      <c r="F2368" s="42"/>
      <c r="G2368" s="42"/>
      <c r="H2368" s="42"/>
    </row>
    <row r="2369" spans="3:8" x14ac:dyDescent="0.3">
      <c r="C2369" s="42"/>
      <c r="D2369" s="42"/>
      <c r="E2369" s="42"/>
      <c r="F2369" s="42"/>
      <c r="G2369" s="42"/>
      <c r="H2369" s="42"/>
    </row>
    <row r="2370" spans="3:8" x14ac:dyDescent="0.3">
      <c r="C2370" s="42"/>
      <c r="D2370" s="42"/>
      <c r="E2370" s="42"/>
      <c r="F2370" s="42"/>
      <c r="G2370" s="42"/>
      <c r="H2370" s="42"/>
    </row>
    <row r="2371" spans="3:8" x14ac:dyDescent="0.3">
      <c r="C2371" s="42"/>
      <c r="D2371" s="42"/>
      <c r="E2371" s="42"/>
      <c r="F2371" s="42"/>
      <c r="G2371" s="42"/>
      <c r="H2371" s="42"/>
    </row>
    <row r="2372" spans="3:8" x14ac:dyDescent="0.3">
      <c r="C2372" s="42"/>
      <c r="D2372" s="42"/>
      <c r="E2372" s="42"/>
      <c r="F2372" s="42"/>
      <c r="G2372" s="42"/>
      <c r="H2372" s="42"/>
    </row>
    <row r="2373" spans="3:8" x14ac:dyDescent="0.3">
      <c r="C2373" s="42"/>
      <c r="D2373" s="42"/>
      <c r="E2373" s="42"/>
      <c r="F2373" s="42"/>
      <c r="G2373" s="42"/>
      <c r="H2373" s="42"/>
    </row>
    <row r="2374" spans="3:8" x14ac:dyDescent="0.3">
      <c r="C2374" s="42"/>
      <c r="D2374" s="42"/>
      <c r="E2374" s="42"/>
      <c r="F2374" s="42"/>
      <c r="G2374" s="42"/>
      <c r="H2374" s="42"/>
    </row>
    <row r="2375" spans="3:8" x14ac:dyDescent="0.3">
      <c r="C2375" s="42"/>
      <c r="D2375" s="42"/>
      <c r="E2375" s="42"/>
      <c r="F2375" s="42"/>
      <c r="G2375" s="42"/>
      <c r="H2375" s="42"/>
    </row>
    <row r="2376" spans="3:8" x14ac:dyDescent="0.3">
      <c r="C2376" s="42"/>
      <c r="D2376" s="42"/>
      <c r="E2376" s="42"/>
      <c r="F2376" s="42"/>
      <c r="G2376" s="42"/>
      <c r="H2376" s="42"/>
    </row>
    <row r="2377" spans="3:8" x14ac:dyDescent="0.3">
      <c r="C2377" s="42"/>
      <c r="D2377" s="42"/>
      <c r="E2377" s="42"/>
      <c r="F2377" s="42"/>
      <c r="G2377" s="42"/>
      <c r="H2377" s="42"/>
    </row>
    <row r="2378" spans="3:8" x14ac:dyDescent="0.3">
      <c r="C2378" s="42"/>
      <c r="D2378" s="42"/>
      <c r="E2378" s="42"/>
      <c r="F2378" s="42"/>
      <c r="G2378" s="42"/>
      <c r="H2378" s="42"/>
    </row>
    <row r="2379" spans="3:8" x14ac:dyDescent="0.3">
      <c r="C2379" s="42"/>
      <c r="D2379" s="42"/>
      <c r="E2379" s="42"/>
      <c r="F2379" s="42"/>
      <c r="G2379" s="42"/>
      <c r="H2379" s="42"/>
    </row>
    <row r="2380" spans="3:8" x14ac:dyDescent="0.3">
      <c r="C2380" s="42"/>
      <c r="D2380" s="42"/>
      <c r="E2380" s="42"/>
      <c r="F2380" s="42"/>
      <c r="G2380" s="42"/>
      <c r="H2380" s="42"/>
    </row>
    <row r="2381" spans="3:8" x14ac:dyDescent="0.3">
      <c r="C2381" s="42"/>
      <c r="D2381" s="42"/>
      <c r="E2381" s="42"/>
      <c r="F2381" s="42"/>
      <c r="G2381" s="42"/>
      <c r="H2381" s="42"/>
    </row>
    <row r="2382" spans="3:8" x14ac:dyDescent="0.3">
      <c r="C2382" s="42"/>
      <c r="D2382" s="42"/>
      <c r="E2382" s="42"/>
      <c r="F2382" s="42"/>
      <c r="G2382" s="42"/>
      <c r="H2382" s="42"/>
    </row>
    <row r="2383" spans="3:8" x14ac:dyDescent="0.3">
      <c r="C2383" s="42"/>
      <c r="D2383" s="42"/>
      <c r="E2383" s="42"/>
      <c r="F2383" s="42"/>
      <c r="G2383" s="42"/>
      <c r="H2383" s="42"/>
    </row>
    <row r="2384" spans="3:8" x14ac:dyDescent="0.3">
      <c r="C2384" s="42"/>
      <c r="D2384" s="42"/>
      <c r="E2384" s="42"/>
      <c r="F2384" s="42"/>
      <c r="G2384" s="42"/>
      <c r="H2384" s="42"/>
    </row>
    <row r="2385" spans="3:8" x14ac:dyDescent="0.3">
      <c r="C2385" s="42"/>
      <c r="D2385" s="42"/>
      <c r="E2385" s="42"/>
      <c r="F2385" s="42"/>
      <c r="G2385" s="42"/>
      <c r="H2385" s="42"/>
    </row>
    <row r="2386" spans="3:8" x14ac:dyDescent="0.3">
      <c r="C2386" s="42"/>
      <c r="D2386" s="42"/>
      <c r="E2386" s="42"/>
      <c r="F2386" s="42"/>
      <c r="G2386" s="42"/>
      <c r="H2386" s="42"/>
    </row>
    <row r="2387" spans="3:8" x14ac:dyDescent="0.3">
      <c r="C2387" s="42"/>
      <c r="D2387" s="42"/>
      <c r="E2387" s="42"/>
      <c r="F2387" s="42"/>
      <c r="G2387" s="42"/>
      <c r="H2387" s="42"/>
    </row>
    <row r="2388" spans="3:8" x14ac:dyDescent="0.3">
      <c r="C2388" s="42"/>
      <c r="D2388" s="42"/>
      <c r="E2388" s="42"/>
      <c r="F2388" s="42"/>
      <c r="G2388" s="42"/>
      <c r="H2388" s="42"/>
    </row>
    <row r="2389" spans="3:8" x14ac:dyDescent="0.3">
      <c r="C2389" s="42"/>
      <c r="D2389" s="42"/>
      <c r="E2389" s="42"/>
      <c r="F2389" s="42"/>
      <c r="G2389" s="42"/>
      <c r="H2389" s="42"/>
    </row>
    <row r="2390" spans="3:8" x14ac:dyDescent="0.3">
      <c r="C2390" s="42"/>
      <c r="D2390" s="42"/>
      <c r="E2390" s="42"/>
      <c r="F2390" s="42"/>
      <c r="G2390" s="42"/>
      <c r="H2390" s="42"/>
    </row>
    <row r="2391" spans="3:8" x14ac:dyDescent="0.3">
      <c r="C2391" s="42"/>
      <c r="D2391" s="42"/>
      <c r="E2391" s="42"/>
      <c r="F2391" s="42"/>
      <c r="G2391" s="42"/>
      <c r="H2391" s="42"/>
    </row>
    <row r="2392" spans="3:8" x14ac:dyDescent="0.3">
      <c r="C2392" s="42"/>
      <c r="D2392" s="42"/>
      <c r="E2392" s="42"/>
      <c r="F2392" s="42"/>
      <c r="G2392" s="42"/>
      <c r="H2392" s="42"/>
    </row>
    <row r="2393" spans="3:8" x14ac:dyDescent="0.3">
      <c r="C2393" s="42"/>
      <c r="D2393" s="42"/>
      <c r="E2393" s="42"/>
      <c r="F2393" s="42"/>
      <c r="G2393" s="42"/>
      <c r="H2393" s="42"/>
    </row>
    <row r="2394" spans="3:8" x14ac:dyDescent="0.3">
      <c r="C2394" s="42"/>
      <c r="D2394" s="42"/>
      <c r="E2394" s="42"/>
      <c r="F2394" s="42"/>
      <c r="G2394" s="42"/>
      <c r="H2394" s="42"/>
    </row>
    <row r="2395" spans="3:8" x14ac:dyDescent="0.3">
      <c r="C2395" s="42"/>
      <c r="D2395" s="42"/>
      <c r="E2395" s="42"/>
      <c r="F2395" s="42"/>
      <c r="G2395" s="42"/>
      <c r="H2395" s="42"/>
    </row>
    <row r="2396" spans="3:8" x14ac:dyDescent="0.3">
      <c r="C2396" s="42"/>
      <c r="D2396" s="42"/>
      <c r="E2396" s="42"/>
      <c r="F2396" s="42"/>
      <c r="G2396" s="42"/>
      <c r="H2396" s="42"/>
    </row>
    <row r="2397" spans="3:8" x14ac:dyDescent="0.3">
      <c r="C2397" s="42"/>
      <c r="D2397" s="42"/>
      <c r="E2397" s="42"/>
      <c r="F2397" s="42"/>
      <c r="G2397" s="42"/>
      <c r="H2397" s="42"/>
    </row>
    <row r="2398" spans="3:8" x14ac:dyDescent="0.3">
      <c r="C2398" s="42"/>
      <c r="D2398" s="42"/>
      <c r="E2398" s="42"/>
      <c r="F2398" s="42"/>
      <c r="G2398" s="42"/>
      <c r="H2398" s="42"/>
    </row>
    <row r="2399" spans="3:8" x14ac:dyDescent="0.3">
      <c r="C2399" s="42"/>
      <c r="D2399" s="42"/>
      <c r="E2399" s="42"/>
      <c r="F2399" s="42"/>
      <c r="G2399" s="42"/>
      <c r="H2399" s="42"/>
    </row>
    <row r="2400" spans="3:8" x14ac:dyDescent="0.3">
      <c r="C2400" s="42"/>
      <c r="D2400" s="42"/>
      <c r="E2400" s="42"/>
      <c r="F2400" s="42"/>
      <c r="G2400" s="42"/>
      <c r="H2400" s="42"/>
    </row>
    <row r="2401" spans="3:8" x14ac:dyDescent="0.3">
      <c r="C2401" s="42"/>
      <c r="D2401" s="42"/>
      <c r="E2401" s="42"/>
      <c r="F2401" s="42"/>
      <c r="G2401" s="42"/>
      <c r="H2401" s="42"/>
    </row>
    <row r="2402" spans="3:8" x14ac:dyDescent="0.3">
      <c r="C2402" s="42"/>
      <c r="D2402" s="42"/>
      <c r="E2402" s="42"/>
      <c r="F2402" s="42"/>
      <c r="G2402" s="42"/>
      <c r="H2402" s="42"/>
    </row>
    <row r="2403" spans="3:8" x14ac:dyDescent="0.3">
      <c r="C2403" s="42"/>
      <c r="D2403" s="42"/>
      <c r="E2403" s="42"/>
      <c r="F2403" s="42"/>
      <c r="G2403" s="42"/>
      <c r="H2403" s="42"/>
    </row>
    <row r="2404" spans="3:8" x14ac:dyDescent="0.3">
      <c r="C2404" s="42"/>
      <c r="D2404" s="42"/>
      <c r="E2404" s="42"/>
      <c r="F2404" s="42"/>
      <c r="G2404" s="42"/>
      <c r="H2404" s="42"/>
    </row>
    <row r="2405" spans="3:8" x14ac:dyDescent="0.3">
      <c r="C2405" s="42"/>
      <c r="D2405" s="42"/>
      <c r="E2405" s="42"/>
      <c r="F2405" s="42"/>
      <c r="G2405" s="42"/>
      <c r="H2405" s="42"/>
    </row>
    <row r="2406" spans="3:8" x14ac:dyDescent="0.3">
      <c r="C2406" s="42"/>
      <c r="D2406" s="42"/>
      <c r="E2406" s="42"/>
      <c r="F2406" s="42"/>
      <c r="G2406" s="42"/>
      <c r="H2406" s="42"/>
    </row>
    <row r="2407" spans="3:8" x14ac:dyDescent="0.3">
      <c r="C2407" s="42"/>
      <c r="D2407" s="42"/>
      <c r="E2407" s="42"/>
      <c r="F2407" s="42"/>
      <c r="G2407" s="42"/>
      <c r="H2407" s="42"/>
    </row>
    <row r="2408" spans="3:8" x14ac:dyDescent="0.3">
      <c r="C2408" s="42"/>
      <c r="D2408" s="42"/>
      <c r="E2408" s="42"/>
      <c r="F2408" s="42"/>
      <c r="G2408" s="42"/>
      <c r="H2408" s="42"/>
    </row>
    <row r="2409" spans="3:8" x14ac:dyDescent="0.3">
      <c r="C2409" s="42"/>
      <c r="D2409" s="42"/>
      <c r="E2409" s="42"/>
      <c r="F2409" s="42"/>
      <c r="G2409" s="42"/>
      <c r="H2409" s="42"/>
    </row>
    <row r="2410" spans="3:8" x14ac:dyDescent="0.3">
      <c r="C2410" s="42"/>
      <c r="D2410" s="42"/>
      <c r="E2410" s="42"/>
      <c r="F2410" s="42"/>
      <c r="G2410" s="42"/>
      <c r="H2410" s="42"/>
    </row>
    <row r="2411" spans="3:8" x14ac:dyDescent="0.3">
      <c r="C2411" s="42"/>
      <c r="D2411" s="42"/>
      <c r="E2411" s="42"/>
      <c r="F2411" s="42"/>
      <c r="G2411" s="42"/>
      <c r="H2411" s="42"/>
    </row>
    <row r="2412" spans="3:8" x14ac:dyDescent="0.3">
      <c r="C2412" s="42"/>
      <c r="D2412" s="42"/>
      <c r="E2412" s="42"/>
      <c r="F2412" s="42"/>
      <c r="G2412" s="42"/>
      <c r="H2412" s="42"/>
    </row>
    <row r="2413" spans="3:8" x14ac:dyDescent="0.3">
      <c r="C2413" s="42"/>
      <c r="D2413" s="42"/>
      <c r="E2413" s="42"/>
      <c r="F2413" s="42"/>
      <c r="G2413" s="42"/>
      <c r="H2413" s="42"/>
    </row>
    <row r="2414" spans="3:8" x14ac:dyDescent="0.3">
      <c r="C2414" s="42"/>
      <c r="D2414" s="42"/>
      <c r="E2414" s="42"/>
      <c r="F2414" s="42"/>
      <c r="G2414" s="42"/>
      <c r="H2414" s="42"/>
    </row>
    <row r="2415" spans="3:8" x14ac:dyDescent="0.3">
      <c r="C2415" s="42"/>
      <c r="D2415" s="42"/>
      <c r="E2415" s="42"/>
      <c r="F2415" s="42"/>
      <c r="G2415" s="42"/>
      <c r="H2415" s="42"/>
    </row>
    <row r="2416" spans="3:8" x14ac:dyDescent="0.3">
      <c r="C2416" s="42"/>
      <c r="D2416" s="42"/>
      <c r="E2416" s="42"/>
      <c r="F2416" s="42"/>
      <c r="G2416" s="42"/>
      <c r="H2416" s="42"/>
    </row>
    <row r="2417" spans="3:8" x14ac:dyDescent="0.3">
      <c r="C2417" s="42"/>
      <c r="D2417" s="42"/>
      <c r="E2417" s="42"/>
      <c r="F2417" s="42"/>
      <c r="G2417" s="42"/>
      <c r="H2417" s="42"/>
    </row>
    <row r="2418" spans="3:8" x14ac:dyDescent="0.3">
      <c r="C2418" s="42"/>
      <c r="D2418" s="42"/>
      <c r="E2418" s="42"/>
      <c r="F2418" s="42"/>
      <c r="G2418" s="42"/>
      <c r="H2418" s="42"/>
    </row>
    <row r="2419" spans="3:8" x14ac:dyDescent="0.3">
      <c r="C2419" s="42"/>
      <c r="D2419" s="42"/>
      <c r="E2419" s="42"/>
      <c r="F2419" s="42"/>
      <c r="G2419" s="42"/>
      <c r="H2419" s="42"/>
    </row>
    <row r="2420" spans="3:8" x14ac:dyDescent="0.3">
      <c r="C2420" s="42"/>
      <c r="D2420" s="42"/>
      <c r="E2420" s="42"/>
      <c r="F2420" s="42"/>
      <c r="G2420" s="42"/>
      <c r="H2420" s="42"/>
    </row>
    <row r="2421" spans="3:8" x14ac:dyDescent="0.3">
      <c r="C2421" s="42"/>
      <c r="D2421" s="42"/>
      <c r="E2421" s="42"/>
      <c r="F2421" s="42"/>
      <c r="G2421" s="42"/>
      <c r="H2421" s="42"/>
    </row>
    <row r="2422" spans="3:8" x14ac:dyDescent="0.3">
      <c r="C2422" s="42"/>
      <c r="D2422" s="42"/>
      <c r="E2422" s="42"/>
      <c r="F2422" s="42"/>
      <c r="G2422" s="42"/>
      <c r="H2422" s="42"/>
    </row>
    <row r="2423" spans="3:8" x14ac:dyDescent="0.3">
      <c r="C2423" s="42"/>
      <c r="D2423" s="42"/>
      <c r="E2423" s="42"/>
      <c r="F2423" s="42"/>
      <c r="G2423" s="42"/>
      <c r="H2423" s="42"/>
    </row>
    <row r="2424" spans="3:8" x14ac:dyDescent="0.3">
      <c r="C2424" s="42"/>
      <c r="D2424" s="42"/>
      <c r="E2424" s="42"/>
      <c r="F2424" s="42"/>
      <c r="G2424" s="42"/>
      <c r="H2424" s="42"/>
    </row>
    <row r="2425" spans="3:8" x14ac:dyDescent="0.3">
      <c r="C2425" s="42"/>
      <c r="D2425" s="42"/>
      <c r="E2425" s="42"/>
      <c r="F2425" s="42"/>
      <c r="G2425" s="42"/>
      <c r="H2425" s="42"/>
    </row>
    <row r="2426" spans="3:8" x14ac:dyDescent="0.3">
      <c r="C2426" s="42"/>
      <c r="D2426" s="42"/>
      <c r="E2426" s="42"/>
      <c r="F2426" s="42"/>
      <c r="G2426" s="42"/>
      <c r="H2426" s="42"/>
    </row>
    <row r="2427" spans="3:8" x14ac:dyDescent="0.3">
      <c r="C2427" s="42"/>
      <c r="D2427" s="42"/>
      <c r="E2427" s="42"/>
      <c r="F2427" s="42"/>
      <c r="G2427" s="42"/>
      <c r="H2427" s="42"/>
    </row>
    <row r="2428" spans="3:8" x14ac:dyDescent="0.3">
      <c r="C2428" s="42"/>
      <c r="D2428" s="42"/>
      <c r="E2428" s="42"/>
      <c r="F2428" s="42"/>
      <c r="G2428" s="42"/>
      <c r="H2428" s="42"/>
    </row>
    <row r="2429" spans="3:8" x14ac:dyDescent="0.3">
      <c r="C2429" s="42"/>
      <c r="D2429" s="42"/>
      <c r="E2429" s="42"/>
      <c r="F2429" s="42"/>
      <c r="G2429" s="42"/>
      <c r="H2429" s="42"/>
    </row>
    <row r="2430" spans="3:8" x14ac:dyDescent="0.3">
      <c r="C2430" s="42"/>
      <c r="D2430" s="42"/>
      <c r="E2430" s="42"/>
      <c r="F2430" s="42"/>
      <c r="G2430" s="42"/>
      <c r="H2430" s="42"/>
    </row>
    <row r="2431" spans="3:8" x14ac:dyDescent="0.3">
      <c r="C2431" s="42"/>
      <c r="D2431" s="42"/>
      <c r="E2431" s="42"/>
      <c r="F2431" s="42"/>
      <c r="G2431" s="42"/>
      <c r="H2431" s="42"/>
    </row>
    <row r="2432" spans="3:8" x14ac:dyDescent="0.3">
      <c r="C2432" s="42"/>
      <c r="D2432" s="42"/>
      <c r="E2432" s="42"/>
      <c r="F2432" s="42"/>
      <c r="G2432" s="42"/>
      <c r="H2432" s="42"/>
    </row>
    <row r="2433" spans="3:8" x14ac:dyDescent="0.3">
      <c r="C2433" s="42"/>
      <c r="D2433" s="42"/>
      <c r="E2433" s="42"/>
      <c r="F2433" s="42"/>
      <c r="G2433" s="42"/>
      <c r="H2433" s="42"/>
    </row>
    <row r="2434" spans="3:8" x14ac:dyDescent="0.3">
      <c r="C2434" s="42"/>
      <c r="D2434" s="42"/>
      <c r="E2434" s="42"/>
      <c r="F2434" s="42"/>
      <c r="G2434" s="42"/>
      <c r="H2434" s="42"/>
    </row>
    <row r="2435" spans="3:8" x14ac:dyDescent="0.3">
      <c r="C2435" s="42"/>
      <c r="D2435" s="42"/>
      <c r="E2435" s="42"/>
      <c r="F2435" s="42"/>
      <c r="G2435" s="42"/>
      <c r="H2435" s="42"/>
    </row>
    <row r="2436" spans="3:8" x14ac:dyDescent="0.3">
      <c r="C2436" s="42"/>
      <c r="D2436" s="42"/>
      <c r="E2436" s="42"/>
      <c r="F2436" s="42"/>
      <c r="G2436" s="42"/>
      <c r="H2436" s="42"/>
    </row>
    <row r="2437" spans="3:8" x14ac:dyDescent="0.3">
      <c r="C2437" s="42"/>
      <c r="D2437" s="42"/>
      <c r="E2437" s="42"/>
      <c r="F2437" s="42"/>
      <c r="G2437" s="42"/>
      <c r="H2437" s="42"/>
    </row>
    <row r="2438" spans="3:8" x14ac:dyDescent="0.3">
      <c r="C2438" s="42"/>
      <c r="D2438" s="42"/>
      <c r="E2438" s="42"/>
      <c r="F2438" s="42"/>
      <c r="G2438" s="42"/>
      <c r="H2438" s="42"/>
    </row>
    <row r="2439" spans="3:8" x14ac:dyDescent="0.3">
      <c r="C2439" s="42"/>
      <c r="D2439" s="42"/>
      <c r="E2439" s="42"/>
      <c r="F2439" s="42"/>
      <c r="G2439" s="42"/>
      <c r="H2439" s="42"/>
    </row>
    <row r="2440" spans="3:8" x14ac:dyDescent="0.3">
      <c r="C2440" s="42"/>
      <c r="D2440" s="42"/>
      <c r="E2440" s="42"/>
      <c r="F2440" s="42"/>
      <c r="G2440" s="42"/>
      <c r="H2440" s="42"/>
    </row>
    <row r="2441" spans="3:8" x14ac:dyDescent="0.3">
      <c r="C2441" s="42"/>
      <c r="D2441" s="42"/>
      <c r="E2441" s="42"/>
      <c r="F2441" s="42"/>
      <c r="G2441" s="42"/>
      <c r="H2441" s="42"/>
    </row>
    <row r="2442" spans="3:8" x14ac:dyDescent="0.3">
      <c r="C2442" s="42"/>
      <c r="D2442" s="42"/>
      <c r="E2442" s="42"/>
      <c r="F2442" s="42"/>
      <c r="G2442" s="42"/>
      <c r="H2442" s="42"/>
    </row>
    <row r="2443" spans="3:8" x14ac:dyDescent="0.3">
      <c r="C2443" s="42"/>
      <c r="D2443" s="42"/>
      <c r="E2443" s="42"/>
      <c r="F2443" s="42"/>
      <c r="G2443" s="42"/>
      <c r="H2443" s="42"/>
    </row>
    <row r="2444" spans="3:8" x14ac:dyDescent="0.3">
      <c r="C2444" s="42"/>
      <c r="D2444" s="42"/>
      <c r="E2444" s="42"/>
      <c r="F2444" s="42"/>
      <c r="G2444" s="42"/>
      <c r="H2444" s="42"/>
    </row>
    <row r="2445" spans="3:8" x14ac:dyDescent="0.3">
      <c r="C2445" s="42"/>
      <c r="D2445" s="42"/>
      <c r="E2445" s="42"/>
      <c r="F2445" s="42"/>
      <c r="G2445" s="42"/>
      <c r="H2445" s="42"/>
    </row>
    <row r="2446" spans="3:8" x14ac:dyDescent="0.3">
      <c r="C2446" s="42"/>
      <c r="D2446" s="42"/>
      <c r="E2446" s="42"/>
      <c r="F2446" s="42"/>
      <c r="G2446" s="42"/>
      <c r="H2446" s="42"/>
    </row>
    <row r="2447" spans="3:8" x14ac:dyDescent="0.3">
      <c r="C2447" s="42"/>
      <c r="D2447" s="42"/>
      <c r="E2447" s="42"/>
      <c r="F2447" s="42"/>
      <c r="G2447" s="42"/>
      <c r="H2447" s="42"/>
    </row>
    <row r="2448" spans="3:8" x14ac:dyDescent="0.3">
      <c r="C2448" s="42"/>
      <c r="D2448" s="42"/>
      <c r="E2448" s="42"/>
      <c r="F2448" s="42"/>
      <c r="G2448" s="42"/>
      <c r="H2448" s="42"/>
    </row>
    <row r="2449" spans="3:8" x14ac:dyDescent="0.3">
      <c r="C2449" s="42"/>
      <c r="D2449" s="42"/>
      <c r="E2449" s="42"/>
      <c r="F2449" s="42"/>
      <c r="G2449" s="42"/>
      <c r="H2449" s="42"/>
    </row>
    <row r="2450" spans="3:8" x14ac:dyDescent="0.3">
      <c r="C2450" s="42"/>
      <c r="D2450" s="42"/>
      <c r="E2450" s="42"/>
      <c r="F2450" s="42"/>
      <c r="G2450" s="42"/>
      <c r="H2450" s="42"/>
    </row>
    <row r="2451" spans="3:8" x14ac:dyDescent="0.3">
      <c r="C2451" s="42"/>
      <c r="D2451" s="42"/>
      <c r="E2451" s="42"/>
      <c r="F2451" s="42"/>
      <c r="G2451" s="42"/>
      <c r="H2451" s="42"/>
    </row>
    <row r="2452" spans="3:8" x14ac:dyDescent="0.3">
      <c r="C2452" s="42"/>
      <c r="D2452" s="42"/>
      <c r="E2452" s="42"/>
      <c r="F2452" s="42"/>
      <c r="G2452" s="42"/>
      <c r="H2452" s="42"/>
    </row>
    <row r="2453" spans="3:8" x14ac:dyDescent="0.3">
      <c r="C2453" s="42"/>
      <c r="D2453" s="42"/>
      <c r="E2453" s="42"/>
      <c r="F2453" s="42"/>
      <c r="G2453" s="42"/>
      <c r="H2453" s="42"/>
    </row>
    <row r="2454" spans="3:8" x14ac:dyDescent="0.3">
      <c r="C2454" s="42"/>
      <c r="D2454" s="42"/>
      <c r="E2454" s="42"/>
      <c r="F2454" s="42"/>
      <c r="G2454" s="42"/>
      <c r="H2454" s="42"/>
    </row>
    <row r="2455" spans="3:8" x14ac:dyDescent="0.3">
      <c r="C2455" s="42"/>
      <c r="D2455" s="42"/>
      <c r="E2455" s="42"/>
      <c r="F2455" s="42"/>
      <c r="G2455" s="42"/>
      <c r="H2455" s="42"/>
    </row>
    <row r="2456" spans="3:8" x14ac:dyDescent="0.3">
      <c r="C2456" s="42"/>
      <c r="D2456" s="42"/>
      <c r="E2456" s="42"/>
      <c r="F2456" s="42"/>
      <c r="G2456" s="42"/>
      <c r="H2456" s="42"/>
    </row>
    <row r="2457" spans="3:8" x14ac:dyDescent="0.3">
      <c r="C2457" s="42"/>
      <c r="D2457" s="42"/>
      <c r="E2457" s="42"/>
      <c r="F2457" s="42"/>
      <c r="G2457" s="42"/>
      <c r="H2457" s="42"/>
    </row>
    <row r="2458" spans="3:8" x14ac:dyDescent="0.3">
      <c r="C2458" s="42"/>
      <c r="D2458" s="42"/>
      <c r="E2458" s="42"/>
      <c r="F2458" s="42"/>
      <c r="G2458" s="42"/>
      <c r="H2458" s="42"/>
    </row>
    <row r="2459" spans="3:8" x14ac:dyDescent="0.3">
      <c r="C2459" s="42"/>
      <c r="D2459" s="42"/>
      <c r="E2459" s="42"/>
      <c r="F2459" s="42"/>
      <c r="G2459" s="42"/>
      <c r="H2459" s="42"/>
    </row>
    <row r="2460" spans="3:8" x14ac:dyDescent="0.3">
      <c r="C2460" s="42"/>
      <c r="D2460" s="42"/>
      <c r="E2460" s="42"/>
      <c r="F2460" s="42"/>
      <c r="G2460" s="42"/>
      <c r="H2460" s="42"/>
    </row>
    <row r="2461" spans="3:8" x14ac:dyDescent="0.3">
      <c r="C2461" s="42"/>
      <c r="D2461" s="42"/>
      <c r="E2461" s="42"/>
      <c r="F2461" s="42"/>
      <c r="G2461" s="42"/>
      <c r="H2461" s="42"/>
    </row>
    <row r="2462" spans="3:8" x14ac:dyDescent="0.3">
      <c r="C2462" s="42"/>
      <c r="D2462" s="42"/>
      <c r="E2462" s="42"/>
      <c r="F2462" s="42"/>
      <c r="G2462" s="42"/>
      <c r="H2462" s="42"/>
    </row>
    <row r="2463" spans="3:8" x14ac:dyDescent="0.3">
      <c r="C2463" s="42"/>
      <c r="D2463" s="42"/>
      <c r="E2463" s="42"/>
      <c r="F2463" s="42"/>
      <c r="G2463" s="42"/>
      <c r="H2463" s="42"/>
    </row>
    <row r="2464" spans="3:8" x14ac:dyDescent="0.3">
      <c r="C2464" s="42"/>
      <c r="D2464" s="42"/>
      <c r="E2464" s="42"/>
      <c r="F2464" s="42"/>
      <c r="G2464" s="42"/>
      <c r="H2464" s="42"/>
    </row>
    <row r="2465" spans="3:8" x14ac:dyDescent="0.3">
      <c r="C2465" s="42"/>
      <c r="D2465" s="42"/>
      <c r="E2465" s="42"/>
      <c r="F2465" s="42"/>
      <c r="G2465" s="42"/>
      <c r="H2465" s="42"/>
    </row>
    <row r="2466" spans="3:8" x14ac:dyDescent="0.3">
      <c r="C2466" s="42"/>
      <c r="D2466" s="42"/>
      <c r="E2466" s="42"/>
      <c r="F2466" s="42"/>
      <c r="G2466" s="42"/>
      <c r="H2466" s="42"/>
    </row>
    <row r="2467" spans="3:8" x14ac:dyDescent="0.3">
      <c r="C2467" s="42"/>
      <c r="D2467" s="42"/>
      <c r="E2467" s="42"/>
      <c r="F2467" s="42"/>
      <c r="G2467" s="42"/>
      <c r="H2467" s="42"/>
    </row>
    <row r="2468" spans="3:8" x14ac:dyDescent="0.3">
      <c r="C2468" s="42"/>
      <c r="D2468" s="42"/>
      <c r="E2468" s="42"/>
      <c r="F2468" s="42"/>
      <c r="G2468" s="42"/>
      <c r="H2468" s="42"/>
    </row>
    <row r="2469" spans="3:8" x14ac:dyDescent="0.3">
      <c r="C2469" s="42"/>
      <c r="D2469" s="42"/>
      <c r="E2469" s="42"/>
      <c r="F2469" s="42"/>
      <c r="G2469" s="42"/>
      <c r="H2469" s="42"/>
    </row>
    <row r="2470" spans="3:8" x14ac:dyDescent="0.3">
      <c r="C2470" s="42"/>
      <c r="D2470" s="42"/>
      <c r="E2470" s="42"/>
      <c r="F2470" s="42"/>
      <c r="G2470" s="42"/>
      <c r="H2470" s="42"/>
    </row>
    <row r="2471" spans="3:8" x14ac:dyDescent="0.3">
      <c r="C2471" s="42"/>
      <c r="D2471" s="42"/>
      <c r="E2471" s="42"/>
      <c r="F2471" s="42"/>
      <c r="G2471" s="42"/>
      <c r="H2471" s="42"/>
    </row>
    <row r="2472" spans="3:8" x14ac:dyDescent="0.3">
      <c r="C2472" s="42"/>
      <c r="D2472" s="42"/>
      <c r="E2472" s="42"/>
      <c r="F2472" s="42"/>
      <c r="G2472" s="42"/>
      <c r="H2472" s="42"/>
    </row>
    <row r="2473" spans="3:8" x14ac:dyDescent="0.3">
      <c r="C2473" s="42"/>
      <c r="D2473" s="42"/>
      <c r="E2473" s="42"/>
      <c r="F2473" s="42"/>
      <c r="G2473" s="42"/>
      <c r="H2473" s="42"/>
    </row>
    <row r="2474" spans="3:8" x14ac:dyDescent="0.3">
      <c r="C2474" s="42"/>
      <c r="D2474" s="42"/>
      <c r="E2474" s="42"/>
      <c r="F2474" s="42"/>
      <c r="G2474" s="42"/>
      <c r="H2474" s="42"/>
    </row>
    <row r="2475" spans="3:8" x14ac:dyDescent="0.3">
      <c r="C2475" s="42"/>
      <c r="D2475" s="42"/>
      <c r="E2475" s="42"/>
      <c r="F2475" s="42"/>
      <c r="G2475" s="42"/>
      <c r="H2475" s="42"/>
    </row>
    <row r="2476" spans="3:8" x14ac:dyDescent="0.3">
      <c r="C2476" s="42"/>
      <c r="D2476" s="42"/>
      <c r="E2476" s="42"/>
      <c r="F2476" s="42"/>
      <c r="G2476" s="42"/>
      <c r="H2476" s="42"/>
    </row>
    <row r="2477" spans="3:8" x14ac:dyDescent="0.3">
      <c r="C2477" s="42"/>
      <c r="D2477" s="42"/>
      <c r="E2477" s="42"/>
      <c r="F2477" s="42"/>
      <c r="G2477" s="42"/>
      <c r="H2477" s="42"/>
    </row>
    <row r="2478" spans="3:8" x14ac:dyDescent="0.3">
      <c r="C2478" s="42"/>
      <c r="D2478" s="42"/>
      <c r="E2478" s="42"/>
      <c r="F2478" s="42"/>
      <c r="G2478" s="42"/>
      <c r="H2478" s="42"/>
    </row>
    <row r="2479" spans="3:8" x14ac:dyDescent="0.3">
      <c r="C2479" s="42"/>
      <c r="D2479" s="42"/>
      <c r="E2479" s="42"/>
      <c r="F2479" s="42"/>
      <c r="G2479" s="42"/>
      <c r="H2479" s="42"/>
    </row>
    <row r="2480" spans="3:8" x14ac:dyDescent="0.3">
      <c r="C2480" s="42"/>
      <c r="D2480" s="42"/>
      <c r="E2480" s="42"/>
      <c r="F2480" s="42"/>
      <c r="G2480" s="42"/>
      <c r="H2480" s="42"/>
    </row>
    <row r="2481" spans="3:8" x14ac:dyDescent="0.3">
      <c r="C2481" s="42"/>
      <c r="D2481" s="42"/>
      <c r="E2481" s="42"/>
      <c r="F2481" s="42"/>
      <c r="G2481" s="42"/>
      <c r="H2481" s="42"/>
    </row>
    <row r="2482" spans="3:8" x14ac:dyDescent="0.3">
      <c r="C2482" s="42"/>
      <c r="D2482" s="42"/>
      <c r="E2482" s="42"/>
      <c r="F2482" s="42"/>
      <c r="G2482" s="42"/>
      <c r="H2482" s="42"/>
    </row>
    <row r="2483" spans="3:8" x14ac:dyDescent="0.3">
      <c r="C2483" s="42"/>
      <c r="D2483" s="42"/>
      <c r="E2483" s="42"/>
      <c r="F2483" s="42"/>
      <c r="G2483" s="42"/>
      <c r="H2483" s="42"/>
    </row>
    <row r="2484" spans="3:8" x14ac:dyDescent="0.3">
      <c r="C2484" s="42"/>
      <c r="D2484" s="42"/>
      <c r="E2484" s="42"/>
      <c r="F2484" s="42"/>
      <c r="G2484" s="42"/>
      <c r="H2484" s="42"/>
    </row>
    <row r="2485" spans="3:8" x14ac:dyDescent="0.3">
      <c r="C2485" s="42"/>
      <c r="D2485" s="42"/>
      <c r="E2485" s="42"/>
      <c r="F2485" s="42"/>
      <c r="G2485" s="42"/>
      <c r="H2485" s="42"/>
    </row>
    <row r="2486" spans="3:8" x14ac:dyDescent="0.3">
      <c r="C2486" s="42"/>
      <c r="D2486" s="42"/>
      <c r="E2486" s="42"/>
      <c r="F2486" s="42"/>
      <c r="G2486" s="42"/>
      <c r="H2486" s="42"/>
    </row>
    <row r="2487" spans="3:8" x14ac:dyDescent="0.3">
      <c r="C2487" s="42"/>
      <c r="D2487" s="42"/>
      <c r="E2487" s="42"/>
      <c r="F2487" s="42"/>
      <c r="G2487" s="42"/>
      <c r="H2487" s="42"/>
    </row>
    <row r="2488" spans="3:8" x14ac:dyDescent="0.3">
      <c r="C2488" s="42"/>
      <c r="D2488" s="42"/>
      <c r="E2488" s="42"/>
      <c r="F2488" s="42"/>
      <c r="G2488" s="42"/>
      <c r="H2488" s="42"/>
    </row>
    <row r="2489" spans="3:8" x14ac:dyDescent="0.3">
      <c r="C2489" s="42"/>
      <c r="D2489" s="42"/>
      <c r="E2489" s="42"/>
      <c r="F2489" s="42"/>
      <c r="G2489" s="42"/>
      <c r="H2489" s="42"/>
    </row>
    <row r="2490" spans="3:8" x14ac:dyDescent="0.3">
      <c r="C2490" s="42"/>
      <c r="D2490" s="42"/>
      <c r="E2490" s="42"/>
      <c r="F2490" s="42"/>
      <c r="G2490" s="42"/>
      <c r="H2490" s="42"/>
    </row>
    <row r="2491" spans="3:8" x14ac:dyDescent="0.3">
      <c r="C2491" s="42"/>
      <c r="D2491" s="42"/>
      <c r="E2491" s="42"/>
      <c r="F2491" s="42"/>
      <c r="G2491" s="42"/>
      <c r="H2491" s="42"/>
    </row>
    <row r="2492" spans="3:8" x14ac:dyDescent="0.3">
      <c r="C2492" s="42"/>
      <c r="D2492" s="42"/>
      <c r="E2492" s="42"/>
      <c r="F2492" s="42"/>
      <c r="G2492" s="42"/>
      <c r="H2492" s="42"/>
    </row>
    <row r="2493" spans="3:8" x14ac:dyDescent="0.3">
      <c r="C2493" s="42"/>
      <c r="D2493" s="42"/>
      <c r="E2493" s="42"/>
      <c r="F2493" s="42"/>
      <c r="G2493" s="42"/>
      <c r="H2493" s="42"/>
    </row>
    <row r="2494" spans="3:8" x14ac:dyDescent="0.3">
      <c r="C2494" s="42"/>
      <c r="D2494" s="42"/>
      <c r="E2494" s="42"/>
      <c r="F2494" s="42"/>
      <c r="G2494" s="42"/>
      <c r="H2494" s="42"/>
    </row>
    <row r="2495" spans="3:8" x14ac:dyDescent="0.3">
      <c r="C2495" s="42"/>
      <c r="D2495" s="42"/>
      <c r="E2495" s="42"/>
      <c r="F2495" s="42"/>
      <c r="G2495" s="42"/>
      <c r="H2495" s="42"/>
    </row>
    <row r="2496" spans="3:8" x14ac:dyDescent="0.3">
      <c r="C2496" s="42"/>
      <c r="D2496" s="42"/>
      <c r="E2496" s="42"/>
      <c r="F2496" s="42"/>
      <c r="G2496" s="42"/>
      <c r="H2496" s="42"/>
    </row>
    <row r="2497" spans="3:8" x14ac:dyDescent="0.3">
      <c r="C2497" s="42"/>
      <c r="D2497" s="42"/>
      <c r="E2497" s="42"/>
      <c r="F2497" s="42"/>
      <c r="G2497" s="42"/>
      <c r="H2497" s="42"/>
    </row>
    <row r="2498" spans="3:8" x14ac:dyDescent="0.3">
      <c r="C2498" s="42"/>
      <c r="D2498" s="42"/>
      <c r="E2498" s="42"/>
      <c r="F2498" s="42"/>
      <c r="G2498" s="42"/>
      <c r="H2498" s="42"/>
    </row>
    <row r="2499" spans="3:8" x14ac:dyDescent="0.3">
      <c r="C2499" s="42"/>
      <c r="D2499" s="42"/>
      <c r="E2499" s="42"/>
      <c r="F2499" s="42"/>
      <c r="G2499" s="42"/>
      <c r="H2499" s="42"/>
    </row>
    <row r="2500" spans="3:8" x14ac:dyDescent="0.3">
      <c r="C2500" s="42"/>
      <c r="D2500" s="42"/>
      <c r="E2500" s="42"/>
      <c r="F2500" s="42"/>
      <c r="G2500" s="42"/>
      <c r="H2500" s="42"/>
    </row>
    <row r="2501" spans="3:8" x14ac:dyDescent="0.3">
      <c r="C2501" s="42"/>
      <c r="D2501" s="42"/>
      <c r="E2501" s="42"/>
      <c r="F2501" s="42"/>
      <c r="G2501" s="42"/>
      <c r="H2501" s="42"/>
    </row>
    <row r="2502" spans="3:8" x14ac:dyDescent="0.3">
      <c r="C2502" s="42"/>
      <c r="D2502" s="42"/>
      <c r="E2502" s="42"/>
      <c r="F2502" s="42"/>
      <c r="G2502" s="42"/>
      <c r="H2502" s="42"/>
    </row>
    <row r="2503" spans="3:8" x14ac:dyDescent="0.3">
      <c r="C2503" s="42"/>
      <c r="D2503" s="42"/>
      <c r="E2503" s="42"/>
      <c r="F2503" s="42"/>
      <c r="G2503" s="42"/>
      <c r="H2503" s="42"/>
    </row>
    <row r="2504" spans="3:8" x14ac:dyDescent="0.3">
      <c r="C2504" s="42"/>
      <c r="D2504" s="42"/>
      <c r="E2504" s="42"/>
      <c r="F2504" s="42"/>
      <c r="G2504" s="42"/>
      <c r="H2504" s="42"/>
    </row>
    <row r="2505" spans="3:8" x14ac:dyDescent="0.3">
      <c r="C2505" s="42"/>
      <c r="D2505" s="42"/>
      <c r="E2505" s="42"/>
      <c r="F2505" s="42"/>
      <c r="G2505" s="42"/>
      <c r="H2505" s="42"/>
    </row>
    <row r="2506" spans="3:8" x14ac:dyDescent="0.3">
      <c r="C2506" s="42"/>
      <c r="D2506" s="42"/>
      <c r="E2506" s="42"/>
      <c r="F2506" s="42"/>
      <c r="G2506" s="42"/>
      <c r="H2506" s="42"/>
    </row>
    <row r="2507" spans="3:8" x14ac:dyDescent="0.3">
      <c r="C2507" s="42"/>
      <c r="D2507" s="42"/>
      <c r="E2507" s="42"/>
      <c r="F2507" s="42"/>
      <c r="G2507" s="42"/>
      <c r="H2507" s="42"/>
    </row>
    <row r="2508" spans="3:8" x14ac:dyDescent="0.3">
      <c r="C2508" s="42"/>
      <c r="D2508" s="42"/>
      <c r="E2508" s="42"/>
      <c r="F2508" s="42"/>
      <c r="G2508" s="42"/>
      <c r="H2508" s="42"/>
    </row>
    <row r="2509" spans="3:8" x14ac:dyDescent="0.3">
      <c r="C2509" s="42"/>
      <c r="D2509" s="42"/>
      <c r="E2509" s="42"/>
      <c r="F2509" s="42"/>
      <c r="G2509" s="42"/>
      <c r="H2509" s="42"/>
    </row>
    <row r="2510" spans="3:8" x14ac:dyDescent="0.3">
      <c r="C2510" s="42"/>
      <c r="D2510" s="42"/>
      <c r="E2510" s="42"/>
      <c r="F2510" s="42"/>
      <c r="G2510" s="42"/>
      <c r="H2510" s="42"/>
    </row>
    <row r="2511" spans="3:8" x14ac:dyDescent="0.3">
      <c r="C2511" s="42"/>
      <c r="D2511" s="42"/>
      <c r="E2511" s="42"/>
      <c r="F2511" s="42"/>
      <c r="G2511" s="42"/>
      <c r="H2511" s="42"/>
    </row>
    <row r="2512" spans="3:8" x14ac:dyDescent="0.3">
      <c r="C2512" s="42"/>
      <c r="D2512" s="42"/>
      <c r="E2512" s="42"/>
      <c r="F2512" s="42"/>
      <c r="G2512" s="42"/>
      <c r="H2512" s="42"/>
    </row>
    <row r="2513" spans="3:8" x14ac:dyDescent="0.3">
      <c r="C2513" s="42"/>
      <c r="D2513" s="42"/>
      <c r="E2513" s="42"/>
      <c r="F2513" s="42"/>
      <c r="G2513" s="42"/>
      <c r="H2513" s="42"/>
    </row>
    <row r="2514" spans="3:8" x14ac:dyDescent="0.3">
      <c r="C2514" s="42"/>
      <c r="D2514" s="42"/>
      <c r="E2514" s="42"/>
      <c r="F2514" s="42"/>
      <c r="G2514" s="42"/>
      <c r="H2514" s="42"/>
    </row>
    <row r="2515" spans="3:8" x14ac:dyDescent="0.3">
      <c r="C2515" s="42"/>
      <c r="D2515" s="42"/>
      <c r="E2515" s="42"/>
      <c r="F2515" s="42"/>
      <c r="G2515" s="42"/>
      <c r="H2515" s="42"/>
    </row>
    <row r="2516" spans="3:8" x14ac:dyDescent="0.3">
      <c r="C2516" s="42"/>
      <c r="D2516" s="42"/>
      <c r="E2516" s="42"/>
      <c r="F2516" s="42"/>
      <c r="G2516" s="42"/>
      <c r="H2516" s="42"/>
    </row>
    <row r="2517" spans="3:8" x14ac:dyDescent="0.3">
      <c r="C2517" s="42"/>
      <c r="D2517" s="42"/>
      <c r="E2517" s="42"/>
      <c r="F2517" s="42"/>
      <c r="G2517" s="42"/>
      <c r="H2517" s="42"/>
    </row>
    <row r="2518" spans="3:8" x14ac:dyDescent="0.3">
      <c r="C2518" s="42"/>
      <c r="D2518" s="42"/>
      <c r="E2518" s="42"/>
      <c r="F2518" s="42"/>
      <c r="G2518" s="42"/>
      <c r="H2518" s="42"/>
    </row>
    <row r="2519" spans="3:8" x14ac:dyDescent="0.3">
      <c r="C2519" s="42"/>
      <c r="D2519" s="42"/>
      <c r="E2519" s="42"/>
      <c r="F2519" s="42"/>
      <c r="G2519" s="42"/>
      <c r="H2519" s="42"/>
    </row>
    <row r="2520" spans="3:8" x14ac:dyDescent="0.3">
      <c r="C2520" s="42"/>
      <c r="D2520" s="42"/>
      <c r="E2520" s="42"/>
      <c r="F2520" s="42"/>
      <c r="G2520" s="42"/>
      <c r="H2520" s="42"/>
    </row>
    <row r="2521" spans="3:8" x14ac:dyDescent="0.3">
      <c r="C2521" s="42"/>
      <c r="D2521" s="42"/>
      <c r="E2521" s="42"/>
      <c r="F2521" s="42"/>
      <c r="G2521" s="42"/>
      <c r="H2521" s="42"/>
    </row>
    <row r="2522" spans="3:8" x14ac:dyDescent="0.3">
      <c r="C2522" s="42"/>
      <c r="D2522" s="42"/>
      <c r="E2522" s="42"/>
      <c r="F2522" s="42"/>
      <c r="G2522" s="42"/>
      <c r="H2522" s="42"/>
    </row>
    <row r="2523" spans="3:8" x14ac:dyDescent="0.3">
      <c r="C2523" s="42"/>
      <c r="D2523" s="42"/>
      <c r="E2523" s="42"/>
      <c r="F2523" s="42"/>
      <c r="G2523" s="42"/>
      <c r="H2523" s="42"/>
    </row>
    <row r="2524" spans="3:8" x14ac:dyDescent="0.3">
      <c r="C2524" s="42"/>
      <c r="D2524" s="42"/>
      <c r="E2524" s="42"/>
      <c r="F2524" s="42"/>
      <c r="G2524" s="42"/>
      <c r="H2524" s="42"/>
    </row>
    <row r="2525" spans="3:8" x14ac:dyDescent="0.3">
      <c r="C2525" s="42"/>
      <c r="D2525" s="42"/>
      <c r="E2525" s="42"/>
      <c r="F2525" s="42"/>
      <c r="G2525" s="42"/>
      <c r="H2525" s="42"/>
    </row>
    <row r="2526" spans="3:8" x14ac:dyDescent="0.3">
      <c r="C2526" s="42"/>
      <c r="D2526" s="42"/>
      <c r="E2526" s="42"/>
      <c r="F2526" s="42"/>
      <c r="G2526" s="42"/>
      <c r="H2526" s="42"/>
    </row>
    <row r="2527" spans="3:8" x14ac:dyDescent="0.3">
      <c r="C2527" s="42"/>
      <c r="D2527" s="42"/>
      <c r="E2527" s="42"/>
      <c r="F2527" s="42"/>
      <c r="G2527" s="42"/>
      <c r="H2527" s="42"/>
    </row>
    <row r="2528" spans="3:8" x14ac:dyDescent="0.3">
      <c r="C2528" s="42"/>
      <c r="D2528" s="42"/>
      <c r="E2528" s="42"/>
      <c r="F2528" s="42"/>
      <c r="G2528" s="42"/>
      <c r="H2528" s="42"/>
    </row>
    <row r="2529" spans="3:8" x14ac:dyDescent="0.3">
      <c r="C2529" s="42"/>
      <c r="D2529" s="42"/>
      <c r="E2529" s="42"/>
      <c r="F2529" s="42"/>
      <c r="G2529" s="42"/>
      <c r="H2529" s="42"/>
    </row>
    <row r="2530" spans="3:8" x14ac:dyDescent="0.3">
      <c r="C2530" s="42"/>
      <c r="D2530" s="42"/>
      <c r="E2530" s="42"/>
      <c r="F2530" s="42"/>
      <c r="G2530" s="42"/>
      <c r="H2530" s="42"/>
    </row>
    <row r="2531" spans="3:8" x14ac:dyDescent="0.3">
      <c r="C2531" s="42"/>
      <c r="D2531" s="42"/>
      <c r="E2531" s="42"/>
      <c r="F2531" s="42"/>
      <c r="G2531" s="42"/>
      <c r="H2531" s="42"/>
    </row>
    <row r="2532" spans="3:8" x14ac:dyDescent="0.3">
      <c r="C2532" s="42"/>
      <c r="D2532" s="42"/>
      <c r="E2532" s="42"/>
      <c r="F2532" s="42"/>
      <c r="G2532" s="42"/>
      <c r="H2532" s="42"/>
    </row>
    <row r="2533" spans="3:8" x14ac:dyDescent="0.3">
      <c r="C2533" s="42"/>
      <c r="D2533" s="42"/>
      <c r="E2533" s="42"/>
      <c r="F2533" s="42"/>
      <c r="G2533" s="42"/>
      <c r="H2533" s="42"/>
    </row>
    <row r="2534" spans="3:8" x14ac:dyDescent="0.3">
      <c r="C2534" s="42"/>
      <c r="D2534" s="42"/>
      <c r="E2534" s="42"/>
      <c r="F2534" s="42"/>
      <c r="G2534" s="42"/>
      <c r="H2534" s="42"/>
    </row>
    <row r="2535" spans="3:8" x14ac:dyDescent="0.3">
      <c r="C2535" s="42"/>
      <c r="D2535" s="42"/>
      <c r="E2535" s="42"/>
      <c r="F2535" s="42"/>
      <c r="G2535" s="42"/>
      <c r="H2535" s="42"/>
    </row>
    <row r="2536" spans="3:8" x14ac:dyDescent="0.3">
      <c r="C2536" s="42"/>
      <c r="D2536" s="42"/>
      <c r="E2536" s="42"/>
      <c r="F2536" s="42"/>
      <c r="G2536" s="42"/>
      <c r="H2536" s="42"/>
    </row>
    <row r="2537" spans="3:8" x14ac:dyDescent="0.3">
      <c r="C2537" s="42"/>
      <c r="D2537" s="42"/>
      <c r="E2537" s="42"/>
      <c r="F2537" s="42"/>
      <c r="G2537" s="42"/>
      <c r="H2537" s="42"/>
    </row>
    <row r="2538" spans="3:8" x14ac:dyDescent="0.3">
      <c r="C2538" s="42"/>
      <c r="D2538" s="42"/>
      <c r="E2538" s="42"/>
      <c r="F2538" s="42"/>
      <c r="G2538" s="42"/>
      <c r="H2538" s="42"/>
    </row>
    <row r="2539" spans="3:8" x14ac:dyDescent="0.3">
      <c r="C2539" s="42"/>
      <c r="D2539" s="42"/>
      <c r="E2539" s="42"/>
      <c r="F2539" s="42"/>
      <c r="G2539" s="42"/>
      <c r="H2539" s="42"/>
    </row>
    <row r="2540" spans="3:8" x14ac:dyDescent="0.3">
      <c r="C2540" s="42"/>
      <c r="D2540" s="42"/>
      <c r="E2540" s="42"/>
      <c r="F2540" s="42"/>
      <c r="G2540" s="42"/>
      <c r="H2540" s="42"/>
    </row>
    <row r="2541" spans="3:8" x14ac:dyDescent="0.3">
      <c r="C2541" s="42"/>
      <c r="D2541" s="42"/>
      <c r="E2541" s="42"/>
      <c r="F2541" s="42"/>
      <c r="G2541" s="42"/>
      <c r="H2541" s="42"/>
    </row>
    <row r="2542" spans="3:8" x14ac:dyDescent="0.3">
      <c r="C2542" s="42"/>
      <c r="D2542" s="42"/>
      <c r="E2542" s="42"/>
      <c r="F2542" s="42"/>
      <c r="G2542" s="42"/>
      <c r="H2542" s="42"/>
    </row>
    <row r="2543" spans="3:8" x14ac:dyDescent="0.3">
      <c r="C2543" s="42"/>
      <c r="D2543" s="42"/>
      <c r="E2543" s="42"/>
      <c r="F2543" s="42"/>
      <c r="G2543" s="42"/>
      <c r="H2543" s="42"/>
    </row>
    <row r="2544" spans="3:8" x14ac:dyDescent="0.3">
      <c r="C2544" s="42"/>
      <c r="D2544" s="42"/>
      <c r="E2544" s="42"/>
      <c r="F2544" s="42"/>
      <c r="G2544" s="42"/>
      <c r="H2544" s="42"/>
    </row>
    <row r="2545" spans="3:8" x14ac:dyDescent="0.3">
      <c r="C2545" s="42"/>
      <c r="D2545" s="42"/>
      <c r="E2545" s="42"/>
      <c r="F2545" s="42"/>
      <c r="G2545" s="42"/>
      <c r="H2545" s="42"/>
    </row>
    <row r="2546" spans="3:8" x14ac:dyDescent="0.3">
      <c r="C2546" s="42"/>
      <c r="D2546" s="42"/>
      <c r="E2546" s="42"/>
      <c r="F2546" s="42"/>
      <c r="G2546" s="42"/>
      <c r="H2546" s="42"/>
    </row>
    <row r="2547" spans="3:8" x14ac:dyDescent="0.3">
      <c r="C2547" s="42"/>
      <c r="D2547" s="42"/>
      <c r="E2547" s="42"/>
      <c r="F2547" s="42"/>
      <c r="G2547" s="42"/>
      <c r="H2547" s="42"/>
    </row>
    <row r="2548" spans="3:8" x14ac:dyDescent="0.3">
      <c r="C2548" s="42"/>
      <c r="D2548" s="42"/>
      <c r="E2548" s="42"/>
      <c r="F2548" s="42"/>
      <c r="G2548" s="42"/>
      <c r="H2548" s="42"/>
    </row>
    <row r="2549" spans="3:8" x14ac:dyDescent="0.3">
      <c r="C2549" s="42"/>
      <c r="D2549" s="42"/>
      <c r="E2549" s="42"/>
      <c r="F2549" s="42"/>
      <c r="G2549" s="42"/>
      <c r="H2549" s="42"/>
    </row>
    <row r="2550" spans="3:8" x14ac:dyDescent="0.3">
      <c r="C2550" s="42"/>
      <c r="D2550" s="42"/>
      <c r="E2550" s="42"/>
      <c r="F2550" s="42"/>
      <c r="G2550" s="42"/>
      <c r="H2550" s="42"/>
    </row>
    <row r="2551" spans="3:8" x14ac:dyDescent="0.3">
      <c r="C2551" s="42"/>
      <c r="D2551" s="42"/>
      <c r="E2551" s="42"/>
      <c r="F2551" s="42"/>
      <c r="G2551" s="42"/>
      <c r="H2551" s="42"/>
    </row>
    <row r="2552" spans="3:8" x14ac:dyDescent="0.3">
      <c r="C2552" s="42"/>
      <c r="D2552" s="42"/>
      <c r="E2552" s="42"/>
      <c r="F2552" s="42"/>
      <c r="G2552" s="42"/>
      <c r="H2552" s="42"/>
    </row>
    <row r="2553" spans="3:8" x14ac:dyDescent="0.3">
      <c r="C2553" s="42"/>
      <c r="D2553" s="42"/>
      <c r="E2553" s="42"/>
      <c r="F2553" s="42"/>
      <c r="G2553" s="42"/>
      <c r="H2553" s="42"/>
    </row>
    <row r="2554" spans="3:8" x14ac:dyDescent="0.3">
      <c r="C2554" s="42"/>
      <c r="D2554" s="42"/>
      <c r="E2554" s="42"/>
      <c r="F2554" s="42"/>
      <c r="G2554" s="42"/>
      <c r="H2554" s="42"/>
    </row>
    <row r="2555" spans="3:8" x14ac:dyDescent="0.3">
      <c r="C2555" s="42"/>
      <c r="D2555" s="42"/>
      <c r="E2555" s="42"/>
      <c r="F2555" s="42"/>
      <c r="G2555" s="42"/>
      <c r="H2555" s="42"/>
    </row>
    <row r="2556" spans="3:8" x14ac:dyDescent="0.3">
      <c r="C2556" s="42"/>
      <c r="D2556" s="42"/>
      <c r="E2556" s="42"/>
      <c r="F2556" s="42"/>
      <c r="G2556" s="42"/>
      <c r="H2556" s="42"/>
    </row>
    <row r="2557" spans="3:8" x14ac:dyDescent="0.3">
      <c r="C2557" s="42"/>
      <c r="D2557" s="42"/>
      <c r="E2557" s="42"/>
      <c r="F2557" s="42"/>
      <c r="G2557" s="42"/>
      <c r="H2557" s="42"/>
    </row>
    <row r="2558" spans="3:8" x14ac:dyDescent="0.3">
      <c r="C2558" s="42"/>
      <c r="D2558" s="42"/>
      <c r="E2558" s="42"/>
      <c r="F2558" s="42"/>
      <c r="G2558" s="42"/>
      <c r="H2558" s="42"/>
    </row>
    <row r="2559" spans="3:8" x14ac:dyDescent="0.3">
      <c r="C2559" s="42"/>
      <c r="D2559" s="42"/>
      <c r="E2559" s="42"/>
      <c r="F2559" s="42"/>
      <c r="G2559" s="42"/>
      <c r="H2559" s="42"/>
    </row>
    <row r="2560" spans="3:8" x14ac:dyDescent="0.3">
      <c r="C2560" s="42"/>
      <c r="D2560" s="42"/>
      <c r="E2560" s="42"/>
      <c r="F2560" s="42"/>
      <c r="G2560" s="42"/>
      <c r="H2560" s="42"/>
    </row>
    <row r="2561" spans="3:8" x14ac:dyDescent="0.3">
      <c r="C2561" s="42"/>
      <c r="D2561" s="42"/>
      <c r="E2561" s="42"/>
      <c r="F2561" s="42"/>
      <c r="G2561" s="42"/>
      <c r="H2561" s="42"/>
    </row>
    <row r="2562" spans="3:8" x14ac:dyDescent="0.3">
      <c r="C2562" s="42"/>
      <c r="D2562" s="42"/>
      <c r="E2562" s="42"/>
      <c r="F2562" s="42"/>
      <c r="G2562" s="42"/>
      <c r="H2562" s="42"/>
    </row>
    <row r="2563" spans="3:8" x14ac:dyDescent="0.3">
      <c r="C2563" s="42"/>
      <c r="D2563" s="42"/>
      <c r="E2563" s="42"/>
      <c r="F2563" s="42"/>
      <c r="G2563" s="42"/>
      <c r="H2563" s="42"/>
    </row>
    <row r="2564" spans="3:8" x14ac:dyDescent="0.3">
      <c r="C2564" s="42"/>
      <c r="D2564" s="42"/>
      <c r="E2564" s="42"/>
      <c r="F2564" s="42"/>
      <c r="G2564" s="42"/>
      <c r="H2564" s="42"/>
    </row>
    <row r="2565" spans="3:8" x14ac:dyDescent="0.3">
      <c r="C2565" s="42"/>
      <c r="D2565" s="42"/>
      <c r="E2565" s="42"/>
      <c r="F2565" s="42"/>
      <c r="G2565" s="42"/>
      <c r="H2565" s="42"/>
    </row>
    <row r="2566" spans="3:8" x14ac:dyDescent="0.3">
      <c r="C2566" s="42"/>
      <c r="D2566" s="42"/>
      <c r="E2566" s="42"/>
      <c r="F2566" s="42"/>
      <c r="G2566" s="42"/>
      <c r="H2566" s="42"/>
    </row>
    <row r="2567" spans="3:8" x14ac:dyDescent="0.3">
      <c r="C2567" s="42"/>
      <c r="D2567" s="42"/>
      <c r="E2567" s="42"/>
      <c r="F2567" s="42"/>
      <c r="G2567" s="42"/>
      <c r="H2567" s="42"/>
    </row>
    <row r="2568" spans="3:8" x14ac:dyDescent="0.3">
      <c r="C2568" s="42"/>
      <c r="D2568" s="42"/>
      <c r="E2568" s="42"/>
      <c r="F2568" s="42"/>
      <c r="G2568" s="42"/>
      <c r="H2568" s="42"/>
    </row>
    <row r="2569" spans="3:8" x14ac:dyDescent="0.3">
      <c r="C2569" s="42"/>
      <c r="D2569" s="42"/>
      <c r="E2569" s="42"/>
      <c r="F2569" s="42"/>
      <c r="G2569" s="42"/>
      <c r="H2569" s="42"/>
    </row>
    <row r="2570" spans="3:8" x14ac:dyDescent="0.3">
      <c r="C2570" s="42"/>
      <c r="D2570" s="42"/>
      <c r="E2570" s="42"/>
      <c r="F2570" s="42"/>
      <c r="G2570" s="42"/>
      <c r="H2570" s="42"/>
    </row>
    <row r="2571" spans="3:8" x14ac:dyDescent="0.3">
      <c r="C2571" s="42"/>
      <c r="D2571" s="42"/>
      <c r="E2571" s="42"/>
      <c r="F2571" s="42"/>
      <c r="G2571" s="42"/>
      <c r="H2571" s="42"/>
    </row>
    <row r="2572" spans="3:8" x14ac:dyDescent="0.3">
      <c r="C2572" s="42"/>
      <c r="D2572" s="42"/>
      <c r="E2572" s="42"/>
      <c r="F2572" s="42"/>
      <c r="G2572" s="42"/>
      <c r="H2572" s="42"/>
    </row>
    <row r="2573" spans="3:8" x14ac:dyDescent="0.3">
      <c r="C2573" s="42"/>
      <c r="D2573" s="42"/>
      <c r="E2573" s="42"/>
      <c r="F2573" s="42"/>
      <c r="G2573" s="42"/>
      <c r="H2573" s="42"/>
    </row>
    <row r="2574" spans="3:8" x14ac:dyDescent="0.3">
      <c r="C2574" s="42"/>
      <c r="D2574" s="42"/>
      <c r="E2574" s="42"/>
      <c r="F2574" s="42"/>
      <c r="G2574" s="42"/>
      <c r="H2574" s="42"/>
    </row>
    <row r="2575" spans="3:8" x14ac:dyDescent="0.3">
      <c r="C2575" s="42"/>
      <c r="D2575" s="42"/>
      <c r="E2575" s="42"/>
      <c r="F2575" s="42"/>
      <c r="G2575" s="42"/>
      <c r="H2575" s="42"/>
    </row>
    <row r="2576" spans="3:8" x14ac:dyDescent="0.3">
      <c r="C2576" s="42"/>
      <c r="D2576" s="42"/>
      <c r="E2576" s="42"/>
      <c r="F2576" s="42"/>
      <c r="G2576" s="42"/>
      <c r="H2576" s="42"/>
    </row>
    <row r="2577" spans="3:8" x14ac:dyDescent="0.3">
      <c r="C2577" s="42"/>
      <c r="D2577" s="42"/>
      <c r="E2577" s="42"/>
      <c r="F2577" s="42"/>
      <c r="G2577" s="42"/>
      <c r="H2577" s="42"/>
    </row>
    <row r="2578" spans="3:8" x14ac:dyDescent="0.3">
      <c r="C2578" s="42"/>
      <c r="D2578" s="42"/>
      <c r="E2578" s="42"/>
      <c r="F2578" s="42"/>
      <c r="G2578" s="42"/>
      <c r="H2578" s="42"/>
    </row>
    <row r="2579" spans="3:8" x14ac:dyDescent="0.3">
      <c r="C2579" s="42"/>
      <c r="D2579" s="42"/>
      <c r="E2579" s="42"/>
      <c r="F2579" s="42"/>
      <c r="G2579" s="42"/>
      <c r="H2579" s="42"/>
    </row>
    <row r="2580" spans="3:8" x14ac:dyDescent="0.3">
      <c r="C2580" s="42"/>
      <c r="D2580" s="42"/>
      <c r="E2580" s="42"/>
      <c r="F2580" s="42"/>
      <c r="G2580" s="42"/>
      <c r="H2580" s="42"/>
    </row>
    <row r="2581" spans="3:8" x14ac:dyDescent="0.3">
      <c r="C2581" s="42"/>
      <c r="D2581" s="42"/>
      <c r="E2581" s="42"/>
      <c r="F2581" s="42"/>
      <c r="G2581" s="42"/>
      <c r="H2581" s="42"/>
    </row>
    <row r="2582" spans="3:8" x14ac:dyDescent="0.3">
      <c r="C2582" s="42"/>
      <c r="D2582" s="42"/>
      <c r="E2582" s="42"/>
      <c r="F2582" s="42"/>
      <c r="G2582" s="42"/>
      <c r="H2582" s="42"/>
    </row>
    <row r="2583" spans="3:8" x14ac:dyDescent="0.3">
      <c r="C2583" s="42"/>
      <c r="D2583" s="42"/>
      <c r="E2583" s="42"/>
      <c r="F2583" s="42"/>
      <c r="G2583" s="42"/>
      <c r="H2583" s="42"/>
    </row>
    <row r="2584" spans="3:8" x14ac:dyDescent="0.3">
      <c r="C2584" s="42"/>
      <c r="D2584" s="42"/>
      <c r="E2584" s="42"/>
      <c r="F2584" s="42"/>
      <c r="G2584" s="42"/>
      <c r="H2584" s="42"/>
    </row>
    <row r="2585" spans="3:8" x14ac:dyDescent="0.3">
      <c r="C2585" s="42"/>
      <c r="D2585" s="42"/>
      <c r="E2585" s="42"/>
      <c r="F2585" s="42"/>
      <c r="G2585" s="42"/>
      <c r="H2585" s="42"/>
    </row>
    <row r="2586" spans="3:8" x14ac:dyDescent="0.3">
      <c r="C2586" s="42"/>
      <c r="D2586" s="42"/>
      <c r="E2586" s="42"/>
      <c r="F2586" s="42"/>
      <c r="G2586" s="42"/>
      <c r="H2586" s="42"/>
    </row>
    <row r="2587" spans="3:8" x14ac:dyDescent="0.3">
      <c r="C2587" s="42"/>
      <c r="D2587" s="42"/>
      <c r="E2587" s="42"/>
      <c r="F2587" s="42"/>
      <c r="G2587" s="42"/>
      <c r="H2587" s="42"/>
    </row>
    <row r="2588" spans="3:8" x14ac:dyDescent="0.3">
      <c r="C2588" s="42"/>
      <c r="D2588" s="42"/>
      <c r="E2588" s="42"/>
      <c r="F2588" s="42"/>
      <c r="G2588" s="42"/>
      <c r="H2588" s="42"/>
    </row>
    <row r="2589" spans="3:8" x14ac:dyDescent="0.3">
      <c r="C2589" s="42"/>
      <c r="D2589" s="42"/>
      <c r="E2589" s="42"/>
      <c r="F2589" s="42"/>
      <c r="G2589" s="42"/>
      <c r="H2589" s="42"/>
    </row>
    <row r="2590" spans="3:8" x14ac:dyDescent="0.3">
      <c r="C2590" s="42"/>
      <c r="D2590" s="42"/>
      <c r="E2590" s="42"/>
      <c r="F2590" s="42"/>
      <c r="G2590" s="42"/>
      <c r="H2590" s="42"/>
    </row>
    <row r="2591" spans="3:8" x14ac:dyDescent="0.3">
      <c r="C2591" s="42"/>
      <c r="D2591" s="42"/>
      <c r="E2591" s="42"/>
      <c r="F2591" s="42"/>
      <c r="G2591" s="42"/>
      <c r="H2591" s="42"/>
    </row>
    <row r="2592" spans="3:8" x14ac:dyDescent="0.3">
      <c r="C2592" s="42"/>
      <c r="D2592" s="42"/>
      <c r="E2592" s="42"/>
      <c r="F2592" s="42"/>
      <c r="G2592" s="42"/>
      <c r="H2592" s="42"/>
    </row>
    <row r="2593" spans="3:8" x14ac:dyDescent="0.3">
      <c r="C2593" s="42"/>
      <c r="D2593" s="42"/>
      <c r="E2593" s="42"/>
      <c r="F2593" s="42"/>
      <c r="G2593" s="42"/>
      <c r="H2593" s="42"/>
    </row>
    <row r="2594" spans="3:8" x14ac:dyDescent="0.3">
      <c r="C2594" s="42"/>
      <c r="D2594" s="42"/>
      <c r="E2594" s="42"/>
      <c r="F2594" s="42"/>
      <c r="G2594" s="42"/>
      <c r="H2594" s="42"/>
    </row>
    <row r="2595" spans="3:8" x14ac:dyDescent="0.3">
      <c r="C2595" s="42"/>
      <c r="D2595" s="42"/>
      <c r="E2595" s="42"/>
      <c r="F2595" s="42"/>
      <c r="G2595" s="42"/>
      <c r="H2595" s="42"/>
    </row>
    <row r="2596" spans="3:8" x14ac:dyDescent="0.3">
      <c r="C2596" s="42"/>
      <c r="D2596" s="42"/>
      <c r="E2596" s="42"/>
      <c r="F2596" s="42"/>
      <c r="G2596" s="42"/>
      <c r="H2596" s="42"/>
    </row>
    <row r="2597" spans="3:8" x14ac:dyDescent="0.3">
      <c r="C2597" s="42"/>
      <c r="D2597" s="42"/>
      <c r="E2597" s="42"/>
      <c r="F2597" s="42"/>
      <c r="G2597" s="42"/>
      <c r="H2597" s="42"/>
    </row>
    <row r="2598" spans="3:8" x14ac:dyDescent="0.3">
      <c r="C2598" s="42"/>
      <c r="D2598" s="42"/>
      <c r="E2598" s="42"/>
      <c r="F2598" s="42"/>
      <c r="G2598" s="42"/>
      <c r="H2598" s="42"/>
    </row>
    <row r="2599" spans="3:8" x14ac:dyDescent="0.3">
      <c r="C2599" s="42"/>
      <c r="D2599" s="42"/>
      <c r="E2599" s="42"/>
      <c r="F2599" s="42"/>
      <c r="G2599" s="42"/>
      <c r="H2599" s="42"/>
    </row>
    <row r="2600" spans="3:8" x14ac:dyDescent="0.3">
      <c r="C2600" s="42"/>
      <c r="D2600" s="42"/>
      <c r="E2600" s="42"/>
      <c r="F2600" s="42"/>
      <c r="G2600" s="42"/>
      <c r="H2600" s="42"/>
    </row>
    <row r="2601" spans="3:8" x14ac:dyDescent="0.3">
      <c r="C2601" s="42"/>
      <c r="D2601" s="42"/>
      <c r="E2601" s="42"/>
      <c r="F2601" s="42"/>
      <c r="G2601" s="42"/>
      <c r="H2601" s="42"/>
    </row>
    <row r="2602" spans="3:8" x14ac:dyDescent="0.3">
      <c r="C2602" s="42"/>
      <c r="D2602" s="42"/>
      <c r="E2602" s="42"/>
      <c r="F2602" s="42"/>
      <c r="G2602" s="42"/>
      <c r="H2602" s="42"/>
    </row>
    <row r="2603" spans="3:8" x14ac:dyDescent="0.3">
      <c r="C2603" s="42"/>
      <c r="D2603" s="42"/>
      <c r="E2603" s="42"/>
      <c r="F2603" s="42"/>
      <c r="G2603" s="42"/>
      <c r="H2603" s="42"/>
    </row>
    <row r="2604" spans="3:8" x14ac:dyDescent="0.3">
      <c r="C2604" s="42"/>
      <c r="D2604" s="42"/>
      <c r="E2604" s="42"/>
      <c r="F2604" s="42"/>
      <c r="G2604" s="42"/>
      <c r="H2604" s="42"/>
    </row>
    <row r="2605" spans="3:8" x14ac:dyDescent="0.3">
      <c r="C2605" s="42"/>
      <c r="D2605" s="42"/>
      <c r="E2605" s="42"/>
      <c r="F2605" s="42"/>
      <c r="G2605" s="42"/>
      <c r="H2605" s="42"/>
    </row>
    <row r="2606" spans="3:8" x14ac:dyDescent="0.3">
      <c r="C2606" s="42"/>
      <c r="D2606" s="42"/>
      <c r="E2606" s="42"/>
      <c r="F2606" s="42"/>
      <c r="G2606" s="42"/>
      <c r="H2606" s="42"/>
    </row>
    <row r="2607" spans="3:8" x14ac:dyDescent="0.3">
      <c r="C2607" s="42"/>
      <c r="D2607" s="42"/>
      <c r="E2607" s="42"/>
      <c r="F2607" s="42"/>
      <c r="G2607" s="42"/>
      <c r="H2607" s="42"/>
    </row>
    <row r="2608" spans="3:8" x14ac:dyDescent="0.3">
      <c r="C2608" s="42"/>
      <c r="D2608" s="42"/>
      <c r="E2608" s="42"/>
      <c r="F2608" s="42"/>
      <c r="G2608" s="42"/>
      <c r="H2608" s="42"/>
    </row>
    <row r="2609" spans="3:8" x14ac:dyDescent="0.3">
      <c r="C2609" s="42"/>
      <c r="D2609" s="42"/>
      <c r="E2609" s="42"/>
      <c r="F2609" s="42"/>
      <c r="G2609" s="42"/>
      <c r="H2609" s="42"/>
    </row>
    <row r="2610" spans="3:8" x14ac:dyDescent="0.3">
      <c r="C2610" s="42"/>
      <c r="D2610" s="42"/>
      <c r="E2610" s="42"/>
      <c r="F2610" s="42"/>
      <c r="G2610" s="42"/>
      <c r="H2610" s="42"/>
    </row>
    <row r="2611" spans="3:8" x14ac:dyDescent="0.3">
      <c r="C2611" s="42"/>
      <c r="D2611" s="42"/>
      <c r="E2611" s="42"/>
      <c r="F2611" s="42"/>
      <c r="G2611" s="42"/>
      <c r="H2611" s="42"/>
    </row>
    <row r="2612" spans="3:8" x14ac:dyDescent="0.3">
      <c r="C2612" s="42"/>
      <c r="D2612" s="42"/>
      <c r="E2612" s="42"/>
      <c r="F2612" s="42"/>
      <c r="G2612" s="42"/>
      <c r="H2612" s="42"/>
    </row>
    <row r="2613" spans="3:8" x14ac:dyDescent="0.3">
      <c r="C2613" s="42"/>
      <c r="D2613" s="42"/>
      <c r="E2613" s="42"/>
      <c r="F2613" s="42"/>
      <c r="G2613" s="42"/>
      <c r="H2613" s="42"/>
    </row>
    <row r="2614" spans="3:8" x14ac:dyDescent="0.3">
      <c r="C2614" s="42"/>
      <c r="D2614" s="42"/>
      <c r="E2614" s="42"/>
      <c r="F2614" s="42"/>
      <c r="G2614" s="42"/>
      <c r="H2614" s="42"/>
    </row>
    <row r="2615" spans="3:8" x14ac:dyDescent="0.3">
      <c r="C2615" s="42"/>
      <c r="D2615" s="42"/>
      <c r="E2615" s="42"/>
      <c r="F2615" s="42"/>
      <c r="G2615" s="42"/>
      <c r="H2615" s="42"/>
    </row>
    <row r="2616" spans="3:8" x14ac:dyDescent="0.3">
      <c r="C2616" s="42"/>
      <c r="D2616" s="42"/>
      <c r="E2616" s="42"/>
      <c r="F2616" s="42"/>
      <c r="G2616" s="42"/>
      <c r="H2616" s="42"/>
    </row>
    <row r="2617" spans="3:8" x14ac:dyDescent="0.3">
      <c r="C2617" s="42"/>
      <c r="D2617" s="42"/>
      <c r="E2617" s="42"/>
      <c r="F2617" s="42"/>
      <c r="G2617" s="42"/>
      <c r="H2617" s="42"/>
    </row>
    <row r="2618" spans="3:8" x14ac:dyDescent="0.3">
      <c r="C2618" s="42"/>
      <c r="D2618" s="42"/>
      <c r="E2618" s="42"/>
      <c r="F2618" s="42"/>
      <c r="G2618" s="42"/>
      <c r="H2618" s="42"/>
    </row>
    <row r="2619" spans="3:8" x14ac:dyDescent="0.3">
      <c r="C2619" s="42"/>
      <c r="D2619" s="42"/>
      <c r="E2619" s="42"/>
      <c r="F2619" s="42"/>
      <c r="G2619" s="42"/>
      <c r="H2619" s="42"/>
    </row>
    <row r="2620" spans="3:8" x14ac:dyDescent="0.3">
      <c r="C2620" s="42"/>
      <c r="D2620" s="42"/>
      <c r="E2620" s="42"/>
      <c r="F2620" s="42"/>
      <c r="G2620" s="42"/>
      <c r="H2620" s="42"/>
    </row>
    <row r="2621" spans="3:8" x14ac:dyDescent="0.3">
      <c r="C2621" s="42"/>
      <c r="D2621" s="42"/>
      <c r="E2621" s="42"/>
      <c r="F2621" s="42"/>
      <c r="G2621" s="42"/>
      <c r="H2621" s="42"/>
    </row>
    <row r="2622" spans="3:8" x14ac:dyDescent="0.3">
      <c r="C2622" s="42"/>
      <c r="D2622" s="42"/>
      <c r="E2622" s="42"/>
      <c r="F2622" s="42"/>
      <c r="G2622" s="42"/>
      <c r="H2622" s="42"/>
    </row>
    <row r="2623" spans="3:8" x14ac:dyDescent="0.3">
      <c r="C2623" s="42"/>
      <c r="D2623" s="42"/>
      <c r="E2623" s="42"/>
      <c r="F2623" s="42"/>
      <c r="G2623" s="42"/>
      <c r="H2623" s="42"/>
    </row>
    <row r="2624" spans="3:8" x14ac:dyDescent="0.3">
      <c r="C2624" s="42"/>
      <c r="D2624" s="42"/>
      <c r="E2624" s="42"/>
      <c r="F2624" s="42"/>
      <c r="G2624" s="42"/>
      <c r="H2624" s="42"/>
    </row>
    <row r="2625" spans="3:8" x14ac:dyDescent="0.3">
      <c r="C2625" s="42"/>
      <c r="D2625" s="42"/>
      <c r="E2625" s="42"/>
      <c r="F2625" s="42"/>
      <c r="G2625" s="42"/>
      <c r="H2625" s="42"/>
    </row>
    <row r="2626" spans="3:8" x14ac:dyDescent="0.3">
      <c r="C2626" s="42"/>
      <c r="D2626" s="42"/>
      <c r="E2626" s="42"/>
      <c r="F2626" s="42"/>
      <c r="G2626" s="42"/>
      <c r="H2626" s="42"/>
    </row>
    <row r="2627" spans="3:8" x14ac:dyDescent="0.3">
      <c r="C2627" s="42"/>
      <c r="D2627" s="42"/>
      <c r="E2627" s="42"/>
      <c r="F2627" s="42"/>
      <c r="G2627" s="42"/>
      <c r="H2627" s="42"/>
    </row>
    <row r="2628" spans="3:8" x14ac:dyDescent="0.3">
      <c r="C2628" s="42"/>
      <c r="D2628" s="42"/>
      <c r="E2628" s="42"/>
      <c r="F2628" s="42"/>
      <c r="G2628" s="42"/>
      <c r="H2628" s="42"/>
    </row>
    <row r="2629" spans="3:8" x14ac:dyDescent="0.3">
      <c r="C2629" s="42"/>
      <c r="D2629" s="42"/>
      <c r="E2629" s="42"/>
      <c r="F2629" s="42"/>
      <c r="G2629" s="42"/>
      <c r="H2629" s="42"/>
    </row>
    <row r="2630" spans="3:8" x14ac:dyDescent="0.3">
      <c r="C2630" s="42"/>
      <c r="D2630" s="42"/>
      <c r="E2630" s="42"/>
      <c r="F2630" s="42"/>
      <c r="G2630" s="42"/>
      <c r="H2630" s="42"/>
    </row>
    <row r="2631" spans="3:8" x14ac:dyDescent="0.3">
      <c r="C2631" s="42"/>
      <c r="D2631" s="42"/>
      <c r="E2631" s="42"/>
      <c r="F2631" s="42"/>
      <c r="G2631" s="42"/>
      <c r="H2631" s="42"/>
    </row>
    <row r="2632" spans="3:8" x14ac:dyDescent="0.3">
      <c r="C2632" s="42"/>
      <c r="D2632" s="42"/>
      <c r="E2632" s="42"/>
      <c r="F2632" s="42"/>
      <c r="G2632" s="42"/>
      <c r="H2632" s="42"/>
    </row>
    <row r="2633" spans="3:8" x14ac:dyDescent="0.3">
      <c r="C2633" s="42"/>
      <c r="D2633" s="42"/>
      <c r="E2633" s="42"/>
      <c r="F2633" s="42"/>
      <c r="G2633" s="42"/>
      <c r="H2633" s="42"/>
    </row>
    <row r="2634" spans="3:8" x14ac:dyDescent="0.3">
      <c r="C2634" s="42"/>
      <c r="D2634" s="42"/>
      <c r="E2634" s="42"/>
      <c r="F2634" s="42"/>
      <c r="G2634" s="42"/>
      <c r="H2634" s="42"/>
    </row>
    <row r="2635" spans="3:8" x14ac:dyDescent="0.3">
      <c r="C2635" s="42"/>
      <c r="D2635" s="42"/>
      <c r="E2635" s="42"/>
      <c r="F2635" s="42"/>
      <c r="G2635" s="42"/>
      <c r="H2635" s="42"/>
    </row>
    <row r="2636" spans="3:8" x14ac:dyDescent="0.3">
      <c r="C2636" s="42"/>
      <c r="D2636" s="42"/>
      <c r="E2636" s="42"/>
      <c r="F2636" s="42"/>
      <c r="G2636" s="42"/>
      <c r="H2636" s="42"/>
    </row>
    <row r="2637" spans="3:8" x14ac:dyDescent="0.3">
      <c r="C2637" s="42"/>
      <c r="D2637" s="42"/>
      <c r="E2637" s="42"/>
      <c r="F2637" s="42"/>
      <c r="G2637" s="42"/>
      <c r="H2637" s="42"/>
    </row>
    <row r="2638" spans="3:8" x14ac:dyDescent="0.3">
      <c r="C2638" s="42"/>
      <c r="D2638" s="42"/>
      <c r="E2638" s="42"/>
      <c r="F2638" s="42"/>
      <c r="G2638" s="42"/>
      <c r="H2638" s="42"/>
    </row>
    <row r="2639" spans="3:8" x14ac:dyDescent="0.3">
      <c r="C2639" s="42"/>
      <c r="D2639" s="42"/>
      <c r="E2639" s="42"/>
      <c r="F2639" s="42"/>
      <c r="G2639" s="42"/>
      <c r="H2639" s="42"/>
    </row>
    <row r="2640" spans="3:8" x14ac:dyDescent="0.3">
      <c r="C2640" s="42"/>
      <c r="D2640" s="42"/>
      <c r="E2640" s="42"/>
      <c r="F2640" s="42"/>
      <c r="G2640" s="42"/>
      <c r="H2640" s="42"/>
    </row>
    <row r="2641" spans="3:8" x14ac:dyDescent="0.3">
      <c r="C2641" s="42"/>
      <c r="D2641" s="42"/>
      <c r="E2641" s="42"/>
      <c r="F2641" s="42"/>
      <c r="G2641" s="42"/>
      <c r="H2641" s="42"/>
    </row>
    <row r="2642" spans="3:8" x14ac:dyDescent="0.3">
      <c r="C2642" s="42"/>
      <c r="D2642" s="42"/>
      <c r="E2642" s="42"/>
      <c r="F2642" s="42"/>
      <c r="G2642" s="42"/>
      <c r="H2642" s="42"/>
    </row>
    <row r="2643" spans="3:8" x14ac:dyDescent="0.3">
      <c r="C2643" s="42"/>
      <c r="D2643" s="42"/>
      <c r="E2643" s="42"/>
      <c r="F2643" s="42"/>
      <c r="G2643" s="42"/>
      <c r="H2643" s="42"/>
    </row>
    <row r="2644" spans="3:8" x14ac:dyDescent="0.3">
      <c r="C2644" s="42"/>
      <c r="D2644" s="42"/>
      <c r="E2644" s="42"/>
      <c r="F2644" s="42"/>
      <c r="G2644" s="42"/>
      <c r="H2644" s="42"/>
    </row>
    <row r="2645" spans="3:8" x14ac:dyDescent="0.3">
      <c r="C2645" s="42"/>
      <c r="D2645" s="42"/>
      <c r="E2645" s="42"/>
      <c r="F2645" s="42"/>
      <c r="G2645" s="42"/>
      <c r="H2645" s="42"/>
    </row>
    <row r="2646" spans="3:8" x14ac:dyDescent="0.3">
      <c r="C2646" s="42"/>
      <c r="D2646" s="42"/>
      <c r="E2646" s="42"/>
      <c r="F2646" s="42"/>
      <c r="G2646" s="42"/>
      <c r="H2646" s="42"/>
    </row>
    <row r="2647" spans="3:8" x14ac:dyDescent="0.3">
      <c r="C2647" s="42"/>
      <c r="D2647" s="42"/>
      <c r="E2647" s="42"/>
      <c r="F2647" s="42"/>
      <c r="G2647" s="42"/>
      <c r="H2647" s="42"/>
    </row>
    <row r="2648" spans="3:8" x14ac:dyDescent="0.3">
      <c r="C2648" s="42"/>
      <c r="D2648" s="42"/>
      <c r="E2648" s="42"/>
      <c r="F2648" s="42"/>
      <c r="G2648" s="42"/>
      <c r="H2648" s="42"/>
    </row>
    <row r="2649" spans="3:8" x14ac:dyDescent="0.3">
      <c r="C2649" s="42"/>
      <c r="D2649" s="42"/>
      <c r="E2649" s="42"/>
      <c r="F2649" s="42"/>
      <c r="G2649" s="42"/>
      <c r="H2649" s="42"/>
    </row>
    <row r="2650" spans="3:8" x14ac:dyDescent="0.3">
      <c r="C2650" s="42"/>
      <c r="D2650" s="42"/>
      <c r="E2650" s="42"/>
      <c r="F2650" s="42"/>
      <c r="G2650" s="42"/>
      <c r="H2650" s="42"/>
    </row>
    <row r="2651" spans="3:8" x14ac:dyDescent="0.3">
      <c r="C2651" s="42"/>
      <c r="D2651" s="42"/>
      <c r="E2651" s="42"/>
      <c r="F2651" s="42"/>
      <c r="G2651" s="42"/>
      <c r="H2651" s="42"/>
    </row>
    <row r="2652" spans="3:8" x14ac:dyDescent="0.3">
      <c r="C2652" s="42"/>
      <c r="D2652" s="42"/>
      <c r="E2652" s="42"/>
      <c r="F2652" s="42"/>
      <c r="G2652" s="42"/>
      <c r="H2652" s="42"/>
    </row>
    <row r="2653" spans="3:8" x14ac:dyDescent="0.3">
      <c r="C2653" s="42"/>
      <c r="D2653" s="42"/>
      <c r="E2653" s="42"/>
      <c r="F2653" s="42"/>
      <c r="G2653" s="42"/>
      <c r="H2653" s="42"/>
    </row>
    <row r="2654" spans="3:8" x14ac:dyDescent="0.3">
      <c r="C2654" s="42"/>
      <c r="D2654" s="42"/>
      <c r="E2654" s="42"/>
      <c r="F2654" s="42"/>
      <c r="G2654" s="42"/>
      <c r="H2654" s="42"/>
    </row>
    <row r="2655" spans="3:8" x14ac:dyDescent="0.3">
      <c r="C2655" s="42"/>
      <c r="D2655" s="42"/>
      <c r="E2655" s="42"/>
      <c r="F2655" s="42"/>
      <c r="G2655" s="42"/>
      <c r="H2655" s="42"/>
    </row>
    <row r="2656" spans="3:8" x14ac:dyDescent="0.3">
      <c r="C2656" s="42"/>
      <c r="D2656" s="42"/>
      <c r="E2656" s="42"/>
      <c r="F2656" s="42"/>
      <c r="G2656" s="42"/>
      <c r="H2656" s="42"/>
    </row>
    <row r="2657" spans="3:8" x14ac:dyDescent="0.3">
      <c r="C2657" s="42"/>
      <c r="D2657" s="42"/>
      <c r="E2657" s="42"/>
      <c r="F2657" s="42"/>
      <c r="G2657" s="42"/>
      <c r="H2657" s="42"/>
    </row>
    <row r="2658" spans="3:8" x14ac:dyDescent="0.3">
      <c r="C2658" s="42"/>
      <c r="D2658" s="42"/>
      <c r="E2658" s="42"/>
      <c r="F2658" s="42"/>
      <c r="G2658" s="42"/>
      <c r="H2658" s="42"/>
    </row>
    <row r="2659" spans="3:8" x14ac:dyDescent="0.3">
      <c r="C2659" s="42"/>
      <c r="D2659" s="42"/>
      <c r="E2659" s="42"/>
      <c r="F2659" s="42"/>
      <c r="G2659" s="42"/>
      <c r="H2659" s="42"/>
    </row>
    <row r="2660" spans="3:8" x14ac:dyDescent="0.3">
      <c r="C2660" s="42"/>
      <c r="D2660" s="42"/>
      <c r="E2660" s="42"/>
      <c r="F2660" s="42"/>
      <c r="G2660" s="42"/>
      <c r="H2660" s="42"/>
    </row>
    <row r="2661" spans="3:8" x14ac:dyDescent="0.3">
      <c r="C2661" s="42"/>
      <c r="D2661" s="42"/>
      <c r="E2661" s="42"/>
      <c r="F2661" s="42"/>
      <c r="G2661" s="42"/>
      <c r="H2661" s="42"/>
    </row>
    <row r="2662" spans="3:8" x14ac:dyDescent="0.3">
      <c r="C2662" s="42"/>
      <c r="D2662" s="42"/>
      <c r="E2662" s="42"/>
      <c r="F2662" s="42"/>
      <c r="G2662" s="42"/>
      <c r="H2662" s="42"/>
    </row>
    <row r="2663" spans="3:8" x14ac:dyDescent="0.3">
      <c r="C2663" s="42"/>
      <c r="D2663" s="42"/>
      <c r="E2663" s="42"/>
      <c r="F2663" s="42"/>
      <c r="G2663" s="42"/>
      <c r="H2663" s="42"/>
    </row>
    <row r="2664" spans="3:8" x14ac:dyDescent="0.3">
      <c r="C2664" s="42"/>
      <c r="D2664" s="42"/>
      <c r="E2664" s="42"/>
      <c r="F2664" s="42"/>
      <c r="G2664" s="42"/>
      <c r="H2664" s="42"/>
    </row>
    <row r="2665" spans="3:8" x14ac:dyDescent="0.3">
      <c r="C2665" s="42"/>
      <c r="D2665" s="42"/>
      <c r="E2665" s="42"/>
      <c r="F2665" s="42"/>
      <c r="G2665" s="42"/>
      <c r="H2665" s="42"/>
    </row>
    <row r="2666" spans="3:8" x14ac:dyDescent="0.3">
      <c r="C2666" s="42"/>
      <c r="D2666" s="42"/>
      <c r="E2666" s="42"/>
      <c r="F2666" s="42"/>
      <c r="G2666" s="42"/>
      <c r="H2666" s="42"/>
    </row>
    <row r="2667" spans="3:8" x14ac:dyDescent="0.3">
      <c r="C2667" s="42"/>
      <c r="D2667" s="42"/>
      <c r="E2667" s="42"/>
      <c r="F2667" s="42"/>
      <c r="G2667" s="42"/>
      <c r="H2667" s="42"/>
    </row>
    <row r="2668" spans="3:8" x14ac:dyDescent="0.3">
      <c r="C2668" s="42"/>
      <c r="D2668" s="42"/>
      <c r="E2668" s="42"/>
      <c r="F2668" s="42"/>
      <c r="G2668" s="42"/>
      <c r="H2668" s="42"/>
    </row>
    <row r="2669" spans="3:8" x14ac:dyDescent="0.3">
      <c r="C2669" s="42"/>
      <c r="D2669" s="42"/>
      <c r="E2669" s="42"/>
      <c r="F2669" s="42"/>
      <c r="G2669" s="42"/>
      <c r="H2669" s="42"/>
    </row>
    <row r="2670" spans="3:8" x14ac:dyDescent="0.3">
      <c r="C2670" s="42"/>
      <c r="D2670" s="42"/>
      <c r="E2670" s="42"/>
      <c r="F2670" s="42"/>
      <c r="G2670" s="42"/>
      <c r="H2670" s="42"/>
    </row>
    <row r="2671" spans="3:8" x14ac:dyDescent="0.3">
      <c r="C2671" s="42"/>
      <c r="D2671" s="42"/>
      <c r="E2671" s="42"/>
      <c r="F2671" s="42"/>
      <c r="G2671" s="42"/>
      <c r="H2671" s="42"/>
    </row>
    <row r="2672" spans="3:8" x14ac:dyDescent="0.3">
      <c r="C2672" s="42"/>
      <c r="D2672" s="42"/>
      <c r="E2672" s="42"/>
      <c r="F2672" s="42"/>
      <c r="G2672" s="42"/>
      <c r="H2672" s="42"/>
    </row>
    <row r="2673" spans="3:8" x14ac:dyDescent="0.3">
      <c r="C2673" s="42"/>
      <c r="D2673" s="42"/>
      <c r="E2673" s="42"/>
      <c r="F2673" s="42"/>
      <c r="G2673" s="42"/>
      <c r="H2673" s="42"/>
    </row>
    <row r="2674" spans="3:8" x14ac:dyDescent="0.3">
      <c r="C2674" s="42"/>
      <c r="D2674" s="42"/>
      <c r="E2674" s="42"/>
      <c r="F2674" s="42"/>
      <c r="G2674" s="42"/>
      <c r="H2674" s="42"/>
    </row>
    <row r="2675" spans="3:8" x14ac:dyDescent="0.3">
      <c r="C2675" s="42"/>
      <c r="D2675" s="42"/>
      <c r="E2675" s="42"/>
      <c r="F2675" s="42"/>
      <c r="G2675" s="42"/>
      <c r="H2675" s="42"/>
    </row>
    <row r="2676" spans="3:8" x14ac:dyDescent="0.3">
      <c r="C2676" s="42"/>
      <c r="D2676" s="42"/>
      <c r="E2676" s="42"/>
      <c r="F2676" s="42"/>
      <c r="G2676" s="42"/>
      <c r="H2676" s="42"/>
    </row>
    <row r="2677" spans="3:8" x14ac:dyDescent="0.3">
      <c r="C2677" s="42"/>
      <c r="D2677" s="42"/>
      <c r="E2677" s="42"/>
      <c r="F2677" s="42"/>
      <c r="G2677" s="42"/>
      <c r="H2677" s="42"/>
    </row>
    <row r="2678" spans="3:8" x14ac:dyDescent="0.3">
      <c r="C2678" s="42"/>
      <c r="D2678" s="42"/>
      <c r="E2678" s="42"/>
      <c r="F2678" s="42"/>
      <c r="G2678" s="42"/>
      <c r="H2678" s="42"/>
    </row>
    <row r="2679" spans="3:8" x14ac:dyDescent="0.3">
      <c r="C2679" s="42"/>
      <c r="D2679" s="42"/>
      <c r="E2679" s="42"/>
      <c r="F2679" s="42"/>
      <c r="G2679" s="42"/>
      <c r="H2679" s="42"/>
    </row>
    <row r="2680" spans="3:8" x14ac:dyDescent="0.3">
      <c r="C2680" s="42"/>
      <c r="D2680" s="42"/>
      <c r="E2680" s="42"/>
      <c r="F2680" s="42"/>
      <c r="G2680" s="42"/>
      <c r="H2680" s="42"/>
    </row>
    <row r="2681" spans="3:8" x14ac:dyDescent="0.3">
      <c r="C2681" s="42"/>
      <c r="D2681" s="42"/>
      <c r="E2681" s="42"/>
      <c r="F2681" s="42"/>
      <c r="G2681" s="42"/>
      <c r="H2681" s="42"/>
    </row>
    <row r="2682" spans="3:8" x14ac:dyDescent="0.3">
      <c r="C2682" s="42"/>
      <c r="D2682" s="42"/>
      <c r="E2682" s="42"/>
      <c r="F2682" s="42"/>
      <c r="G2682" s="42"/>
      <c r="H2682" s="42"/>
    </row>
    <row r="2683" spans="3:8" x14ac:dyDescent="0.3">
      <c r="C2683" s="42"/>
      <c r="D2683" s="42"/>
      <c r="E2683" s="42"/>
      <c r="F2683" s="42"/>
      <c r="G2683" s="42"/>
      <c r="H2683" s="42"/>
    </row>
    <row r="2684" spans="3:8" x14ac:dyDescent="0.3">
      <c r="C2684" s="42"/>
      <c r="D2684" s="42"/>
      <c r="E2684" s="42"/>
      <c r="F2684" s="42"/>
      <c r="G2684" s="42"/>
      <c r="H2684" s="42"/>
    </row>
    <row r="2685" spans="3:8" x14ac:dyDescent="0.3">
      <c r="C2685" s="42"/>
      <c r="D2685" s="42"/>
      <c r="E2685" s="42"/>
      <c r="F2685" s="42"/>
      <c r="G2685" s="42"/>
      <c r="H2685" s="42"/>
    </row>
    <row r="2686" spans="3:8" x14ac:dyDescent="0.3">
      <c r="C2686" s="42"/>
      <c r="D2686" s="42"/>
      <c r="E2686" s="42"/>
      <c r="F2686" s="42"/>
      <c r="G2686" s="42"/>
      <c r="H2686" s="42"/>
    </row>
    <row r="2687" spans="3:8" x14ac:dyDescent="0.3">
      <c r="C2687" s="42"/>
      <c r="D2687" s="42"/>
      <c r="E2687" s="42"/>
      <c r="F2687" s="42"/>
      <c r="G2687" s="42"/>
      <c r="H2687" s="42"/>
    </row>
    <row r="2688" spans="3:8" x14ac:dyDescent="0.3">
      <c r="C2688" s="42"/>
      <c r="D2688" s="42"/>
      <c r="E2688" s="42"/>
      <c r="F2688" s="42"/>
      <c r="G2688" s="42"/>
      <c r="H2688" s="42"/>
    </row>
    <row r="2689" spans="3:8" x14ac:dyDescent="0.3">
      <c r="C2689" s="42"/>
      <c r="D2689" s="42"/>
      <c r="E2689" s="42"/>
      <c r="F2689" s="42"/>
      <c r="G2689" s="42"/>
      <c r="H2689" s="42"/>
    </row>
    <row r="2690" spans="3:8" x14ac:dyDescent="0.3">
      <c r="C2690" s="42"/>
      <c r="D2690" s="42"/>
      <c r="E2690" s="42"/>
      <c r="F2690" s="42"/>
      <c r="G2690" s="42"/>
      <c r="H2690" s="42"/>
    </row>
    <row r="2691" spans="3:8" x14ac:dyDescent="0.3">
      <c r="C2691" s="42"/>
      <c r="D2691" s="42"/>
      <c r="E2691" s="42"/>
      <c r="F2691" s="42"/>
      <c r="G2691" s="42"/>
      <c r="H2691" s="42"/>
    </row>
    <row r="2692" spans="3:8" x14ac:dyDescent="0.3">
      <c r="C2692" s="42"/>
      <c r="D2692" s="42"/>
      <c r="E2692" s="42"/>
      <c r="F2692" s="42"/>
      <c r="G2692" s="42"/>
      <c r="H2692" s="42"/>
    </row>
    <row r="2693" spans="3:8" x14ac:dyDescent="0.3">
      <c r="C2693" s="42"/>
      <c r="D2693" s="42"/>
      <c r="E2693" s="42"/>
      <c r="F2693" s="42"/>
      <c r="G2693" s="42"/>
      <c r="H2693" s="42"/>
    </row>
    <row r="2694" spans="3:8" x14ac:dyDescent="0.3">
      <c r="C2694" s="42"/>
      <c r="D2694" s="42"/>
      <c r="E2694" s="42"/>
      <c r="F2694" s="42"/>
      <c r="G2694" s="42"/>
      <c r="H2694" s="42"/>
    </row>
    <row r="2695" spans="3:8" x14ac:dyDescent="0.3">
      <c r="C2695" s="42"/>
      <c r="D2695" s="42"/>
      <c r="E2695" s="42"/>
      <c r="F2695" s="42"/>
      <c r="G2695" s="42"/>
      <c r="H2695" s="42"/>
    </row>
    <row r="2696" spans="3:8" x14ac:dyDescent="0.3">
      <c r="C2696" s="42"/>
      <c r="D2696" s="42"/>
      <c r="E2696" s="42"/>
      <c r="F2696" s="42"/>
      <c r="G2696" s="42"/>
      <c r="H2696" s="42"/>
    </row>
    <row r="2697" spans="3:8" x14ac:dyDescent="0.3">
      <c r="C2697" s="42"/>
      <c r="D2697" s="42"/>
      <c r="E2697" s="42"/>
      <c r="F2697" s="42"/>
      <c r="G2697" s="42"/>
      <c r="H2697" s="42"/>
    </row>
    <row r="2698" spans="3:8" x14ac:dyDescent="0.3">
      <c r="C2698" s="42"/>
      <c r="D2698" s="42"/>
      <c r="E2698" s="42"/>
      <c r="F2698" s="42"/>
      <c r="G2698" s="42"/>
      <c r="H2698" s="42"/>
    </row>
    <row r="2699" spans="3:8" x14ac:dyDescent="0.3">
      <c r="C2699" s="42"/>
      <c r="D2699" s="42"/>
      <c r="E2699" s="42"/>
      <c r="F2699" s="42"/>
      <c r="G2699" s="42"/>
      <c r="H2699" s="42"/>
    </row>
    <row r="2700" spans="3:8" x14ac:dyDescent="0.3">
      <c r="C2700" s="42"/>
      <c r="D2700" s="42"/>
      <c r="E2700" s="42"/>
      <c r="F2700" s="42"/>
      <c r="G2700" s="42"/>
      <c r="H2700" s="42"/>
    </row>
    <row r="2701" spans="3:8" x14ac:dyDescent="0.3">
      <c r="C2701" s="42"/>
      <c r="D2701" s="42"/>
      <c r="E2701" s="42"/>
      <c r="F2701" s="42"/>
      <c r="G2701" s="42"/>
      <c r="H2701" s="42"/>
    </row>
    <row r="2702" spans="3:8" x14ac:dyDescent="0.3">
      <c r="C2702" s="42"/>
      <c r="D2702" s="42"/>
      <c r="E2702" s="42"/>
      <c r="F2702" s="42"/>
      <c r="G2702" s="42"/>
      <c r="H2702" s="42"/>
    </row>
    <row r="2703" spans="3:8" x14ac:dyDescent="0.3">
      <c r="C2703" s="42"/>
      <c r="D2703" s="42"/>
      <c r="E2703" s="42"/>
      <c r="F2703" s="42"/>
      <c r="G2703" s="42"/>
      <c r="H2703" s="42"/>
    </row>
    <row r="2704" spans="3:8" x14ac:dyDescent="0.3">
      <c r="C2704" s="42"/>
      <c r="D2704" s="42"/>
      <c r="E2704" s="42"/>
      <c r="F2704" s="42"/>
      <c r="G2704" s="42"/>
      <c r="H2704" s="42"/>
    </row>
    <row r="2705" spans="3:8" x14ac:dyDescent="0.3">
      <c r="C2705" s="42"/>
      <c r="D2705" s="42"/>
      <c r="E2705" s="42"/>
      <c r="F2705" s="42"/>
      <c r="G2705" s="42"/>
      <c r="H2705" s="42"/>
    </row>
    <row r="2706" spans="3:8" x14ac:dyDescent="0.3">
      <c r="C2706" s="42"/>
      <c r="D2706" s="42"/>
      <c r="E2706" s="42"/>
      <c r="F2706" s="42"/>
      <c r="G2706" s="42"/>
      <c r="H2706" s="42"/>
    </row>
    <row r="2707" spans="3:8" x14ac:dyDescent="0.3">
      <c r="C2707" s="42"/>
      <c r="D2707" s="42"/>
      <c r="E2707" s="42"/>
      <c r="F2707" s="42"/>
      <c r="G2707" s="42"/>
      <c r="H2707" s="42"/>
    </row>
    <row r="2708" spans="3:8" x14ac:dyDescent="0.3">
      <c r="C2708" s="42"/>
      <c r="D2708" s="42"/>
      <c r="E2708" s="42"/>
      <c r="F2708" s="42"/>
      <c r="G2708" s="42"/>
      <c r="H2708" s="42"/>
    </row>
    <row r="2709" spans="3:8" x14ac:dyDescent="0.3">
      <c r="C2709" s="42"/>
      <c r="D2709" s="42"/>
      <c r="E2709" s="42"/>
      <c r="F2709" s="42"/>
      <c r="G2709" s="42"/>
      <c r="H2709" s="42"/>
    </row>
    <row r="2710" spans="3:8" x14ac:dyDescent="0.3">
      <c r="C2710" s="42"/>
      <c r="D2710" s="42"/>
      <c r="E2710" s="42"/>
      <c r="F2710" s="42"/>
      <c r="G2710" s="42"/>
      <c r="H2710" s="42"/>
    </row>
    <row r="2711" spans="3:8" x14ac:dyDescent="0.3">
      <c r="C2711" s="42"/>
      <c r="D2711" s="42"/>
      <c r="E2711" s="42"/>
      <c r="F2711" s="42"/>
      <c r="G2711" s="42"/>
      <c r="H2711" s="42"/>
    </row>
    <row r="2712" spans="3:8" x14ac:dyDescent="0.3">
      <c r="C2712" s="42"/>
      <c r="D2712" s="42"/>
      <c r="E2712" s="42"/>
      <c r="F2712" s="42"/>
      <c r="G2712" s="42"/>
      <c r="H2712" s="42"/>
    </row>
    <row r="2713" spans="3:8" x14ac:dyDescent="0.3">
      <c r="C2713" s="42"/>
      <c r="D2713" s="42"/>
      <c r="E2713" s="42"/>
      <c r="F2713" s="42"/>
      <c r="G2713" s="42"/>
      <c r="H2713" s="42"/>
    </row>
    <row r="2714" spans="3:8" x14ac:dyDescent="0.3">
      <c r="C2714" s="42"/>
      <c r="D2714" s="42"/>
      <c r="E2714" s="42"/>
      <c r="F2714" s="42"/>
      <c r="G2714" s="42"/>
      <c r="H2714" s="42"/>
    </row>
    <row r="2715" spans="3:8" x14ac:dyDescent="0.3">
      <c r="C2715" s="42"/>
      <c r="D2715" s="42"/>
      <c r="E2715" s="42"/>
      <c r="F2715" s="42"/>
      <c r="G2715" s="42"/>
      <c r="H2715" s="42"/>
    </row>
    <row r="2716" spans="3:8" x14ac:dyDescent="0.3">
      <c r="C2716" s="42"/>
      <c r="D2716" s="42"/>
      <c r="E2716" s="42"/>
      <c r="F2716" s="42"/>
      <c r="G2716" s="42"/>
      <c r="H2716" s="42"/>
    </row>
    <row r="2717" spans="3:8" x14ac:dyDescent="0.3">
      <c r="C2717" s="42"/>
      <c r="D2717" s="42"/>
      <c r="E2717" s="42"/>
      <c r="F2717" s="42"/>
      <c r="G2717" s="42"/>
      <c r="H2717" s="42"/>
    </row>
    <row r="2718" spans="3:8" x14ac:dyDescent="0.3">
      <c r="C2718" s="42"/>
      <c r="D2718" s="42"/>
      <c r="E2718" s="42"/>
      <c r="F2718" s="42"/>
      <c r="G2718" s="42"/>
      <c r="H2718" s="42"/>
    </row>
    <row r="2719" spans="3:8" x14ac:dyDescent="0.3">
      <c r="C2719" s="42"/>
      <c r="D2719" s="42"/>
      <c r="E2719" s="42"/>
      <c r="F2719" s="42"/>
      <c r="G2719" s="42"/>
      <c r="H2719" s="42"/>
    </row>
    <row r="2720" spans="3:8" x14ac:dyDescent="0.3">
      <c r="C2720" s="42"/>
      <c r="D2720" s="42"/>
      <c r="E2720" s="42"/>
      <c r="F2720" s="42"/>
      <c r="G2720" s="42"/>
      <c r="H2720" s="42"/>
    </row>
    <row r="2721" spans="3:8" x14ac:dyDescent="0.3">
      <c r="C2721" s="42"/>
      <c r="D2721" s="42"/>
      <c r="E2721" s="42"/>
      <c r="F2721" s="42"/>
      <c r="G2721" s="42"/>
      <c r="H2721" s="42"/>
    </row>
    <row r="2722" spans="3:8" x14ac:dyDescent="0.3">
      <c r="C2722" s="42"/>
      <c r="D2722" s="42"/>
      <c r="E2722" s="42"/>
      <c r="F2722" s="42"/>
      <c r="G2722" s="42"/>
      <c r="H2722" s="42"/>
    </row>
    <row r="2723" spans="3:8" x14ac:dyDescent="0.3">
      <c r="C2723" s="42"/>
      <c r="D2723" s="42"/>
      <c r="E2723" s="42"/>
      <c r="F2723" s="42"/>
      <c r="G2723" s="42"/>
      <c r="H2723" s="42"/>
    </row>
    <row r="2724" spans="3:8" x14ac:dyDescent="0.3">
      <c r="C2724" s="42"/>
      <c r="D2724" s="42"/>
      <c r="E2724" s="42"/>
      <c r="F2724" s="42"/>
      <c r="G2724" s="42"/>
      <c r="H2724" s="42"/>
    </row>
    <row r="2725" spans="3:8" x14ac:dyDescent="0.3">
      <c r="C2725" s="42"/>
      <c r="D2725" s="42"/>
      <c r="E2725" s="42"/>
      <c r="F2725" s="42"/>
      <c r="G2725" s="42"/>
      <c r="H2725" s="42"/>
    </row>
    <row r="2726" spans="3:8" x14ac:dyDescent="0.3">
      <c r="C2726" s="42"/>
      <c r="D2726" s="42"/>
      <c r="E2726" s="42"/>
      <c r="F2726" s="42"/>
      <c r="G2726" s="42"/>
      <c r="H2726" s="42"/>
    </row>
    <row r="2727" spans="3:8" x14ac:dyDescent="0.3">
      <c r="C2727" s="42"/>
      <c r="D2727" s="42"/>
      <c r="E2727" s="42"/>
      <c r="F2727" s="42"/>
      <c r="G2727" s="42"/>
      <c r="H2727" s="42"/>
    </row>
    <row r="2728" spans="3:8" x14ac:dyDescent="0.3">
      <c r="C2728" s="42"/>
      <c r="D2728" s="42"/>
      <c r="E2728" s="42"/>
      <c r="F2728" s="42"/>
      <c r="G2728" s="42"/>
      <c r="H2728" s="42"/>
    </row>
    <row r="2729" spans="3:8" x14ac:dyDescent="0.3">
      <c r="C2729" s="42"/>
      <c r="D2729" s="42"/>
      <c r="E2729" s="42"/>
      <c r="F2729" s="42"/>
      <c r="G2729" s="42"/>
      <c r="H2729" s="42"/>
    </row>
    <row r="2730" spans="3:8" x14ac:dyDescent="0.3">
      <c r="C2730" s="42"/>
      <c r="D2730" s="42"/>
      <c r="E2730" s="42"/>
      <c r="F2730" s="42"/>
      <c r="G2730" s="42"/>
      <c r="H2730" s="42"/>
    </row>
    <row r="2731" spans="3:8" x14ac:dyDescent="0.3">
      <c r="C2731" s="42"/>
      <c r="D2731" s="42"/>
      <c r="E2731" s="42"/>
      <c r="F2731" s="42"/>
      <c r="G2731" s="42"/>
      <c r="H2731" s="42"/>
    </row>
    <row r="2732" spans="3:8" x14ac:dyDescent="0.3">
      <c r="C2732" s="42"/>
      <c r="D2732" s="42"/>
      <c r="E2732" s="42"/>
      <c r="F2732" s="42"/>
      <c r="G2732" s="42"/>
      <c r="H2732" s="42"/>
    </row>
    <row r="2733" spans="3:8" x14ac:dyDescent="0.3">
      <c r="C2733" s="42"/>
      <c r="D2733" s="42"/>
      <c r="E2733" s="42"/>
      <c r="F2733" s="42"/>
      <c r="G2733" s="42"/>
      <c r="H2733" s="42"/>
    </row>
    <row r="2734" spans="3:8" x14ac:dyDescent="0.3">
      <c r="C2734" s="42"/>
      <c r="D2734" s="42"/>
      <c r="E2734" s="42"/>
      <c r="F2734" s="42"/>
      <c r="G2734" s="42"/>
      <c r="H2734" s="42"/>
    </row>
    <row r="2735" spans="3:8" x14ac:dyDescent="0.3">
      <c r="C2735" s="42"/>
      <c r="D2735" s="42"/>
      <c r="E2735" s="42"/>
      <c r="F2735" s="42"/>
      <c r="G2735" s="42"/>
      <c r="H2735" s="42"/>
    </row>
    <row r="2736" spans="3:8" x14ac:dyDescent="0.3">
      <c r="C2736" s="42"/>
      <c r="D2736" s="42"/>
      <c r="E2736" s="42"/>
      <c r="F2736" s="42"/>
      <c r="G2736" s="42"/>
      <c r="H2736" s="42"/>
    </row>
    <row r="2737" spans="3:8" x14ac:dyDescent="0.3">
      <c r="C2737" s="42"/>
      <c r="D2737" s="42"/>
      <c r="E2737" s="42"/>
      <c r="F2737" s="42"/>
      <c r="G2737" s="42"/>
      <c r="H2737" s="42"/>
    </row>
    <row r="2738" spans="3:8" x14ac:dyDescent="0.3">
      <c r="C2738" s="42"/>
      <c r="D2738" s="42"/>
      <c r="E2738" s="42"/>
      <c r="F2738" s="42"/>
      <c r="G2738" s="42"/>
      <c r="H2738" s="42"/>
    </row>
    <row r="2739" spans="3:8" x14ac:dyDescent="0.3">
      <c r="C2739" s="42"/>
      <c r="D2739" s="42"/>
      <c r="E2739" s="42"/>
      <c r="F2739" s="42"/>
      <c r="G2739" s="42"/>
      <c r="H2739" s="42"/>
    </row>
    <row r="2740" spans="3:8" x14ac:dyDescent="0.3">
      <c r="C2740" s="42"/>
      <c r="D2740" s="42"/>
      <c r="E2740" s="42"/>
      <c r="F2740" s="42"/>
      <c r="G2740" s="42"/>
      <c r="H2740" s="42"/>
    </row>
    <row r="2741" spans="3:8" x14ac:dyDescent="0.3">
      <c r="C2741" s="42"/>
      <c r="D2741" s="42"/>
      <c r="E2741" s="42"/>
      <c r="F2741" s="42"/>
      <c r="G2741" s="42"/>
      <c r="H2741" s="42"/>
    </row>
    <row r="2742" spans="3:8" x14ac:dyDescent="0.3">
      <c r="C2742" s="42"/>
      <c r="D2742" s="42"/>
      <c r="E2742" s="42"/>
      <c r="F2742" s="42"/>
      <c r="G2742" s="42"/>
      <c r="H2742" s="42"/>
    </row>
    <row r="2743" spans="3:8" x14ac:dyDescent="0.3">
      <c r="C2743" s="42"/>
      <c r="D2743" s="42"/>
      <c r="E2743" s="42"/>
      <c r="F2743" s="42"/>
      <c r="G2743" s="42"/>
      <c r="H2743" s="42"/>
    </row>
    <row r="2744" spans="3:8" x14ac:dyDescent="0.3">
      <c r="C2744" s="42"/>
      <c r="D2744" s="42"/>
      <c r="E2744" s="42"/>
      <c r="F2744" s="42"/>
      <c r="G2744" s="42"/>
      <c r="H2744" s="42"/>
    </row>
    <row r="2745" spans="3:8" x14ac:dyDescent="0.3">
      <c r="C2745" s="42"/>
      <c r="D2745" s="42"/>
      <c r="E2745" s="42"/>
      <c r="F2745" s="42"/>
      <c r="G2745" s="42"/>
      <c r="H2745" s="42"/>
    </row>
    <row r="2746" spans="3:8" x14ac:dyDescent="0.3">
      <c r="C2746" s="42"/>
      <c r="D2746" s="42"/>
      <c r="E2746" s="42"/>
      <c r="F2746" s="42"/>
      <c r="G2746" s="42"/>
      <c r="H2746" s="42"/>
    </row>
    <row r="2747" spans="3:8" x14ac:dyDescent="0.3">
      <c r="C2747" s="42"/>
      <c r="D2747" s="42"/>
      <c r="E2747" s="42"/>
      <c r="F2747" s="42"/>
      <c r="G2747" s="42"/>
      <c r="H2747" s="42"/>
    </row>
    <row r="2748" spans="3:8" x14ac:dyDescent="0.3">
      <c r="C2748" s="42"/>
      <c r="D2748" s="42"/>
      <c r="E2748" s="42"/>
      <c r="F2748" s="42"/>
      <c r="G2748" s="42"/>
      <c r="H2748" s="42"/>
    </row>
    <row r="2749" spans="3:8" x14ac:dyDescent="0.3">
      <c r="C2749" s="42"/>
      <c r="D2749" s="42"/>
      <c r="E2749" s="42"/>
      <c r="F2749" s="42"/>
      <c r="G2749" s="42"/>
      <c r="H2749" s="42"/>
    </row>
    <row r="2750" spans="3:8" x14ac:dyDescent="0.3">
      <c r="C2750" s="42"/>
      <c r="D2750" s="42"/>
      <c r="E2750" s="42"/>
      <c r="F2750" s="42"/>
      <c r="G2750" s="42"/>
      <c r="H2750" s="42"/>
    </row>
    <row r="2751" spans="3:8" x14ac:dyDescent="0.3">
      <c r="C2751" s="42"/>
      <c r="D2751" s="42"/>
      <c r="E2751" s="42"/>
      <c r="F2751" s="42"/>
      <c r="G2751" s="42"/>
      <c r="H2751" s="42"/>
    </row>
    <row r="2752" spans="3:8" x14ac:dyDescent="0.3">
      <c r="C2752" s="42"/>
      <c r="D2752" s="42"/>
      <c r="E2752" s="42"/>
      <c r="F2752" s="42"/>
      <c r="G2752" s="42"/>
      <c r="H2752" s="42"/>
    </row>
    <row r="2753" spans="3:8" x14ac:dyDescent="0.3">
      <c r="C2753" s="42"/>
      <c r="D2753" s="42"/>
      <c r="E2753" s="42"/>
      <c r="F2753" s="42"/>
      <c r="G2753" s="42"/>
      <c r="H2753" s="42"/>
    </row>
    <row r="2754" spans="3:8" x14ac:dyDescent="0.3">
      <c r="C2754" s="42"/>
      <c r="D2754" s="42"/>
      <c r="E2754" s="42"/>
      <c r="F2754" s="42"/>
      <c r="G2754" s="42"/>
      <c r="H2754" s="42"/>
    </row>
    <row r="2755" spans="3:8" x14ac:dyDescent="0.3">
      <c r="C2755" s="42"/>
      <c r="D2755" s="42"/>
      <c r="E2755" s="42"/>
      <c r="F2755" s="42"/>
      <c r="G2755" s="42"/>
      <c r="H2755" s="42"/>
    </row>
    <row r="2756" spans="3:8" x14ac:dyDescent="0.3">
      <c r="C2756" s="42"/>
      <c r="D2756" s="42"/>
      <c r="E2756" s="42"/>
      <c r="F2756" s="42"/>
      <c r="G2756" s="42"/>
      <c r="H2756" s="42"/>
    </row>
    <row r="2757" spans="3:8" x14ac:dyDescent="0.3">
      <c r="C2757" s="42"/>
      <c r="D2757" s="42"/>
      <c r="E2757" s="42"/>
      <c r="F2757" s="42"/>
      <c r="G2757" s="42"/>
      <c r="H2757" s="42"/>
    </row>
    <row r="2758" spans="3:8" x14ac:dyDescent="0.3">
      <c r="C2758" s="42"/>
      <c r="D2758" s="42"/>
      <c r="E2758" s="42"/>
      <c r="F2758" s="42"/>
      <c r="G2758" s="42"/>
      <c r="H2758" s="42"/>
    </row>
    <row r="2759" spans="3:8" x14ac:dyDescent="0.3">
      <c r="C2759" s="42"/>
      <c r="D2759" s="42"/>
      <c r="E2759" s="42"/>
      <c r="F2759" s="42"/>
      <c r="G2759" s="42"/>
      <c r="H2759" s="42"/>
    </row>
    <row r="2760" spans="3:8" x14ac:dyDescent="0.3">
      <c r="C2760" s="42"/>
      <c r="D2760" s="42"/>
      <c r="E2760" s="42"/>
      <c r="F2760" s="42"/>
      <c r="G2760" s="42"/>
      <c r="H2760" s="42"/>
    </row>
    <row r="2761" spans="3:8" x14ac:dyDescent="0.3">
      <c r="C2761" s="42"/>
      <c r="D2761" s="42"/>
      <c r="E2761" s="42"/>
      <c r="F2761" s="42"/>
      <c r="G2761" s="42"/>
      <c r="H2761" s="42"/>
    </row>
    <row r="2762" spans="3:8" x14ac:dyDescent="0.3">
      <c r="C2762" s="42"/>
      <c r="D2762" s="42"/>
      <c r="E2762" s="42"/>
      <c r="F2762" s="42"/>
      <c r="G2762" s="42"/>
      <c r="H2762" s="42"/>
    </row>
    <row r="2763" spans="3:8" x14ac:dyDescent="0.3">
      <c r="C2763" s="42"/>
      <c r="D2763" s="42"/>
      <c r="E2763" s="42"/>
      <c r="F2763" s="42"/>
      <c r="G2763" s="42"/>
      <c r="H2763" s="42"/>
    </row>
    <row r="2764" spans="3:8" x14ac:dyDescent="0.3">
      <c r="C2764" s="42"/>
      <c r="D2764" s="42"/>
      <c r="E2764" s="42"/>
      <c r="F2764" s="42"/>
      <c r="G2764" s="42"/>
      <c r="H2764" s="42"/>
    </row>
    <row r="2765" spans="3:8" x14ac:dyDescent="0.3">
      <c r="C2765" s="42"/>
      <c r="D2765" s="42"/>
      <c r="E2765" s="42"/>
      <c r="F2765" s="42"/>
      <c r="G2765" s="42"/>
      <c r="H2765" s="42"/>
    </row>
    <row r="2766" spans="3:8" x14ac:dyDescent="0.3">
      <c r="C2766" s="42"/>
      <c r="D2766" s="42"/>
      <c r="E2766" s="42"/>
      <c r="F2766" s="42"/>
      <c r="G2766" s="42"/>
      <c r="H2766" s="42"/>
    </row>
    <row r="2767" spans="3:8" x14ac:dyDescent="0.3">
      <c r="C2767" s="42"/>
      <c r="D2767" s="42"/>
      <c r="E2767" s="42"/>
      <c r="F2767" s="42"/>
      <c r="G2767" s="42"/>
      <c r="H2767" s="42"/>
    </row>
    <row r="2768" spans="3:8" x14ac:dyDescent="0.3">
      <c r="C2768" s="42"/>
      <c r="D2768" s="42"/>
      <c r="E2768" s="42"/>
      <c r="F2768" s="42"/>
      <c r="G2768" s="42"/>
      <c r="H2768" s="42"/>
    </row>
    <row r="2769" spans="3:8" x14ac:dyDescent="0.3">
      <c r="C2769" s="42"/>
      <c r="D2769" s="42"/>
      <c r="E2769" s="42"/>
      <c r="F2769" s="42"/>
      <c r="G2769" s="42"/>
      <c r="H2769" s="42"/>
    </row>
    <row r="2770" spans="3:8" x14ac:dyDescent="0.3">
      <c r="C2770" s="42"/>
      <c r="D2770" s="42"/>
      <c r="E2770" s="42"/>
      <c r="F2770" s="42"/>
      <c r="G2770" s="42"/>
      <c r="H2770" s="42"/>
    </row>
    <row r="2771" spans="3:8" x14ac:dyDescent="0.3">
      <c r="C2771" s="42"/>
      <c r="D2771" s="42"/>
      <c r="E2771" s="42"/>
      <c r="F2771" s="42"/>
      <c r="G2771" s="42"/>
      <c r="H2771" s="42"/>
    </row>
    <row r="2772" spans="3:8" x14ac:dyDescent="0.3">
      <c r="C2772" s="42"/>
      <c r="D2772" s="42"/>
      <c r="E2772" s="42"/>
      <c r="F2772" s="42"/>
      <c r="G2772" s="42"/>
      <c r="H2772" s="42"/>
    </row>
    <row r="2773" spans="3:8" x14ac:dyDescent="0.3">
      <c r="C2773" s="42"/>
      <c r="D2773" s="42"/>
      <c r="E2773" s="42"/>
      <c r="F2773" s="42"/>
      <c r="G2773" s="42"/>
      <c r="H2773" s="42"/>
    </row>
    <row r="2774" spans="3:8" x14ac:dyDescent="0.3">
      <c r="C2774" s="42"/>
      <c r="D2774" s="42"/>
      <c r="E2774" s="42"/>
      <c r="F2774" s="42"/>
      <c r="G2774" s="42"/>
      <c r="H2774" s="42"/>
    </row>
    <row r="2775" spans="3:8" x14ac:dyDescent="0.3">
      <c r="C2775" s="42"/>
      <c r="D2775" s="42"/>
      <c r="E2775" s="42"/>
      <c r="F2775" s="42"/>
      <c r="G2775" s="42"/>
      <c r="H2775" s="42"/>
    </row>
    <row r="2776" spans="3:8" x14ac:dyDescent="0.3">
      <c r="C2776" s="42"/>
      <c r="D2776" s="42"/>
      <c r="E2776" s="42"/>
      <c r="F2776" s="42"/>
      <c r="G2776" s="42"/>
      <c r="H2776" s="42"/>
    </row>
    <row r="2777" spans="3:8" x14ac:dyDescent="0.3">
      <c r="C2777" s="42"/>
      <c r="D2777" s="42"/>
      <c r="E2777" s="42"/>
      <c r="F2777" s="42"/>
      <c r="G2777" s="42"/>
      <c r="H2777" s="42"/>
    </row>
    <row r="2778" spans="3:8" x14ac:dyDescent="0.3">
      <c r="C2778" s="42"/>
      <c r="D2778" s="42"/>
      <c r="E2778" s="42"/>
      <c r="F2778" s="42"/>
      <c r="G2778" s="42"/>
      <c r="H2778" s="42"/>
    </row>
    <row r="2779" spans="3:8" x14ac:dyDescent="0.3">
      <c r="C2779" s="42"/>
      <c r="D2779" s="42"/>
      <c r="E2779" s="42"/>
      <c r="F2779" s="42"/>
      <c r="G2779" s="42"/>
      <c r="H2779" s="42"/>
    </row>
    <row r="2780" spans="3:8" x14ac:dyDescent="0.3">
      <c r="C2780" s="42"/>
      <c r="D2780" s="42"/>
      <c r="E2780" s="42"/>
      <c r="F2780" s="42"/>
      <c r="G2780" s="42"/>
      <c r="H2780" s="42"/>
    </row>
    <row r="2781" spans="3:8" x14ac:dyDescent="0.3">
      <c r="C2781" s="42"/>
      <c r="D2781" s="42"/>
      <c r="E2781" s="42"/>
      <c r="F2781" s="42"/>
      <c r="G2781" s="42"/>
      <c r="H2781" s="42"/>
    </row>
    <row r="2782" spans="3:8" x14ac:dyDescent="0.3">
      <c r="C2782" s="42"/>
      <c r="D2782" s="42"/>
      <c r="E2782" s="42"/>
      <c r="F2782" s="42"/>
      <c r="G2782" s="42"/>
      <c r="H2782" s="42"/>
    </row>
    <row r="2783" spans="3:8" x14ac:dyDescent="0.3">
      <c r="C2783" s="42"/>
      <c r="D2783" s="42"/>
      <c r="E2783" s="42"/>
      <c r="F2783" s="42"/>
      <c r="G2783" s="42"/>
      <c r="H2783" s="42"/>
    </row>
    <row r="2784" spans="3:8" x14ac:dyDescent="0.3">
      <c r="C2784" s="42"/>
      <c r="D2784" s="42"/>
      <c r="E2784" s="42"/>
      <c r="F2784" s="42"/>
      <c r="G2784" s="42"/>
      <c r="H2784" s="42"/>
    </row>
    <row r="2785" spans="3:8" x14ac:dyDescent="0.3">
      <c r="C2785" s="42"/>
      <c r="D2785" s="42"/>
      <c r="E2785" s="42"/>
      <c r="F2785" s="42"/>
      <c r="G2785" s="42"/>
      <c r="H2785" s="42"/>
    </row>
    <row r="2786" spans="3:8" x14ac:dyDescent="0.3">
      <c r="C2786" s="42"/>
      <c r="D2786" s="42"/>
      <c r="E2786" s="42"/>
      <c r="F2786" s="42"/>
      <c r="G2786" s="42"/>
      <c r="H2786" s="42"/>
    </row>
    <row r="2787" spans="3:8" x14ac:dyDescent="0.3">
      <c r="C2787" s="42"/>
      <c r="D2787" s="42"/>
      <c r="E2787" s="42"/>
      <c r="F2787" s="42"/>
      <c r="G2787" s="42"/>
      <c r="H2787" s="42"/>
    </row>
    <row r="2788" spans="3:8" x14ac:dyDescent="0.3">
      <c r="C2788" s="42"/>
      <c r="D2788" s="42"/>
      <c r="E2788" s="42"/>
      <c r="F2788" s="42"/>
      <c r="G2788" s="42"/>
      <c r="H2788" s="42"/>
    </row>
    <row r="2789" spans="3:8" x14ac:dyDescent="0.3">
      <c r="C2789" s="42"/>
      <c r="D2789" s="42"/>
      <c r="E2789" s="42"/>
      <c r="F2789" s="42"/>
      <c r="G2789" s="42"/>
      <c r="H2789" s="42"/>
    </row>
    <row r="2790" spans="3:8" x14ac:dyDescent="0.3">
      <c r="C2790" s="42"/>
      <c r="D2790" s="42"/>
      <c r="E2790" s="42"/>
      <c r="F2790" s="42"/>
      <c r="G2790" s="42"/>
      <c r="H2790" s="42"/>
    </row>
    <row r="2791" spans="3:8" x14ac:dyDescent="0.3">
      <c r="C2791" s="42"/>
      <c r="D2791" s="42"/>
      <c r="E2791" s="42"/>
      <c r="F2791" s="42"/>
      <c r="G2791" s="42"/>
      <c r="H2791" s="42"/>
    </row>
    <row r="2792" spans="3:8" x14ac:dyDescent="0.3">
      <c r="C2792" s="42"/>
      <c r="D2792" s="42"/>
      <c r="E2792" s="42"/>
      <c r="F2792" s="42"/>
      <c r="G2792" s="42"/>
      <c r="H2792" s="42"/>
    </row>
    <row r="2793" spans="3:8" x14ac:dyDescent="0.3">
      <c r="C2793" s="42"/>
      <c r="D2793" s="42"/>
      <c r="E2793" s="42"/>
      <c r="F2793" s="42"/>
      <c r="G2793" s="42"/>
      <c r="H2793" s="42"/>
    </row>
    <row r="2794" spans="3:8" x14ac:dyDescent="0.3">
      <c r="C2794" s="42"/>
      <c r="D2794" s="42"/>
      <c r="E2794" s="42"/>
      <c r="F2794" s="42"/>
      <c r="G2794" s="42"/>
      <c r="H2794" s="42"/>
    </row>
    <row r="2795" spans="3:8" x14ac:dyDescent="0.3">
      <c r="C2795" s="42"/>
      <c r="D2795" s="42"/>
      <c r="E2795" s="42"/>
      <c r="F2795" s="42"/>
      <c r="G2795" s="42"/>
      <c r="H2795" s="42"/>
    </row>
    <row r="2796" spans="3:8" x14ac:dyDescent="0.3">
      <c r="C2796" s="42"/>
      <c r="D2796" s="42"/>
      <c r="E2796" s="42"/>
      <c r="F2796" s="42"/>
      <c r="G2796" s="42"/>
      <c r="H2796" s="42"/>
    </row>
    <row r="2797" spans="3:8" x14ac:dyDescent="0.3">
      <c r="C2797" s="42"/>
      <c r="D2797" s="42"/>
      <c r="E2797" s="42"/>
      <c r="F2797" s="42"/>
      <c r="G2797" s="42"/>
      <c r="H2797" s="42"/>
    </row>
    <row r="2798" spans="3:8" x14ac:dyDescent="0.3">
      <c r="C2798" s="42"/>
      <c r="D2798" s="42"/>
      <c r="E2798" s="42"/>
      <c r="F2798" s="42"/>
      <c r="G2798" s="42"/>
      <c r="H2798" s="42"/>
    </row>
    <row r="2799" spans="3:8" x14ac:dyDescent="0.3">
      <c r="C2799" s="42"/>
      <c r="D2799" s="42"/>
      <c r="E2799" s="42"/>
      <c r="F2799" s="42"/>
      <c r="G2799" s="42"/>
      <c r="H2799" s="42"/>
    </row>
    <row r="2800" spans="3:8" x14ac:dyDescent="0.3">
      <c r="C2800" s="42"/>
      <c r="D2800" s="42"/>
      <c r="E2800" s="42"/>
      <c r="F2800" s="42"/>
      <c r="G2800" s="42"/>
      <c r="H2800" s="42"/>
    </row>
    <row r="2801" spans="3:8" x14ac:dyDescent="0.3">
      <c r="C2801" s="42"/>
      <c r="D2801" s="42"/>
      <c r="E2801" s="42"/>
      <c r="F2801" s="42"/>
      <c r="G2801" s="42"/>
      <c r="H2801" s="42"/>
    </row>
    <row r="2802" spans="3:8" x14ac:dyDescent="0.3">
      <c r="C2802" s="42"/>
      <c r="D2802" s="42"/>
      <c r="E2802" s="42"/>
      <c r="F2802" s="42"/>
      <c r="G2802" s="42"/>
      <c r="H2802" s="42"/>
    </row>
    <row r="2803" spans="3:8" x14ac:dyDescent="0.3">
      <c r="C2803" s="42"/>
      <c r="D2803" s="42"/>
      <c r="E2803" s="42"/>
      <c r="F2803" s="42"/>
      <c r="G2803" s="42"/>
      <c r="H2803" s="42"/>
    </row>
    <row r="2804" spans="3:8" x14ac:dyDescent="0.3">
      <c r="C2804" s="42"/>
      <c r="D2804" s="42"/>
      <c r="E2804" s="42"/>
      <c r="F2804" s="42"/>
      <c r="G2804" s="42"/>
      <c r="H2804" s="42"/>
    </row>
    <row r="2805" spans="3:8" x14ac:dyDescent="0.3">
      <c r="C2805" s="42"/>
      <c r="D2805" s="42"/>
      <c r="E2805" s="42"/>
      <c r="F2805" s="42"/>
      <c r="G2805" s="42"/>
      <c r="H2805" s="42"/>
    </row>
    <row r="2806" spans="3:8" x14ac:dyDescent="0.3">
      <c r="C2806" s="42"/>
      <c r="D2806" s="42"/>
      <c r="E2806" s="42"/>
      <c r="F2806" s="42"/>
      <c r="G2806" s="42"/>
      <c r="H2806" s="42"/>
    </row>
    <row r="2807" spans="3:8" x14ac:dyDescent="0.3">
      <c r="C2807" s="42"/>
      <c r="D2807" s="42"/>
      <c r="E2807" s="42"/>
      <c r="F2807" s="42"/>
      <c r="G2807" s="42"/>
      <c r="H2807" s="42"/>
    </row>
    <row r="2808" spans="3:8" x14ac:dyDescent="0.3">
      <c r="C2808" s="42"/>
      <c r="D2808" s="42"/>
      <c r="E2808" s="42"/>
      <c r="F2808" s="42"/>
      <c r="G2808" s="42"/>
      <c r="H2808" s="42"/>
    </row>
    <row r="2809" spans="3:8" x14ac:dyDescent="0.3">
      <c r="C2809" s="42"/>
      <c r="D2809" s="42"/>
      <c r="E2809" s="42"/>
      <c r="F2809" s="42"/>
      <c r="G2809" s="42"/>
      <c r="H2809" s="42"/>
    </row>
    <row r="2810" spans="3:8" x14ac:dyDescent="0.3">
      <c r="C2810" s="42"/>
      <c r="D2810" s="42"/>
      <c r="E2810" s="42"/>
      <c r="F2810" s="42"/>
      <c r="G2810" s="42"/>
      <c r="H2810" s="42"/>
    </row>
    <row r="2811" spans="3:8" x14ac:dyDescent="0.3">
      <c r="C2811" s="42"/>
      <c r="D2811" s="42"/>
      <c r="E2811" s="42"/>
      <c r="F2811" s="42"/>
      <c r="G2811" s="42"/>
      <c r="H2811" s="42"/>
    </row>
    <row r="2812" spans="3:8" x14ac:dyDescent="0.3">
      <c r="C2812" s="42"/>
      <c r="D2812" s="42"/>
      <c r="E2812" s="42"/>
      <c r="F2812" s="42"/>
      <c r="G2812" s="42"/>
      <c r="H2812" s="42"/>
    </row>
    <row r="2813" spans="3:8" x14ac:dyDescent="0.3">
      <c r="C2813" s="42"/>
      <c r="D2813" s="42"/>
      <c r="E2813" s="42"/>
      <c r="F2813" s="42"/>
      <c r="G2813" s="42"/>
      <c r="H2813" s="42"/>
    </row>
    <row r="2814" spans="3:8" x14ac:dyDescent="0.3">
      <c r="C2814" s="42"/>
      <c r="D2814" s="42"/>
      <c r="E2814" s="42"/>
      <c r="F2814" s="42"/>
      <c r="G2814" s="42"/>
      <c r="H2814" s="42"/>
    </row>
    <row r="2815" spans="3:8" x14ac:dyDescent="0.3">
      <c r="C2815" s="42"/>
      <c r="D2815" s="42"/>
      <c r="E2815" s="42"/>
      <c r="F2815" s="42"/>
      <c r="G2815" s="42"/>
      <c r="H2815" s="42"/>
    </row>
    <row r="2816" spans="3:8" x14ac:dyDescent="0.3">
      <c r="C2816" s="42"/>
      <c r="D2816" s="42"/>
      <c r="E2816" s="42"/>
      <c r="F2816" s="42"/>
      <c r="G2816" s="42"/>
      <c r="H2816" s="42"/>
    </row>
    <row r="2817" spans="3:8" x14ac:dyDescent="0.3">
      <c r="C2817" s="42"/>
      <c r="D2817" s="42"/>
      <c r="E2817" s="42"/>
      <c r="F2817" s="42"/>
      <c r="G2817" s="42"/>
      <c r="H2817" s="42"/>
    </row>
    <row r="2818" spans="3:8" x14ac:dyDescent="0.3">
      <c r="C2818" s="42"/>
      <c r="D2818" s="42"/>
      <c r="E2818" s="42"/>
      <c r="F2818" s="42"/>
      <c r="G2818" s="42"/>
      <c r="H2818" s="42"/>
    </row>
    <row r="2819" spans="3:8" x14ac:dyDescent="0.3">
      <c r="C2819" s="42"/>
      <c r="D2819" s="42"/>
      <c r="E2819" s="42"/>
      <c r="F2819" s="42"/>
      <c r="G2819" s="42"/>
      <c r="H2819" s="42"/>
    </row>
    <row r="2820" spans="3:8" x14ac:dyDescent="0.3">
      <c r="C2820" s="42"/>
      <c r="D2820" s="42"/>
      <c r="E2820" s="42"/>
      <c r="F2820" s="42"/>
      <c r="G2820" s="42"/>
      <c r="H2820" s="42"/>
    </row>
    <row r="2821" spans="3:8" x14ac:dyDescent="0.3">
      <c r="C2821" s="42"/>
      <c r="D2821" s="42"/>
      <c r="E2821" s="42"/>
      <c r="F2821" s="42"/>
      <c r="G2821" s="42"/>
      <c r="H2821" s="42"/>
    </row>
    <row r="2822" spans="3:8" x14ac:dyDescent="0.3">
      <c r="C2822" s="42"/>
      <c r="D2822" s="42"/>
      <c r="E2822" s="42"/>
      <c r="F2822" s="42"/>
      <c r="G2822" s="42"/>
      <c r="H2822" s="42"/>
    </row>
    <row r="2823" spans="3:8" x14ac:dyDescent="0.3">
      <c r="C2823" s="42"/>
      <c r="D2823" s="42"/>
      <c r="E2823" s="42"/>
      <c r="F2823" s="42"/>
      <c r="G2823" s="42"/>
      <c r="H2823" s="42"/>
    </row>
    <row r="2824" spans="3:8" x14ac:dyDescent="0.3">
      <c r="C2824" s="42"/>
      <c r="D2824" s="42"/>
      <c r="E2824" s="42"/>
      <c r="F2824" s="42"/>
      <c r="G2824" s="42"/>
      <c r="H2824" s="42"/>
    </row>
    <row r="2825" spans="3:8" x14ac:dyDescent="0.3">
      <c r="C2825" s="42"/>
      <c r="D2825" s="42"/>
      <c r="E2825" s="42"/>
      <c r="F2825" s="42"/>
      <c r="G2825" s="42"/>
      <c r="H2825" s="42"/>
    </row>
    <row r="2826" spans="3:8" x14ac:dyDescent="0.3">
      <c r="C2826" s="42"/>
      <c r="D2826" s="42"/>
      <c r="E2826" s="42"/>
      <c r="F2826" s="42"/>
      <c r="G2826" s="42"/>
      <c r="H2826" s="42"/>
    </row>
    <row r="2827" spans="3:8" x14ac:dyDescent="0.3">
      <c r="C2827" s="42"/>
      <c r="D2827" s="42"/>
      <c r="E2827" s="42"/>
      <c r="F2827" s="42"/>
      <c r="G2827" s="42"/>
      <c r="H2827" s="42"/>
    </row>
    <row r="2828" spans="3:8" x14ac:dyDescent="0.3">
      <c r="C2828" s="42"/>
      <c r="D2828" s="42"/>
      <c r="E2828" s="42"/>
      <c r="F2828" s="42"/>
      <c r="G2828" s="42"/>
      <c r="H2828" s="42"/>
    </row>
    <row r="2829" spans="3:8" x14ac:dyDescent="0.3">
      <c r="C2829" s="42"/>
      <c r="D2829" s="42"/>
      <c r="E2829" s="42"/>
      <c r="F2829" s="42"/>
      <c r="G2829" s="42"/>
      <c r="H2829" s="42"/>
    </row>
    <row r="2830" spans="3:8" x14ac:dyDescent="0.3">
      <c r="C2830" s="42"/>
      <c r="D2830" s="42"/>
      <c r="E2830" s="42"/>
      <c r="F2830" s="42"/>
      <c r="G2830" s="42"/>
      <c r="H2830" s="42"/>
    </row>
    <row r="2831" spans="3:8" x14ac:dyDescent="0.3">
      <c r="C2831" s="42"/>
      <c r="D2831" s="42"/>
      <c r="E2831" s="42"/>
      <c r="F2831" s="42"/>
      <c r="G2831" s="42"/>
      <c r="H2831" s="42"/>
    </row>
    <row r="2832" spans="3:8" x14ac:dyDescent="0.3">
      <c r="C2832" s="42"/>
      <c r="D2832" s="42"/>
      <c r="E2832" s="42"/>
      <c r="F2832" s="42"/>
      <c r="G2832" s="42"/>
      <c r="H2832" s="42"/>
    </row>
    <row r="2833" spans="3:8" x14ac:dyDescent="0.3">
      <c r="C2833" s="42"/>
      <c r="D2833" s="42"/>
      <c r="E2833" s="42"/>
      <c r="F2833" s="42"/>
      <c r="G2833" s="42"/>
      <c r="H2833" s="42"/>
    </row>
    <row r="2834" spans="3:8" x14ac:dyDescent="0.3">
      <c r="C2834" s="42"/>
      <c r="D2834" s="42"/>
      <c r="E2834" s="42"/>
      <c r="F2834" s="42"/>
      <c r="G2834" s="42"/>
      <c r="H2834" s="42"/>
    </row>
    <row r="2835" spans="3:8" x14ac:dyDescent="0.3">
      <c r="C2835" s="42"/>
      <c r="D2835" s="42"/>
      <c r="E2835" s="42"/>
      <c r="F2835" s="42"/>
      <c r="G2835" s="42"/>
      <c r="H2835" s="42"/>
    </row>
    <row r="2836" spans="3:8" x14ac:dyDescent="0.3">
      <c r="C2836" s="42"/>
      <c r="D2836" s="42"/>
      <c r="E2836" s="42"/>
      <c r="F2836" s="42"/>
      <c r="G2836" s="42"/>
      <c r="H2836" s="42"/>
    </row>
    <row r="2837" spans="3:8" x14ac:dyDescent="0.3">
      <c r="C2837" s="42"/>
      <c r="D2837" s="42"/>
      <c r="E2837" s="42"/>
      <c r="F2837" s="42"/>
      <c r="G2837" s="42"/>
      <c r="H2837" s="42"/>
    </row>
    <row r="2838" spans="3:8" x14ac:dyDescent="0.3">
      <c r="C2838" s="42"/>
      <c r="D2838" s="42"/>
      <c r="E2838" s="42"/>
      <c r="F2838" s="42"/>
      <c r="G2838" s="42"/>
      <c r="H2838" s="42"/>
    </row>
    <row r="2839" spans="3:8" x14ac:dyDescent="0.3">
      <c r="C2839" s="42"/>
      <c r="D2839" s="42"/>
      <c r="E2839" s="42"/>
      <c r="F2839" s="42"/>
      <c r="G2839" s="42"/>
      <c r="H2839" s="42"/>
    </row>
    <row r="2840" spans="3:8" x14ac:dyDescent="0.3">
      <c r="C2840" s="42"/>
      <c r="D2840" s="42"/>
      <c r="E2840" s="42"/>
      <c r="F2840" s="42"/>
      <c r="G2840" s="42"/>
      <c r="H2840" s="42"/>
    </row>
    <row r="2841" spans="3:8" x14ac:dyDescent="0.3">
      <c r="C2841" s="42"/>
      <c r="D2841" s="42"/>
      <c r="E2841" s="42"/>
      <c r="F2841" s="42"/>
      <c r="G2841" s="42"/>
      <c r="H2841" s="42"/>
    </row>
    <row r="2842" spans="3:8" x14ac:dyDescent="0.3">
      <c r="C2842" s="42"/>
      <c r="D2842" s="42"/>
      <c r="E2842" s="42"/>
      <c r="F2842" s="42"/>
      <c r="G2842" s="42"/>
      <c r="H2842" s="42"/>
    </row>
    <row r="2843" spans="3:8" x14ac:dyDescent="0.3">
      <c r="C2843" s="42"/>
      <c r="D2843" s="42"/>
      <c r="E2843" s="42"/>
      <c r="F2843" s="42"/>
      <c r="G2843" s="42"/>
      <c r="H2843" s="42"/>
    </row>
    <row r="2844" spans="3:8" x14ac:dyDescent="0.3">
      <c r="C2844" s="42"/>
      <c r="D2844" s="42"/>
      <c r="E2844" s="42"/>
      <c r="F2844" s="42"/>
      <c r="G2844" s="42"/>
      <c r="H2844" s="42"/>
    </row>
    <row r="2845" spans="3:8" x14ac:dyDescent="0.3">
      <c r="C2845" s="42"/>
      <c r="D2845" s="42"/>
      <c r="E2845" s="42"/>
      <c r="F2845" s="42"/>
      <c r="G2845" s="42"/>
      <c r="H2845" s="42"/>
    </row>
    <row r="2846" spans="3:8" x14ac:dyDescent="0.3">
      <c r="C2846" s="42"/>
      <c r="D2846" s="42"/>
      <c r="E2846" s="42"/>
      <c r="F2846" s="42"/>
      <c r="G2846" s="42"/>
      <c r="H2846" s="42"/>
    </row>
    <row r="2847" spans="3:8" x14ac:dyDescent="0.3">
      <c r="C2847" s="42"/>
      <c r="D2847" s="42"/>
      <c r="E2847" s="42"/>
      <c r="F2847" s="42"/>
      <c r="G2847" s="42"/>
      <c r="H2847" s="42"/>
    </row>
    <row r="2848" spans="3:8" x14ac:dyDescent="0.3">
      <c r="C2848" s="42"/>
      <c r="D2848" s="42"/>
      <c r="E2848" s="42"/>
      <c r="F2848" s="42"/>
      <c r="G2848" s="42"/>
      <c r="H2848" s="42"/>
    </row>
    <row r="2849" spans="3:8" x14ac:dyDescent="0.3">
      <c r="C2849" s="42"/>
      <c r="D2849" s="42"/>
      <c r="E2849" s="42"/>
      <c r="F2849" s="42"/>
      <c r="G2849" s="42"/>
      <c r="H2849" s="42"/>
    </row>
    <row r="2850" spans="3:8" x14ac:dyDescent="0.3">
      <c r="C2850" s="42"/>
      <c r="D2850" s="42"/>
      <c r="E2850" s="42"/>
      <c r="F2850" s="42"/>
      <c r="G2850" s="42"/>
      <c r="H2850" s="42"/>
    </row>
    <row r="2851" spans="3:8" x14ac:dyDescent="0.3">
      <c r="C2851" s="42"/>
      <c r="D2851" s="42"/>
      <c r="E2851" s="42"/>
      <c r="F2851" s="42"/>
      <c r="G2851" s="42"/>
      <c r="H2851" s="42"/>
    </row>
    <row r="2852" spans="3:8" x14ac:dyDescent="0.3">
      <c r="C2852" s="42"/>
      <c r="D2852" s="42"/>
      <c r="E2852" s="42"/>
      <c r="F2852" s="42"/>
      <c r="G2852" s="42"/>
      <c r="H2852" s="42"/>
    </row>
    <row r="2853" spans="3:8" x14ac:dyDescent="0.3">
      <c r="C2853" s="42"/>
      <c r="D2853" s="42"/>
      <c r="E2853" s="42"/>
      <c r="F2853" s="42"/>
      <c r="G2853" s="42"/>
      <c r="H2853" s="42"/>
    </row>
    <row r="2854" spans="3:8" x14ac:dyDescent="0.3">
      <c r="C2854" s="42"/>
      <c r="D2854" s="42"/>
      <c r="E2854" s="42"/>
      <c r="F2854" s="42"/>
      <c r="G2854" s="42"/>
      <c r="H2854" s="42"/>
    </row>
    <row r="2855" spans="3:8" x14ac:dyDescent="0.3">
      <c r="C2855" s="42"/>
      <c r="D2855" s="42"/>
      <c r="E2855" s="42"/>
      <c r="F2855" s="42"/>
      <c r="G2855" s="42"/>
      <c r="H2855" s="42"/>
    </row>
    <row r="2856" spans="3:8" x14ac:dyDescent="0.3">
      <c r="C2856" s="42"/>
      <c r="D2856" s="42"/>
      <c r="E2856" s="42"/>
      <c r="F2856" s="42"/>
      <c r="G2856" s="42"/>
      <c r="H2856" s="42"/>
    </row>
    <row r="2857" spans="3:8" x14ac:dyDescent="0.3">
      <c r="C2857" s="42"/>
      <c r="D2857" s="42"/>
      <c r="E2857" s="42"/>
      <c r="F2857" s="42"/>
      <c r="G2857" s="42"/>
      <c r="H2857" s="42"/>
    </row>
    <row r="2858" spans="3:8" x14ac:dyDescent="0.3">
      <c r="C2858" s="42"/>
      <c r="D2858" s="42"/>
      <c r="E2858" s="42"/>
      <c r="F2858" s="42"/>
      <c r="G2858" s="42"/>
      <c r="H2858" s="42"/>
    </row>
    <row r="2859" spans="3:8" x14ac:dyDescent="0.3">
      <c r="C2859" s="42"/>
      <c r="D2859" s="42"/>
      <c r="E2859" s="42"/>
      <c r="F2859" s="42"/>
      <c r="G2859" s="42"/>
      <c r="H2859" s="42"/>
    </row>
    <row r="2860" spans="3:8" x14ac:dyDescent="0.3">
      <c r="C2860" s="42"/>
      <c r="D2860" s="42"/>
      <c r="E2860" s="42"/>
      <c r="F2860" s="42"/>
      <c r="G2860" s="42"/>
      <c r="H2860" s="42"/>
    </row>
    <row r="2861" spans="3:8" x14ac:dyDescent="0.3">
      <c r="C2861" s="42"/>
      <c r="D2861" s="42"/>
      <c r="E2861" s="42"/>
      <c r="F2861" s="42"/>
      <c r="G2861" s="42"/>
      <c r="H2861" s="42"/>
    </row>
    <row r="2862" spans="3:8" x14ac:dyDescent="0.3">
      <c r="C2862" s="42"/>
      <c r="D2862" s="42"/>
      <c r="E2862" s="42"/>
      <c r="F2862" s="42"/>
      <c r="G2862" s="42"/>
      <c r="H2862" s="42"/>
    </row>
    <row r="2863" spans="3:8" x14ac:dyDescent="0.3">
      <c r="C2863" s="42"/>
      <c r="D2863" s="42"/>
      <c r="E2863" s="42"/>
      <c r="F2863" s="42"/>
      <c r="G2863" s="42"/>
      <c r="H2863" s="42"/>
    </row>
    <row r="2864" spans="3:8" x14ac:dyDescent="0.3">
      <c r="C2864" s="42"/>
      <c r="D2864" s="42"/>
      <c r="E2864" s="42"/>
      <c r="F2864" s="42"/>
      <c r="G2864" s="42"/>
      <c r="H2864" s="42"/>
    </row>
    <row r="2865" spans="3:8" x14ac:dyDescent="0.3">
      <c r="C2865" s="42"/>
      <c r="D2865" s="42"/>
      <c r="E2865" s="42"/>
      <c r="F2865" s="42"/>
      <c r="G2865" s="42"/>
      <c r="H2865" s="42"/>
    </row>
    <row r="2866" spans="3:8" x14ac:dyDescent="0.3">
      <c r="C2866" s="42"/>
      <c r="D2866" s="42"/>
      <c r="E2866" s="42"/>
      <c r="F2866" s="42"/>
      <c r="G2866" s="42"/>
      <c r="H2866" s="42"/>
    </row>
    <row r="2867" spans="3:8" x14ac:dyDescent="0.3">
      <c r="C2867" s="42"/>
      <c r="D2867" s="42"/>
      <c r="E2867" s="42"/>
      <c r="F2867" s="42"/>
      <c r="G2867" s="42"/>
      <c r="H2867" s="42"/>
    </row>
    <row r="2868" spans="3:8" x14ac:dyDescent="0.3">
      <c r="C2868" s="42"/>
      <c r="D2868" s="42"/>
      <c r="E2868" s="42"/>
      <c r="F2868" s="42"/>
      <c r="G2868" s="42"/>
      <c r="H2868" s="42"/>
    </row>
    <row r="2869" spans="3:8" x14ac:dyDescent="0.3">
      <c r="C2869" s="42"/>
      <c r="D2869" s="42"/>
      <c r="E2869" s="42"/>
      <c r="F2869" s="42"/>
      <c r="G2869" s="42"/>
      <c r="H2869" s="42"/>
    </row>
    <row r="2870" spans="3:8" x14ac:dyDescent="0.3">
      <c r="C2870" s="42"/>
      <c r="D2870" s="42"/>
      <c r="E2870" s="42"/>
      <c r="F2870" s="42"/>
      <c r="G2870" s="42"/>
      <c r="H2870" s="42"/>
    </row>
    <row r="2871" spans="3:8" x14ac:dyDescent="0.3">
      <c r="C2871" s="42"/>
      <c r="D2871" s="42"/>
      <c r="E2871" s="42"/>
      <c r="F2871" s="42"/>
      <c r="G2871" s="42"/>
      <c r="H2871" s="42"/>
    </row>
    <row r="2872" spans="3:8" x14ac:dyDescent="0.3">
      <c r="C2872" s="42"/>
      <c r="D2872" s="42"/>
      <c r="E2872" s="42"/>
      <c r="F2872" s="42"/>
      <c r="G2872" s="42"/>
      <c r="H2872" s="42"/>
    </row>
    <row r="2873" spans="3:8" x14ac:dyDescent="0.3">
      <c r="C2873" s="42"/>
      <c r="D2873" s="42"/>
      <c r="E2873" s="42"/>
      <c r="F2873" s="42"/>
      <c r="G2873" s="42"/>
      <c r="H2873" s="42"/>
    </row>
    <row r="2874" spans="3:8" x14ac:dyDescent="0.3">
      <c r="C2874" s="42"/>
      <c r="D2874" s="42"/>
      <c r="E2874" s="42"/>
      <c r="F2874" s="42"/>
      <c r="G2874" s="42"/>
      <c r="H2874" s="42"/>
    </row>
    <row r="2875" spans="3:8" x14ac:dyDescent="0.3">
      <c r="C2875" s="42"/>
      <c r="D2875" s="42"/>
      <c r="E2875" s="42"/>
      <c r="F2875" s="42"/>
      <c r="G2875" s="42"/>
      <c r="H2875" s="42"/>
    </row>
    <row r="2876" spans="3:8" x14ac:dyDescent="0.3">
      <c r="C2876" s="42"/>
      <c r="D2876" s="42"/>
      <c r="E2876" s="42"/>
      <c r="F2876" s="42"/>
      <c r="G2876" s="42"/>
      <c r="H2876" s="42"/>
    </row>
    <row r="2877" spans="3:8" x14ac:dyDescent="0.3">
      <c r="C2877" s="42"/>
      <c r="D2877" s="42"/>
      <c r="E2877" s="42"/>
      <c r="F2877" s="42"/>
      <c r="G2877" s="42"/>
      <c r="H2877" s="42"/>
    </row>
    <row r="2878" spans="3:8" x14ac:dyDescent="0.3">
      <c r="C2878" s="42"/>
      <c r="D2878" s="42"/>
      <c r="E2878" s="42"/>
      <c r="F2878" s="42"/>
      <c r="G2878" s="42"/>
      <c r="H2878" s="42"/>
    </row>
    <row r="2879" spans="3:8" x14ac:dyDescent="0.3">
      <c r="C2879" s="42"/>
      <c r="D2879" s="42"/>
      <c r="E2879" s="42"/>
      <c r="F2879" s="42"/>
      <c r="G2879" s="42"/>
      <c r="H2879" s="42"/>
    </row>
    <row r="2880" spans="3:8" x14ac:dyDescent="0.3">
      <c r="C2880" s="42"/>
      <c r="D2880" s="42"/>
      <c r="E2880" s="42"/>
      <c r="F2880" s="42"/>
      <c r="G2880" s="42"/>
      <c r="H2880" s="42"/>
    </row>
    <row r="2881" spans="3:8" x14ac:dyDescent="0.3">
      <c r="C2881" s="42"/>
      <c r="D2881" s="42"/>
      <c r="E2881" s="42"/>
      <c r="F2881" s="42"/>
      <c r="G2881" s="42"/>
      <c r="H2881" s="42"/>
    </row>
    <row r="2882" spans="3:8" x14ac:dyDescent="0.3">
      <c r="C2882" s="42"/>
      <c r="D2882" s="42"/>
      <c r="E2882" s="42"/>
      <c r="F2882" s="42"/>
      <c r="G2882" s="42"/>
      <c r="H2882" s="42"/>
    </row>
    <row r="2883" spans="3:8" x14ac:dyDescent="0.3">
      <c r="C2883" s="42"/>
      <c r="D2883" s="42"/>
      <c r="E2883" s="42"/>
      <c r="F2883" s="42"/>
      <c r="G2883" s="42"/>
      <c r="H2883" s="42"/>
    </row>
    <row r="2884" spans="3:8" x14ac:dyDescent="0.3">
      <c r="C2884" s="42"/>
      <c r="D2884" s="42"/>
      <c r="E2884" s="42"/>
      <c r="F2884" s="42"/>
      <c r="G2884" s="42"/>
      <c r="H2884" s="42"/>
    </row>
    <row r="2885" spans="3:8" x14ac:dyDescent="0.3">
      <c r="C2885" s="42"/>
      <c r="D2885" s="42"/>
      <c r="E2885" s="42"/>
      <c r="F2885" s="42"/>
      <c r="G2885" s="42"/>
      <c r="H2885" s="42"/>
    </row>
    <row r="2886" spans="3:8" x14ac:dyDescent="0.3">
      <c r="C2886" s="42"/>
      <c r="D2886" s="42"/>
      <c r="E2886" s="42"/>
      <c r="F2886" s="42"/>
      <c r="G2886" s="42"/>
      <c r="H2886" s="42"/>
    </row>
    <row r="2887" spans="3:8" x14ac:dyDescent="0.3">
      <c r="C2887" s="42"/>
      <c r="D2887" s="42"/>
      <c r="E2887" s="42"/>
      <c r="F2887" s="42"/>
      <c r="G2887" s="42"/>
      <c r="H2887" s="42"/>
    </row>
    <row r="2888" spans="3:8" x14ac:dyDescent="0.3">
      <c r="C2888" s="42"/>
      <c r="D2888" s="42"/>
      <c r="E2888" s="42"/>
      <c r="F2888" s="42"/>
      <c r="G2888" s="42"/>
      <c r="H2888" s="42"/>
    </row>
    <row r="2889" spans="3:8" x14ac:dyDescent="0.3">
      <c r="C2889" s="42"/>
      <c r="D2889" s="42"/>
      <c r="E2889" s="42"/>
      <c r="F2889" s="42"/>
      <c r="G2889" s="42"/>
      <c r="H2889" s="42"/>
    </row>
    <row r="2890" spans="3:8" x14ac:dyDescent="0.3">
      <c r="C2890" s="42"/>
      <c r="D2890" s="42"/>
      <c r="E2890" s="42"/>
      <c r="F2890" s="42"/>
      <c r="G2890" s="42"/>
      <c r="H2890" s="42"/>
    </row>
    <row r="2891" spans="3:8" x14ac:dyDescent="0.3">
      <c r="C2891" s="42"/>
      <c r="D2891" s="42"/>
      <c r="E2891" s="42"/>
      <c r="F2891" s="42"/>
      <c r="G2891" s="42"/>
      <c r="H2891" s="42"/>
    </row>
    <row r="2892" spans="3:8" x14ac:dyDescent="0.3">
      <c r="C2892" s="42"/>
      <c r="D2892" s="42"/>
      <c r="E2892" s="42"/>
      <c r="F2892" s="42"/>
      <c r="G2892" s="42"/>
      <c r="H2892" s="42"/>
    </row>
    <row r="2893" spans="3:8" x14ac:dyDescent="0.3">
      <c r="C2893" s="42"/>
      <c r="D2893" s="42"/>
      <c r="E2893" s="42"/>
      <c r="F2893" s="42"/>
      <c r="G2893" s="42"/>
      <c r="H2893" s="42"/>
    </row>
    <row r="2894" spans="3:8" x14ac:dyDescent="0.3">
      <c r="C2894" s="42"/>
      <c r="D2894" s="42"/>
      <c r="E2894" s="42"/>
      <c r="F2894" s="42"/>
      <c r="G2894" s="42"/>
      <c r="H2894" s="42"/>
    </row>
    <row r="2895" spans="3:8" x14ac:dyDescent="0.3">
      <c r="C2895" s="42"/>
      <c r="D2895" s="42"/>
      <c r="E2895" s="42"/>
      <c r="F2895" s="42"/>
      <c r="G2895" s="42"/>
      <c r="H2895" s="42"/>
    </row>
    <row r="2896" spans="3:8" x14ac:dyDescent="0.3">
      <c r="C2896" s="42"/>
      <c r="D2896" s="42"/>
      <c r="E2896" s="42"/>
      <c r="F2896" s="42"/>
      <c r="G2896" s="42"/>
      <c r="H2896" s="42"/>
    </row>
    <row r="2897" spans="3:8" x14ac:dyDescent="0.3">
      <c r="C2897" s="42"/>
      <c r="D2897" s="42"/>
      <c r="E2897" s="42"/>
      <c r="F2897" s="42"/>
      <c r="G2897" s="42"/>
      <c r="H2897" s="42"/>
    </row>
    <row r="2898" spans="3:8" x14ac:dyDescent="0.3">
      <c r="C2898" s="42"/>
      <c r="D2898" s="42"/>
      <c r="E2898" s="42"/>
      <c r="F2898" s="42"/>
      <c r="G2898" s="42"/>
      <c r="H2898" s="42"/>
    </row>
    <row r="2899" spans="3:8" x14ac:dyDescent="0.3">
      <c r="C2899" s="42"/>
      <c r="D2899" s="42"/>
      <c r="E2899" s="42"/>
      <c r="F2899" s="42"/>
      <c r="G2899" s="42"/>
      <c r="H2899" s="42"/>
    </row>
    <row r="2900" spans="3:8" x14ac:dyDescent="0.3">
      <c r="C2900" s="42"/>
      <c r="D2900" s="42"/>
      <c r="E2900" s="42"/>
      <c r="F2900" s="42"/>
      <c r="G2900" s="42"/>
      <c r="H2900" s="42"/>
    </row>
    <row r="2901" spans="3:8" x14ac:dyDescent="0.3">
      <c r="C2901" s="42"/>
      <c r="D2901" s="42"/>
      <c r="E2901" s="42"/>
      <c r="F2901" s="42"/>
      <c r="G2901" s="42"/>
      <c r="H2901" s="42"/>
    </row>
    <row r="2902" spans="3:8" x14ac:dyDescent="0.3">
      <c r="C2902" s="42"/>
      <c r="D2902" s="42"/>
      <c r="E2902" s="42"/>
      <c r="F2902" s="42"/>
      <c r="G2902" s="42"/>
      <c r="H2902" s="42"/>
    </row>
    <row r="2903" spans="3:8" x14ac:dyDescent="0.3">
      <c r="C2903" s="42"/>
      <c r="D2903" s="42"/>
      <c r="E2903" s="42"/>
      <c r="F2903" s="42"/>
      <c r="G2903" s="42"/>
      <c r="H2903" s="42"/>
    </row>
    <row r="2904" spans="3:8" x14ac:dyDescent="0.3">
      <c r="C2904" s="42"/>
      <c r="D2904" s="42"/>
      <c r="E2904" s="42"/>
      <c r="F2904" s="42"/>
      <c r="G2904" s="42"/>
      <c r="H2904" s="42"/>
    </row>
    <row r="2905" spans="3:8" x14ac:dyDescent="0.3">
      <c r="C2905" s="42"/>
      <c r="D2905" s="42"/>
      <c r="E2905" s="42"/>
      <c r="F2905" s="42"/>
      <c r="G2905" s="42"/>
      <c r="H2905" s="42"/>
    </row>
    <row r="2906" spans="3:8" x14ac:dyDescent="0.3">
      <c r="C2906" s="42"/>
      <c r="D2906" s="42"/>
      <c r="E2906" s="42"/>
      <c r="F2906" s="42"/>
      <c r="G2906" s="42"/>
      <c r="H2906" s="42"/>
    </row>
    <row r="2907" spans="3:8" x14ac:dyDescent="0.3">
      <c r="C2907" s="42"/>
      <c r="D2907" s="42"/>
      <c r="E2907" s="42"/>
      <c r="F2907" s="42"/>
      <c r="G2907" s="42"/>
      <c r="H2907" s="42"/>
    </row>
    <row r="2908" spans="3:8" x14ac:dyDescent="0.3">
      <c r="C2908" s="42"/>
      <c r="D2908" s="42"/>
      <c r="E2908" s="42"/>
      <c r="F2908" s="42"/>
      <c r="G2908" s="42"/>
      <c r="H2908" s="42"/>
    </row>
    <row r="2909" spans="3:8" x14ac:dyDescent="0.3">
      <c r="C2909" s="42"/>
      <c r="D2909" s="42"/>
      <c r="E2909" s="42"/>
      <c r="F2909" s="42"/>
      <c r="G2909" s="42"/>
      <c r="H2909" s="42"/>
    </row>
    <row r="2910" spans="3:8" x14ac:dyDescent="0.3">
      <c r="C2910" s="42"/>
      <c r="D2910" s="42"/>
      <c r="E2910" s="42"/>
      <c r="F2910" s="42"/>
      <c r="G2910" s="42"/>
      <c r="H2910" s="42"/>
    </row>
    <row r="2911" spans="3:8" x14ac:dyDescent="0.3">
      <c r="C2911" s="42"/>
      <c r="D2911" s="42"/>
      <c r="E2911" s="42"/>
      <c r="F2911" s="42"/>
      <c r="G2911" s="42"/>
      <c r="H2911" s="42"/>
    </row>
    <row r="2912" spans="3:8" x14ac:dyDescent="0.3">
      <c r="C2912" s="42"/>
      <c r="D2912" s="42"/>
      <c r="E2912" s="42"/>
      <c r="F2912" s="42"/>
      <c r="G2912" s="42"/>
      <c r="H2912" s="42"/>
    </row>
    <row r="2913" spans="3:8" x14ac:dyDescent="0.3">
      <c r="C2913" s="42"/>
      <c r="D2913" s="42"/>
      <c r="E2913" s="42"/>
      <c r="F2913" s="42"/>
      <c r="G2913" s="42"/>
      <c r="H2913" s="42"/>
    </row>
    <row r="2914" spans="3:8" x14ac:dyDescent="0.3">
      <c r="C2914" s="42"/>
      <c r="D2914" s="42"/>
      <c r="E2914" s="42"/>
      <c r="F2914" s="42"/>
      <c r="G2914" s="42"/>
      <c r="H2914" s="42"/>
    </row>
    <row r="2915" spans="3:8" x14ac:dyDescent="0.3">
      <c r="C2915" s="42"/>
      <c r="D2915" s="42"/>
      <c r="E2915" s="42"/>
      <c r="F2915" s="42"/>
      <c r="G2915" s="42"/>
      <c r="H2915" s="42"/>
    </row>
    <row r="2916" spans="3:8" x14ac:dyDescent="0.3">
      <c r="C2916" s="42"/>
      <c r="D2916" s="42"/>
      <c r="E2916" s="42"/>
      <c r="F2916" s="42"/>
      <c r="G2916" s="42"/>
      <c r="H2916" s="42"/>
    </row>
    <row r="2917" spans="3:8" x14ac:dyDescent="0.3">
      <c r="C2917" s="42"/>
      <c r="D2917" s="42"/>
      <c r="E2917" s="42"/>
      <c r="F2917" s="42"/>
      <c r="G2917" s="42"/>
      <c r="H2917" s="42"/>
    </row>
    <row r="2918" spans="3:8" x14ac:dyDescent="0.3">
      <c r="C2918" s="42"/>
      <c r="D2918" s="42"/>
      <c r="E2918" s="42"/>
      <c r="F2918" s="42"/>
      <c r="G2918" s="42"/>
      <c r="H2918" s="42"/>
    </row>
    <row r="2919" spans="3:8" x14ac:dyDescent="0.3">
      <c r="C2919" s="42"/>
      <c r="D2919" s="42"/>
      <c r="E2919" s="42"/>
      <c r="F2919" s="42"/>
      <c r="G2919" s="42"/>
      <c r="H2919" s="42"/>
    </row>
    <row r="2920" spans="3:8" x14ac:dyDescent="0.3">
      <c r="C2920" s="42"/>
      <c r="D2920" s="42"/>
      <c r="E2920" s="42"/>
      <c r="F2920" s="42"/>
      <c r="G2920" s="42"/>
      <c r="H2920" s="42"/>
    </row>
    <row r="2921" spans="3:8" x14ac:dyDescent="0.3">
      <c r="C2921" s="42"/>
      <c r="D2921" s="42"/>
      <c r="E2921" s="42"/>
      <c r="F2921" s="42"/>
      <c r="G2921" s="42"/>
      <c r="H2921" s="42"/>
    </row>
    <row r="2922" spans="3:8" x14ac:dyDescent="0.3">
      <c r="C2922" s="42"/>
      <c r="D2922" s="42"/>
      <c r="E2922" s="42"/>
      <c r="F2922" s="42"/>
      <c r="G2922" s="42"/>
      <c r="H2922" s="42"/>
    </row>
    <row r="2923" spans="3:8" x14ac:dyDescent="0.3">
      <c r="C2923" s="42"/>
      <c r="D2923" s="42"/>
      <c r="E2923" s="42"/>
      <c r="F2923" s="42"/>
      <c r="G2923" s="42"/>
      <c r="H2923" s="42"/>
    </row>
    <row r="2924" spans="3:8" x14ac:dyDescent="0.3">
      <c r="C2924" s="42"/>
      <c r="D2924" s="42"/>
      <c r="E2924" s="42"/>
      <c r="F2924" s="42"/>
      <c r="G2924" s="42"/>
      <c r="H2924" s="42"/>
    </row>
    <row r="2925" spans="3:8" x14ac:dyDescent="0.3">
      <c r="C2925" s="42"/>
      <c r="D2925" s="42"/>
      <c r="E2925" s="42"/>
      <c r="F2925" s="42"/>
      <c r="G2925" s="42"/>
      <c r="H2925" s="42"/>
    </row>
    <row r="2926" spans="3:8" x14ac:dyDescent="0.3">
      <c r="C2926" s="42"/>
      <c r="D2926" s="42"/>
      <c r="E2926" s="42"/>
      <c r="F2926" s="42"/>
      <c r="G2926" s="42"/>
      <c r="H2926" s="42"/>
    </row>
    <row r="2927" spans="3:8" x14ac:dyDescent="0.3">
      <c r="C2927" s="42"/>
      <c r="D2927" s="42"/>
      <c r="E2927" s="42"/>
      <c r="F2927" s="42"/>
      <c r="G2927" s="42"/>
      <c r="H2927" s="42"/>
    </row>
    <row r="2928" spans="3:8" x14ac:dyDescent="0.3">
      <c r="C2928" s="42"/>
      <c r="D2928" s="42"/>
      <c r="E2928" s="42"/>
      <c r="F2928" s="42"/>
      <c r="G2928" s="42"/>
      <c r="H2928" s="42"/>
    </row>
    <row r="2929" spans="3:8" x14ac:dyDescent="0.3">
      <c r="C2929" s="42"/>
      <c r="D2929" s="42"/>
      <c r="E2929" s="42"/>
      <c r="F2929" s="42"/>
      <c r="G2929" s="42"/>
      <c r="H2929" s="42"/>
    </row>
    <row r="2930" spans="3:8" x14ac:dyDescent="0.3">
      <c r="C2930" s="42"/>
      <c r="D2930" s="42"/>
      <c r="E2930" s="42"/>
      <c r="F2930" s="42"/>
      <c r="G2930" s="42"/>
      <c r="H2930" s="42"/>
    </row>
    <row r="2931" spans="3:8" x14ac:dyDescent="0.3">
      <c r="C2931" s="42"/>
      <c r="D2931" s="42"/>
      <c r="E2931" s="42"/>
      <c r="F2931" s="42"/>
      <c r="G2931" s="42"/>
      <c r="H2931" s="42"/>
    </row>
    <row r="2932" spans="3:8" x14ac:dyDescent="0.3">
      <c r="C2932" s="42"/>
      <c r="D2932" s="42"/>
      <c r="E2932" s="42"/>
      <c r="F2932" s="42"/>
      <c r="G2932" s="42"/>
      <c r="H2932" s="42"/>
    </row>
    <row r="2933" spans="3:8" x14ac:dyDescent="0.3">
      <c r="C2933" s="42"/>
      <c r="D2933" s="42"/>
      <c r="E2933" s="42"/>
      <c r="F2933" s="42"/>
      <c r="G2933" s="42"/>
      <c r="H2933" s="42"/>
    </row>
    <row r="2934" spans="3:8" x14ac:dyDescent="0.3">
      <c r="C2934" s="42"/>
      <c r="D2934" s="42"/>
      <c r="E2934" s="42"/>
      <c r="F2934" s="42"/>
      <c r="G2934" s="42"/>
      <c r="H2934" s="42"/>
    </row>
    <row r="2935" spans="3:8" x14ac:dyDescent="0.3">
      <c r="C2935" s="42"/>
      <c r="D2935" s="42"/>
      <c r="E2935" s="42"/>
      <c r="F2935" s="42"/>
      <c r="G2935" s="42"/>
      <c r="H2935" s="42"/>
    </row>
    <row r="2936" spans="3:8" x14ac:dyDescent="0.3">
      <c r="C2936" s="42"/>
      <c r="D2936" s="42"/>
      <c r="E2936" s="42"/>
      <c r="F2936" s="42"/>
      <c r="G2936" s="42"/>
      <c r="H2936" s="42"/>
    </row>
    <row r="2937" spans="3:8" x14ac:dyDescent="0.3">
      <c r="C2937" s="42"/>
      <c r="D2937" s="42"/>
      <c r="E2937" s="42"/>
      <c r="F2937" s="42"/>
      <c r="G2937" s="42"/>
      <c r="H2937" s="42"/>
    </row>
    <row r="2938" spans="3:8" x14ac:dyDescent="0.3">
      <c r="C2938" s="42"/>
      <c r="D2938" s="42"/>
      <c r="E2938" s="42"/>
      <c r="F2938" s="42"/>
      <c r="G2938" s="42"/>
      <c r="H2938" s="42"/>
    </row>
    <row r="2939" spans="3:8" x14ac:dyDescent="0.3">
      <c r="C2939" s="42"/>
      <c r="D2939" s="42"/>
      <c r="E2939" s="42"/>
      <c r="F2939" s="42"/>
      <c r="G2939" s="42"/>
      <c r="H2939" s="42"/>
    </row>
    <row r="2940" spans="3:8" x14ac:dyDescent="0.3">
      <c r="C2940" s="42"/>
      <c r="D2940" s="42"/>
      <c r="E2940" s="42"/>
      <c r="F2940" s="42"/>
      <c r="G2940" s="42"/>
      <c r="H2940" s="42"/>
    </row>
    <row r="2941" spans="3:8" x14ac:dyDescent="0.3">
      <c r="C2941" s="42"/>
      <c r="D2941" s="42"/>
      <c r="E2941" s="42"/>
      <c r="F2941" s="42"/>
      <c r="G2941" s="42"/>
      <c r="H2941" s="42"/>
    </row>
    <row r="2942" spans="3:8" x14ac:dyDescent="0.3">
      <c r="C2942" s="42"/>
      <c r="D2942" s="42"/>
      <c r="E2942" s="42"/>
      <c r="F2942" s="42"/>
      <c r="G2942" s="42"/>
      <c r="H2942" s="42"/>
    </row>
    <row r="2943" spans="3:8" x14ac:dyDescent="0.3">
      <c r="C2943" s="42"/>
      <c r="D2943" s="42"/>
      <c r="E2943" s="42"/>
      <c r="F2943" s="42"/>
      <c r="G2943" s="42"/>
      <c r="H2943" s="42"/>
    </row>
    <row r="2944" spans="3:8" x14ac:dyDescent="0.3">
      <c r="C2944" s="42"/>
      <c r="D2944" s="42"/>
      <c r="E2944" s="42"/>
      <c r="F2944" s="42"/>
      <c r="G2944" s="42"/>
      <c r="H2944" s="42"/>
    </row>
    <row r="2945" spans="3:8" x14ac:dyDescent="0.3">
      <c r="C2945" s="42"/>
      <c r="D2945" s="42"/>
      <c r="E2945" s="42"/>
      <c r="F2945" s="42"/>
      <c r="G2945" s="42"/>
      <c r="H2945" s="42"/>
    </row>
    <row r="2946" spans="3:8" x14ac:dyDescent="0.3">
      <c r="C2946" s="42"/>
      <c r="D2946" s="42"/>
      <c r="E2946" s="42"/>
      <c r="F2946" s="42"/>
      <c r="G2946" s="42"/>
      <c r="H2946" s="42"/>
    </row>
    <row r="2947" spans="3:8" x14ac:dyDescent="0.3">
      <c r="C2947" s="42"/>
      <c r="D2947" s="42"/>
      <c r="E2947" s="42"/>
      <c r="F2947" s="42"/>
      <c r="G2947" s="42"/>
      <c r="H2947" s="42"/>
    </row>
    <row r="2948" spans="3:8" x14ac:dyDescent="0.3">
      <c r="C2948" s="42"/>
      <c r="D2948" s="42"/>
      <c r="E2948" s="42"/>
      <c r="F2948" s="42"/>
      <c r="G2948" s="42"/>
      <c r="H2948" s="42"/>
    </row>
    <row r="2949" spans="3:8" x14ac:dyDescent="0.3">
      <c r="C2949" s="42"/>
      <c r="D2949" s="42"/>
      <c r="E2949" s="42"/>
      <c r="F2949" s="42"/>
      <c r="G2949" s="42"/>
      <c r="H2949" s="42"/>
    </row>
    <row r="2950" spans="3:8" x14ac:dyDescent="0.3">
      <c r="C2950" s="42"/>
      <c r="D2950" s="42"/>
      <c r="E2950" s="42"/>
      <c r="F2950" s="42"/>
      <c r="G2950" s="42"/>
      <c r="H2950" s="42"/>
    </row>
    <row r="2951" spans="3:8" x14ac:dyDescent="0.3">
      <c r="C2951" s="42"/>
      <c r="D2951" s="42"/>
      <c r="E2951" s="42"/>
      <c r="F2951" s="42"/>
      <c r="G2951" s="42"/>
      <c r="H2951" s="42"/>
    </row>
    <row r="2952" spans="3:8" x14ac:dyDescent="0.3">
      <c r="C2952" s="42"/>
      <c r="D2952" s="42"/>
      <c r="E2952" s="42"/>
      <c r="F2952" s="42"/>
      <c r="G2952" s="42"/>
      <c r="H2952" s="42"/>
    </row>
    <row r="2953" spans="3:8" x14ac:dyDescent="0.3">
      <c r="C2953" s="42"/>
      <c r="D2953" s="42"/>
      <c r="E2953" s="42"/>
      <c r="F2953" s="42"/>
      <c r="G2953" s="42"/>
      <c r="H2953" s="42"/>
    </row>
    <row r="2954" spans="3:8" x14ac:dyDescent="0.3">
      <c r="C2954" s="42"/>
      <c r="D2954" s="42"/>
      <c r="E2954" s="42"/>
      <c r="F2954" s="42"/>
      <c r="G2954" s="42"/>
      <c r="H2954" s="42"/>
    </row>
    <row r="2955" spans="3:8" x14ac:dyDescent="0.3">
      <c r="C2955" s="42"/>
      <c r="D2955" s="42"/>
      <c r="E2955" s="42"/>
      <c r="F2955" s="42"/>
      <c r="G2955" s="42"/>
      <c r="H2955" s="42"/>
    </row>
    <row r="2956" spans="3:8" x14ac:dyDescent="0.3">
      <c r="C2956" s="42"/>
      <c r="D2956" s="42"/>
      <c r="E2956" s="42"/>
      <c r="F2956" s="42"/>
      <c r="G2956" s="42"/>
      <c r="H2956" s="42"/>
    </row>
    <row r="2957" spans="3:8" x14ac:dyDescent="0.3">
      <c r="C2957" s="42"/>
      <c r="D2957" s="42"/>
      <c r="E2957" s="42"/>
      <c r="F2957" s="42"/>
      <c r="G2957" s="42"/>
      <c r="H2957" s="42"/>
    </row>
    <row r="2958" spans="3:8" x14ac:dyDescent="0.3">
      <c r="C2958" s="42"/>
      <c r="D2958" s="42"/>
      <c r="E2958" s="42"/>
      <c r="F2958" s="42"/>
      <c r="G2958" s="42"/>
      <c r="H2958" s="42"/>
    </row>
    <row r="2959" spans="3:8" x14ac:dyDescent="0.3">
      <c r="C2959" s="42"/>
      <c r="D2959" s="42"/>
      <c r="E2959" s="42"/>
      <c r="F2959" s="42"/>
      <c r="G2959" s="42"/>
      <c r="H2959" s="42"/>
    </row>
    <row r="2960" spans="3:8" x14ac:dyDescent="0.3">
      <c r="C2960" s="42"/>
      <c r="D2960" s="42"/>
      <c r="E2960" s="42"/>
      <c r="F2960" s="42"/>
      <c r="G2960" s="42"/>
      <c r="H2960" s="42"/>
    </row>
    <row r="2961" spans="3:8" x14ac:dyDescent="0.3">
      <c r="C2961" s="42"/>
      <c r="D2961" s="42"/>
      <c r="E2961" s="42"/>
      <c r="F2961" s="42"/>
      <c r="G2961" s="42"/>
      <c r="H2961" s="42"/>
    </row>
    <row r="2962" spans="3:8" x14ac:dyDescent="0.3">
      <c r="C2962" s="42"/>
      <c r="D2962" s="42"/>
      <c r="E2962" s="42"/>
      <c r="F2962" s="42"/>
      <c r="G2962" s="42"/>
      <c r="H2962" s="42"/>
    </row>
    <row r="2963" spans="3:8" x14ac:dyDescent="0.3">
      <c r="C2963" s="42"/>
      <c r="D2963" s="42"/>
      <c r="E2963" s="42"/>
      <c r="F2963" s="42"/>
      <c r="G2963" s="42"/>
      <c r="H2963" s="42"/>
    </row>
    <row r="2964" spans="3:8" x14ac:dyDescent="0.3">
      <c r="C2964" s="42"/>
      <c r="D2964" s="42"/>
      <c r="E2964" s="42"/>
      <c r="F2964" s="42"/>
      <c r="G2964" s="42"/>
      <c r="H2964" s="42"/>
    </row>
    <row r="2965" spans="3:8" x14ac:dyDescent="0.3">
      <c r="C2965" s="42"/>
      <c r="D2965" s="42"/>
      <c r="E2965" s="42"/>
      <c r="F2965" s="42"/>
      <c r="G2965" s="42"/>
      <c r="H2965" s="42"/>
    </row>
    <row r="2966" spans="3:8" x14ac:dyDescent="0.3">
      <c r="C2966" s="42"/>
      <c r="D2966" s="42"/>
      <c r="E2966" s="42"/>
      <c r="F2966" s="42"/>
      <c r="G2966" s="42"/>
      <c r="H2966" s="42"/>
    </row>
    <row r="2967" spans="3:8" x14ac:dyDescent="0.3">
      <c r="C2967" s="42"/>
      <c r="D2967" s="42"/>
      <c r="E2967" s="42"/>
      <c r="F2967" s="42"/>
      <c r="G2967" s="42"/>
      <c r="H2967" s="42"/>
    </row>
    <row r="2968" spans="3:8" x14ac:dyDescent="0.3">
      <c r="C2968" s="42"/>
      <c r="D2968" s="42"/>
      <c r="E2968" s="42"/>
      <c r="F2968" s="42"/>
      <c r="G2968" s="42"/>
      <c r="H2968" s="42"/>
    </row>
    <row r="2969" spans="3:8" x14ac:dyDescent="0.3">
      <c r="C2969" s="42"/>
      <c r="D2969" s="42"/>
      <c r="E2969" s="42"/>
      <c r="F2969" s="42"/>
      <c r="G2969" s="42"/>
      <c r="H2969" s="42"/>
    </row>
    <row r="2970" spans="3:8" x14ac:dyDescent="0.3">
      <c r="C2970" s="42"/>
      <c r="D2970" s="42"/>
      <c r="E2970" s="42"/>
      <c r="F2970" s="42"/>
      <c r="G2970" s="42"/>
      <c r="H2970" s="42"/>
    </row>
    <row r="2971" spans="3:8" x14ac:dyDescent="0.3">
      <c r="C2971" s="42"/>
      <c r="D2971" s="42"/>
      <c r="E2971" s="42"/>
      <c r="F2971" s="42"/>
      <c r="G2971" s="42"/>
      <c r="H2971" s="42"/>
    </row>
    <row r="2972" spans="3:8" x14ac:dyDescent="0.3">
      <c r="C2972" s="42"/>
      <c r="D2972" s="42"/>
      <c r="E2972" s="42"/>
      <c r="F2972" s="42"/>
      <c r="G2972" s="42"/>
      <c r="H2972" s="42"/>
    </row>
    <row r="2973" spans="3:8" x14ac:dyDescent="0.3">
      <c r="C2973" s="42"/>
      <c r="D2973" s="42"/>
      <c r="E2973" s="42"/>
      <c r="F2973" s="42"/>
      <c r="G2973" s="42"/>
      <c r="H2973" s="42"/>
    </row>
    <row r="2974" spans="3:8" x14ac:dyDescent="0.3">
      <c r="C2974" s="42"/>
      <c r="D2974" s="42"/>
      <c r="E2974" s="42"/>
      <c r="F2974" s="42"/>
      <c r="G2974" s="42"/>
      <c r="H2974" s="42"/>
    </row>
    <row r="2975" spans="3:8" x14ac:dyDescent="0.3">
      <c r="C2975" s="42"/>
      <c r="D2975" s="42"/>
      <c r="E2975" s="42"/>
      <c r="F2975" s="42"/>
      <c r="G2975" s="42"/>
      <c r="H2975" s="42"/>
    </row>
    <row r="2976" spans="3:8" x14ac:dyDescent="0.3">
      <c r="C2976" s="42"/>
      <c r="D2976" s="42"/>
      <c r="E2976" s="42"/>
      <c r="F2976" s="42"/>
      <c r="G2976" s="42"/>
      <c r="H2976" s="42"/>
    </row>
    <row r="2977" spans="3:8" x14ac:dyDescent="0.3">
      <c r="C2977" s="42"/>
      <c r="D2977" s="42"/>
      <c r="E2977" s="42"/>
      <c r="F2977" s="42"/>
      <c r="G2977" s="42"/>
      <c r="H2977" s="42"/>
    </row>
    <row r="2978" spans="3:8" x14ac:dyDescent="0.3">
      <c r="C2978" s="42"/>
      <c r="D2978" s="42"/>
      <c r="E2978" s="42"/>
      <c r="F2978" s="42"/>
      <c r="G2978" s="42"/>
      <c r="H2978" s="42"/>
    </row>
    <row r="2979" spans="3:8" x14ac:dyDescent="0.3">
      <c r="C2979" s="42"/>
      <c r="D2979" s="42"/>
      <c r="E2979" s="42"/>
      <c r="F2979" s="42"/>
      <c r="G2979" s="42"/>
      <c r="H2979" s="42"/>
    </row>
    <row r="2980" spans="3:8" x14ac:dyDescent="0.3">
      <c r="C2980" s="42"/>
      <c r="D2980" s="42"/>
      <c r="E2980" s="42"/>
      <c r="F2980" s="42"/>
      <c r="G2980" s="42"/>
      <c r="H2980" s="42"/>
    </row>
    <row r="2981" spans="3:8" x14ac:dyDescent="0.3">
      <c r="C2981" s="42"/>
      <c r="D2981" s="42"/>
      <c r="E2981" s="42"/>
      <c r="F2981" s="42"/>
      <c r="G2981" s="42"/>
      <c r="H2981" s="42"/>
    </row>
    <row r="2982" spans="3:8" x14ac:dyDescent="0.3">
      <c r="C2982" s="42"/>
      <c r="D2982" s="42"/>
      <c r="E2982" s="42"/>
      <c r="F2982" s="42"/>
      <c r="G2982" s="42"/>
      <c r="H2982" s="42"/>
    </row>
    <row r="2983" spans="3:8" x14ac:dyDescent="0.3">
      <c r="C2983" s="42"/>
      <c r="D2983" s="42"/>
      <c r="E2983" s="42"/>
      <c r="F2983" s="42"/>
      <c r="G2983" s="42"/>
      <c r="H2983" s="42"/>
    </row>
    <row r="2984" spans="3:8" x14ac:dyDescent="0.3">
      <c r="C2984" s="42"/>
      <c r="D2984" s="42"/>
      <c r="E2984" s="42"/>
      <c r="F2984" s="42"/>
      <c r="G2984" s="42"/>
      <c r="H2984" s="42"/>
    </row>
    <row r="2985" spans="3:8" x14ac:dyDescent="0.3">
      <c r="C2985" s="42"/>
      <c r="D2985" s="42"/>
      <c r="E2985" s="42"/>
      <c r="F2985" s="42"/>
      <c r="G2985" s="42"/>
      <c r="H2985" s="42"/>
    </row>
    <row r="2986" spans="3:8" x14ac:dyDescent="0.3">
      <c r="C2986" s="42"/>
      <c r="D2986" s="42"/>
      <c r="E2986" s="42"/>
      <c r="F2986" s="42"/>
      <c r="G2986" s="42"/>
      <c r="H2986" s="42"/>
    </row>
    <row r="2987" spans="3:8" x14ac:dyDescent="0.3">
      <c r="C2987" s="42"/>
      <c r="D2987" s="42"/>
      <c r="E2987" s="42"/>
      <c r="F2987" s="42"/>
      <c r="G2987" s="42"/>
      <c r="H2987" s="42"/>
    </row>
    <row r="2988" spans="3:8" x14ac:dyDescent="0.3">
      <c r="C2988" s="42"/>
      <c r="D2988" s="42"/>
      <c r="E2988" s="42"/>
      <c r="F2988" s="42"/>
      <c r="G2988" s="42"/>
      <c r="H2988" s="42"/>
    </row>
    <row r="2989" spans="3:8" x14ac:dyDescent="0.3">
      <c r="C2989" s="42"/>
      <c r="D2989" s="42"/>
      <c r="E2989" s="42"/>
      <c r="F2989" s="42"/>
      <c r="G2989" s="42"/>
      <c r="H2989" s="42"/>
    </row>
    <row r="2990" spans="3:8" x14ac:dyDescent="0.3">
      <c r="C2990" s="42"/>
      <c r="D2990" s="42"/>
      <c r="E2990" s="42"/>
      <c r="F2990" s="42"/>
      <c r="G2990" s="42"/>
      <c r="H2990" s="42"/>
    </row>
    <row r="2991" spans="3:8" x14ac:dyDescent="0.3">
      <c r="C2991" s="42"/>
      <c r="D2991" s="42"/>
      <c r="E2991" s="42"/>
      <c r="F2991" s="42"/>
      <c r="G2991" s="42"/>
      <c r="H2991" s="42"/>
    </row>
    <row r="2992" spans="3:8" x14ac:dyDescent="0.3">
      <c r="C2992" s="42"/>
      <c r="D2992" s="42"/>
      <c r="E2992" s="42"/>
      <c r="F2992" s="42"/>
      <c r="G2992" s="42"/>
      <c r="H2992" s="42"/>
    </row>
    <row r="2993" spans="3:8" x14ac:dyDescent="0.3">
      <c r="C2993" s="42"/>
      <c r="D2993" s="42"/>
      <c r="E2993" s="42"/>
      <c r="F2993" s="42"/>
      <c r="G2993" s="42"/>
      <c r="H2993" s="42"/>
    </row>
    <row r="2994" spans="3:8" x14ac:dyDescent="0.3">
      <c r="C2994" s="42"/>
      <c r="D2994" s="42"/>
      <c r="E2994" s="42"/>
      <c r="F2994" s="42"/>
      <c r="G2994" s="42"/>
      <c r="H2994" s="42"/>
    </row>
    <row r="2995" spans="3:8" x14ac:dyDescent="0.3">
      <c r="C2995" s="42"/>
      <c r="D2995" s="42"/>
      <c r="E2995" s="42"/>
      <c r="F2995" s="42"/>
      <c r="G2995" s="42"/>
      <c r="H2995" s="42"/>
    </row>
    <row r="2996" spans="3:8" x14ac:dyDescent="0.3">
      <c r="C2996" s="42"/>
      <c r="D2996" s="42"/>
      <c r="E2996" s="42"/>
      <c r="F2996" s="42"/>
      <c r="G2996" s="42"/>
      <c r="H2996" s="42"/>
    </row>
    <row r="2997" spans="3:8" x14ac:dyDescent="0.3">
      <c r="C2997" s="42"/>
      <c r="D2997" s="42"/>
      <c r="E2997" s="42"/>
      <c r="F2997" s="42"/>
      <c r="G2997" s="42"/>
      <c r="H2997" s="42"/>
    </row>
    <row r="2998" spans="3:8" x14ac:dyDescent="0.3">
      <c r="C2998" s="42"/>
      <c r="D2998" s="42"/>
      <c r="E2998" s="42"/>
      <c r="F2998" s="42"/>
      <c r="G2998" s="42"/>
      <c r="H2998" s="42"/>
    </row>
    <row r="2999" spans="3:8" x14ac:dyDescent="0.3">
      <c r="C2999" s="42"/>
      <c r="D2999" s="42"/>
      <c r="E2999" s="42"/>
      <c r="F2999" s="42"/>
      <c r="G2999" s="42"/>
      <c r="H2999" s="42"/>
    </row>
    <row r="3000" spans="3:8" x14ac:dyDescent="0.3">
      <c r="C3000" s="42"/>
      <c r="D3000" s="42"/>
      <c r="E3000" s="42"/>
      <c r="F3000" s="42"/>
      <c r="G3000" s="42"/>
      <c r="H3000" s="42"/>
    </row>
    <row r="3001" spans="3:8" x14ac:dyDescent="0.3">
      <c r="C3001" s="42"/>
      <c r="D3001" s="42"/>
      <c r="E3001" s="42"/>
      <c r="F3001" s="42"/>
      <c r="G3001" s="42"/>
      <c r="H3001" s="42"/>
    </row>
    <row r="3002" spans="3:8" x14ac:dyDescent="0.3">
      <c r="C3002" s="42"/>
      <c r="D3002" s="42"/>
      <c r="E3002" s="42"/>
      <c r="F3002" s="42"/>
      <c r="G3002" s="42"/>
      <c r="H3002" s="42"/>
    </row>
    <row r="3003" spans="3:8" x14ac:dyDescent="0.3">
      <c r="C3003" s="42"/>
      <c r="D3003" s="42"/>
      <c r="E3003" s="42"/>
      <c r="F3003" s="42"/>
      <c r="G3003" s="42"/>
      <c r="H3003" s="42"/>
    </row>
    <row r="3004" spans="3:8" x14ac:dyDescent="0.3">
      <c r="C3004" s="42"/>
      <c r="D3004" s="42"/>
      <c r="E3004" s="42"/>
      <c r="F3004" s="42"/>
      <c r="G3004" s="42"/>
      <c r="H3004" s="42"/>
    </row>
    <row r="3005" spans="3:8" x14ac:dyDescent="0.3">
      <c r="C3005" s="42"/>
      <c r="D3005" s="42"/>
      <c r="E3005" s="42"/>
      <c r="F3005" s="42"/>
      <c r="G3005" s="42"/>
      <c r="H3005" s="42"/>
    </row>
    <row r="3006" spans="3:8" x14ac:dyDescent="0.3">
      <c r="C3006" s="42"/>
      <c r="D3006" s="42"/>
      <c r="E3006" s="42"/>
      <c r="F3006" s="42"/>
      <c r="G3006" s="42"/>
      <c r="H3006" s="42"/>
    </row>
    <row r="3007" spans="3:8" x14ac:dyDescent="0.3">
      <c r="C3007" s="42"/>
      <c r="D3007" s="42"/>
      <c r="E3007" s="42"/>
      <c r="F3007" s="42"/>
      <c r="G3007" s="42"/>
      <c r="H3007" s="42"/>
    </row>
    <row r="3008" spans="3:8" x14ac:dyDescent="0.3">
      <c r="C3008" s="42"/>
      <c r="D3008" s="42"/>
      <c r="E3008" s="42"/>
      <c r="F3008" s="42"/>
      <c r="G3008" s="42"/>
      <c r="H3008" s="42"/>
    </row>
    <row r="3009" spans="3:8" x14ac:dyDescent="0.3">
      <c r="C3009" s="42"/>
      <c r="D3009" s="42"/>
      <c r="E3009" s="42"/>
      <c r="F3009" s="42"/>
      <c r="G3009" s="42"/>
      <c r="H3009" s="42"/>
    </row>
    <row r="3010" spans="3:8" x14ac:dyDescent="0.3">
      <c r="C3010" s="42"/>
      <c r="D3010" s="42"/>
      <c r="E3010" s="42"/>
      <c r="F3010" s="42"/>
      <c r="G3010" s="42"/>
      <c r="H3010" s="42"/>
    </row>
    <row r="3011" spans="3:8" x14ac:dyDescent="0.3">
      <c r="C3011" s="42"/>
      <c r="D3011" s="42"/>
      <c r="E3011" s="42"/>
      <c r="F3011" s="42"/>
      <c r="G3011" s="42"/>
      <c r="H3011" s="42"/>
    </row>
    <row r="3012" spans="3:8" x14ac:dyDescent="0.3">
      <c r="C3012" s="42"/>
      <c r="D3012" s="42"/>
      <c r="E3012" s="42"/>
      <c r="F3012" s="42"/>
      <c r="G3012" s="42"/>
      <c r="H3012" s="42"/>
    </row>
    <row r="3013" spans="3:8" x14ac:dyDescent="0.3">
      <c r="C3013" s="42"/>
      <c r="D3013" s="42"/>
      <c r="E3013" s="42"/>
      <c r="F3013" s="42"/>
      <c r="G3013" s="42"/>
      <c r="H3013" s="42"/>
    </row>
    <row r="3014" spans="3:8" x14ac:dyDescent="0.3">
      <c r="C3014" s="42"/>
      <c r="D3014" s="42"/>
      <c r="E3014" s="42"/>
      <c r="F3014" s="42"/>
      <c r="G3014" s="42"/>
      <c r="H3014" s="42"/>
    </row>
    <row r="3015" spans="3:8" x14ac:dyDescent="0.3">
      <c r="C3015" s="42"/>
      <c r="D3015" s="42"/>
      <c r="E3015" s="42"/>
      <c r="F3015" s="42"/>
      <c r="G3015" s="42"/>
      <c r="H3015" s="42"/>
    </row>
    <row r="3016" spans="3:8" x14ac:dyDescent="0.3">
      <c r="C3016" s="42"/>
      <c r="D3016" s="42"/>
      <c r="E3016" s="42"/>
      <c r="F3016" s="42"/>
      <c r="G3016" s="42"/>
      <c r="H3016" s="42"/>
    </row>
    <row r="3017" spans="3:8" x14ac:dyDescent="0.3">
      <c r="C3017" s="42"/>
      <c r="D3017" s="42"/>
      <c r="E3017" s="42"/>
      <c r="F3017" s="42"/>
      <c r="G3017" s="42"/>
      <c r="H3017" s="42"/>
    </row>
    <row r="3018" spans="3:8" x14ac:dyDescent="0.3">
      <c r="C3018" s="42"/>
      <c r="D3018" s="42"/>
      <c r="E3018" s="42"/>
      <c r="F3018" s="42"/>
      <c r="G3018" s="42"/>
      <c r="H3018" s="42"/>
    </row>
    <row r="3019" spans="3:8" x14ac:dyDescent="0.3">
      <c r="C3019" s="42"/>
      <c r="D3019" s="42"/>
      <c r="E3019" s="42"/>
      <c r="F3019" s="42"/>
      <c r="G3019" s="42"/>
      <c r="H3019" s="42"/>
    </row>
    <row r="3020" spans="3:8" x14ac:dyDescent="0.3">
      <c r="C3020" s="42"/>
      <c r="D3020" s="42"/>
      <c r="E3020" s="42"/>
      <c r="F3020" s="42"/>
      <c r="G3020" s="42"/>
      <c r="H3020" s="42"/>
    </row>
    <row r="3021" spans="3:8" x14ac:dyDescent="0.3">
      <c r="C3021" s="42"/>
      <c r="D3021" s="42"/>
      <c r="E3021" s="42"/>
      <c r="F3021" s="42"/>
      <c r="G3021" s="42"/>
      <c r="H3021" s="42"/>
    </row>
    <row r="3022" spans="3:8" x14ac:dyDescent="0.3">
      <c r="C3022" s="42"/>
      <c r="D3022" s="42"/>
      <c r="E3022" s="42"/>
      <c r="F3022" s="42"/>
      <c r="G3022" s="42"/>
      <c r="H3022" s="42"/>
    </row>
    <row r="3023" spans="3:8" x14ac:dyDescent="0.3">
      <c r="C3023" s="42"/>
      <c r="D3023" s="42"/>
      <c r="E3023" s="42"/>
      <c r="F3023" s="42"/>
      <c r="G3023" s="42"/>
      <c r="H3023" s="42"/>
    </row>
    <row r="3024" spans="3:8" x14ac:dyDescent="0.3">
      <c r="C3024" s="42"/>
      <c r="D3024" s="42"/>
      <c r="E3024" s="42"/>
      <c r="F3024" s="42"/>
      <c r="G3024" s="42"/>
      <c r="H3024" s="42"/>
    </row>
    <row r="3025" spans="3:8" x14ac:dyDescent="0.3">
      <c r="C3025" s="42"/>
      <c r="D3025" s="42"/>
      <c r="E3025" s="42"/>
      <c r="F3025" s="42"/>
      <c r="G3025" s="42"/>
      <c r="H3025" s="42"/>
    </row>
    <row r="3026" spans="3:8" x14ac:dyDescent="0.3">
      <c r="C3026" s="42"/>
      <c r="D3026" s="42"/>
      <c r="E3026" s="42"/>
      <c r="F3026" s="42"/>
      <c r="G3026" s="42"/>
      <c r="H3026" s="42"/>
    </row>
    <row r="3027" spans="3:8" x14ac:dyDescent="0.3">
      <c r="C3027" s="42"/>
      <c r="D3027" s="42"/>
      <c r="E3027" s="42"/>
      <c r="F3027" s="42"/>
      <c r="G3027" s="42"/>
      <c r="H3027" s="42"/>
    </row>
    <row r="3028" spans="3:8" x14ac:dyDescent="0.3">
      <c r="C3028" s="42"/>
      <c r="D3028" s="42"/>
      <c r="E3028" s="42"/>
      <c r="F3028" s="42"/>
      <c r="G3028" s="42"/>
      <c r="H3028" s="42"/>
    </row>
    <row r="3029" spans="3:8" x14ac:dyDescent="0.3">
      <c r="C3029" s="42"/>
      <c r="D3029" s="42"/>
      <c r="E3029" s="42"/>
      <c r="F3029" s="42"/>
      <c r="G3029" s="42"/>
      <c r="H3029" s="42"/>
    </row>
    <row r="3030" spans="3:8" x14ac:dyDescent="0.3">
      <c r="C3030" s="42"/>
      <c r="D3030" s="42"/>
      <c r="E3030" s="42"/>
      <c r="F3030" s="42"/>
      <c r="G3030" s="42"/>
      <c r="H3030" s="42"/>
    </row>
    <row r="3031" spans="3:8" x14ac:dyDescent="0.3">
      <c r="C3031" s="42"/>
      <c r="D3031" s="42"/>
      <c r="E3031" s="42"/>
      <c r="F3031" s="42"/>
      <c r="G3031" s="42"/>
      <c r="H3031" s="42"/>
    </row>
    <row r="3032" spans="3:8" x14ac:dyDescent="0.3">
      <c r="C3032" s="42"/>
      <c r="D3032" s="42"/>
      <c r="E3032" s="42"/>
      <c r="F3032" s="42"/>
      <c r="G3032" s="42"/>
      <c r="H3032" s="42"/>
    </row>
    <row r="3033" spans="3:8" x14ac:dyDescent="0.3">
      <c r="C3033" s="42"/>
      <c r="D3033" s="42"/>
      <c r="E3033" s="42"/>
      <c r="F3033" s="42"/>
      <c r="G3033" s="42"/>
      <c r="H3033" s="42"/>
    </row>
    <row r="3034" spans="3:8" x14ac:dyDescent="0.3">
      <c r="C3034" s="42"/>
      <c r="D3034" s="42"/>
      <c r="E3034" s="42"/>
      <c r="F3034" s="42"/>
      <c r="G3034" s="42"/>
      <c r="H3034" s="42"/>
    </row>
    <row r="3035" spans="3:8" x14ac:dyDescent="0.3">
      <c r="C3035" s="42"/>
      <c r="D3035" s="42"/>
      <c r="E3035" s="42"/>
      <c r="F3035" s="42"/>
      <c r="G3035" s="42"/>
      <c r="H3035" s="42"/>
    </row>
    <row r="3036" spans="3:8" x14ac:dyDescent="0.3">
      <c r="C3036" s="42"/>
      <c r="D3036" s="42"/>
      <c r="E3036" s="42"/>
      <c r="F3036" s="42"/>
      <c r="G3036" s="42"/>
      <c r="H3036" s="42"/>
    </row>
    <row r="3037" spans="3:8" x14ac:dyDescent="0.3">
      <c r="C3037" s="42"/>
      <c r="D3037" s="42"/>
      <c r="E3037" s="42"/>
      <c r="F3037" s="42"/>
      <c r="G3037" s="42"/>
      <c r="H3037" s="42"/>
    </row>
    <row r="3038" spans="3:8" x14ac:dyDescent="0.3">
      <c r="C3038" s="42"/>
      <c r="D3038" s="42"/>
      <c r="E3038" s="42"/>
      <c r="F3038" s="42"/>
      <c r="G3038" s="42"/>
      <c r="H3038" s="42"/>
    </row>
    <row r="3039" spans="3:8" x14ac:dyDescent="0.3">
      <c r="C3039" s="42"/>
      <c r="D3039" s="42"/>
      <c r="E3039" s="42"/>
      <c r="F3039" s="42"/>
      <c r="G3039" s="42"/>
      <c r="H3039" s="42"/>
    </row>
    <row r="3040" spans="3:8" x14ac:dyDescent="0.3">
      <c r="C3040" s="42"/>
      <c r="D3040" s="42"/>
      <c r="E3040" s="42"/>
      <c r="F3040" s="42"/>
      <c r="G3040" s="42"/>
      <c r="H3040" s="42"/>
    </row>
    <row r="3041" spans="3:8" x14ac:dyDescent="0.3">
      <c r="C3041" s="42"/>
      <c r="D3041" s="42"/>
      <c r="E3041" s="42"/>
      <c r="F3041" s="42"/>
      <c r="G3041" s="42"/>
      <c r="H3041" s="42"/>
    </row>
    <row r="3042" spans="3:8" x14ac:dyDescent="0.3">
      <c r="C3042" s="42"/>
      <c r="D3042" s="42"/>
      <c r="E3042" s="42"/>
      <c r="F3042" s="42"/>
      <c r="G3042" s="42"/>
      <c r="H3042" s="42"/>
    </row>
    <row r="3043" spans="3:8" x14ac:dyDescent="0.3">
      <c r="C3043" s="42"/>
      <c r="D3043" s="42"/>
      <c r="E3043" s="42"/>
      <c r="F3043" s="42"/>
      <c r="G3043" s="42"/>
      <c r="H3043" s="42"/>
    </row>
    <row r="3044" spans="3:8" x14ac:dyDescent="0.3">
      <c r="C3044" s="42"/>
      <c r="D3044" s="42"/>
      <c r="E3044" s="42"/>
      <c r="F3044" s="42"/>
      <c r="G3044" s="42"/>
      <c r="H3044" s="42"/>
    </row>
    <row r="3045" spans="3:8" x14ac:dyDescent="0.3">
      <c r="C3045" s="42"/>
      <c r="D3045" s="42"/>
      <c r="E3045" s="42"/>
      <c r="F3045" s="42"/>
      <c r="G3045" s="42"/>
      <c r="H3045" s="42"/>
    </row>
    <row r="3046" spans="3:8" x14ac:dyDescent="0.3">
      <c r="C3046" s="42"/>
      <c r="D3046" s="42"/>
      <c r="E3046" s="42"/>
      <c r="F3046" s="42"/>
      <c r="G3046" s="42"/>
      <c r="H3046" s="42"/>
    </row>
    <row r="3047" spans="3:8" x14ac:dyDescent="0.3">
      <c r="C3047" s="42"/>
      <c r="D3047" s="42"/>
      <c r="E3047" s="42"/>
      <c r="F3047" s="42"/>
      <c r="G3047" s="42"/>
      <c r="H3047" s="42"/>
    </row>
    <row r="3048" spans="3:8" x14ac:dyDescent="0.3">
      <c r="C3048" s="42"/>
      <c r="D3048" s="42"/>
      <c r="E3048" s="42"/>
      <c r="F3048" s="42"/>
      <c r="G3048" s="42"/>
      <c r="H3048" s="42"/>
    </row>
    <row r="3049" spans="3:8" x14ac:dyDescent="0.3">
      <c r="C3049" s="42"/>
      <c r="D3049" s="42"/>
      <c r="E3049" s="42"/>
      <c r="F3049" s="42"/>
      <c r="G3049" s="42"/>
      <c r="H3049" s="42"/>
    </row>
    <row r="3050" spans="3:8" x14ac:dyDescent="0.3">
      <c r="C3050" s="42"/>
      <c r="D3050" s="42"/>
      <c r="E3050" s="42"/>
      <c r="F3050" s="42"/>
      <c r="G3050" s="42"/>
      <c r="H3050" s="42"/>
    </row>
    <row r="3051" spans="3:8" x14ac:dyDescent="0.3">
      <c r="C3051" s="42"/>
      <c r="D3051" s="42"/>
      <c r="E3051" s="42"/>
      <c r="F3051" s="42"/>
      <c r="G3051" s="42"/>
      <c r="H3051" s="42"/>
    </row>
    <row r="3052" spans="3:8" x14ac:dyDescent="0.3">
      <c r="C3052" s="42"/>
      <c r="D3052" s="42"/>
      <c r="E3052" s="42"/>
      <c r="F3052" s="42"/>
      <c r="G3052" s="42"/>
      <c r="H3052" s="42"/>
    </row>
    <row r="3053" spans="3:8" x14ac:dyDescent="0.3">
      <c r="C3053" s="42"/>
      <c r="D3053" s="42"/>
      <c r="E3053" s="42"/>
      <c r="F3053" s="42"/>
      <c r="G3053" s="42"/>
      <c r="H3053" s="42"/>
    </row>
    <row r="3054" spans="3:8" x14ac:dyDescent="0.3">
      <c r="C3054" s="42"/>
      <c r="D3054" s="42"/>
      <c r="E3054" s="42"/>
      <c r="F3054" s="42"/>
      <c r="G3054" s="42"/>
      <c r="H3054" s="42"/>
    </row>
    <row r="3055" spans="3:8" x14ac:dyDescent="0.3">
      <c r="C3055" s="42"/>
      <c r="D3055" s="42"/>
      <c r="E3055" s="42"/>
      <c r="F3055" s="42"/>
      <c r="G3055" s="42"/>
      <c r="H3055" s="42"/>
    </row>
    <row r="3056" spans="3:8" x14ac:dyDescent="0.3">
      <c r="C3056" s="42"/>
      <c r="D3056" s="42"/>
      <c r="E3056" s="42"/>
      <c r="F3056" s="42"/>
      <c r="G3056" s="42"/>
      <c r="H3056" s="42"/>
    </row>
    <row r="3057" spans="3:8" x14ac:dyDescent="0.3">
      <c r="C3057" s="42"/>
      <c r="D3057" s="42"/>
      <c r="E3057" s="42"/>
      <c r="F3057" s="42"/>
      <c r="G3057" s="42"/>
      <c r="H3057" s="42"/>
    </row>
    <row r="3058" spans="3:8" x14ac:dyDescent="0.3">
      <c r="C3058" s="42"/>
      <c r="D3058" s="42"/>
      <c r="E3058" s="42"/>
      <c r="F3058" s="42"/>
      <c r="G3058" s="42"/>
      <c r="H3058" s="42"/>
    </row>
    <row r="3059" spans="3:8" x14ac:dyDescent="0.3">
      <c r="C3059" s="42"/>
      <c r="D3059" s="42"/>
      <c r="E3059" s="42"/>
      <c r="F3059" s="42"/>
      <c r="G3059" s="42"/>
      <c r="H3059" s="42"/>
    </row>
    <row r="3060" spans="3:8" x14ac:dyDescent="0.3">
      <c r="C3060" s="42"/>
      <c r="D3060" s="42"/>
      <c r="E3060" s="42"/>
      <c r="F3060" s="42"/>
      <c r="G3060" s="42"/>
      <c r="H3060" s="42"/>
    </row>
    <row r="3061" spans="3:8" x14ac:dyDescent="0.3">
      <c r="C3061" s="42"/>
      <c r="D3061" s="42"/>
      <c r="E3061" s="42"/>
      <c r="F3061" s="42"/>
      <c r="G3061" s="42"/>
      <c r="H3061" s="42"/>
    </row>
    <row r="3062" spans="3:8" x14ac:dyDescent="0.3">
      <c r="C3062" s="42"/>
      <c r="D3062" s="42"/>
      <c r="E3062" s="42"/>
      <c r="F3062" s="42"/>
      <c r="G3062" s="42"/>
      <c r="H3062" s="42"/>
    </row>
    <row r="3063" spans="3:8" x14ac:dyDescent="0.3">
      <c r="C3063" s="42"/>
      <c r="D3063" s="42"/>
      <c r="E3063" s="42"/>
      <c r="F3063" s="42"/>
      <c r="G3063" s="42"/>
      <c r="H3063" s="42"/>
    </row>
    <row r="3064" spans="3:8" x14ac:dyDescent="0.3">
      <c r="C3064" s="42"/>
      <c r="D3064" s="42"/>
      <c r="E3064" s="42"/>
      <c r="F3064" s="42"/>
      <c r="G3064" s="42"/>
      <c r="H3064" s="42"/>
    </row>
    <row r="3065" spans="3:8" x14ac:dyDescent="0.3">
      <c r="C3065" s="42"/>
      <c r="D3065" s="42"/>
      <c r="E3065" s="42"/>
      <c r="F3065" s="42"/>
      <c r="G3065" s="42"/>
      <c r="H3065" s="42"/>
    </row>
    <row r="3066" spans="3:8" x14ac:dyDescent="0.3">
      <c r="C3066" s="42"/>
      <c r="D3066" s="42"/>
      <c r="E3066" s="42"/>
      <c r="F3066" s="42"/>
      <c r="G3066" s="42"/>
      <c r="H3066" s="42"/>
    </row>
    <row r="3067" spans="3:8" x14ac:dyDescent="0.3">
      <c r="C3067" s="42"/>
      <c r="D3067" s="42"/>
      <c r="E3067" s="42"/>
      <c r="F3067" s="42"/>
      <c r="G3067" s="42"/>
      <c r="H3067" s="42"/>
    </row>
    <row r="3068" spans="3:8" x14ac:dyDescent="0.3">
      <c r="C3068" s="42"/>
      <c r="D3068" s="42"/>
      <c r="E3068" s="42"/>
      <c r="F3068" s="42"/>
      <c r="G3068" s="42"/>
      <c r="H3068" s="42"/>
    </row>
    <row r="3069" spans="3:8" x14ac:dyDescent="0.3">
      <c r="C3069" s="42"/>
      <c r="D3069" s="42"/>
      <c r="E3069" s="42"/>
      <c r="F3069" s="42"/>
      <c r="G3069" s="42"/>
      <c r="H3069" s="42"/>
    </row>
    <row r="3070" spans="3:8" x14ac:dyDescent="0.3">
      <c r="C3070" s="42"/>
      <c r="D3070" s="42"/>
      <c r="E3070" s="42"/>
      <c r="F3070" s="42"/>
      <c r="G3070" s="42"/>
      <c r="H3070" s="42"/>
    </row>
    <row r="3071" spans="3:8" x14ac:dyDescent="0.3">
      <c r="C3071" s="42"/>
      <c r="D3071" s="42"/>
      <c r="E3071" s="42"/>
      <c r="F3071" s="42"/>
      <c r="G3071" s="42"/>
      <c r="H3071" s="42"/>
    </row>
    <row r="3072" spans="3:8" x14ac:dyDescent="0.3">
      <c r="C3072" s="42"/>
      <c r="D3072" s="42"/>
      <c r="E3072" s="42"/>
      <c r="F3072" s="42"/>
      <c r="G3072" s="42"/>
      <c r="H3072" s="42"/>
    </row>
    <row r="3073" spans="3:8" x14ac:dyDescent="0.3">
      <c r="C3073" s="42"/>
      <c r="D3073" s="42"/>
      <c r="E3073" s="42"/>
      <c r="F3073" s="42"/>
      <c r="G3073" s="42"/>
      <c r="H3073" s="42"/>
    </row>
    <row r="3074" spans="3:8" x14ac:dyDescent="0.3">
      <c r="C3074" s="42"/>
      <c r="D3074" s="42"/>
      <c r="E3074" s="42"/>
      <c r="F3074" s="42"/>
      <c r="G3074" s="42"/>
      <c r="H3074" s="42"/>
    </row>
    <row r="3075" spans="3:8" x14ac:dyDescent="0.3">
      <c r="C3075" s="42"/>
      <c r="D3075" s="42"/>
      <c r="E3075" s="42"/>
      <c r="F3075" s="42"/>
      <c r="G3075" s="42"/>
      <c r="H3075" s="42"/>
    </row>
    <row r="3076" spans="3:8" x14ac:dyDescent="0.3">
      <c r="C3076" s="42"/>
      <c r="D3076" s="42"/>
      <c r="E3076" s="42"/>
      <c r="F3076" s="42"/>
      <c r="G3076" s="42"/>
      <c r="H3076" s="42"/>
    </row>
    <row r="3077" spans="3:8" x14ac:dyDescent="0.3">
      <c r="C3077" s="42"/>
      <c r="D3077" s="42"/>
      <c r="E3077" s="42"/>
      <c r="F3077" s="42"/>
      <c r="G3077" s="42"/>
      <c r="H3077" s="42"/>
    </row>
    <row r="3078" spans="3:8" x14ac:dyDescent="0.3">
      <c r="C3078" s="42"/>
      <c r="D3078" s="42"/>
      <c r="E3078" s="42"/>
      <c r="F3078" s="42"/>
      <c r="G3078" s="42"/>
      <c r="H3078" s="42"/>
    </row>
    <row r="3079" spans="3:8" x14ac:dyDescent="0.3">
      <c r="C3079" s="42"/>
      <c r="D3079" s="42"/>
      <c r="E3079" s="42"/>
      <c r="F3079" s="42"/>
      <c r="G3079" s="42"/>
      <c r="H3079" s="42"/>
    </row>
    <row r="3080" spans="3:8" x14ac:dyDescent="0.3">
      <c r="C3080" s="42"/>
      <c r="D3080" s="42"/>
      <c r="E3080" s="42"/>
      <c r="F3080" s="42"/>
      <c r="G3080" s="42"/>
      <c r="H3080" s="42"/>
    </row>
    <row r="3081" spans="3:8" x14ac:dyDescent="0.3">
      <c r="C3081" s="42"/>
      <c r="D3081" s="42"/>
      <c r="E3081" s="42"/>
      <c r="F3081" s="42"/>
      <c r="G3081" s="42"/>
      <c r="H3081" s="42"/>
    </row>
    <row r="3082" spans="3:8" x14ac:dyDescent="0.3">
      <c r="C3082" s="42"/>
      <c r="D3082" s="42"/>
      <c r="E3082" s="42"/>
      <c r="F3082" s="42"/>
      <c r="G3082" s="42"/>
      <c r="H3082" s="42"/>
    </row>
    <row r="3083" spans="3:8" x14ac:dyDescent="0.3">
      <c r="C3083" s="42"/>
      <c r="D3083" s="42"/>
      <c r="E3083" s="42"/>
      <c r="F3083" s="42"/>
      <c r="G3083" s="42"/>
      <c r="H3083" s="42"/>
    </row>
    <row r="3084" spans="3:8" x14ac:dyDescent="0.3">
      <c r="C3084" s="42"/>
      <c r="D3084" s="42"/>
      <c r="E3084" s="42"/>
      <c r="F3084" s="42"/>
      <c r="G3084" s="42"/>
      <c r="H3084" s="42"/>
    </row>
    <row r="3085" spans="3:8" x14ac:dyDescent="0.3">
      <c r="C3085" s="42"/>
      <c r="D3085" s="42"/>
      <c r="E3085" s="42"/>
      <c r="F3085" s="42"/>
      <c r="G3085" s="42"/>
      <c r="H3085" s="42"/>
    </row>
    <row r="3086" spans="3:8" x14ac:dyDescent="0.3">
      <c r="C3086" s="42"/>
      <c r="D3086" s="42"/>
      <c r="E3086" s="42"/>
      <c r="F3086" s="42"/>
      <c r="G3086" s="42"/>
      <c r="H3086" s="42"/>
    </row>
    <row r="3087" spans="3:8" x14ac:dyDescent="0.3">
      <c r="C3087" s="42"/>
      <c r="D3087" s="42"/>
      <c r="E3087" s="42"/>
      <c r="F3087" s="42"/>
      <c r="G3087" s="42"/>
      <c r="H3087" s="42"/>
    </row>
    <row r="3088" spans="3:8" x14ac:dyDescent="0.3">
      <c r="C3088" s="42"/>
      <c r="D3088" s="42"/>
      <c r="E3088" s="42"/>
      <c r="F3088" s="42"/>
      <c r="G3088" s="42"/>
      <c r="H3088" s="42"/>
    </row>
    <row r="3089" spans="3:8" x14ac:dyDescent="0.3">
      <c r="C3089" s="42"/>
      <c r="D3089" s="42"/>
      <c r="E3089" s="42"/>
      <c r="F3089" s="42"/>
      <c r="G3089" s="42"/>
      <c r="H3089" s="42"/>
    </row>
    <row r="3090" spans="3:8" x14ac:dyDescent="0.3">
      <c r="C3090" s="42"/>
      <c r="D3090" s="42"/>
      <c r="E3090" s="42"/>
      <c r="F3090" s="42"/>
      <c r="G3090" s="42"/>
      <c r="H3090" s="42"/>
    </row>
    <row r="3091" spans="3:8" x14ac:dyDescent="0.3">
      <c r="C3091" s="42"/>
      <c r="D3091" s="42"/>
      <c r="E3091" s="42"/>
      <c r="F3091" s="42"/>
      <c r="G3091" s="42"/>
      <c r="H3091" s="42"/>
    </row>
    <row r="3092" spans="3:8" x14ac:dyDescent="0.3">
      <c r="C3092" s="42"/>
      <c r="D3092" s="42"/>
      <c r="E3092" s="42"/>
      <c r="F3092" s="42"/>
      <c r="G3092" s="42"/>
      <c r="H3092" s="42"/>
    </row>
    <row r="3093" spans="3:8" x14ac:dyDescent="0.3">
      <c r="C3093" s="42"/>
      <c r="D3093" s="42"/>
      <c r="E3093" s="42"/>
      <c r="F3093" s="42"/>
      <c r="G3093" s="42"/>
      <c r="H3093" s="42"/>
    </row>
    <row r="3094" spans="3:8" x14ac:dyDescent="0.3">
      <c r="C3094" s="42"/>
      <c r="D3094" s="42"/>
      <c r="E3094" s="42"/>
      <c r="F3094" s="42"/>
      <c r="G3094" s="42"/>
      <c r="H3094" s="42"/>
    </row>
    <row r="3095" spans="3:8" x14ac:dyDescent="0.3">
      <c r="C3095" s="42"/>
      <c r="D3095" s="42"/>
      <c r="E3095" s="42"/>
      <c r="F3095" s="42"/>
      <c r="G3095" s="42"/>
      <c r="H3095" s="42"/>
    </row>
    <row r="3096" spans="3:8" x14ac:dyDescent="0.3">
      <c r="C3096" s="42"/>
      <c r="D3096" s="42"/>
      <c r="E3096" s="42"/>
      <c r="F3096" s="42"/>
      <c r="G3096" s="42"/>
      <c r="H3096" s="42"/>
    </row>
    <row r="3097" spans="3:8" x14ac:dyDescent="0.3">
      <c r="C3097" s="42"/>
      <c r="D3097" s="42"/>
      <c r="E3097" s="42"/>
      <c r="F3097" s="42"/>
      <c r="G3097" s="42"/>
      <c r="H3097" s="42"/>
    </row>
    <row r="3098" spans="3:8" x14ac:dyDescent="0.3">
      <c r="C3098" s="42"/>
      <c r="D3098" s="42"/>
      <c r="E3098" s="42"/>
      <c r="F3098" s="42"/>
      <c r="G3098" s="42"/>
      <c r="H3098" s="42"/>
    </row>
    <row r="3099" spans="3:8" x14ac:dyDescent="0.3">
      <c r="C3099" s="42"/>
      <c r="D3099" s="42"/>
      <c r="E3099" s="42"/>
      <c r="F3099" s="42"/>
      <c r="G3099" s="42"/>
      <c r="H3099" s="42"/>
    </row>
    <row r="3100" spans="3:8" x14ac:dyDescent="0.3">
      <c r="C3100" s="42"/>
      <c r="D3100" s="42"/>
      <c r="E3100" s="42"/>
      <c r="F3100" s="42"/>
      <c r="G3100" s="42"/>
      <c r="H3100" s="42"/>
    </row>
    <row r="3101" spans="3:8" x14ac:dyDescent="0.3">
      <c r="C3101" s="42"/>
      <c r="D3101" s="42"/>
      <c r="E3101" s="42"/>
      <c r="F3101" s="42"/>
      <c r="G3101" s="42"/>
      <c r="H3101" s="42"/>
    </row>
    <row r="3102" spans="3:8" x14ac:dyDescent="0.3">
      <c r="C3102" s="42"/>
      <c r="D3102" s="42"/>
      <c r="E3102" s="42"/>
      <c r="F3102" s="42"/>
      <c r="G3102" s="42"/>
      <c r="H3102" s="42"/>
    </row>
    <row r="3103" spans="3:8" x14ac:dyDescent="0.3">
      <c r="C3103" s="42"/>
      <c r="D3103" s="42"/>
      <c r="E3103" s="42"/>
      <c r="F3103" s="42"/>
      <c r="G3103" s="42"/>
      <c r="H3103" s="42"/>
    </row>
    <row r="3104" spans="3:8" x14ac:dyDescent="0.3">
      <c r="C3104" s="42"/>
      <c r="D3104" s="42"/>
      <c r="E3104" s="42"/>
      <c r="F3104" s="42"/>
      <c r="G3104" s="42"/>
      <c r="H3104" s="42"/>
    </row>
    <row r="3105" spans="3:8" x14ac:dyDescent="0.3">
      <c r="C3105" s="42"/>
      <c r="D3105" s="42"/>
      <c r="E3105" s="42"/>
      <c r="F3105" s="42"/>
      <c r="G3105" s="42"/>
      <c r="H3105" s="42"/>
    </row>
    <row r="3106" spans="3:8" x14ac:dyDescent="0.3">
      <c r="C3106" s="42"/>
      <c r="D3106" s="42"/>
      <c r="E3106" s="42"/>
      <c r="F3106" s="42"/>
      <c r="G3106" s="42"/>
      <c r="H3106" s="42"/>
    </row>
    <row r="3107" spans="3:8" x14ac:dyDescent="0.3">
      <c r="C3107" s="42"/>
      <c r="D3107" s="42"/>
      <c r="E3107" s="42"/>
      <c r="F3107" s="42"/>
      <c r="G3107" s="42"/>
      <c r="H3107" s="42"/>
    </row>
    <row r="3108" spans="3:8" x14ac:dyDescent="0.3">
      <c r="C3108" s="42"/>
      <c r="D3108" s="42"/>
      <c r="E3108" s="42"/>
      <c r="F3108" s="42"/>
      <c r="G3108" s="42"/>
      <c r="H3108" s="42"/>
    </row>
    <row r="3109" spans="3:8" x14ac:dyDescent="0.3">
      <c r="C3109" s="42"/>
      <c r="D3109" s="42"/>
      <c r="E3109" s="42"/>
      <c r="F3109" s="42"/>
      <c r="G3109" s="42"/>
      <c r="H3109" s="42"/>
    </row>
    <row r="3110" spans="3:8" x14ac:dyDescent="0.3">
      <c r="C3110" s="42"/>
      <c r="D3110" s="42"/>
      <c r="E3110" s="42"/>
      <c r="F3110" s="42"/>
      <c r="G3110" s="42"/>
      <c r="H3110" s="42"/>
    </row>
    <row r="3111" spans="3:8" x14ac:dyDescent="0.3">
      <c r="C3111" s="42"/>
      <c r="D3111" s="42"/>
      <c r="E3111" s="42"/>
      <c r="F3111" s="42"/>
      <c r="G3111" s="42"/>
      <c r="H3111" s="42"/>
    </row>
    <row r="3112" spans="3:8" x14ac:dyDescent="0.3">
      <c r="C3112" s="42"/>
      <c r="D3112" s="42"/>
      <c r="E3112" s="42"/>
      <c r="F3112" s="42"/>
      <c r="G3112" s="42"/>
      <c r="H3112" s="42"/>
    </row>
    <row r="3113" spans="3:8" x14ac:dyDescent="0.3">
      <c r="C3113" s="42"/>
      <c r="D3113" s="42"/>
      <c r="E3113" s="42"/>
      <c r="F3113" s="42"/>
      <c r="G3113" s="42"/>
      <c r="H3113" s="42"/>
    </row>
    <row r="3114" spans="3:8" x14ac:dyDescent="0.3">
      <c r="C3114" s="42"/>
      <c r="D3114" s="42"/>
      <c r="E3114" s="42"/>
      <c r="F3114" s="42"/>
      <c r="G3114" s="42"/>
      <c r="H3114" s="42"/>
    </row>
    <row r="3115" spans="3:8" x14ac:dyDescent="0.3">
      <c r="C3115" s="42"/>
      <c r="D3115" s="42"/>
      <c r="E3115" s="42"/>
      <c r="F3115" s="42"/>
      <c r="G3115" s="42"/>
      <c r="H3115" s="42"/>
    </row>
    <row r="3116" spans="3:8" x14ac:dyDescent="0.3">
      <c r="C3116" s="42"/>
      <c r="D3116" s="42"/>
      <c r="E3116" s="42"/>
      <c r="F3116" s="42"/>
      <c r="G3116" s="42"/>
      <c r="H3116" s="42"/>
    </row>
    <row r="3117" spans="3:8" x14ac:dyDescent="0.3">
      <c r="C3117" s="42"/>
      <c r="D3117" s="42"/>
      <c r="E3117" s="42"/>
      <c r="F3117" s="42"/>
      <c r="G3117" s="42"/>
      <c r="H3117" s="42"/>
    </row>
    <row r="3118" spans="3:8" x14ac:dyDescent="0.3">
      <c r="C3118" s="42"/>
      <c r="D3118" s="42"/>
      <c r="E3118" s="42"/>
      <c r="F3118" s="42"/>
      <c r="G3118" s="42"/>
      <c r="H3118" s="42"/>
    </row>
    <row r="3119" spans="3:8" x14ac:dyDescent="0.3">
      <c r="C3119" s="42"/>
      <c r="D3119" s="42"/>
      <c r="E3119" s="42"/>
      <c r="F3119" s="42"/>
      <c r="G3119" s="42"/>
      <c r="H3119" s="42"/>
    </row>
    <row r="3120" spans="3:8" x14ac:dyDescent="0.3">
      <c r="C3120" s="42"/>
      <c r="D3120" s="42"/>
      <c r="E3120" s="42"/>
      <c r="F3120" s="42"/>
      <c r="G3120" s="42"/>
      <c r="H3120" s="42"/>
    </row>
    <row r="3121" spans="3:8" x14ac:dyDescent="0.3">
      <c r="C3121" s="42"/>
      <c r="D3121" s="42"/>
      <c r="E3121" s="42"/>
      <c r="F3121" s="42"/>
      <c r="G3121" s="42"/>
      <c r="H3121" s="42"/>
    </row>
    <row r="3122" spans="3:8" x14ac:dyDescent="0.3">
      <c r="C3122" s="42"/>
      <c r="D3122" s="42"/>
      <c r="E3122" s="42"/>
      <c r="F3122" s="42"/>
      <c r="G3122" s="42"/>
      <c r="H3122" s="42"/>
    </row>
    <row r="3123" spans="3:8" x14ac:dyDescent="0.3">
      <c r="C3123" s="42"/>
      <c r="D3123" s="42"/>
      <c r="E3123" s="42"/>
      <c r="F3123" s="42"/>
      <c r="G3123" s="42"/>
      <c r="H3123" s="42"/>
    </row>
    <row r="3124" spans="3:8" x14ac:dyDescent="0.3">
      <c r="C3124" s="42"/>
      <c r="D3124" s="42"/>
      <c r="E3124" s="42"/>
      <c r="F3124" s="42"/>
      <c r="G3124" s="42"/>
      <c r="H3124" s="42"/>
    </row>
    <row r="3125" spans="3:8" x14ac:dyDescent="0.3">
      <c r="C3125" s="42"/>
      <c r="D3125" s="42"/>
      <c r="E3125" s="42"/>
      <c r="F3125" s="42"/>
      <c r="G3125" s="42"/>
      <c r="H3125" s="42"/>
    </row>
    <row r="3126" spans="3:8" x14ac:dyDescent="0.3">
      <c r="C3126" s="42"/>
      <c r="D3126" s="42"/>
      <c r="E3126" s="42"/>
      <c r="F3126" s="42"/>
      <c r="G3126" s="42"/>
      <c r="H3126" s="42"/>
    </row>
    <row r="3127" spans="3:8" x14ac:dyDescent="0.3">
      <c r="C3127" s="42"/>
      <c r="D3127" s="42"/>
      <c r="E3127" s="42"/>
      <c r="F3127" s="42"/>
      <c r="G3127" s="42"/>
      <c r="H3127" s="42"/>
    </row>
    <row r="3128" spans="3:8" x14ac:dyDescent="0.3">
      <c r="C3128" s="42"/>
      <c r="D3128" s="42"/>
      <c r="E3128" s="42"/>
      <c r="F3128" s="42"/>
      <c r="G3128" s="42"/>
      <c r="H3128" s="42"/>
    </row>
    <row r="3129" spans="3:8" x14ac:dyDescent="0.3">
      <c r="C3129" s="42"/>
      <c r="D3129" s="42"/>
      <c r="E3129" s="42"/>
      <c r="F3129" s="42"/>
      <c r="G3129" s="42"/>
      <c r="H3129" s="42"/>
    </row>
    <row r="3130" spans="3:8" x14ac:dyDescent="0.3">
      <c r="C3130" s="42"/>
      <c r="D3130" s="42"/>
      <c r="E3130" s="42"/>
      <c r="F3130" s="42"/>
      <c r="G3130" s="42"/>
      <c r="H3130" s="42"/>
    </row>
    <row r="3131" spans="3:8" x14ac:dyDescent="0.3">
      <c r="C3131" s="42"/>
      <c r="D3131" s="42"/>
      <c r="E3131" s="42"/>
      <c r="F3131" s="42"/>
      <c r="G3131" s="42"/>
      <c r="H3131" s="42"/>
    </row>
    <row r="3132" spans="3:8" x14ac:dyDescent="0.3">
      <c r="C3132" s="42"/>
      <c r="D3132" s="42"/>
      <c r="E3132" s="42"/>
      <c r="F3132" s="42"/>
      <c r="G3132" s="42"/>
      <c r="H3132" s="42"/>
    </row>
    <row r="3133" spans="3:8" x14ac:dyDescent="0.3">
      <c r="C3133" s="42"/>
      <c r="D3133" s="42"/>
      <c r="E3133" s="42"/>
      <c r="F3133" s="42"/>
      <c r="G3133" s="42"/>
      <c r="H3133" s="42"/>
    </row>
    <row r="3134" spans="3:8" x14ac:dyDescent="0.3">
      <c r="C3134" s="42"/>
      <c r="D3134" s="42"/>
      <c r="E3134" s="42"/>
      <c r="F3134" s="42"/>
      <c r="G3134" s="42"/>
      <c r="H3134" s="42"/>
    </row>
    <row r="3135" spans="3:8" x14ac:dyDescent="0.3">
      <c r="C3135" s="42"/>
      <c r="D3135" s="42"/>
      <c r="E3135" s="42"/>
      <c r="F3135" s="42"/>
      <c r="G3135" s="42"/>
      <c r="H3135" s="42"/>
    </row>
    <row r="3136" spans="3:8" x14ac:dyDescent="0.3">
      <c r="C3136" s="42"/>
      <c r="D3136" s="42"/>
      <c r="E3136" s="42"/>
      <c r="F3136" s="42"/>
      <c r="G3136" s="42"/>
      <c r="H3136" s="42"/>
    </row>
    <row r="3137" spans="3:8" x14ac:dyDescent="0.3">
      <c r="C3137" s="42"/>
      <c r="D3137" s="42"/>
      <c r="E3137" s="42"/>
      <c r="F3137" s="42"/>
      <c r="G3137" s="42"/>
      <c r="H3137" s="42"/>
    </row>
    <row r="3138" spans="3:8" x14ac:dyDescent="0.3">
      <c r="C3138" s="42"/>
      <c r="D3138" s="42"/>
      <c r="E3138" s="42"/>
      <c r="F3138" s="42"/>
      <c r="G3138" s="42"/>
      <c r="H3138" s="42"/>
    </row>
    <row r="3139" spans="3:8" x14ac:dyDescent="0.3">
      <c r="C3139" s="42"/>
      <c r="D3139" s="42"/>
      <c r="E3139" s="42"/>
      <c r="F3139" s="42"/>
      <c r="G3139" s="42"/>
      <c r="H3139" s="42"/>
    </row>
    <row r="3140" spans="3:8" x14ac:dyDescent="0.3">
      <c r="C3140" s="42"/>
      <c r="D3140" s="42"/>
      <c r="E3140" s="42"/>
      <c r="F3140" s="42"/>
      <c r="G3140" s="42"/>
      <c r="H3140" s="42"/>
    </row>
    <row r="3141" spans="3:8" x14ac:dyDescent="0.3">
      <c r="C3141" s="42"/>
      <c r="D3141" s="42"/>
      <c r="E3141" s="42"/>
      <c r="F3141" s="42"/>
      <c r="G3141" s="42"/>
      <c r="H3141" s="42"/>
    </row>
    <row r="3142" spans="3:8" x14ac:dyDescent="0.3">
      <c r="C3142" s="42"/>
      <c r="D3142" s="42"/>
      <c r="E3142" s="42"/>
      <c r="F3142" s="42"/>
      <c r="G3142" s="42"/>
      <c r="H3142" s="42"/>
    </row>
    <row r="3143" spans="3:8" x14ac:dyDescent="0.3">
      <c r="C3143" s="42"/>
      <c r="D3143" s="42"/>
      <c r="E3143" s="42"/>
      <c r="F3143" s="42"/>
      <c r="G3143" s="42"/>
      <c r="H3143" s="42"/>
    </row>
    <row r="3144" spans="3:8" x14ac:dyDescent="0.3">
      <c r="C3144" s="42"/>
      <c r="D3144" s="42"/>
      <c r="E3144" s="42"/>
      <c r="F3144" s="42"/>
      <c r="G3144" s="42"/>
      <c r="H3144" s="42"/>
    </row>
    <row r="3145" spans="3:8" x14ac:dyDescent="0.3">
      <c r="C3145" s="42"/>
      <c r="D3145" s="42"/>
      <c r="E3145" s="42"/>
      <c r="F3145" s="42"/>
      <c r="G3145" s="42"/>
      <c r="H3145" s="42"/>
    </row>
    <row r="3146" spans="3:8" x14ac:dyDescent="0.3">
      <c r="C3146" s="42"/>
      <c r="D3146" s="42"/>
      <c r="E3146" s="42"/>
      <c r="F3146" s="42"/>
      <c r="G3146" s="42"/>
      <c r="H3146" s="42"/>
    </row>
    <row r="3147" spans="3:8" x14ac:dyDescent="0.3">
      <c r="C3147" s="42"/>
      <c r="D3147" s="42"/>
      <c r="E3147" s="42"/>
      <c r="F3147" s="42"/>
      <c r="G3147" s="42"/>
      <c r="H3147" s="42"/>
    </row>
    <row r="3148" spans="3:8" x14ac:dyDescent="0.3">
      <c r="C3148" s="42"/>
      <c r="D3148" s="42"/>
      <c r="E3148" s="42"/>
      <c r="F3148" s="42"/>
      <c r="G3148" s="42"/>
      <c r="H3148" s="42"/>
    </row>
    <row r="3149" spans="3:8" x14ac:dyDescent="0.3">
      <c r="C3149" s="42"/>
      <c r="D3149" s="42"/>
      <c r="E3149" s="42"/>
      <c r="F3149" s="42"/>
      <c r="G3149" s="42"/>
      <c r="H3149" s="42"/>
    </row>
    <row r="3150" spans="3:8" x14ac:dyDescent="0.3">
      <c r="C3150" s="42"/>
      <c r="D3150" s="42"/>
      <c r="E3150" s="42"/>
      <c r="F3150" s="42"/>
      <c r="G3150" s="42"/>
      <c r="H3150" s="42"/>
    </row>
    <row r="3151" spans="3:8" x14ac:dyDescent="0.3">
      <c r="C3151" s="42"/>
      <c r="D3151" s="42"/>
      <c r="E3151" s="42"/>
      <c r="F3151" s="42"/>
      <c r="G3151" s="42"/>
      <c r="H3151" s="42"/>
    </row>
    <row r="3152" spans="3:8" x14ac:dyDescent="0.3">
      <c r="C3152" s="42"/>
      <c r="D3152" s="42"/>
      <c r="E3152" s="42"/>
      <c r="F3152" s="42"/>
      <c r="G3152" s="42"/>
      <c r="H3152" s="42"/>
    </row>
    <row r="3153" spans="3:8" x14ac:dyDescent="0.3">
      <c r="C3153" s="42"/>
      <c r="D3153" s="42"/>
      <c r="E3153" s="42"/>
      <c r="F3153" s="42"/>
      <c r="G3153" s="42"/>
      <c r="H3153" s="42"/>
    </row>
    <row r="3154" spans="3:8" x14ac:dyDescent="0.3">
      <c r="C3154" s="42"/>
      <c r="D3154" s="42"/>
      <c r="E3154" s="42"/>
      <c r="F3154" s="42"/>
      <c r="G3154" s="42"/>
      <c r="H3154" s="42"/>
    </row>
    <row r="3155" spans="3:8" x14ac:dyDescent="0.3">
      <c r="C3155" s="42"/>
      <c r="D3155" s="42"/>
      <c r="E3155" s="42"/>
      <c r="F3155" s="42"/>
      <c r="G3155" s="42"/>
      <c r="H3155" s="42"/>
    </row>
    <row r="3156" spans="3:8" x14ac:dyDescent="0.3">
      <c r="C3156" s="42"/>
      <c r="D3156" s="42"/>
      <c r="E3156" s="42"/>
      <c r="F3156" s="42"/>
      <c r="G3156" s="42"/>
      <c r="H3156" s="42"/>
    </row>
    <row r="3157" spans="3:8" x14ac:dyDescent="0.3">
      <c r="C3157" s="42"/>
      <c r="D3157" s="42"/>
      <c r="E3157" s="42"/>
      <c r="F3157" s="42"/>
      <c r="G3157" s="42"/>
      <c r="H3157" s="42"/>
    </row>
    <row r="3158" spans="3:8" x14ac:dyDescent="0.3">
      <c r="C3158" s="42"/>
      <c r="D3158" s="42"/>
      <c r="E3158" s="42"/>
      <c r="F3158" s="42"/>
      <c r="G3158" s="42"/>
      <c r="H3158" s="42"/>
    </row>
    <row r="3159" spans="3:8" x14ac:dyDescent="0.3">
      <c r="C3159" s="42"/>
      <c r="D3159" s="42"/>
      <c r="E3159" s="42"/>
      <c r="F3159" s="42"/>
      <c r="G3159" s="42"/>
      <c r="H3159" s="42"/>
    </row>
    <row r="3160" spans="3:8" x14ac:dyDescent="0.3">
      <c r="C3160" s="42"/>
      <c r="D3160" s="42"/>
      <c r="E3160" s="42"/>
      <c r="F3160" s="42"/>
      <c r="G3160" s="42"/>
      <c r="H3160" s="42"/>
    </row>
    <row r="3161" spans="3:8" x14ac:dyDescent="0.3">
      <c r="C3161" s="42"/>
      <c r="D3161" s="42"/>
      <c r="E3161" s="42"/>
      <c r="F3161" s="42"/>
      <c r="G3161" s="42"/>
      <c r="H3161" s="42"/>
    </row>
    <row r="3162" spans="3:8" x14ac:dyDescent="0.3">
      <c r="C3162" s="42"/>
      <c r="D3162" s="42"/>
      <c r="E3162" s="42"/>
      <c r="F3162" s="42"/>
      <c r="G3162" s="42"/>
      <c r="H3162" s="42"/>
    </row>
    <row r="3163" spans="3:8" x14ac:dyDescent="0.3">
      <c r="C3163" s="42"/>
      <c r="D3163" s="42"/>
      <c r="E3163" s="42"/>
      <c r="F3163" s="42"/>
      <c r="G3163" s="42"/>
      <c r="H3163" s="42"/>
    </row>
    <row r="3164" spans="3:8" x14ac:dyDescent="0.3">
      <c r="C3164" s="42"/>
      <c r="D3164" s="42"/>
      <c r="E3164" s="42"/>
      <c r="F3164" s="42"/>
      <c r="G3164" s="42"/>
      <c r="H3164" s="42"/>
    </row>
    <row r="3165" spans="3:8" x14ac:dyDescent="0.3">
      <c r="C3165" s="42"/>
      <c r="D3165" s="42"/>
      <c r="E3165" s="42"/>
      <c r="F3165" s="42"/>
      <c r="G3165" s="42"/>
      <c r="H3165" s="42"/>
    </row>
    <row r="3166" spans="3:8" x14ac:dyDescent="0.3">
      <c r="C3166" s="42"/>
      <c r="D3166" s="42"/>
      <c r="E3166" s="42"/>
      <c r="F3166" s="42"/>
      <c r="G3166" s="42"/>
      <c r="H3166" s="42"/>
    </row>
    <row r="3167" spans="3:8" x14ac:dyDescent="0.3">
      <c r="C3167" s="42"/>
      <c r="D3167" s="42"/>
      <c r="E3167" s="42"/>
      <c r="F3167" s="42"/>
      <c r="G3167" s="42"/>
      <c r="H3167" s="42"/>
    </row>
    <row r="3168" spans="3:8" x14ac:dyDescent="0.3">
      <c r="C3168" s="42"/>
      <c r="D3168" s="42"/>
      <c r="E3168" s="42"/>
      <c r="F3168" s="42"/>
      <c r="G3168" s="42"/>
      <c r="H3168" s="42"/>
    </row>
    <row r="3169" spans="3:8" x14ac:dyDescent="0.3">
      <c r="C3169" s="42"/>
      <c r="D3169" s="42"/>
      <c r="E3169" s="42"/>
      <c r="F3169" s="42"/>
      <c r="G3169" s="42"/>
      <c r="H3169" s="42"/>
    </row>
    <row r="3170" spans="3:8" x14ac:dyDescent="0.3">
      <c r="C3170" s="42"/>
      <c r="D3170" s="42"/>
      <c r="E3170" s="42"/>
      <c r="F3170" s="42"/>
      <c r="G3170" s="42"/>
      <c r="H3170" s="42"/>
    </row>
    <row r="3171" spans="3:8" x14ac:dyDescent="0.3">
      <c r="C3171" s="42"/>
      <c r="D3171" s="42"/>
      <c r="E3171" s="42"/>
      <c r="F3171" s="42"/>
      <c r="G3171" s="42"/>
      <c r="H3171" s="42"/>
    </row>
    <row r="3172" spans="3:8" x14ac:dyDescent="0.3">
      <c r="C3172" s="42"/>
      <c r="D3172" s="42"/>
      <c r="E3172" s="42"/>
      <c r="F3172" s="42"/>
      <c r="G3172" s="42"/>
      <c r="H3172" s="42"/>
    </row>
    <row r="3173" spans="3:8" x14ac:dyDescent="0.3">
      <c r="C3173" s="42"/>
      <c r="D3173" s="42"/>
      <c r="E3173" s="42"/>
      <c r="F3173" s="42"/>
      <c r="G3173" s="42"/>
      <c r="H3173" s="42"/>
    </row>
    <row r="3174" spans="3:8" x14ac:dyDescent="0.3">
      <c r="C3174" s="42"/>
      <c r="D3174" s="42"/>
      <c r="E3174" s="42"/>
      <c r="F3174" s="42"/>
      <c r="G3174" s="42"/>
      <c r="H3174" s="42"/>
    </row>
    <row r="3175" spans="3:8" x14ac:dyDescent="0.3">
      <c r="C3175" s="42"/>
      <c r="D3175" s="42"/>
      <c r="E3175" s="42"/>
      <c r="F3175" s="42"/>
      <c r="G3175" s="42"/>
      <c r="H3175" s="42"/>
    </row>
    <row r="3176" spans="3:8" x14ac:dyDescent="0.3">
      <c r="C3176" s="42"/>
      <c r="D3176" s="42"/>
      <c r="E3176" s="42"/>
      <c r="F3176" s="42"/>
      <c r="G3176" s="42"/>
      <c r="H3176" s="42"/>
    </row>
    <row r="3177" spans="3:8" x14ac:dyDescent="0.3">
      <c r="C3177" s="42"/>
      <c r="D3177" s="42"/>
      <c r="E3177" s="42"/>
      <c r="F3177" s="42"/>
      <c r="G3177" s="42"/>
      <c r="H3177" s="42"/>
    </row>
    <row r="3178" spans="3:8" x14ac:dyDescent="0.3">
      <c r="C3178" s="42"/>
      <c r="D3178" s="42"/>
      <c r="E3178" s="42"/>
      <c r="F3178" s="42"/>
      <c r="G3178" s="42"/>
      <c r="H3178" s="42"/>
    </row>
    <row r="3179" spans="3:8" x14ac:dyDescent="0.3">
      <c r="C3179" s="42"/>
      <c r="D3179" s="42"/>
      <c r="E3179" s="42"/>
      <c r="F3179" s="42"/>
      <c r="G3179" s="42"/>
      <c r="H3179" s="42"/>
    </row>
    <row r="3180" spans="3:8" x14ac:dyDescent="0.3">
      <c r="C3180" s="42"/>
      <c r="D3180" s="42"/>
      <c r="E3180" s="42"/>
      <c r="F3180" s="42"/>
      <c r="G3180" s="42"/>
      <c r="H3180" s="42"/>
    </row>
    <row r="3181" spans="3:8" x14ac:dyDescent="0.3">
      <c r="C3181" s="42"/>
      <c r="D3181" s="42"/>
      <c r="E3181" s="42"/>
      <c r="F3181" s="42"/>
      <c r="G3181" s="42"/>
      <c r="H3181" s="42"/>
    </row>
    <row r="3182" spans="3:8" x14ac:dyDescent="0.3">
      <c r="C3182" s="42"/>
      <c r="D3182" s="42"/>
      <c r="E3182" s="42"/>
      <c r="F3182" s="42"/>
      <c r="G3182" s="42"/>
      <c r="H3182" s="42"/>
    </row>
    <row r="3183" spans="3:8" x14ac:dyDescent="0.3">
      <c r="C3183" s="42"/>
      <c r="D3183" s="42"/>
      <c r="E3183" s="42"/>
      <c r="F3183" s="42"/>
      <c r="G3183" s="42"/>
      <c r="H3183" s="42"/>
    </row>
    <row r="3184" spans="3:8" x14ac:dyDescent="0.3">
      <c r="C3184" s="42"/>
      <c r="D3184" s="42"/>
      <c r="E3184" s="42"/>
      <c r="F3184" s="42"/>
      <c r="G3184" s="42"/>
      <c r="H3184" s="42"/>
    </row>
    <row r="3185" spans="3:8" x14ac:dyDescent="0.3">
      <c r="C3185" s="42"/>
      <c r="D3185" s="42"/>
      <c r="E3185" s="42"/>
      <c r="F3185" s="42"/>
      <c r="G3185" s="42"/>
      <c r="H3185" s="42"/>
    </row>
    <row r="3186" spans="3:8" x14ac:dyDescent="0.3">
      <c r="C3186" s="42"/>
      <c r="D3186" s="42"/>
      <c r="E3186" s="42"/>
      <c r="F3186" s="42"/>
      <c r="G3186" s="42"/>
      <c r="H3186" s="42"/>
    </row>
    <row r="3187" spans="3:8" x14ac:dyDescent="0.3">
      <c r="C3187" s="42"/>
      <c r="D3187" s="42"/>
      <c r="E3187" s="42"/>
      <c r="F3187" s="42"/>
      <c r="G3187" s="42"/>
      <c r="H3187" s="42"/>
    </row>
    <row r="3188" spans="3:8" x14ac:dyDescent="0.3">
      <c r="C3188" s="42"/>
      <c r="D3188" s="42"/>
      <c r="E3188" s="42"/>
      <c r="F3188" s="42"/>
      <c r="G3188" s="42"/>
      <c r="H3188" s="42"/>
    </row>
    <row r="3189" spans="3:8" x14ac:dyDescent="0.3">
      <c r="C3189" s="42"/>
      <c r="D3189" s="42"/>
      <c r="E3189" s="42"/>
      <c r="F3189" s="42"/>
      <c r="G3189" s="42"/>
      <c r="H3189" s="42"/>
    </row>
    <row r="3190" spans="3:8" x14ac:dyDescent="0.3">
      <c r="C3190" s="42"/>
      <c r="D3190" s="42"/>
      <c r="E3190" s="42"/>
      <c r="F3190" s="42"/>
      <c r="G3190" s="42"/>
      <c r="H3190" s="42"/>
    </row>
    <row r="3191" spans="3:8" x14ac:dyDescent="0.3">
      <c r="C3191" s="42"/>
      <c r="D3191" s="42"/>
      <c r="E3191" s="42"/>
      <c r="F3191" s="42"/>
      <c r="G3191" s="42"/>
      <c r="H3191" s="42"/>
    </row>
    <row r="3192" spans="3:8" x14ac:dyDescent="0.3">
      <c r="C3192" s="42"/>
      <c r="D3192" s="42"/>
      <c r="E3192" s="42"/>
      <c r="F3192" s="42"/>
      <c r="G3192" s="42"/>
      <c r="H3192" s="42"/>
    </row>
    <row r="3193" spans="3:8" x14ac:dyDescent="0.3">
      <c r="C3193" s="42"/>
      <c r="D3193" s="42"/>
      <c r="E3193" s="42"/>
      <c r="F3193" s="42"/>
      <c r="G3193" s="42"/>
      <c r="H3193" s="42"/>
    </row>
    <row r="3194" spans="3:8" x14ac:dyDescent="0.3">
      <c r="C3194" s="42"/>
      <c r="D3194" s="42"/>
      <c r="E3194" s="42"/>
      <c r="F3194" s="42"/>
      <c r="G3194" s="42"/>
      <c r="H3194" s="42"/>
    </row>
    <row r="3195" spans="3:8" x14ac:dyDescent="0.3">
      <c r="C3195" s="42"/>
      <c r="D3195" s="42"/>
      <c r="E3195" s="42"/>
      <c r="F3195" s="42"/>
      <c r="G3195" s="42"/>
      <c r="H3195" s="42"/>
    </row>
    <row r="3196" spans="3:8" x14ac:dyDescent="0.3">
      <c r="C3196" s="42"/>
      <c r="D3196" s="42"/>
      <c r="E3196" s="42"/>
      <c r="F3196" s="42"/>
      <c r="G3196" s="42"/>
      <c r="H3196" s="42"/>
    </row>
    <row r="3197" spans="3:8" x14ac:dyDescent="0.3">
      <c r="C3197" s="42"/>
      <c r="D3197" s="42"/>
      <c r="E3197" s="42"/>
      <c r="F3197" s="42"/>
      <c r="G3197" s="42"/>
      <c r="H3197" s="42"/>
    </row>
    <row r="3198" spans="3:8" x14ac:dyDescent="0.3">
      <c r="C3198" s="42"/>
      <c r="D3198" s="42"/>
      <c r="E3198" s="42"/>
      <c r="F3198" s="42"/>
      <c r="G3198" s="42"/>
      <c r="H3198" s="42"/>
    </row>
    <row r="3199" spans="3:8" x14ac:dyDescent="0.3">
      <c r="C3199" s="42"/>
      <c r="D3199" s="42"/>
      <c r="E3199" s="42"/>
      <c r="F3199" s="42"/>
      <c r="G3199" s="42"/>
      <c r="H3199" s="42"/>
    </row>
    <row r="3200" spans="3:8" x14ac:dyDescent="0.3">
      <c r="C3200" s="42"/>
      <c r="D3200" s="42"/>
      <c r="E3200" s="42"/>
      <c r="F3200" s="42"/>
      <c r="G3200" s="42"/>
      <c r="H3200" s="42"/>
    </row>
    <row r="3201" spans="3:8" x14ac:dyDescent="0.3">
      <c r="C3201" s="42"/>
      <c r="D3201" s="42"/>
      <c r="E3201" s="42"/>
      <c r="F3201" s="42"/>
      <c r="G3201" s="42"/>
      <c r="H3201" s="42"/>
    </row>
    <row r="3202" spans="3:8" x14ac:dyDescent="0.3">
      <c r="C3202" s="42"/>
      <c r="D3202" s="42"/>
      <c r="E3202" s="42"/>
      <c r="F3202" s="42"/>
      <c r="G3202" s="42"/>
      <c r="H3202" s="42"/>
    </row>
    <row r="3203" spans="3:8" x14ac:dyDescent="0.3">
      <c r="C3203" s="42"/>
      <c r="D3203" s="42"/>
      <c r="E3203" s="42"/>
      <c r="F3203" s="42"/>
      <c r="G3203" s="42"/>
      <c r="H3203" s="42"/>
    </row>
    <row r="3204" spans="3:8" x14ac:dyDescent="0.3">
      <c r="C3204" s="42"/>
      <c r="D3204" s="42"/>
      <c r="E3204" s="42"/>
      <c r="F3204" s="42"/>
      <c r="G3204" s="42"/>
      <c r="H3204" s="42"/>
    </row>
    <row r="3205" spans="3:8" x14ac:dyDescent="0.3">
      <c r="C3205" s="42"/>
      <c r="D3205" s="42"/>
      <c r="E3205" s="42"/>
      <c r="F3205" s="42"/>
      <c r="G3205" s="42"/>
      <c r="H3205" s="42"/>
    </row>
    <row r="3206" spans="3:8" x14ac:dyDescent="0.3">
      <c r="C3206" s="42"/>
      <c r="D3206" s="42"/>
      <c r="E3206" s="42"/>
      <c r="F3206" s="42"/>
      <c r="G3206" s="42"/>
      <c r="H3206" s="42"/>
    </row>
    <row r="3207" spans="3:8" x14ac:dyDescent="0.3">
      <c r="C3207" s="42"/>
      <c r="D3207" s="42"/>
      <c r="E3207" s="42"/>
      <c r="F3207" s="42"/>
      <c r="G3207" s="42"/>
      <c r="H3207" s="42"/>
    </row>
    <row r="3208" spans="3:8" x14ac:dyDescent="0.3">
      <c r="C3208" s="42"/>
      <c r="D3208" s="42"/>
      <c r="E3208" s="42"/>
      <c r="F3208" s="42"/>
      <c r="G3208" s="42"/>
      <c r="H3208" s="42"/>
    </row>
    <row r="3209" spans="3:8" x14ac:dyDescent="0.3">
      <c r="C3209" s="42"/>
      <c r="D3209" s="42"/>
      <c r="E3209" s="42"/>
      <c r="F3209" s="42"/>
      <c r="G3209" s="42"/>
      <c r="H3209" s="42"/>
    </row>
    <row r="3210" spans="3:8" x14ac:dyDescent="0.3">
      <c r="C3210" s="42"/>
      <c r="D3210" s="42"/>
      <c r="E3210" s="42"/>
      <c r="F3210" s="42"/>
      <c r="G3210" s="42"/>
      <c r="H3210" s="42"/>
    </row>
    <row r="3211" spans="3:8" x14ac:dyDescent="0.3">
      <c r="C3211" s="42"/>
      <c r="D3211" s="42"/>
      <c r="E3211" s="42"/>
      <c r="F3211" s="42"/>
      <c r="G3211" s="42"/>
      <c r="H3211" s="42"/>
    </row>
    <row r="3212" spans="3:8" x14ac:dyDescent="0.3">
      <c r="C3212" s="42"/>
      <c r="D3212" s="42"/>
      <c r="E3212" s="42"/>
      <c r="F3212" s="42"/>
      <c r="G3212" s="42"/>
      <c r="H3212" s="42"/>
    </row>
    <row r="3213" spans="3:8" x14ac:dyDescent="0.3">
      <c r="C3213" s="42"/>
      <c r="D3213" s="42"/>
      <c r="E3213" s="42"/>
      <c r="F3213" s="42"/>
      <c r="G3213" s="42"/>
      <c r="H3213" s="42"/>
    </row>
    <row r="3214" spans="3:8" x14ac:dyDescent="0.3">
      <c r="C3214" s="42"/>
      <c r="D3214" s="42"/>
      <c r="E3214" s="42"/>
      <c r="F3214" s="42"/>
      <c r="G3214" s="42"/>
      <c r="H3214" s="42"/>
    </row>
    <row r="3215" spans="3:8" x14ac:dyDescent="0.3">
      <c r="C3215" s="42"/>
      <c r="D3215" s="42"/>
      <c r="E3215" s="42"/>
      <c r="F3215" s="42"/>
      <c r="G3215" s="42"/>
      <c r="H3215" s="42"/>
    </row>
    <row r="3216" spans="3:8" x14ac:dyDescent="0.3">
      <c r="C3216" s="42"/>
      <c r="D3216" s="42"/>
      <c r="E3216" s="42"/>
      <c r="F3216" s="42"/>
      <c r="G3216" s="42"/>
      <c r="H3216" s="42"/>
    </row>
    <row r="3217" spans="3:8" x14ac:dyDescent="0.3">
      <c r="C3217" s="42"/>
      <c r="D3217" s="42"/>
      <c r="E3217" s="42"/>
      <c r="F3217" s="42"/>
      <c r="G3217" s="42"/>
      <c r="H3217" s="42"/>
    </row>
    <row r="3218" spans="3:8" x14ac:dyDescent="0.3">
      <c r="C3218" s="42"/>
      <c r="D3218" s="42"/>
      <c r="E3218" s="42"/>
      <c r="F3218" s="42"/>
      <c r="G3218" s="42"/>
      <c r="H3218" s="42"/>
    </row>
    <row r="3219" spans="3:8" x14ac:dyDescent="0.3">
      <c r="C3219" s="42"/>
      <c r="D3219" s="42"/>
      <c r="E3219" s="42"/>
      <c r="F3219" s="42"/>
      <c r="G3219" s="42"/>
      <c r="H3219" s="42"/>
    </row>
    <row r="3220" spans="3:8" x14ac:dyDescent="0.3">
      <c r="C3220" s="42"/>
      <c r="D3220" s="42"/>
      <c r="E3220" s="42"/>
      <c r="F3220" s="42"/>
      <c r="G3220" s="42"/>
      <c r="H3220" s="42"/>
    </row>
    <row r="3221" spans="3:8" x14ac:dyDescent="0.3">
      <c r="C3221" s="42"/>
      <c r="D3221" s="42"/>
      <c r="E3221" s="42"/>
      <c r="F3221" s="42"/>
      <c r="G3221" s="42"/>
      <c r="H3221" s="42"/>
    </row>
    <row r="3222" spans="3:8" x14ac:dyDescent="0.3">
      <c r="C3222" s="42"/>
      <c r="D3222" s="42"/>
      <c r="E3222" s="42"/>
      <c r="F3222" s="42"/>
      <c r="G3222" s="42"/>
      <c r="H3222" s="42"/>
    </row>
    <row r="3223" spans="3:8" x14ac:dyDescent="0.3">
      <c r="C3223" s="42"/>
      <c r="D3223" s="42"/>
      <c r="E3223" s="42"/>
      <c r="F3223" s="42"/>
      <c r="G3223" s="42"/>
      <c r="H3223" s="42"/>
    </row>
    <row r="3224" spans="3:8" x14ac:dyDescent="0.3">
      <c r="C3224" s="42"/>
      <c r="D3224" s="42"/>
      <c r="E3224" s="42"/>
      <c r="F3224" s="42"/>
      <c r="G3224" s="42"/>
      <c r="H3224" s="42"/>
    </row>
    <row r="3225" spans="3:8" x14ac:dyDescent="0.3">
      <c r="C3225" s="42"/>
      <c r="D3225" s="42"/>
      <c r="E3225" s="42"/>
      <c r="F3225" s="42"/>
      <c r="G3225" s="42"/>
      <c r="H3225" s="42"/>
    </row>
    <row r="3226" spans="3:8" x14ac:dyDescent="0.3">
      <c r="C3226" s="42"/>
      <c r="D3226" s="42"/>
      <c r="E3226" s="42"/>
      <c r="F3226" s="42"/>
      <c r="G3226" s="42"/>
      <c r="H3226" s="42"/>
    </row>
    <row r="3227" spans="3:8" x14ac:dyDescent="0.3">
      <c r="C3227" s="42"/>
      <c r="D3227" s="42"/>
      <c r="E3227" s="42"/>
      <c r="F3227" s="42"/>
      <c r="G3227" s="42"/>
      <c r="H3227" s="42"/>
    </row>
    <row r="3228" spans="3:8" x14ac:dyDescent="0.3">
      <c r="C3228" s="42"/>
      <c r="D3228" s="42"/>
      <c r="E3228" s="42"/>
      <c r="F3228" s="42"/>
      <c r="G3228" s="42"/>
      <c r="H3228" s="42"/>
    </row>
    <row r="3229" spans="3:8" x14ac:dyDescent="0.3">
      <c r="C3229" s="42"/>
      <c r="D3229" s="42"/>
      <c r="E3229" s="42"/>
      <c r="F3229" s="42"/>
      <c r="G3229" s="42"/>
      <c r="H3229" s="42"/>
    </row>
    <row r="3230" spans="3:8" x14ac:dyDescent="0.3">
      <c r="C3230" s="42"/>
      <c r="D3230" s="42"/>
      <c r="E3230" s="42"/>
      <c r="F3230" s="42"/>
      <c r="G3230" s="42"/>
      <c r="H3230" s="42"/>
    </row>
    <row r="3231" spans="3:8" x14ac:dyDescent="0.3">
      <c r="C3231" s="42"/>
      <c r="D3231" s="42"/>
      <c r="E3231" s="42"/>
      <c r="F3231" s="42"/>
      <c r="G3231" s="42"/>
      <c r="H3231" s="42"/>
    </row>
    <row r="3232" spans="3:8" x14ac:dyDescent="0.3">
      <c r="C3232" s="42"/>
      <c r="D3232" s="42"/>
      <c r="E3232" s="42"/>
      <c r="F3232" s="42"/>
      <c r="G3232" s="42"/>
      <c r="H3232" s="42"/>
    </row>
    <row r="3233" spans="3:8" x14ac:dyDescent="0.3">
      <c r="C3233" s="42"/>
      <c r="D3233" s="42"/>
      <c r="E3233" s="42"/>
      <c r="F3233" s="42"/>
      <c r="G3233" s="42"/>
      <c r="H3233" s="42"/>
    </row>
    <row r="3234" spans="3:8" x14ac:dyDescent="0.3">
      <c r="C3234" s="42"/>
      <c r="D3234" s="42"/>
      <c r="E3234" s="42"/>
      <c r="F3234" s="42"/>
      <c r="G3234" s="42"/>
      <c r="H3234" s="42"/>
    </row>
    <row r="3235" spans="3:8" x14ac:dyDescent="0.3">
      <c r="C3235" s="42"/>
      <c r="D3235" s="42"/>
      <c r="E3235" s="42"/>
      <c r="F3235" s="42"/>
      <c r="G3235" s="42"/>
      <c r="H3235" s="42"/>
    </row>
    <row r="3236" spans="3:8" x14ac:dyDescent="0.3">
      <c r="C3236" s="42"/>
      <c r="D3236" s="42"/>
      <c r="E3236" s="42"/>
      <c r="F3236" s="42"/>
      <c r="G3236" s="42"/>
      <c r="H3236" s="42"/>
    </row>
    <row r="3237" spans="3:8" x14ac:dyDescent="0.3">
      <c r="C3237" s="42"/>
      <c r="D3237" s="42"/>
      <c r="E3237" s="42"/>
      <c r="F3237" s="42"/>
      <c r="G3237" s="42"/>
      <c r="H3237" s="42"/>
    </row>
    <row r="3238" spans="3:8" x14ac:dyDescent="0.3">
      <c r="C3238" s="42"/>
      <c r="D3238" s="42"/>
      <c r="E3238" s="42"/>
      <c r="F3238" s="42"/>
      <c r="G3238" s="42"/>
      <c r="H3238" s="42"/>
    </row>
    <row r="3239" spans="3:8" x14ac:dyDescent="0.3">
      <c r="C3239" s="42"/>
      <c r="D3239" s="42"/>
      <c r="E3239" s="42"/>
      <c r="F3239" s="42"/>
      <c r="G3239" s="42"/>
      <c r="H3239" s="42"/>
    </row>
    <row r="3240" spans="3:8" x14ac:dyDescent="0.3">
      <c r="C3240" s="42"/>
      <c r="D3240" s="42"/>
      <c r="E3240" s="42"/>
      <c r="F3240" s="42"/>
      <c r="G3240" s="42"/>
      <c r="H3240" s="42"/>
    </row>
    <row r="3241" spans="3:8" x14ac:dyDescent="0.3">
      <c r="C3241" s="42"/>
      <c r="D3241" s="42"/>
      <c r="E3241" s="42"/>
      <c r="F3241" s="42"/>
      <c r="G3241" s="42"/>
      <c r="H3241" s="42"/>
    </row>
    <row r="3242" spans="3:8" x14ac:dyDescent="0.3">
      <c r="C3242" s="42"/>
      <c r="D3242" s="42"/>
      <c r="E3242" s="42"/>
      <c r="F3242" s="42"/>
      <c r="G3242" s="42"/>
      <c r="H3242" s="42"/>
    </row>
    <row r="3243" spans="3:8" x14ac:dyDescent="0.3">
      <c r="C3243" s="42"/>
      <c r="D3243" s="42"/>
      <c r="E3243" s="42"/>
      <c r="F3243" s="42"/>
      <c r="G3243" s="42"/>
      <c r="H3243" s="42"/>
    </row>
    <row r="3244" spans="3:8" x14ac:dyDescent="0.3">
      <c r="C3244" s="42"/>
      <c r="D3244" s="42"/>
      <c r="E3244" s="42"/>
      <c r="F3244" s="42"/>
      <c r="G3244" s="42"/>
      <c r="H3244" s="42"/>
    </row>
    <row r="3245" spans="3:8" x14ac:dyDescent="0.3">
      <c r="C3245" s="42"/>
      <c r="D3245" s="42"/>
      <c r="E3245" s="42"/>
      <c r="F3245" s="42"/>
      <c r="G3245" s="42"/>
      <c r="H3245" s="42"/>
    </row>
    <row r="3246" spans="3:8" x14ac:dyDescent="0.3">
      <c r="C3246" s="42"/>
      <c r="D3246" s="42"/>
      <c r="E3246" s="42"/>
      <c r="F3246" s="42"/>
      <c r="G3246" s="42"/>
      <c r="H3246" s="42"/>
    </row>
    <row r="3247" spans="3:8" x14ac:dyDescent="0.3">
      <c r="C3247" s="42"/>
      <c r="D3247" s="42"/>
      <c r="E3247" s="42"/>
      <c r="F3247" s="42"/>
      <c r="G3247" s="42"/>
      <c r="H3247" s="42"/>
    </row>
    <row r="3248" spans="3:8" x14ac:dyDescent="0.3">
      <c r="C3248" s="42"/>
      <c r="D3248" s="42"/>
      <c r="E3248" s="42"/>
      <c r="F3248" s="42"/>
      <c r="G3248" s="42"/>
      <c r="H3248" s="42"/>
    </row>
    <row r="3249" spans="3:8" x14ac:dyDescent="0.3">
      <c r="C3249" s="42"/>
      <c r="D3249" s="42"/>
      <c r="E3249" s="42"/>
      <c r="F3249" s="42"/>
      <c r="G3249" s="42"/>
      <c r="H3249" s="42"/>
    </row>
    <row r="3250" spans="3:8" x14ac:dyDescent="0.3">
      <c r="C3250" s="42"/>
      <c r="D3250" s="42"/>
      <c r="E3250" s="42"/>
      <c r="F3250" s="42"/>
      <c r="G3250" s="42"/>
      <c r="H3250" s="42"/>
    </row>
    <row r="3251" spans="3:8" x14ac:dyDescent="0.3">
      <c r="C3251" s="42"/>
      <c r="D3251" s="42"/>
      <c r="E3251" s="42"/>
      <c r="F3251" s="42"/>
      <c r="G3251" s="42"/>
      <c r="H3251" s="42"/>
    </row>
    <row r="3252" spans="3:8" x14ac:dyDescent="0.3">
      <c r="C3252" s="42"/>
      <c r="D3252" s="42"/>
      <c r="E3252" s="42"/>
      <c r="F3252" s="42"/>
      <c r="G3252" s="42"/>
      <c r="H3252" s="42"/>
    </row>
    <row r="3253" spans="3:8" x14ac:dyDescent="0.3">
      <c r="C3253" s="42"/>
      <c r="D3253" s="42"/>
      <c r="E3253" s="42"/>
      <c r="F3253" s="42"/>
      <c r="G3253" s="42"/>
      <c r="H3253" s="42"/>
    </row>
    <row r="3254" spans="3:8" x14ac:dyDescent="0.3">
      <c r="C3254" s="42"/>
      <c r="D3254" s="42"/>
      <c r="E3254" s="42"/>
      <c r="F3254" s="42"/>
      <c r="G3254" s="42"/>
      <c r="H3254" s="42"/>
    </row>
    <row r="3255" spans="3:8" x14ac:dyDescent="0.3">
      <c r="C3255" s="42"/>
      <c r="D3255" s="42"/>
      <c r="E3255" s="42"/>
      <c r="F3255" s="42"/>
      <c r="G3255" s="42"/>
      <c r="H3255" s="42"/>
    </row>
    <row r="3256" spans="3:8" x14ac:dyDescent="0.3">
      <c r="C3256" s="42"/>
      <c r="D3256" s="42"/>
      <c r="E3256" s="42"/>
      <c r="F3256" s="42"/>
      <c r="G3256" s="42"/>
      <c r="H3256" s="42"/>
    </row>
    <row r="3257" spans="3:8" x14ac:dyDescent="0.3">
      <c r="C3257" s="42"/>
      <c r="D3257" s="42"/>
      <c r="E3257" s="42"/>
      <c r="F3257" s="42"/>
      <c r="G3257" s="42"/>
      <c r="H3257" s="42"/>
    </row>
    <row r="3258" spans="3:8" x14ac:dyDescent="0.3">
      <c r="C3258" s="42"/>
      <c r="D3258" s="42"/>
      <c r="E3258" s="42"/>
      <c r="F3258" s="42"/>
      <c r="G3258" s="42"/>
      <c r="H3258" s="42"/>
    </row>
    <row r="3259" spans="3:8" x14ac:dyDescent="0.3">
      <c r="C3259" s="42"/>
      <c r="D3259" s="42"/>
      <c r="E3259" s="42"/>
      <c r="F3259" s="42"/>
      <c r="G3259" s="42"/>
      <c r="H3259" s="42"/>
    </row>
    <row r="3260" spans="3:8" x14ac:dyDescent="0.3">
      <c r="C3260" s="42"/>
      <c r="D3260" s="42"/>
      <c r="E3260" s="42"/>
      <c r="F3260" s="42"/>
      <c r="G3260" s="42"/>
      <c r="H3260" s="42"/>
    </row>
    <row r="3261" spans="3:8" x14ac:dyDescent="0.3">
      <c r="C3261" s="42"/>
      <c r="D3261" s="42"/>
      <c r="E3261" s="42"/>
      <c r="F3261" s="42"/>
      <c r="G3261" s="42"/>
      <c r="H3261" s="42"/>
    </row>
    <row r="3262" spans="3:8" x14ac:dyDescent="0.3">
      <c r="C3262" s="42"/>
      <c r="D3262" s="42"/>
      <c r="E3262" s="42"/>
      <c r="F3262" s="42"/>
      <c r="G3262" s="42"/>
      <c r="H3262" s="42"/>
    </row>
    <row r="3263" spans="3:8" x14ac:dyDescent="0.3">
      <c r="C3263" s="42"/>
      <c r="D3263" s="42"/>
      <c r="E3263" s="42"/>
      <c r="F3263" s="42"/>
      <c r="G3263" s="42"/>
      <c r="H3263" s="42"/>
    </row>
    <row r="3264" spans="3:8" x14ac:dyDescent="0.3">
      <c r="C3264" s="42"/>
      <c r="D3264" s="42"/>
      <c r="E3264" s="42"/>
      <c r="F3264" s="42"/>
      <c r="G3264" s="42"/>
      <c r="H3264" s="42"/>
    </row>
    <row r="3265" spans="3:8" x14ac:dyDescent="0.3">
      <c r="C3265" s="42"/>
      <c r="D3265" s="42"/>
      <c r="E3265" s="42"/>
      <c r="F3265" s="42"/>
      <c r="G3265" s="42"/>
      <c r="H3265" s="42"/>
    </row>
    <row r="3266" spans="3:8" x14ac:dyDescent="0.3">
      <c r="C3266" s="42"/>
      <c r="D3266" s="42"/>
      <c r="E3266" s="42"/>
      <c r="F3266" s="42"/>
      <c r="G3266" s="42"/>
      <c r="H3266" s="42"/>
    </row>
    <row r="3267" spans="3:8" x14ac:dyDescent="0.3">
      <c r="C3267" s="42"/>
      <c r="D3267" s="42"/>
      <c r="E3267" s="42"/>
      <c r="F3267" s="42"/>
      <c r="G3267" s="42"/>
      <c r="H3267" s="42"/>
    </row>
    <row r="3268" spans="3:8" x14ac:dyDescent="0.3">
      <c r="C3268" s="42"/>
      <c r="D3268" s="42"/>
      <c r="E3268" s="42"/>
      <c r="F3268" s="42"/>
      <c r="G3268" s="42"/>
      <c r="H3268" s="42"/>
    </row>
    <row r="3269" spans="3:8" x14ac:dyDescent="0.3">
      <c r="C3269" s="42"/>
      <c r="D3269" s="42"/>
      <c r="E3269" s="42"/>
      <c r="F3269" s="42"/>
      <c r="G3269" s="42"/>
      <c r="H3269" s="42"/>
    </row>
    <row r="3270" spans="3:8" x14ac:dyDescent="0.3">
      <c r="C3270" s="42"/>
      <c r="D3270" s="42"/>
      <c r="E3270" s="42"/>
      <c r="F3270" s="42"/>
      <c r="G3270" s="42"/>
      <c r="H3270" s="42"/>
    </row>
    <row r="3271" spans="3:8" x14ac:dyDescent="0.3">
      <c r="C3271" s="42"/>
      <c r="D3271" s="42"/>
      <c r="E3271" s="42"/>
      <c r="F3271" s="42"/>
      <c r="G3271" s="42"/>
      <c r="H3271" s="42"/>
    </row>
    <row r="3272" spans="3:8" x14ac:dyDescent="0.3">
      <c r="C3272" s="42"/>
      <c r="D3272" s="42"/>
      <c r="E3272" s="42"/>
      <c r="F3272" s="42"/>
      <c r="G3272" s="42"/>
      <c r="H3272" s="42"/>
    </row>
    <row r="3273" spans="3:8" x14ac:dyDescent="0.3">
      <c r="C3273" s="42"/>
      <c r="D3273" s="42"/>
      <c r="E3273" s="42"/>
      <c r="F3273" s="42"/>
      <c r="G3273" s="42"/>
      <c r="H3273" s="42"/>
    </row>
    <row r="3274" spans="3:8" x14ac:dyDescent="0.3">
      <c r="C3274" s="42"/>
      <c r="D3274" s="42"/>
      <c r="E3274" s="42"/>
      <c r="F3274" s="42"/>
      <c r="G3274" s="42"/>
      <c r="H3274" s="42"/>
    </row>
    <row r="3275" spans="3:8" x14ac:dyDescent="0.3">
      <c r="C3275" s="42"/>
      <c r="D3275" s="42"/>
      <c r="E3275" s="42"/>
      <c r="F3275" s="42"/>
      <c r="G3275" s="42"/>
      <c r="H3275" s="42"/>
    </row>
    <row r="3276" spans="3:8" x14ac:dyDescent="0.3">
      <c r="C3276" s="42"/>
      <c r="D3276" s="42"/>
      <c r="E3276" s="42"/>
      <c r="F3276" s="42"/>
      <c r="G3276" s="42"/>
      <c r="H3276" s="42"/>
    </row>
    <row r="3277" spans="3:8" x14ac:dyDescent="0.3">
      <c r="C3277" s="42"/>
      <c r="D3277" s="42"/>
      <c r="E3277" s="42"/>
      <c r="F3277" s="42"/>
      <c r="G3277" s="42"/>
      <c r="H3277" s="42"/>
    </row>
    <row r="3278" spans="3:8" x14ac:dyDescent="0.3">
      <c r="C3278" s="42"/>
      <c r="D3278" s="42"/>
      <c r="E3278" s="42"/>
      <c r="F3278" s="42"/>
      <c r="G3278" s="42"/>
      <c r="H3278" s="42"/>
    </row>
    <row r="3279" spans="3:8" x14ac:dyDescent="0.3">
      <c r="C3279" s="42"/>
      <c r="D3279" s="42"/>
      <c r="E3279" s="42"/>
      <c r="F3279" s="42"/>
      <c r="G3279" s="42"/>
      <c r="H3279" s="42"/>
    </row>
    <row r="3280" spans="3:8" x14ac:dyDescent="0.3">
      <c r="C3280" s="42"/>
      <c r="D3280" s="42"/>
      <c r="E3280" s="42"/>
      <c r="F3280" s="42"/>
      <c r="G3280" s="42"/>
      <c r="H3280" s="42"/>
    </row>
    <row r="3281" spans="3:8" x14ac:dyDescent="0.3">
      <c r="C3281" s="42"/>
      <c r="D3281" s="42"/>
      <c r="E3281" s="42"/>
      <c r="F3281" s="42"/>
      <c r="G3281" s="42"/>
      <c r="H3281" s="42"/>
    </row>
    <row r="3282" spans="3:8" x14ac:dyDescent="0.3">
      <c r="C3282" s="42"/>
      <c r="D3282" s="42"/>
      <c r="E3282" s="42"/>
      <c r="F3282" s="42"/>
      <c r="G3282" s="42"/>
      <c r="H3282" s="42"/>
    </row>
    <row r="3283" spans="3:8" x14ac:dyDescent="0.3">
      <c r="C3283" s="42"/>
      <c r="D3283" s="42"/>
      <c r="E3283" s="42"/>
      <c r="F3283" s="42"/>
      <c r="G3283" s="42"/>
      <c r="H3283" s="42"/>
    </row>
    <row r="3284" spans="3:8" x14ac:dyDescent="0.3">
      <c r="C3284" s="42"/>
      <c r="D3284" s="42"/>
      <c r="E3284" s="42"/>
      <c r="F3284" s="42"/>
      <c r="G3284" s="42"/>
      <c r="H3284" s="42"/>
    </row>
    <row r="3285" spans="3:8" x14ac:dyDescent="0.3">
      <c r="C3285" s="42"/>
      <c r="D3285" s="42"/>
      <c r="E3285" s="42"/>
      <c r="F3285" s="42"/>
      <c r="G3285" s="42"/>
      <c r="H3285" s="42"/>
    </row>
    <row r="3286" spans="3:8" x14ac:dyDescent="0.3">
      <c r="C3286" s="42"/>
      <c r="D3286" s="42"/>
      <c r="E3286" s="42"/>
      <c r="F3286" s="42"/>
      <c r="G3286" s="42"/>
      <c r="H3286" s="42"/>
    </row>
    <row r="3287" spans="3:8" x14ac:dyDescent="0.3">
      <c r="C3287" s="42"/>
      <c r="D3287" s="42"/>
      <c r="E3287" s="42"/>
      <c r="F3287" s="42"/>
      <c r="G3287" s="42"/>
      <c r="H3287" s="42"/>
    </row>
    <row r="3288" spans="3:8" x14ac:dyDescent="0.3">
      <c r="C3288" s="42"/>
      <c r="D3288" s="42"/>
      <c r="E3288" s="42"/>
      <c r="F3288" s="42"/>
      <c r="G3288" s="42"/>
      <c r="H3288" s="42"/>
    </row>
    <row r="3289" spans="3:8" x14ac:dyDescent="0.3">
      <c r="C3289" s="42"/>
      <c r="D3289" s="42"/>
      <c r="E3289" s="42"/>
      <c r="F3289" s="42"/>
      <c r="G3289" s="42"/>
      <c r="H3289" s="42"/>
    </row>
    <row r="3290" spans="3:8" x14ac:dyDescent="0.3">
      <c r="C3290" s="42"/>
      <c r="D3290" s="42"/>
      <c r="E3290" s="42"/>
      <c r="F3290" s="42"/>
      <c r="G3290" s="42"/>
      <c r="H3290" s="42"/>
    </row>
    <row r="3291" spans="3:8" x14ac:dyDescent="0.3">
      <c r="C3291" s="42"/>
      <c r="D3291" s="42"/>
      <c r="E3291" s="42"/>
      <c r="F3291" s="42"/>
      <c r="G3291" s="42"/>
      <c r="H3291" s="42"/>
    </row>
    <row r="3292" spans="3:8" x14ac:dyDescent="0.3">
      <c r="C3292" s="42"/>
      <c r="D3292" s="42"/>
      <c r="E3292" s="42"/>
      <c r="F3292" s="42"/>
      <c r="G3292" s="42"/>
      <c r="H3292" s="42"/>
    </row>
    <row r="3293" spans="3:8" x14ac:dyDescent="0.3">
      <c r="C3293" s="42"/>
      <c r="D3293" s="42"/>
      <c r="E3293" s="42"/>
      <c r="F3293" s="42"/>
      <c r="G3293" s="42"/>
      <c r="H3293" s="42"/>
    </row>
    <row r="3294" spans="3:8" x14ac:dyDescent="0.3">
      <c r="C3294" s="42"/>
      <c r="D3294" s="42"/>
      <c r="E3294" s="42"/>
      <c r="F3294" s="42"/>
      <c r="G3294" s="42"/>
      <c r="H3294" s="42"/>
    </row>
    <row r="3295" spans="3:8" x14ac:dyDescent="0.3">
      <c r="C3295" s="42"/>
      <c r="D3295" s="42"/>
      <c r="E3295" s="42"/>
      <c r="F3295" s="42"/>
      <c r="G3295" s="42"/>
      <c r="H3295" s="42"/>
    </row>
    <row r="3296" spans="3:8" x14ac:dyDescent="0.3">
      <c r="C3296" s="42"/>
      <c r="D3296" s="42"/>
      <c r="E3296" s="42"/>
      <c r="F3296" s="42"/>
      <c r="G3296" s="42"/>
      <c r="H3296" s="42"/>
    </row>
    <row r="3297" spans="3:8" x14ac:dyDescent="0.3">
      <c r="C3297" s="42"/>
      <c r="D3297" s="42"/>
      <c r="E3297" s="42"/>
      <c r="F3297" s="42"/>
      <c r="G3297" s="42"/>
      <c r="H3297" s="42"/>
    </row>
    <row r="3298" spans="3:8" x14ac:dyDescent="0.3">
      <c r="C3298" s="42"/>
      <c r="D3298" s="42"/>
      <c r="E3298" s="42"/>
      <c r="F3298" s="42"/>
      <c r="G3298" s="42"/>
      <c r="H3298" s="42"/>
    </row>
    <row r="3299" spans="3:8" x14ac:dyDescent="0.3">
      <c r="C3299" s="42"/>
      <c r="D3299" s="42"/>
      <c r="E3299" s="42"/>
      <c r="F3299" s="42"/>
      <c r="G3299" s="42"/>
      <c r="H3299" s="42"/>
    </row>
    <row r="3300" spans="3:8" x14ac:dyDescent="0.3">
      <c r="C3300" s="42"/>
      <c r="D3300" s="42"/>
      <c r="E3300" s="42"/>
      <c r="F3300" s="42"/>
      <c r="G3300" s="42"/>
      <c r="H3300" s="42"/>
    </row>
    <row r="3301" spans="3:8" x14ac:dyDescent="0.3">
      <c r="C3301" s="42"/>
      <c r="D3301" s="42"/>
      <c r="E3301" s="42"/>
      <c r="F3301" s="42"/>
      <c r="G3301" s="42"/>
      <c r="H3301" s="42"/>
    </row>
    <row r="3302" spans="3:8" x14ac:dyDescent="0.3">
      <c r="C3302" s="42"/>
      <c r="D3302" s="42"/>
      <c r="E3302" s="42"/>
      <c r="F3302" s="42"/>
      <c r="G3302" s="42"/>
      <c r="H3302" s="42"/>
    </row>
    <row r="3303" spans="3:8" x14ac:dyDescent="0.3">
      <c r="C3303" s="42"/>
      <c r="D3303" s="42"/>
      <c r="E3303" s="42"/>
      <c r="F3303" s="42"/>
      <c r="G3303" s="42"/>
      <c r="H3303" s="42"/>
    </row>
    <row r="3304" spans="3:8" x14ac:dyDescent="0.3">
      <c r="C3304" s="42"/>
      <c r="D3304" s="42"/>
      <c r="E3304" s="42"/>
      <c r="F3304" s="42"/>
      <c r="G3304" s="42"/>
      <c r="H3304" s="42"/>
    </row>
    <row r="3305" spans="3:8" x14ac:dyDescent="0.3">
      <c r="C3305" s="42"/>
      <c r="D3305" s="42"/>
      <c r="E3305" s="42"/>
      <c r="F3305" s="42"/>
      <c r="G3305" s="42"/>
      <c r="H3305" s="42"/>
    </row>
    <row r="3306" spans="3:8" x14ac:dyDescent="0.3">
      <c r="C3306" s="42"/>
      <c r="D3306" s="42"/>
      <c r="E3306" s="42"/>
      <c r="F3306" s="42"/>
      <c r="G3306" s="42"/>
      <c r="H3306" s="42"/>
    </row>
    <row r="3307" spans="3:8" x14ac:dyDescent="0.3">
      <c r="C3307" s="42"/>
      <c r="D3307" s="42"/>
      <c r="E3307" s="42"/>
      <c r="F3307" s="42"/>
      <c r="G3307" s="42"/>
      <c r="H3307" s="42"/>
    </row>
    <row r="3308" spans="3:8" x14ac:dyDescent="0.3">
      <c r="C3308" s="42"/>
      <c r="D3308" s="42"/>
      <c r="E3308" s="42"/>
      <c r="F3308" s="42"/>
      <c r="G3308" s="42"/>
      <c r="H3308" s="42"/>
    </row>
    <row r="3309" spans="3:8" x14ac:dyDescent="0.3">
      <c r="C3309" s="42"/>
      <c r="D3309" s="42"/>
      <c r="E3309" s="42"/>
      <c r="F3309" s="42"/>
      <c r="G3309" s="42"/>
      <c r="H3309" s="42"/>
    </row>
    <row r="3310" spans="3:8" x14ac:dyDescent="0.3">
      <c r="C3310" s="42"/>
      <c r="D3310" s="42"/>
      <c r="E3310" s="42"/>
      <c r="F3310" s="42"/>
      <c r="G3310" s="42"/>
      <c r="H3310" s="42"/>
    </row>
    <row r="3311" spans="3:8" x14ac:dyDescent="0.3">
      <c r="C3311" s="42"/>
      <c r="D3311" s="42"/>
      <c r="E3311" s="42"/>
      <c r="F3311" s="42"/>
      <c r="G3311" s="42"/>
      <c r="H3311" s="42"/>
    </row>
    <row r="3312" spans="3:8" x14ac:dyDescent="0.3">
      <c r="C3312" s="42"/>
      <c r="D3312" s="42"/>
      <c r="E3312" s="42"/>
      <c r="F3312" s="42"/>
      <c r="G3312" s="42"/>
      <c r="H3312" s="42"/>
    </row>
    <row r="3313" spans="3:8" x14ac:dyDescent="0.3">
      <c r="C3313" s="42"/>
      <c r="D3313" s="42"/>
      <c r="E3313" s="42"/>
      <c r="F3313" s="42"/>
      <c r="G3313" s="42"/>
      <c r="H3313" s="42"/>
    </row>
    <row r="3314" spans="3:8" x14ac:dyDescent="0.3">
      <c r="C3314" s="42"/>
      <c r="D3314" s="42"/>
      <c r="E3314" s="42"/>
      <c r="F3314" s="42"/>
      <c r="G3314" s="42"/>
      <c r="H3314" s="42"/>
    </row>
    <row r="3315" spans="3:8" x14ac:dyDescent="0.3">
      <c r="C3315" s="42"/>
      <c r="D3315" s="42"/>
      <c r="E3315" s="42"/>
      <c r="F3315" s="42"/>
      <c r="G3315" s="42"/>
      <c r="H3315" s="42"/>
    </row>
    <row r="3316" spans="3:8" x14ac:dyDescent="0.3">
      <c r="C3316" s="42"/>
      <c r="D3316" s="42"/>
      <c r="E3316" s="42"/>
      <c r="F3316" s="42"/>
      <c r="G3316" s="42"/>
      <c r="H3316" s="42"/>
    </row>
    <row r="3317" spans="3:8" x14ac:dyDescent="0.3">
      <c r="C3317" s="42"/>
      <c r="D3317" s="42"/>
      <c r="E3317" s="42"/>
      <c r="F3317" s="42"/>
      <c r="G3317" s="42"/>
      <c r="H3317" s="42"/>
    </row>
    <row r="3318" spans="3:8" x14ac:dyDescent="0.3">
      <c r="C3318" s="42"/>
      <c r="D3318" s="42"/>
      <c r="E3318" s="42"/>
      <c r="F3318" s="42"/>
      <c r="G3318" s="42"/>
      <c r="H3318" s="42"/>
    </row>
    <row r="3319" spans="3:8" x14ac:dyDescent="0.3">
      <c r="C3319" s="42"/>
      <c r="D3319" s="42"/>
      <c r="E3319" s="42"/>
      <c r="F3319" s="42"/>
      <c r="G3319" s="42"/>
      <c r="H3319" s="42"/>
    </row>
    <row r="3320" spans="3:8" x14ac:dyDescent="0.3">
      <c r="C3320" s="42"/>
      <c r="D3320" s="42"/>
      <c r="E3320" s="42"/>
      <c r="F3320" s="42"/>
      <c r="G3320" s="42"/>
      <c r="H3320" s="42"/>
    </row>
    <row r="3321" spans="3:8" x14ac:dyDescent="0.3">
      <c r="C3321" s="42"/>
      <c r="D3321" s="42"/>
      <c r="E3321" s="42"/>
      <c r="F3321" s="42"/>
      <c r="G3321" s="42"/>
      <c r="H3321" s="42"/>
    </row>
    <row r="3322" spans="3:8" x14ac:dyDescent="0.3">
      <c r="C3322" s="42"/>
      <c r="D3322" s="42"/>
      <c r="E3322" s="42"/>
      <c r="F3322" s="42"/>
      <c r="G3322" s="42"/>
      <c r="H3322" s="42"/>
    </row>
    <row r="3323" spans="3:8" x14ac:dyDescent="0.3">
      <c r="C3323" s="42"/>
      <c r="D3323" s="42"/>
      <c r="E3323" s="42"/>
      <c r="F3323" s="42"/>
      <c r="G3323" s="42"/>
      <c r="H3323" s="42"/>
    </row>
    <row r="3324" spans="3:8" x14ac:dyDescent="0.3">
      <c r="C3324" s="42"/>
      <c r="D3324" s="42"/>
      <c r="E3324" s="42"/>
      <c r="F3324" s="42"/>
      <c r="G3324" s="42"/>
      <c r="H3324" s="42"/>
    </row>
    <row r="3325" spans="3:8" x14ac:dyDescent="0.3">
      <c r="C3325" s="42"/>
      <c r="D3325" s="42"/>
      <c r="E3325" s="42"/>
      <c r="F3325" s="42"/>
      <c r="G3325" s="42"/>
      <c r="H3325" s="42"/>
    </row>
    <row r="3326" spans="3:8" x14ac:dyDescent="0.3">
      <c r="C3326" s="42"/>
      <c r="D3326" s="42"/>
      <c r="E3326" s="42"/>
      <c r="F3326" s="42"/>
      <c r="G3326" s="42"/>
      <c r="H3326" s="42"/>
    </row>
    <row r="3327" spans="3:8" x14ac:dyDescent="0.3">
      <c r="C3327" s="42"/>
      <c r="D3327" s="42"/>
      <c r="E3327" s="42"/>
      <c r="F3327" s="42"/>
      <c r="G3327" s="42"/>
      <c r="H3327" s="42"/>
    </row>
    <row r="3328" spans="3:8" x14ac:dyDescent="0.3">
      <c r="C3328" s="42"/>
      <c r="D3328" s="42"/>
      <c r="E3328" s="42"/>
      <c r="F3328" s="42"/>
      <c r="G3328" s="42"/>
      <c r="H3328" s="42"/>
    </row>
    <row r="3329" spans="3:8" x14ac:dyDescent="0.3">
      <c r="C3329" s="42"/>
      <c r="D3329" s="42"/>
      <c r="E3329" s="42"/>
      <c r="F3329" s="42"/>
      <c r="G3329" s="42"/>
      <c r="H3329" s="42"/>
    </row>
    <row r="3330" spans="3:8" x14ac:dyDescent="0.3">
      <c r="C3330" s="42"/>
      <c r="D3330" s="42"/>
      <c r="E3330" s="42"/>
      <c r="F3330" s="42"/>
      <c r="G3330" s="42"/>
      <c r="H3330" s="42"/>
    </row>
    <row r="3331" spans="3:8" x14ac:dyDescent="0.3">
      <c r="C3331" s="42"/>
      <c r="D3331" s="42"/>
      <c r="E3331" s="42"/>
      <c r="F3331" s="42"/>
      <c r="G3331" s="42"/>
      <c r="H3331" s="42"/>
    </row>
    <row r="3332" spans="3:8" x14ac:dyDescent="0.3">
      <c r="C3332" s="42"/>
      <c r="D3332" s="42"/>
      <c r="E3332" s="42"/>
      <c r="F3332" s="42"/>
      <c r="G3332" s="42"/>
      <c r="H3332" s="42"/>
    </row>
    <row r="3333" spans="3:8" x14ac:dyDescent="0.3">
      <c r="C3333" s="42"/>
      <c r="D3333" s="42"/>
      <c r="E3333" s="42"/>
      <c r="F3333" s="42"/>
      <c r="G3333" s="42"/>
      <c r="H3333" s="42"/>
    </row>
    <row r="3334" spans="3:8" x14ac:dyDescent="0.3">
      <c r="C3334" s="42"/>
      <c r="D3334" s="42"/>
      <c r="E3334" s="42"/>
      <c r="F3334" s="42"/>
      <c r="G3334" s="42"/>
      <c r="H3334" s="42"/>
    </row>
    <row r="3335" spans="3:8" x14ac:dyDescent="0.3">
      <c r="C3335" s="42"/>
      <c r="D3335" s="42"/>
      <c r="E3335" s="42"/>
      <c r="F3335" s="42"/>
      <c r="G3335" s="42"/>
      <c r="H3335" s="42"/>
    </row>
    <row r="3336" spans="3:8" x14ac:dyDescent="0.3">
      <c r="C3336" s="42"/>
      <c r="D3336" s="42"/>
      <c r="E3336" s="42"/>
      <c r="F3336" s="42"/>
      <c r="G3336" s="42"/>
      <c r="H3336" s="42"/>
    </row>
    <row r="3337" spans="3:8" x14ac:dyDescent="0.3">
      <c r="C3337" s="42"/>
      <c r="D3337" s="42"/>
      <c r="E3337" s="42"/>
      <c r="F3337" s="42"/>
      <c r="G3337" s="42"/>
      <c r="H3337" s="42"/>
    </row>
    <row r="3338" spans="3:8" x14ac:dyDescent="0.3">
      <c r="C3338" s="42"/>
      <c r="D3338" s="42"/>
      <c r="E3338" s="42"/>
      <c r="F3338" s="42"/>
      <c r="G3338" s="42"/>
      <c r="H3338" s="42"/>
    </row>
    <row r="3339" spans="3:8" x14ac:dyDescent="0.3">
      <c r="C3339" s="42"/>
      <c r="D3339" s="42"/>
      <c r="E3339" s="42"/>
      <c r="F3339" s="42"/>
      <c r="G3339" s="42"/>
      <c r="H3339" s="42"/>
    </row>
    <row r="3340" spans="3:8" x14ac:dyDescent="0.3">
      <c r="C3340" s="42"/>
      <c r="D3340" s="42"/>
      <c r="E3340" s="42"/>
      <c r="F3340" s="42"/>
      <c r="G3340" s="42"/>
      <c r="H3340" s="42"/>
    </row>
    <row r="3341" spans="3:8" x14ac:dyDescent="0.3">
      <c r="C3341" s="42"/>
      <c r="D3341" s="42"/>
      <c r="E3341" s="42"/>
      <c r="F3341" s="42"/>
      <c r="G3341" s="42"/>
      <c r="H3341" s="42"/>
    </row>
    <row r="3342" spans="3:8" x14ac:dyDescent="0.3">
      <c r="C3342" s="42"/>
      <c r="D3342" s="42"/>
      <c r="E3342" s="42"/>
      <c r="F3342" s="42"/>
      <c r="G3342" s="42"/>
      <c r="H3342" s="42"/>
    </row>
    <row r="3343" spans="3:8" x14ac:dyDescent="0.3">
      <c r="C3343" s="42"/>
      <c r="D3343" s="42"/>
      <c r="E3343" s="42"/>
      <c r="F3343" s="42"/>
      <c r="G3343" s="42"/>
      <c r="H3343" s="42"/>
    </row>
    <row r="3344" spans="3:8" x14ac:dyDescent="0.3">
      <c r="C3344" s="42"/>
      <c r="D3344" s="42"/>
      <c r="E3344" s="42"/>
      <c r="F3344" s="42"/>
      <c r="G3344" s="42"/>
      <c r="H3344" s="42"/>
    </row>
    <row r="3345" spans="3:8" x14ac:dyDescent="0.3">
      <c r="C3345" s="42"/>
      <c r="D3345" s="42"/>
      <c r="E3345" s="42"/>
      <c r="F3345" s="42"/>
      <c r="G3345" s="42"/>
      <c r="H3345" s="42"/>
    </row>
    <row r="3346" spans="3:8" x14ac:dyDescent="0.3">
      <c r="C3346" s="42"/>
      <c r="D3346" s="42"/>
      <c r="E3346" s="42"/>
      <c r="F3346" s="42"/>
      <c r="G3346" s="42"/>
      <c r="H3346" s="42"/>
    </row>
    <row r="3347" spans="3:8" x14ac:dyDescent="0.3">
      <c r="C3347" s="42"/>
      <c r="D3347" s="42"/>
      <c r="E3347" s="42"/>
      <c r="F3347" s="42"/>
      <c r="G3347" s="42"/>
      <c r="H3347" s="42"/>
    </row>
    <row r="3348" spans="3:8" x14ac:dyDescent="0.3">
      <c r="C3348" s="42"/>
      <c r="D3348" s="42"/>
      <c r="E3348" s="42"/>
      <c r="F3348" s="42"/>
      <c r="G3348" s="42"/>
      <c r="H3348" s="42"/>
    </row>
    <row r="3349" spans="3:8" x14ac:dyDescent="0.3">
      <c r="C3349" s="42"/>
      <c r="D3349" s="42"/>
      <c r="E3349" s="42"/>
      <c r="F3349" s="42"/>
      <c r="G3349" s="42"/>
      <c r="H3349" s="42"/>
    </row>
    <row r="3350" spans="3:8" x14ac:dyDescent="0.3">
      <c r="C3350" s="42"/>
      <c r="D3350" s="42"/>
      <c r="E3350" s="42"/>
      <c r="F3350" s="42"/>
      <c r="G3350" s="42"/>
      <c r="H3350" s="42"/>
    </row>
    <row r="3351" spans="3:8" x14ac:dyDescent="0.3">
      <c r="C3351" s="42"/>
      <c r="D3351" s="42"/>
      <c r="E3351" s="42"/>
      <c r="F3351" s="42"/>
      <c r="G3351" s="42"/>
      <c r="H3351" s="42"/>
    </row>
    <row r="3352" spans="3:8" x14ac:dyDescent="0.3">
      <c r="C3352" s="42"/>
      <c r="D3352" s="42"/>
      <c r="E3352" s="42"/>
      <c r="F3352" s="42"/>
      <c r="G3352" s="42"/>
      <c r="H3352" s="42"/>
    </row>
    <row r="3353" spans="3:8" x14ac:dyDescent="0.3">
      <c r="C3353" s="42"/>
      <c r="D3353" s="42"/>
      <c r="E3353" s="42"/>
      <c r="F3353" s="42"/>
      <c r="G3353" s="42"/>
      <c r="H3353" s="42"/>
    </row>
    <row r="3354" spans="3:8" x14ac:dyDescent="0.3">
      <c r="C3354" s="42"/>
      <c r="D3354" s="42"/>
      <c r="E3354" s="42"/>
      <c r="F3354" s="42"/>
      <c r="G3354" s="42"/>
      <c r="H3354" s="42"/>
    </row>
    <row r="3355" spans="3:8" x14ac:dyDescent="0.3">
      <c r="C3355" s="42"/>
      <c r="D3355" s="42"/>
      <c r="E3355" s="42"/>
      <c r="F3355" s="42"/>
      <c r="G3355" s="42"/>
      <c r="H3355" s="42"/>
    </row>
    <row r="3356" spans="3:8" x14ac:dyDescent="0.3">
      <c r="C3356" s="42"/>
      <c r="D3356" s="42"/>
      <c r="E3356" s="42"/>
      <c r="F3356" s="42"/>
      <c r="G3356" s="42"/>
      <c r="H3356" s="42"/>
    </row>
    <row r="3357" spans="3:8" x14ac:dyDescent="0.3">
      <c r="C3357" s="42"/>
      <c r="D3357" s="42"/>
      <c r="E3357" s="42"/>
      <c r="F3357" s="42"/>
      <c r="G3357" s="42"/>
      <c r="H3357" s="42"/>
    </row>
    <row r="3358" spans="3:8" x14ac:dyDescent="0.3">
      <c r="C3358" s="42"/>
      <c r="D3358" s="42"/>
      <c r="E3358" s="42"/>
      <c r="F3358" s="42"/>
      <c r="G3358" s="42"/>
      <c r="H3358" s="42"/>
    </row>
    <row r="3359" spans="3:8" x14ac:dyDescent="0.3">
      <c r="C3359" s="42"/>
      <c r="D3359" s="42"/>
      <c r="E3359" s="42"/>
      <c r="F3359" s="42"/>
      <c r="G3359" s="42"/>
      <c r="H3359" s="42"/>
    </row>
    <row r="3360" spans="3:8" x14ac:dyDescent="0.3">
      <c r="C3360" s="42"/>
      <c r="D3360" s="42"/>
      <c r="E3360" s="42"/>
      <c r="F3360" s="42"/>
      <c r="G3360" s="42"/>
      <c r="H3360" s="42"/>
    </row>
    <row r="3361" spans="3:8" x14ac:dyDescent="0.3">
      <c r="C3361" s="42"/>
      <c r="D3361" s="42"/>
      <c r="E3361" s="42"/>
      <c r="F3361" s="42"/>
      <c r="G3361" s="42"/>
      <c r="H3361" s="42"/>
    </row>
    <row r="3362" spans="3:8" x14ac:dyDescent="0.3">
      <c r="C3362" s="42"/>
      <c r="D3362" s="42"/>
      <c r="E3362" s="42"/>
      <c r="F3362" s="42"/>
      <c r="G3362" s="42"/>
      <c r="H3362" s="42"/>
    </row>
    <row r="3363" spans="3:8" x14ac:dyDescent="0.3">
      <c r="C3363" s="42"/>
      <c r="D3363" s="42"/>
      <c r="E3363" s="42"/>
      <c r="F3363" s="42"/>
      <c r="G3363" s="42"/>
      <c r="H3363" s="42"/>
    </row>
    <row r="3364" spans="3:8" x14ac:dyDescent="0.3">
      <c r="C3364" s="42"/>
      <c r="D3364" s="42"/>
      <c r="E3364" s="42"/>
      <c r="F3364" s="42"/>
      <c r="G3364" s="42"/>
      <c r="H3364" s="42"/>
    </row>
    <row r="3365" spans="3:8" x14ac:dyDescent="0.3">
      <c r="C3365" s="42"/>
      <c r="D3365" s="42"/>
      <c r="E3365" s="42"/>
      <c r="F3365" s="42"/>
      <c r="G3365" s="42"/>
      <c r="H3365" s="42"/>
    </row>
    <row r="3366" spans="3:8" x14ac:dyDescent="0.3">
      <c r="C3366" s="42"/>
      <c r="D3366" s="42"/>
      <c r="E3366" s="42"/>
      <c r="F3366" s="42"/>
      <c r="G3366" s="42"/>
      <c r="H3366" s="42"/>
    </row>
    <row r="3367" spans="3:8" x14ac:dyDescent="0.3">
      <c r="C3367" s="42"/>
      <c r="D3367" s="42"/>
      <c r="E3367" s="42"/>
      <c r="F3367" s="42"/>
      <c r="G3367" s="42"/>
      <c r="H3367" s="42"/>
    </row>
    <row r="3368" spans="3:8" x14ac:dyDescent="0.3">
      <c r="C3368" s="42"/>
      <c r="D3368" s="42"/>
      <c r="E3368" s="42"/>
      <c r="F3368" s="42"/>
      <c r="G3368" s="42"/>
      <c r="H3368" s="42"/>
    </row>
    <row r="3369" spans="3:8" x14ac:dyDescent="0.3">
      <c r="C3369" s="42"/>
      <c r="D3369" s="42"/>
      <c r="E3369" s="42"/>
      <c r="F3369" s="42"/>
      <c r="G3369" s="42"/>
      <c r="H3369" s="42"/>
    </row>
    <row r="3370" spans="3:8" x14ac:dyDescent="0.3">
      <c r="C3370" s="42"/>
      <c r="D3370" s="42"/>
      <c r="E3370" s="42"/>
      <c r="F3370" s="42"/>
      <c r="G3370" s="42"/>
      <c r="H3370" s="42"/>
    </row>
    <row r="3371" spans="3:8" x14ac:dyDescent="0.3">
      <c r="C3371" s="42"/>
      <c r="D3371" s="42"/>
      <c r="E3371" s="42"/>
      <c r="F3371" s="42"/>
      <c r="G3371" s="42"/>
      <c r="H3371" s="42"/>
    </row>
    <row r="3372" spans="3:8" x14ac:dyDescent="0.3">
      <c r="C3372" s="42"/>
      <c r="D3372" s="42"/>
      <c r="E3372" s="42"/>
      <c r="F3372" s="42"/>
      <c r="G3372" s="42"/>
      <c r="H3372" s="42"/>
    </row>
    <row r="3373" spans="3:8" x14ac:dyDescent="0.3">
      <c r="C3373" s="42"/>
      <c r="D3373" s="42"/>
      <c r="E3373" s="42"/>
      <c r="F3373" s="42"/>
      <c r="G3373" s="42"/>
      <c r="H3373" s="42"/>
    </row>
    <row r="3374" spans="3:8" x14ac:dyDescent="0.3">
      <c r="C3374" s="42"/>
      <c r="D3374" s="42"/>
      <c r="E3374" s="42"/>
      <c r="F3374" s="42"/>
      <c r="G3374" s="42"/>
      <c r="H3374" s="42"/>
    </row>
    <row r="3375" spans="3:8" x14ac:dyDescent="0.3">
      <c r="C3375" s="42"/>
      <c r="D3375" s="42"/>
      <c r="E3375" s="42"/>
      <c r="F3375" s="42"/>
      <c r="G3375" s="42"/>
      <c r="H3375" s="42"/>
    </row>
    <row r="3376" spans="3:8" x14ac:dyDescent="0.3">
      <c r="C3376" s="42"/>
      <c r="D3376" s="42"/>
      <c r="E3376" s="42"/>
      <c r="F3376" s="42"/>
      <c r="G3376" s="42"/>
      <c r="H3376" s="42"/>
    </row>
    <row r="3377" spans="3:8" x14ac:dyDescent="0.3">
      <c r="C3377" s="42"/>
      <c r="D3377" s="42"/>
      <c r="E3377" s="42"/>
      <c r="F3377" s="42"/>
      <c r="G3377" s="42"/>
      <c r="H3377" s="42"/>
    </row>
    <row r="3378" spans="3:8" x14ac:dyDescent="0.3">
      <c r="C3378" s="42"/>
      <c r="D3378" s="42"/>
      <c r="E3378" s="42"/>
      <c r="F3378" s="42"/>
      <c r="G3378" s="42"/>
      <c r="H3378" s="42"/>
    </row>
    <row r="3379" spans="3:8" x14ac:dyDescent="0.3">
      <c r="C3379" s="42"/>
      <c r="D3379" s="42"/>
      <c r="E3379" s="42"/>
      <c r="F3379" s="42"/>
      <c r="G3379" s="42"/>
      <c r="H3379" s="42"/>
    </row>
    <row r="3380" spans="3:8" x14ac:dyDescent="0.3">
      <c r="C3380" s="42"/>
      <c r="D3380" s="42"/>
      <c r="E3380" s="42"/>
      <c r="F3380" s="42"/>
      <c r="G3380" s="42"/>
      <c r="H3380" s="42"/>
    </row>
    <row r="3381" spans="3:8" x14ac:dyDescent="0.3">
      <c r="C3381" s="42"/>
      <c r="D3381" s="42"/>
      <c r="E3381" s="42"/>
      <c r="F3381" s="42"/>
      <c r="G3381" s="42"/>
      <c r="H3381" s="42"/>
    </row>
    <row r="3382" spans="3:8" x14ac:dyDescent="0.3">
      <c r="C3382" s="42"/>
      <c r="D3382" s="42"/>
      <c r="E3382" s="42"/>
      <c r="F3382" s="42"/>
      <c r="G3382" s="42"/>
      <c r="H3382" s="42"/>
    </row>
    <row r="3383" spans="3:8" x14ac:dyDescent="0.3">
      <c r="C3383" s="42"/>
      <c r="D3383" s="42"/>
      <c r="E3383" s="42"/>
      <c r="F3383" s="42"/>
      <c r="G3383" s="42"/>
      <c r="H3383" s="42"/>
    </row>
    <row r="3384" spans="3:8" x14ac:dyDescent="0.3">
      <c r="C3384" s="42"/>
      <c r="D3384" s="42"/>
      <c r="E3384" s="42"/>
      <c r="F3384" s="42"/>
      <c r="G3384" s="42"/>
      <c r="H3384" s="42"/>
    </row>
    <row r="3385" spans="3:8" x14ac:dyDescent="0.3">
      <c r="C3385" s="42"/>
      <c r="D3385" s="42"/>
      <c r="E3385" s="42"/>
      <c r="F3385" s="42"/>
      <c r="G3385" s="42"/>
      <c r="H3385" s="42"/>
    </row>
    <row r="3386" spans="3:8" x14ac:dyDescent="0.3">
      <c r="C3386" s="42"/>
      <c r="D3386" s="42"/>
      <c r="E3386" s="42"/>
      <c r="F3386" s="42"/>
      <c r="G3386" s="42"/>
      <c r="H3386" s="42"/>
    </row>
    <row r="3387" spans="3:8" x14ac:dyDescent="0.3">
      <c r="C3387" s="42"/>
      <c r="D3387" s="42"/>
      <c r="E3387" s="42"/>
      <c r="F3387" s="42"/>
      <c r="G3387" s="42"/>
      <c r="H3387" s="42"/>
    </row>
    <row r="3388" spans="3:8" x14ac:dyDescent="0.3">
      <c r="C3388" s="42"/>
      <c r="D3388" s="42"/>
      <c r="E3388" s="42"/>
      <c r="F3388" s="42"/>
      <c r="G3388" s="42"/>
      <c r="H3388" s="42"/>
    </row>
    <row r="3389" spans="3:8" x14ac:dyDescent="0.3">
      <c r="C3389" s="42"/>
      <c r="D3389" s="42"/>
      <c r="E3389" s="42"/>
      <c r="F3389" s="42"/>
      <c r="G3389" s="42"/>
      <c r="H3389" s="42"/>
    </row>
    <row r="3390" spans="3:8" x14ac:dyDescent="0.3">
      <c r="C3390" s="42"/>
      <c r="D3390" s="42"/>
      <c r="E3390" s="42"/>
      <c r="F3390" s="42"/>
      <c r="G3390" s="42"/>
      <c r="H3390" s="42"/>
    </row>
    <row r="3391" spans="3:8" x14ac:dyDescent="0.3">
      <c r="C3391" s="42"/>
      <c r="D3391" s="42"/>
      <c r="E3391" s="42"/>
      <c r="F3391" s="42"/>
      <c r="G3391" s="42"/>
      <c r="H3391" s="42"/>
    </row>
    <row r="3392" spans="3:8" x14ac:dyDescent="0.3">
      <c r="C3392" s="42"/>
      <c r="D3392" s="42"/>
      <c r="E3392" s="42"/>
      <c r="F3392" s="42"/>
      <c r="G3392" s="42"/>
      <c r="H3392" s="42"/>
    </row>
    <row r="3393" spans="3:8" x14ac:dyDescent="0.3">
      <c r="C3393" s="42"/>
      <c r="D3393" s="42"/>
      <c r="E3393" s="42"/>
      <c r="F3393" s="42"/>
      <c r="G3393" s="42"/>
      <c r="H3393" s="42"/>
    </row>
    <row r="3394" spans="3:8" x14ac:dyDescent="0.3">
      <c r="C3394" s="42"/>
      <c r="D3394" s="42"/>
      <c r="E3394" s="42"/>
      <c r="F3394" s="42"/>
      <c r="G3394" s="42"/>
      <c r="H3394" s="42"/>
    </row>
    <row r="3395" spans="3:8" x14ac:dyDescent="0.3">
      <c r="C3395" s="42"/>
      <c r="D3395" s="42"/>
      <c r="E3395" s="42"/>
      <c r="F3395" s="42"/>
      <c r="G3395" s="42"/>
      <c r="H3395" s="42"/>
    </row>
    <row r="3396" spans="3:8" x14ac:dyDescent="0.3">
      <c r="C3396" s="42"/>
      <c r="D3396" s="42"/>
      <c r="E3396" s="42"/>
      <c r="F3396" s="42"/>
      <c r="G3396" s="42"/>
      <c r="H3396" s="42"/>
    </row>
    <row r="3397" spans="3:8" x14ac:dyDescent="0.3">
      <c r="C3397" s="42"/>
      <c r="D3397" s="42"/>
      <c r="E3397" s="42"/>
      <c r="F3397" s="42"/>
      <c r="G3397" s="42"/>
      <c r="H3397" s="42"/>
    </row>
    <row r="3398" spans="3:8" x14ac:dyDescent="0.3">
      <c r="C3398" s="42"/>
      <c r="D3398" s="42"/>
      <c r="E3398" s="42"/>
      <c r="F3398" s="42"/>
      <c r="G3398" s="42"/>
      <c r="H3398" s="42"/>
    </row>
    <row r="3399" spans="3:8" x14ac:dyDescent="0.3">
      <c r="C3399" s="42"/>
      <c r="D3399" s="42"/>
      <c r="E3399" s="42"/>
      <c r="F3399" s="42"/>
      <c r="G3399" s="42"/>
      <c r="H3399" s="42"/>
    </row>
    <row r="3400" spans="3:8" x14ac:dyDescent="0.3">
      <c r="C3400" s="42"/>
      <c r="D3400" s="42"/>
      <c r="E3400" s="42"/>
      <c r="F3400" s="42"/>
      <c r="G3400" s="42"/>
      <c r="H3400" s="42"/>
    </row>
    <row r="3401" spans="3:8" x14ac:dyDescent="0.3">
      <c r="C3401" s="42"/>
      <c r="D3401" s="42"/>
      <c r="E3401" s="42"/>
      <c r="F3401" s="42"/>
      <c r="G3401" s="42"/>
      <c r="H3401" s="42"/>
    </row>
    <row r="3402" spans="3:8" x14ac:dyDescent="0.3">
      <c r="C3402" s="42"/>
      <c r="D3402" s="42"/>
      <c r="E3402" s="42"/>
      <c r="F3402" s="42"/>
      <c r="G3402" s="42"/>
      <c r="H3402" s="42"/>
    </row>
    <row r="3403" spans="3:8" x14ac:dyDescent="0.3">
      <c r="C3403" s="42"/>
      <c r="D3403" s="42"/>
      <c r="E3403" s="42"/>
      <c r="F3403" s="42"/>
      <c r="G3403" s="42"/>
      <c r="H3403" s="42"/>
    </row>
    <row r="3404" spans="3:8" x14ac:dyDescent="0.3">
      <c r="C3404" s="42"/>
      <c r="D3404" s="42"/>
      <c r="E3404" s="42"/>
      <c r="F3404" s="42"/>
      <c r="G3404" s="42"/>
      <c r="H3404" s="42"/>
    </row>
    <row r="3405" spans="3:8" x14ac:dyDescent="0.3">
      <c r="C3405" s="42"/>
      <c r="D3405" s="42"/>
      <c r="E3405" s="42"/>
      <c r="F3405" s="42"/>
      <c r="G3405" s="42"/>
      <c r="H3405" s="42"/>
    </row>
    <row r="3406" spans="3:8" x14ac:dyDescent="0.3">
      <c r="C3406" s="42"/>
      <c r="D3406" s="42"/>
      <c r="E3406" s="42"/>
      <c r="F3406" s="42"/>
      <c r="G3406" s="42"/>
      <c r="H3406" s="42"/>
    </row>
    <row r="3407" spans="3:8" x14ac:dyDescent="0.3">
      <c r="C3407" s="42"/>
      <c r="D3407" s="42"/>
      <c r="E3407" s="42"/>
      <c r="F3407" s="42"/>
      <c r="G3407" s="42"/>
      <c r="H3407" s="42"/>
    </row>
    <row r="3408" spans="3:8" x14ac:dyDescent="0.3">
      <c r="C3408" s="42"/>
      <c r="D3408" s="42"/>
      <c r="E3408" s="42"/>
      <c r="F3408" s="42"/>
      <c r="G3408" s="42"/>
      <c r="H3408" s="42"/>
    </row>
    <row r="3409" spans="3:8" x14ac:dyDescent="0.3">
      <c r="C3409" s="42"/>
      <c r="D3409" s="42"/>
      <c r="E3409" s="42"/>
      <c r="F3409" s="42"/>
      <c r="G3409" s="42"/>
      <c r="H3409" s="42"/>
    </row>
    <row r="3410" spans="3:8" x14ac:dyDescent="0.3">
      <c r="C3410" s="42"/>
      <c r="D3410" s="42"/>
      <c r="E3410" s="42"/>
      <c r="F3410" s="42"/>
      <c r="G3410" s="42"/>
      <c r="H3410" s="42"/>
    </row>
    <row r="3411" spans="3:8" x14ac:dyDescent="0.3">
      <c r="C3411" s="42"/>
      <c r="D3411" s="42"/>
      <c r="E3411" s="42"/>
      <c r="F3411" s="42"/>
      <c r="G3411" s="42"/>
      <c r="H3411" s="42"/>
    </row>
    <row r="3412" spans="3:8" x14ac:dyDescent="0.3">
      <c r="C3412" s="42"/>
      <c r="D3412" s="42"/>
      <c r="E3412" s="42"/>
      <c r="F3412" s="42"/>
      <c r="G3412" s="42"/>
      <c r="H3412" s="42"/>
    </row>
    <row r="3413" spans="3:8" x14ac:dyDescent="0.3">
      <c r="C3413" s="42"/>
      <c r="D3413" s="42"/>
      <c r="E3413" s="42"/>
      <c r="F3413" s="42"/>
      <c r="G3413" s="42"/>
      <c r="H3413" s="42"/>
    </row>
    <row r="3414" spans="3:8" x14ac:dyDescent="0.3">
      <c r="C3414" s="42"/>
      <c r="D3414" s="42"/>
      <c r="E3414" s="42"/>
      <c r="F3414" s="42"/>
      <c r="G3414" s="42"/>
      <c r="H3414" s="42"/>
    </row>
    <row r="3415" spans="3:8" x14ac:dyDescent="0.3">
      <c r="C3415" s="42"/>
      <c r="D3415" s="42"/>
      <c r="E3415" s="42"/>
      <c r="F3415" s="42"/>
      <c r="G3415" s="42"/>
      <c r="H3415" s="42"/>
    </row>
    <row r="3416" spans="3:8" x14ac:dyDescent="0.3">
      <c r="C3416" s="42"/>
      <c r="D3416" s="42"/>
      <c r="E3416" s="42"/>
      <c r="F3416" s="42"/>
      <c r="G3416" s="42"/>
      <c r="H3416" s="42"/>
    </row>
    <row r="3417" spans="3:8" x14ac:dyDescent="0.3">
      <c r="C3417" s="42"/>
      <c r="D3417" s="42"/>
      <c r="E3417" s="42"/>
      <c r="F3417" s="42"/>
      <c r="G3417" s="42"/>
      <c r="H3417" s="42"/>
    </row>
    <row r="3418" spans="3:8" x14ac:dyDescent="0.3">
      <c r="C3418" s="42"/>
      <c r="D3418" s="42"/>
      <c r="E3418" s="42"/>
      <c r="F3418" s="42"/>
      <c r="G3418" s="42"/>
      <c r="H3418" s="42"/>
    </row>
    <row r="3419" spans="3:8" x14ac:dyDescent="0.3">
      <c r="C3419" s="42"/>
      <c r="D3419" s="42"/>
      <c r="E3419" s="42"/>
      <c r="F3419" s="42"/>
      <c r="G3419" s="42"/>
      <c r="H3419" s="42"/>
    </row>
    <row r="3420" spans="3:8" x14ac:dyDescent="0.3">
      <c r="C3420" s="42"/>
      <c r="D3420" s="42"/>
      <c r="E3420" s="42"/>
      <c r="F3420" s="42"/>
      <c r="G3420" s="42"/>
      <c r="H3420" s="42"/>
    </row>
    <row r="3421" spans="3:8" x14ac:dyDescent="0.3">
      <c r="C3421" s="42"/>
      <c r="D3421" s="42"/>
      <c r="E3421" s="42"/>
      <c r="F3421" s="42"/>
      <c r="G3421" s="42"/>
      <c r="H3421" s="42"/>
    </row>
    <row r="3422" spans="3:8" x14ac:dyDescent="0.3">
      <c r="C3422" s="42"/>
      <c r="D3422" s="42"/>
      <c r="E3422" s="42"/>
      <c r="F3422" s="42"/>
      <c r="G3422" s="42"/>
      <c r="H3422" s="42"/>
    </row>
    <row r="3423" spans="3:8" x14ac:dyDescent="0.3">
      <c r="C3423" s="42"/>
      <c r="D3423" s="42"/>
      <c r="E3423" s="42"/>
      <c r="F3423" s="42"/>
      <c r="G3423" s="42"/>
      <c r="H3423" s="42"/>
    </row>
    <row r="3424" spans="3:8" x14ac:dyDescent="0.3">
      <c r="C3424" s="42"/>
      <c r="D3424" s="42"/>
      <c r="E3424" s="42"/>
      <c r="F3424" s="42"/>
      <c r="G3424" s="42"/>
      <c r="H3424" s="42"/>
    </row>
    <row r="3425" spans="3:8" x14ac:dyDescent="0.3">
      <c r="C3425" s="42"/>
      <c r="D3425" s="42"/>
      <c r="E3425" s="42"/>
      <c r="F3425" s="42"/>
      <c r="G3425" s="42"/>
      <c r="H3425" s="42"/>
    </row>
    <row r="3426" spans="3:8" x14ac:dyDescent="0.3">
      <c r="C3426" s="42"/>
      <c r="D3426" s="42"/>
      <c r="E3426" s="42"/>
      <c r="F3426" s="42"/>
      <c r="G3426" s="42"/>
      <c r="H3426" s="42"/>
    </row>
    <row r="3427" spans="3:8" x14ac:dyDescent="0.3">
      <c r="C3427" s="42"/>
      <c r="D3427" s="42"/>
      <c r="E3427" s="42"/>
      <c r="F3427" s="42"/>
      <c r="G3427" s="42"/>
      <c r="H3427" s="42"/>
    </row>
    <row r="3428" spans="3:8" x14ac:dyDescent="0.3">
      <c r="C3428" s="42"/>
      <c r="D3428" s="42"/>
      <c r="E3428" s="42"/>
      <c r="F3428" s="42"/>
      <c r="G3428" s="42"/>
      <c r="H3428" s="42"/>
    </row>
    <row r="3429" spans="3:8" x14ac:dyDescent="0.3">
      <c r="C3429" s="42"/>
      <c r="D3429" s="42"/>
      <c r="E3429" s="42"/>
      <c r="F3429" s="42"/>
      <c r="G3429" s="42"/>
      <c r="H3429" s="42"/>
    </row>
    <row r="3430" spans="3:8" x14ac:dyDescent="0.3">
      <c r="C3430" s="42"/>
      <c r="D3430" s="42"/>
      <c r="E3430" s="42"/>
      <c r="F3430" s="42"/>
      <c r="G3430" s="42"/>
      <c r="H3430" s="42"/>
    </row>
    <row r="3431" spans="3:8" x14ac:dyDescent="0.3">
      <c r="C3431" s="42"/>
      <c r="D3431" s="42"/>
      <c r="E3431" s="42"/>
      <c r="F3431" s="42"/>
      <c r="G3431" s="42"/>
      <c r="H3431" s="42"/>
    </row>
    <row r="3432" spans="3:8" x14ac:dyDescent="0.3">
      <c r="C3432" s="42"/>
      <c r="D3432" s="42"/>
      <c r="E3432" s="42"/>
      <c r="F3432" s="42"/>
      <c r="G3432" s="42"/>
      <c r="H3432" s="42"/>
    </row>
    <row r="3433" spans="3:8" x14ac:dyDescent="0.3">
      <c r="C3433" s="42"/>
      <c r="D3433" s="42"/>
      <c r="E3433" s="42"/>
      <c r="F3433" s="42"/>
      <c r="G3433" s="42"/>
      <c r="H3433" s="42"/>
    </row>
    <row r="3434" spans="3:8" x14ac:dyDescent="0.3">
      <c r="C3434" s="42"/>
      <c r="D3434" s="42"/>
      <c r="E3434" s="42"/>
      <c r="F3434" s="42"/>
      <c r="G3434" s="42"/>
      <c r="H3434" s="42"/>
    </row>
    <row r="3435" spans="3:8" x14ac:dyDescent="0.3">
      <c r="C3435" s="42"/>
      <c r="D3435" s="42"/>
      <c r="E3435" s="42"/>
      <c r="F3435" s="42"/>
      <c r="G3435" s="42"/>
      <c r="H3435" s="42"/>
    </row>
    <row r="3436" spans="3:8" x14ac:dyDescent="0.3">
      <c r="C3436" s="42"/>
      <c r="D3436" s="42"/>
      <c r="E3436" s="42"/>
      <c r="F3436" s="42"/>
      <c r="G3436" s="42"/>
      <c r="H3436" s="42"/>
    </row>
    <row r="3437" spans="3:8" x14ac:dyDescent="0.3">
      <c r="C3437" s="42"/>
      <c r="D3437" s="42"/>
      <c r="E3437" s="42"/>
      <c r="F3437" s="42"/>
      <c r="G3437" s="42"/>
      <c r="H3437" s="42"/>
    </row>
    <row r="3438" spans="3:8" x14ac:dyDescent="0.3">
      <c r="C3438" s="42"/>
      <c r="D3438" s="42"/>
      <c r="E3438" s="42"/>
      <c r="F3438" s="42"/>
      <c r="G3438" s="42"/>
      <c r="H3438" s="42"/>
    </row>
    <row r="3439" spans="3:8" x14ac:dyDescent="0.3">
      <c r="C3439" s="42"/>
      <c r="D3439" s="42"/>
      <c r="E3439" s="42"/>
      <c r="F3439" s="42"/>
      <c r="G3439" s="42"/>
      <c r="H3439" s="42"/>
    </row>
    <row r="3440" spans="3:8" x14ac:dyDescent="0.3">
      <c r="C3440" s="42"/>
      <c r="D3440" s="42"/>
      <c r="E3440" s="42"/>
      <c r="F3440" s="42"/>
      <c r="G3440" s="42"/>
      <c r="H3440" s="42"/>
    </row>
    <row r="3441" spans="3:8" x14ac:dyDescent="0.3">
      <c r="C3441" s="42"/>
      <c r="D3441" s="42"/>
      <c r="E3441" s="42"/>
      <c r="F3441" s="42"/>
      <c r="G3441" s="42"/>
      <c r="H3441" s="42"/>
    </row>
    <row r="3442" spans="3:8" x14ac:dyDescent="0.3">
      <c r="C3442" s="42"/>
      <c r="D3442" s="42"/>
      <c r="E3442" s="42"/>
      <c r="F3442" s="42"/>
      <c r="G3442" s="42"/>
      <c r="H3442" s="42"/>
    </row>
    <row r="3443" spans="3:8" x14ac:dyDescent="0.3">
      <c r="C3443" s="42"/>
      <c r="D3443" s="42"/>
      <c r="E3443" s="42"/>
      <c r="F3443" s="42"/>
      <c r="G3443" s="42"/>
      <c r="H3443" s="42"/>
    </row>
    <row r="3444" spans="3:8" x14ac:dyDescent="0.3">
      <c r="C3444" s="42"/>
      <c r="D3444" s="42"/>
      <c r="E3444" s="42"/>
      <c r="F3444" s="42"/>
      <c r="G3444" s="42"/>
      <c r="H3444" s="42"/>
    </row>
    <row r="3445" spans="3:8" x14ac:dyDescent="0.3">
      <c r="C3445" s="42"/>
      <c r="D3445" s="42"/>
      <c r="E3445" s="42"/>
      <c r="F3445" s="42"/>
      <c r="G3445" s="42"/>
      <c r="H3445" s="42"/>
    </row>
    <row r="3446" spans="3:8" x14ac:dyDescent="0.3">
      <c r="C3446" s="42"/>
      <c r="D3446" s="42"/>
      <c r="E3446" s="42"/>
      <c r="F3446" s="42"/>
      <c r="G3446" s="42"/>
      <c r="H3446" s="42"/>
    </row>
    <row r="3447" spans="3:8" x14ac:dyDescent="0.3">
      <c r="C3447" s="42"/>
      <c r="D3447" s="42"/>
      <c r="E3447" s="42"/>
      <c r="F3447" s="42"/>
      <c r="G3447" s="42"/>
      <c r="H3447" s="42"/>
    </row>
    <row r="3448" spans="3:8" x14ac:dyDescent="0.3">
      <c r="C3448" s="42"/>
      <c r="D3448" s="42"/>
      <c r="E3448" s="42"/>
      <c r="F3448" s="42"/>
      <c r="G3448" s="42"/>
      <c r="H3448" s="42"/>
    </row>
    <row r="3449" spans="3:8" x14ac:dyDescent="0.3">
      <c r="C3449" s="42"/>
      <c r="D3449" s="42"/>
      <c r="E3449" s="42"/>
      <c r="F3449" s="42"/>
      <c r="G3449" s="42"/>
      <c r="H3449" s="42"/>
    </row>
    <row r="3450" spans="3:8" x14ac:dyDescent="0.3">
      <c r="C3450" s="42"/>
      <c r="D3450" s="42"/>
      <c r="E3450" s="42"/>
      <c r="F3450" s="42"/>
      <c r="G3450" s="42"/>
      <c r="H3450" s="42"/>
    </row>
    <row r="3451" spans="3:8" x14ac:dyDescent="0.3">
      <c r="C3451" s="42"/>
      <c r="D3451" s="42"/>
      <c r="E3451" s="42"/>
      <c r="F3451" s="42"/>
      <c r="G3451" s="42"/>
      <c r="H3451" s="42"/>
    </row>
    <row r="3452" spans="3:8" x14ac:dyDescent="0.3">
      <c r="C3452" s="42"/>
      <c r="D3452" s="42"/>
      <c r="E3452" s="42"/>
      <c r="F3452" s="42"/>
      <c r="G3452" s="42"/>
      <c r="H3452" s="42"/>
    </row>
    <row r="3453" spans="3:8" x14ac:dyDescent="0.3">
      <c r="C3453" s="42"/>
      <c r="D3453" s="42"/>
      <c r="E3453" s="42"/>
      <c r="F3453" s="42"/>
      <c r="G3453" s="42"/>
      <c r="H3453" s="42"/>
    </row>
    <row r="3454" spans="3:8" x14ac:dyDescent="0.3">
      <c r="C3454" s="42"/>
      <c r="D3454" s="42"/>
      <c r="E3454" s="42"/>
      <c r="F3454" s="42"/>
      <c r="G3454" s="42"/>
      <c r="H3454" s="42"/>
    </row>
    <row r="3455" spans="3:8" x14ac:dyDescent="0.3">
      <c r="C3455" s="42"/>
      <c r="D3455" s="42"/>
      <c r="E3455" s="42"/>
      <c r="F3455" s="42"/>
      <c r="G3455" s="42"/>
      <c r="H3455" s="42"/>
    </row>
    <row r="3456" spans="3:8" x14ac:dyDescent="0.3">
      <c r="C3456" s="42"/>
      <c r="D3456" s="42"/>
      <c r="E3456" s="42"/>
      <c r="F3456" s="42"/>
      <c r="G3456" s="42"/>
      <c r="H3456" s="42"/>
    </row>
    <row r="3457" spans="3:8" x14ac:dyDescent="0.3">
      <c r="C3457" s="42"/>
      <c r="D3457" s="42"/>
      <c r="E3457" s="42"/>
      <c r="F3457" s="42"/>
      <c r="G3457" s="42"/>
      <c r="H3457" s="42"/>
    </row>
    <row r="3458" spans="3:8" x14ac:dyDescent="0.3">
      <c r="C3458" s="42"/>
      <c r="D3458" s="42"/>
      <c r="E3458" s="42"/>
      <c r="F3458" s="42"/>
      <c r="G3458" s="42"/>
      <c r="H3458" s="42"/>
    </row>
    <row r="3459" spans="3:8" x14ac:dyDescent="0.3">
      <c r="C3459" s="42"/>
      <c r="D3459" s="42"/>
      <c r="E3459" s="42"/>
      <c r="F3459" s="42"/>
      <c r="G3459" s="42"/>
      <c r="H3459" s="42"/>
    </row>
    <row r="3460" spans="3:8" x14ac:dyDescent="0.3">
      <c r="C3460" s="42"/>
      <c r="D3460" s="42"/>
      <c r="E3460" s="42"/>
      <c r="F3460" s="42"/>
      <c r="G3460" s="42"/>
      <c r="H3460" s="42"/>
    </row>
    <row r="3461" spans="3:8" x14ac:dyDescent="0.3">
      <c r="C3461" s="42"/>
      <c r="D3461" s="42"/>
      <c r="E3461" s="42"/>
      <c r="F3461" s="42"/>
      <c r="G3461" s="42"/>
      <c r="H3461" s="42"/>
    </row>
    <row r="3462" spans="3:8" x14ac:dyDescent="0.3">
      <c r="C3462" s="42"/>
      <c r="D3462" s="42"/>
      <c r="E3462" s="42"/>
      <c r="F3462" s="42"/>
      <c r="G3462" s="42"/>
      <c r="H3462" s="42"/>
    </row>
    <row r="3463" spans="3:8" x14ac:dyDescent="0.3">
      <c r="C3463" s="42"/>
      <c r="D3463" s="42"/>
      <c r="E3463" s="42"/>
      <c r="F3463" s="42"/>
      <c r="G3463" s="42"/>
      <c r="H3463" s="42"/>
    </row>
    <row r="3464" spans="3:8" x14ac:dyDescent="0.3">
      <c r="C3464" s="42"/>
      <c r="D3464" s="42"/>
      <c r="E3464" s="42"/>
      <c r="F3464" s="42"/>
      <c r="G3464" s="42"/>
      <c r="H3464" s="42"/>
    </row>
    <row r="3465" spans="3:8" x14ac:dyDescent="0.3">
      <c r="C3465" s="42"/>
      <c r="D3465" s="42"/>
      <c r="E3465" s="42"/>
      <c r="F3465" s="42"/>
      <c r="G3465" s="42"/>
      <c r="H3465" s="42"/>
    </row>
    <row r="3466" spans="3:8" x14ac:dyDescent="0.3">
      <c r="C3466" s="42"/>
      <c r="D3466" s="42"/>
      <c r="E3466" s="42"/>
      <c r="F3466" s="42"/>
      <c r="G3466" s="42"/>
      <c r="H3466" s="42"/>
    </row>
    <row r="3467" spans="3:8" x14ac:dyDescent="0.3">
      <c r="C3467" s="42"/>
      <c r="D3467" s="42"/>
      <c r="E3467" s="42"/>
      <c r="F3467" s="42"/>
      <c r="G3467" s="42"/>
      <c r="H3467" s="42"/>
    </row>
    <row r="3468" spans="3:8" x14ac:dyDescent="0.3">
      <c r="C3468" s="42"/>
      <c r="D3468" s="42"/>
      <c r="E3468" s="42"/>
      <c r="F3468" s="42"/>
      <c r="G3468" s="42"/>
      <c r="H3468" s="42"/>
    </row>
    <row r="3469" spans="3:8" x14ac:dyDescent="0.3">
      <c r="C3469" s="42"/>
      <c r="D3469" s="42"/>
      <c r="E3469" s="42"/>
      <c r="F3469" s="42"/>
      <c r="G3469" s="42"/>
      <c r="H3469" s="42"/>
    </row>
    <row r="3470" spans="3:8" x14ac:dyDescent="0.3">
      <c r="C3470" s="42"/>
      <c r="D3470" s="42"/>
      <c r="E3470" s="42"/>
      <c r="F3470" s="42"/>
      <c r="G3470" s="42"/>
      <c r="H3470" s="42"/>
    </row>
    <row r="3471" spans="3:8" x14ac:dyDescent="0.3">
      <c r="C3471" s="42"/>
      <c r="D3471" s="42"/>
      <c r="E3471" s="42"/>
      <c r="F3471" s="42"/>
      <c r="G3471" s="42"/>
      <c r="H3471" s="42"/>
    </row>
    <row r="3472" spans="3:8" x14ac:dyDescent="0.3">
      <c r="C3472" s="42"/>
      <c r="D3472" s="42"/>
      <c r="E3472" s="42"/>
      <c r="F3472" s="42"/>
      <c r="G3472" s="42"/>
      <c r="H3472" s="42"/>
    </row>
    <row r="3473" spans="3:8" x14ac:dyDescent="0.3">
      <c r="C3473" s="42"/>
      <c r="D3473" s="42"/>
      <c r="E3473" s="42"/>
      <c r="F3473" s="42"/>
      <c r="G3473" s="42"/>
      <c r="H3473" s="42"/>
    </row>
    <row r="3474" spans="3:8" x14ac:dyDescent="0.3">
      <c r="C3474" s="42"/>
      <c r="D3474" s="42"/>
      <c r="E3474" s="42"/>
      <c r="F3474" s="42"/>
      <c r="G3474" s="42"/>
      <c r="H3474" s="42"/>
    </row>
    <row r="3475" spans="3:8" x14ac:dyDescent="0.3">
      <c r="C3475" s="42"/>
      <c r="D3475" s="42"/>
      <c r="E3475" s="42"/>
      <c r="F3475" s="42"/>
      <c r="G3475" s="42"/>
      <c r="H3475" s="42"/>
    </row>
    <row r="3476" spans="3:8" x14ac:dyDescent="0.3">
      <c r="C3476" s="42"/>
      <c r="D3476" s="42"/>
      <c r="E3476" s="42"/>
      <c r="F3476" s="42"/>
      <c r="G3476" s="42"/>
      <c r="H3476" s="42"/>
    </row>
    <row r="3477" spans="3:8" x14ac:dyDescent="0.3">
      <c r="C3477" s="42"/>
      <c r="D3477" s="42"/>
      <c r="E3477" s="42"/>
      <c r="F3477" s="42"/>
      <c r="G3477" s="42"/>
      <c r="H3477" s="42"/>
    </row>
    <row r="3478" spans="3:8" x14ac:dyDescent="0.3">
      <c r="C3478" s="42"/>
      <c r="D3478" s="42"/>
      <c r="E3478" s="42"/>
      <c r="F3478" s="42"/>
      <c r="G3478" s="42"/>
      <c r="H3478" s="42"/>
    </row>
    <row r="3479" spans="3:8" x14ac:dyDescent="0.3">
      <c r="C3479" s="42"/>
      <c r="D3479" s="42"/>
      <c r="E3479" s="42"/>
      <c r="F3479" s="42"/>
      <c r="G3479" s="42"/>
      <c r="H3479" s="42"/>
    </row>
    <row r="3480" spans="3:8" x14ac:dyDescent="0.3">
      <c r="C3480" s="42"/>
      <c r="D3480" s="42"/>
      <c r="E3480" s="42"/>
      <c r="F3480" s="42"/>
      <c r="G3480" s="42"/>
      <c r="H3480" s="42"/>
    </row>
    <row r="3481" spans="3:8" x14ac:dyDescent="0.3">
      <c r="C3481" s="42"/>
      <c r="D3481" s="42"/>
      <c r="E3481" s="42"/>
      <c r="F3481" s="42"/>
      <c r="G3481" s="42"/>
      <c r="H3481" s="42"/>
    </row>
    <row r="3482" spans="3:8" x14ac:dyDescent="0.3">
      <c r="C3482" s="42"/>
      <c r="D3482" s="42"/>
      <c r="E3482" s="42"/>
      <c r="F3482" s="42"/>
      <c r="G3482" s="42"/>
      <c r="H3482" s="42"/>
    </row>
    <row r="3483" spans="3:8" x14ac:dyDescent="0.3">
      <c r="C3483" s="42"/>
      <c r="D3483" s="42"/>
      <c r="E3483" s="42"/>
      <c r="F3483" s="42"/>
      <c r="G3483" s="42"/>
      <c r="H3483" s="42"/>
    </row>
    <row r="3484" spans="3:8" x14ac:dyDescent="0.3">
      <c r="C3484" s="42"/>
      <c r="D3484" s="42"/>
      <c r="E3484" s="42"/>
      <c r="F3484" s="42"/>
      <c r="G3484" s="42"/>
      <c r="H3484" s="42"/>
    </row>
    <row r="3485" spans="3:8" x14ac:dyDescent="0.3">
      <c r="C3485" s="42"/>
      <c r="D3485" s="42"/>
      <c r="E3485" s="42"/>
      <c r="F3485" s="42"/>
      <c r="G3485" s="42"/>
      <c r="H3485" s="42"/>
    </row>
    <row r="3486" spans="3:8" x14ac:dyDescent="0.3">
      <c r="C3486" s="42"/>
      <c r="D3486" s="42"/>
      <c r="E3486" s="42"/>
      <c r="F3486" s="42"/>
      <c r="G3486" s="42"/>
      <c r="H3486" s="42"/>
    </row>
    <row r="3487" spans="3:8" x14ac:dyDescent="0.3">
      <c r="C3487" s="42"/>
      <c r="D3487" s="42"/>
      <c r="E3487" s="42"/>
      <c r="F3487" s="42"/>
      <c r="G3487" s="42"/>
      <c r="H3487" s="42"/>
    </row>
    <row r="3488" spans="3:8" x14ac:dyDescent="0.3">
      <c r="C3488" s="42"/>
      <c r="D3488" s="42"/>
      <c r="E3488" s="42"/>
      <c r="F3488" s="42"/>
      <c r="G3488" s="42"/>
      <c r="H3488" s="42"/>
    </row>
    <row r="3489" spans="3:8" x14ac:dyDescent="0.3">
      <c r="C3489" s="42"/>
      <c r="D3489" s="42"/>
      <c r="E3489" s="42"/>
      <c r="F3489" s="42"/>
      <c r="G3489" s="42"/>
      <c r="H3489" s="42"/>
    </row>
    <row r="3490" spans="3:8" x14ac:dyDescent="0.3">
      <c r="C3490" s="42"/>
      <c r="D3490" s="42"/>
      <c r="E3490" s="42"/>
      <c r="F3490" s="42"/>
      <c r="G3490" s="42"/>
      <c r="H3490" s="42"/>
    </row>
    <row r="3491" spans="3:8" x14ac:dyDescent="0.3">
      <c r="C3491" s="42"/>
      <c r="D3491" s="42"/>
      <c r="E3491" s="42"/>
      <c r="F3491" s="42"/>
      <c r="G3491" s="42"/>
      <c r="H3491" s="42"/>
    </row>
    <row r="3492" spans="3:8" x14ac:dyDescent="0.3">
      <c r="C3492" s="42"/>
      <c r="D3492" s="42"/>
      <c r="E3492" s="42"/>
      <c r="F3492" s="42"/>
      <c r="G3492" s="42"/>
      <c r="H3492" s="42"/>
    </row>
    <row r="3493" spans="3:8" x14ac:dyDescent="0.3">
      <c r="C3493" s="42"/>
      <c r="D3493" s="42"/>
      <c r="E3493" s="42"/>
      <c r="F3493" s="42"/>
      <c r="G3493" s="42"/>
      <c r="H3493" s="42"/>
    </row>
    <row r="3494" spans="3:8" x14ac:dyDescent="0.3">
      <c r="C3494" s="42"/>
      <c r="D3494" s="42"/>
      <c r="E3494" s="42"/>
      <c r="F3494" s="42"/>
      <c r="G3494" s="42"/>
      <c r="H3494" s="42"/>
    </row>
    <row r="3495" spans="3:8" x14ac:dyDescent="0.3">
      <c r="C3495" s="42"/>
      <c r="D3495" s="42"/>
      <c r="E3495" s="42"/>
      <c r="F3495" s="42"/>
      <c r="G3495" s="42"/>
      <c r="H3495" s="42"/>
    </row>
    <row r="3496" spans="3:8" x14ac:dyDescent="0.3">
      <c r="C3496" s="42"/>
      <c r="D3496" s="42"/>
      <c r="E3496" s="42"/>
      <c r="F3496" s="42"/>
      <c r="G3496" s="42"/>
      <c r="H3496" s="42"/>
    </row>
    <row r="3497" spans="3:8" x14ac:dyDescent="0.3">
      <c r="C3497" s="42"/>
      <c r="D3497" s="42"/>
      <c r="E3497" s="42"/>
      <c r="F3497" s="42"/>
      <c r="G3497" s="42"/>
      <c r="H3497" s="42"/>
    </row>
    <row r="3498" spans="3:8" x14ac:dyDescent="0.3">
      <c r="C3498" s="42"/>
      <c r="D3498" s="42"/>
      <c r="E3498" s="42"/>
      <c r="F3498" s="42"/>
      <c r="G3498" s="42"/>
      <c r="H3498" s="42"/>
    </row>
    <row r="3499" spans="3:8" x14ac:dyDescent="0.3">
      <c r="C3499" s="42"/>
      <c r="D3499" s="42"/>
      <c r="E3499" s="42"/>
      <c r="F3499" s="42"/>
      <c r="G3499" s="42"/>
      <c r="H3499" s="42"/>
    </row>
    <row r="3500" spans="3:8" x14ac:dyDescent="0.3">
      <c r="C3500" s="42"/>
      <c r="D3500" s="42"/>
      <c r="E3500" s="42"/>
      <c r="F3500" s="42"/>
      <c r="G3500" s="42"/>
      <c r="H3500" s="42"/>
    </row>
    <row r="3501" spans="3:8" x14ac:dyDescent="0.3">
      <c r="C3501" s="42"/>
      <c r="D3501" s="42"/>
      <c r="E3501" s="42"/>
      <c r="F3501" s="42"/>
      <c r="G3501" s="42"/>
      <c r="H3501" s="42"/>
    </row>
    <row r="3502" spans="3:8" x14ac:dyDescent="0.3">
      <c r="C3502" s="42"/>
      <c r="D3502" s="42"/>
      <c r="E3502" s="42"/>
      <c r="F3502" s="42"/>
      <c r="G3502" s="42"/>
      <c r="H3502" s="42"/>
    </row>
    <row r="3503" spans="3:8" x14ac:dyDescent="0.3">
      <c r="C3503" s="42"/>
      <c r="D3503" s="42"/>
      <c r="E3503" s="42"/>
      <c r="F3503" s="42"/>
      <c r="G3503" s="42"/>
      <c r="H3503" s="42"/>
    </row>
    <row r="3504" spans="3:8" x14ac:dyDescent="0.3">
      <c r="C3504" s="42"/>
      <c r="D3504" s="42"/>
      <c r="E3504" s="42"/>
      <c r="F3504" s="42"/>
      <c r="G3504" s="42"/>
      <c r="H3504" s="42"/>
    </row>
    <row r="3505" spans="3:8" x14ac:dyDescent="0.3">
      <c r="C3505" s="42"/>
      <c r="D3505" s="42"/>
      <c r="E3505" s="42"/>
      <c r="F3505" s="42"/>
      <c r="G3505" s="42"/>
      <c r="H3505" s="42"/>
    </row>
    <row r="3506" spans="3:8" x14ac:dyDescent="0.3">
      <c r="C3506" s="42"/>
      <c r="D3506" s="42"/>
      <c r="E3506" s="42"/>
      <c r="F3506" s="42"/>
      <c r="G3506" s="42"/>
      <c r="H3506" s="42"/>
    </row>
    <row r="3507" spans="3:8" x14ac:dyDescent="0.3">
      <c r="C3507" s="42"/>
      <c r="D3507" s="42"/>
      <c r="E3507" s="42"/>
      <c r="F3507" s="42"/>
      <c r="G3507" s="42"/>
      <c r="H3507" s="42"/>
    </row>
    <row r="3508" spans="3:8" x14ac:dyDescent="0.3">
      <c r="C3508" s="42"/>
      <c r="D3508" s="42"/>
      <c r="E3508" s="42"/>
      <c r="F3508" s="42"/>
      <c r="G3508" s="42"/>
      <c r="H3508" s="42"/>
    </row>
    <row r="3509" spans="3:8" x14ac:dyDescent="0.3">
      <c r="C3509" s="42"/>
      <c r="D3509" s="42"/>
      <c r="E3509" s="42"/>
      <c r="F3509" s="42"/>
      <c r="G3509" s="42"/>
      <c r="H3509" s="42"/>
    </row>
    <row r="3510" spans="3:8" x14ac:dyDescent="0.3">
      <c r="C3510" s="42"/>
      <c r="D3510" s="42"/>
      <c r="E3510" s="42"/>
      <c r="F3510" s="42"/>
      <c r="G3510" s="42"/>
      <c r="H3510" s="42"/>
    </row>
    <row r="3511" spans="3:8" x14ac:dyDescent="0.3">
      <c r="C3511" s="42"/>
      <c r="D3511" s="42"/>
      <c r="E3511" s="42"/>
      <c r="F3511" s="42"/>
      <c r="G3511" s="42"/>
      <c r="H3511" s="42"/>
    </row>
    <row r="3512" spans="3:8" x14ac:dyDescent="0.3">
      <c r="C3512" s="42"/>
      <c r="D3512" s="42"/>
      <c r="E3512" s="42"/>
      <c r="F3512" s="42"/>
      <c r="G3512" s="42"/>
      <c r="H3512" s="42"/>
    </row>
    <row r="3513" spans="3:8" x14ac:dyDescent="0.3">
      <c r="C3513" s="42"/>
      <c r="D3513" s="42"/>
      <c r="E3513" s="42"/>
      <c r="F3513" s="42"/>
      <c r="G3513" s="42"/>
      <c r="H3513" s="42"/>
    </row>
    <row r="3514" spans="3:8" x14ac:dyDescent="0.3">
      <c r="C3514" s="42"/>
      <c r="D3514" s="42"/>
      <c r="E3514" s="42"/>
      <c r="F3514" s="42"/>
      <c r="G3514" s="42"/>
      <c r="H3514" s="42"/>
    </row>
    <row r="3515" spans="3:8" x14ac:dyDescent="0.3">
      <c r="C3515" s="42"/>
      <c r="D3515" s="42"/>
      <c r="E3515" s="42"/>
      <c r="F3515" s="42"/>
      <c r="G3515" s="42"/>
      <c r="H3515" s="42"/>
    </row>
    <row r="3516" spans="3:8" x14ac:dyDescent="0.3">
      <c r="C3516" s="42"/>
      <c r="D3516" s="42"/>
      <c r="E3516" s="42"/>
      <c r="F3516" s="42"/>
      <c r="G3516" s="42"/>
      <c r="H3516" s="42"/>
    </row>
    <row r="3517" spans="3:8" x14ac:dyDescent="0.3">
      <c r="C3517" s="42"/>
      <c r="D3517" s="42"/>
      <c r="E3517" s="42"/>
      <c r="F3517" s="42"/>
      <c r="G3517" s="42"/>
      <c r="H3517" s="42"/>
    </row>
    <row r="3518" spans="3:8" x14ac:dyDescent="0.3">
      <c r="C3518" s="42"/>
      <c r="D3518" s="42"/>
      <c r="E3518" s="42"/>
      <c r="F3518" s="42"/>
      <c r="G3518" s="42"/>
      <c r="H3518" s="42"/>
    </row>
    <row r="3519" spans="3:8" x14ac:dyDescent="0.3">
      <c r="C3519" s="42"/>
      <c r="D3519" s="42"/>
      <c r="E3519" s="42"/>
      <c r="F3519" s="42"/>
      <c r="G3519" s="42"/>
      <c r="H3519" s="42"/>
    </row>
    <row r="3520" spans="3:8" x14ac:dyDescent="0.3">
      <c r="C3520" s="42"/>
      <c r="D3520" s="42"/>
      <c r="E3520" s="42"/>
      <c r="F3520" s="42"/>
      <c r="G3520" s="42"/>
      <c r="H3520" s="42"/>
    </row>
    <row r="3521" spans="3:8" x14ac:dyDescent="0.3">
      <c r="C3521" s="42"/>
      <c r="D3521" s="42"/>
      <c r="E3521" s="42"/>
      <c r="F3521" s="42"/>
      <c r="G3521" s="42"/>
      <c r="H3521" s="42"/>
    </row>
    <row r="3522" spans="3:8" x14ac:dyDescent="0.3">
      <c r="C3522" s="42"/>
      <c r="D3522" s="42"/>
      <c r="E3522" s="42"/>
      <c r="F3522" s="42"/>
      <c r="G3522" s="42"/>
      <c r="H3522" s="42"/>
    </row>
    <row r="3523" spans="3:8" x14ac:dyDescent="0.3">
      <c r="C3523" s="42"/>
      <c r="D3523" s="42"/>
      <c r="E3523" s="42"/>
      <c r="F3523" s="42"/>
      <c r="G3523" s="42"/>
      <c r="H3523" s="42"/>
    </row>
    <row r="3524" spans="3:8" x14ac:dyDescent="0.3">
      <c r="C3524" s="42"/>
      <c r="D3524" s="42"/>
      <c r="E3524" s="42"/>
      <c r="F3524" s="42"/>
      <c r="G3524" s="42"/>
      <c r="H3524" s="42"/>
    </row>
    <row r="3525" spans="3:8" x14ac:dyDescent="0.3">
      <c r="C3525" s="42"/>
      <c r="D3525" s="42"/>
      <c r="E3525" s="42"/>
      <c r="F3525" s="42"/>
      <c r="G3525" s="42"/>
      <c r="H3525" s="42"/>
    </row>
    <row r="3526" spans="3:8" x14ac:dyDescent="0.3">
      <c r="C3526" s="42"/>
      <c r="D3526" s="42"/>
      <c r="E3526" s="42"/>
      <c r="F3526" s="42"/>
      <c r="G3526" s="42"/>
      <c r="H3526" s="42"/>
    </row>
    <row r="3527" spans="3:8" x14ac:dyDescent="0.3">
      <c r="C3527" s="42"/>
      <c r="D3527" s="42"/>
      <c r="E3527" s="42"/>
      <c r="F3527" s="42"/>
      <c r="G3527" s="42"/>
      <c r="H3527" s="42"/>
    </row>
    <row r="3528" spans="3:8" x14ac:dyDescent="0.3">
      <c r="C3528" s="42"/>
      <c r="D3528" s="42"/>
      <c r="E3528" s="42"/>
      <c r="F3528" s="42"/>
      <c r="G3528" s="42"/>
      <c r="H3528" s="42"/>
    </row>
    <row r="3529" spans="3:8" x14ac:dyDescent="0.3">
      <c r="C3529" s="42"/>
      <c r="D3529" s="42"/>
      <c r="E3529" s="42"/>
      <c r="F3529" s="42"/>
      <c r="G3529" s="42"/>
      <c r="H3529" s="42"/>
    </row>
    <row r="3530" spans="3:8" x14ac:dyDescent="0.3">
      <c r="C3530" s="42"/>
      <c r="D3530" s="42"/>
      <c r="E3530" s="42"/>
      <c r="F3530" s="42"/>
      <c r="G3530" s="42"/>
      <c r="H3530" s="42"/>
    </row>
    <row r="3531" spans="3:8" x14ac:dyDescent="0.3">
      <c r="C3531" s="42"/>
      <c r="D3531" s="42"/>
      <c r="E3531" s="42"/>
      <c r="F3531" s="42"/>
      <c r="G3531" s="42"/>
      <c r="H3531" s="42"/>
    </row>
    <row r="3532" spans="3:8" x14ac:dyDescent="0.3">
      <c r="C3532" s="42"/>
      <c r="D3532" s="42"/>
      <c r="E3532" s="42"/>
      <c r="F3532" s="42"/>
      <c r="G3532" s="42"/>
      <c r="H3532" s="42"/>
    </row>
    <row r="3533" spans="3:8" x14ac:dyDescent="0.3">
      <c r="C3533" s="42"/>
      <c r="D3533" s="42"/>
      <c r="E3533" s="42"/>
      <c r="F3533" s="42"/>
      <c r="G3533" s="42"/>
      <c r="H3533" s="42"/>
    </row>
    <row r="3534" spans="3:8" x14ac:dyDescent="0.3">
      <c r="C3534" s="42"/>
      <c r="D3534" s="42"/>
      <c r="E3534" s="42"/>
      <c r="F3534" s="42"/>
      <c r="G3534" s="42"/>
      <c r="H3534" s="42"/>
    </row>
    <row r="3535" spans="3:8" x14ac:dyDescent="0.3">
      <c r="C3535" s="42"/>
      <c r="D3535" s="42"/>
      <c r="E3535" s="42"/>
      <c r="F3535" s="42"/>
      <c r="G3535" s="42"/>
      <c r="H3535" s="42"/>
    </row>
    <row r="3536" spans="3:8" x14ac:dyDescent="0.3">
      <c r="C3536" s="42"/>
      <c r="D3536" s="42"/>
      <c r="E3536" s="42"/>
      <c r="F3536" s="42"/>
      <c r="G3536" s="42"/>
      <c r="H3536" s="42"/>
    </row>
    <row r="3537" spans="3:8" x14ac:dyDescent="0.3">
      <c r="C3537" s="42"/>
      <c r="D3537" s="42"/>
      <c r="E3537" s="42"/>
      <c r="F3537" s="42"/>
      <c r="G3537" s="42"/>
      <c r="H3537" s="42"/>
    </row>
    <row r="3538" spans="3:8" x14ac:dyDescent="0.3">
      <c r="C3538" s="42"/>
      <c r="D3538" s="42"/>
      <c r="E3538" s="42"/>
      <c r="F3538" s="42"/>
      <c r="G3538" s="42"/>
      <c r="H3538" s="42"/>
    </row>
    <row r="3539" spans="3:8" x14ac:dyDescent="0.3">
      <c r="C3539" s="42"/>
      <c r="D3539" s="42"/>
      <c r="E3539" s="42"/>
      <c r="F3539" s="42"/>
      <c r="G3539" s="42"/>
      <c r="H3539" s="42"/>
    </row>
    <row r="3540" spans="3:8" x14ac:dyDescent="0.3">
      <c r="C3540" s="42"/>
      <c r="D3540" s="42"/>
      <c r="E3540" s="42"/>
      <c r="F3540" s="42"/>
      <c r="G3540" s="42"/>
      <c r="H3540" s="42"/>
    </row>
    <row r="3541" spans="3:8" x14ac:dyDescent="0.3">
      <c r="C3541" s="42"/>
      <c r="D3541" s="42"/>
      <c r="E3541" s="42"/>
      <c r="F3541" s="42"/>
      <c r="G3541" s="42"/>
      <c r="H3541" s="42"/>
    </row>
    <row r="3542" spans="3:8" x14ac:dyDescent="0.3">
      <c r="C3542" s="42"/>
      <c r="D3542" s="42"/>
      <c r="E3542" s="42"/>
      <c r="F3542" s="42"/>
      <c r="G3542" s="42"/>
      <c r="H3542" s="42"/>
    </row>
    <row r="3543" spans="3:8" x14ac:dyDescent="0.3">
      <c r="C3543" s="42"/>
      <c r="D3543" s="42"/>
      <c r="E3543" s="42"/>
      <c r="F3543" s="42"/>
      <c r="G3543" s="42"/>
      <c r="H3543" s="42"/>
    </row>
    <row r="3544" spans="3:8" x14ac:dyDescent="0.3">
      <c r="C3544" s="42"/>
      <c r="D3544" s="42"/>
      <c r="E3544" s="42"/>
      <c r="F3544" s="42"/>
      <c r="G3544" s="42"/>
      <c r="H3544" s="42"/>
    </row>
    <row r="3545" spans="3:8" x14ac:dyDescent="0.3">
      <c r="C3545" s="42"/>
      <c r="D3545" s="42"/>
      <c r="E3545" s="42"/>
      <c r="F3545" s="42"/>
      <c r="G3545" s="42"/>
      <c r="H3545" s="42"/>
    </row>
    <row r="3546" spans="3:8" x14ac:dyDescent="0.3">
      <c r="C3546" s="42"/>
      <c r="D3546" s="42"/>
      <c r="E3546" s="42"/>
      <c r="F3546" s="42"/>
      <c r="G3546" s="42"/>
      <c r="H3546" s="42"/>
    </row>
    <row r="3547" spans="3:8" x14ac:dyDescent="0.3">
      <c r="C3547" s="42"/>
      <c r="D3547" s="42"/>
      <c r="E3547" s="42"/>
      <c r="F3547" s="42"/>
      <c r="G3547" s="42"/>
      <c r="H3547" s="42"/>
    </row>
    <row r="3548" spans="3:8" x14ac:dyDescent="0.3">
      <c r="C3548" s="42"/>
      <c r="D3548" s="42"/>
      <c r="E3548" s="42"/>
      <c r="F3548" s="42"/>
      <c r="G3548" s="42"/>
      <c r="H3548" s="42"/>
    </row>
  </sheetData>
  <mergeCells count="4">
    <mergeCell ref="A1:K1"/>
    <mergeCell ref="A91:K91"/>
    <mergeCell ref="A144:B144"/>
    <mergeCell ref="A156:B156"/>
  </mergeCell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rowBreaks count="1" manualBreakCount="1">
    <brk id="9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225F-B272-42B1-BAFE-27165D7E6A2A}">
  <sheetPr>
    <tabColor rgb="FF92D050"/>
    <pageSetUpPr fitToPage="1"/>
  </sheetPr>
  <dimension ref="B1:L288"/>
  <sheetViews>
    <sheetView topLeftCell="A14" zoomScaleNormal="100" workbookViewId="0">
      <selection activeCell="B30" sqref="B30:B34"/>
    </sheetView>
  </sheetViews>
  <sheetFormatPr defaultColWidth="9.109375" defaultRowHeight="14.4" outlineLevelCol="1" x14ac:dyDescent="0.3"/>
  <cols>
    <col min="1" max="1" width="3.5546875" style="107" customWidth="1"/>
    <col min="2" max="2" width="55.6640625" style="143" bestFit="1" customWidth="1"/>
    <col min="3" max="3" width="14.44140625" style="96" customWidth="1"/>
    <col min="4" max="4" width="14.44140625" style="96" customWidth="1" outlineLevel="1"/>
    <col min="5" max="5" width="16.6640625" style="96" customWidth="1" outlineLevel="1"/>
    <col min="6" max="6" width="17" style="96" customWidth="1" outlineLevel="1"/>
    <col min="7" max="7" width="15.33203125" style="107" customWidth="1"/>
    <col min="8" max="8" width="13.88671875" style="92" customWidth="1"/>
    <col min="9" max="9" width="15.44140625" style="107" customWidth="1"/>
    <col min="10" max="10" width="20.88671875" style="107" bestFit="1" customWidth="1"/>
    <col min="11" max="11" width="12.6640625" style="107" customWidth="1"/>
    <col min="12" max="12" width="12.44140625" style="107" customWidth="1"/>
    <col min="13" max="16384" width="9.109375" style="107"/>
  </cols>
  <sheetData>
    <row r="1" spans="2:7" s="92" customFormat="1" ht="21.6" thickBot="1" x14ac:dyDescent="0.35">
      <c r="B1" s="157" t="s">
        <v>161</v>
      </c>
      <c r="C1" s="161"/>
      <c r="D1" s="161"/>
      <c r="E1" s="161"/>
      <c r="F1" s="161"/>
      <c r="G1" s="161"/>
    </row>
    <row r="2" spans="2:7" x14ac:dyDescent="0.3">
      <c r="B2" s="93" t="s">
        <v>1</v>
      </c>
      <c r="C2" s="94" t="s">
        <v>162</v>
      </c>
      <c r="D2" s="94" t="s">
        <v>163</v>
      </c>
      <c r="E2" s="94" t="s">
        <v>8</v>
      </c>
      <c r="F2" s="94" t="s">
        <v>9</v>
      </c>
      <c r="G2" s="95" t="s">
        <v>164</v>
      </c>
    </row>
    <row r="3" spans="2:7" x14ac:dyDescent="0.3">
      <c r="B3" s="93" t="s">
        <v>10</v>
      </c>
      <c r="G3" s="97"/>
    </row>
    <row r="4" spans="2:7" x14ac:dyDescent="0.3">
      <c r="B4" s="9" t="s">
        <v>12</v>
      </c>
      <c r="C4" s="96">
        <v>0</v>
      </c>
      <c r="D4" s="96">
        <v>20846.099999999999</v>
      </c>
      <c r="E4" s="96">
        <f>C4+D4</f>
        <v>20846.099999999999</v>
      </c>
      <c r="F4" s="96">
        <v>0</v>
      </c>
      <c r="G4" s="98">
        <f>E4+F4</f>
        <v>20846.099999999999</v>
      </c>
    </row>
    <row r="5" spans="2:7" x14ac:dyDescent="0.3">
      <c r="B5" s="9" t="s">
        <v>13</v>
      </c>
      <c r="C5" s="96">
        <v>0</v>
      </c>
      <c r="D5" s="96">
        <v>-20471.099999999999</v>
      </c>
      <c r="E5" s="96">
        <f t="shared" ref="E5:E74" si="0">C5+D5</f>
        <v>-20471.099999999999</v>
      </c>
      <c r="F5" s="96">
        <v>0</v>
      </c>
      <c r="G5" s="98">
        <f t="shared" ref="G5:G23" si="1">E5+F5</f>
        <v>-20471.099999999999</v>
      </c>
    </row>
    <row r="6" spans="2:7" x14ac:dyDescent="0.3">
      <c r="B6" s="99" t="s">
        <v>165</v>
      </c>
      <c r="C6" s="96">
        <v>0</v>
      </c>
      <c r="D6" s="96">
        <v>17002.87</v>
      </c>
      <c r="E6" s="96">
        <f t="shared" si="0"/>
        <v>17002.87</v>
      </c>
      <c r="F6" s="96">
        <v>0</v>
      </c>
      <c r="G6" s="98">
        <f t="shared" si="1"/>
        <v>17002.87</v>
      </c>
    </row>
    <row r="7" spans="2:7" x14ac:dyDescent="0.3">
      <c r="B7" s="99" t="s">
        <v>166</v>
      </c>
      <c r="C7" s="96">
        <v>0</v>
      </c>
      <c r="D7" s="96">
        <v>-17002.87</v>
      </c>
      <c r="E7" s="96">
        <f t="shared" si="0"/>
        <v>-17002.87</v>
      </c>
      <c r="F7" s="96">
        <v>0</v>
      </c>
      <c r="G7" s="98">
        <f t="shared" si="1"/>
        <v>-17002.87</v>
      </c>
    </row>
    <row r="8" spans="2:7" x14ac:dyDescent="0.3">
      <c r="B8" s="99" t="s">
        <v>167</v>
      </c>
      <c r="C8" s="96">
        <v>591.53</v>
      </c>
      <c r="D8" s="96">
        <v>0</v>
      </c>
      <c r="E8" s="96">
        <f t="shared" si="0"/>
        <v>591.53</v>
      </c>
      <c r="F8" s="96">
        <v>0</v>
      </c>
      <c r="G8" s="98">
        <f t="shared" si="1"/>
        <v>591.53</v>
      </c>
    </row>
    <row r="9" spans="2:7" x14ac:dyDescent="0.3">
      <c r="B9" s="99" t="s">
        <v>168</v>
      </c>
      <c r="C9" s="96">
        <v>-591.53</v>
      </c>
      <c r="D9" s="96">
        <v>0</v>
      </c>
      <c r="E9" s="96">
        <f t="shared" si="0"/>
        <v>-591.53</v>
      </c>
      <c r="F9" s="96">
        <v>0</v>
      </c>
      <c r="G9" s="98">
        <f t="shared" si="1"/>
        <v>-591.53</v>
      </c>
    </row>
    <row r="10" spans="2:7" x14ac:dyDescent="0.3">
      <c r="B10" s="99" t="s">
        <v>169</v>
      </c>
      <c r="C10" s="96">
        <v>174652</v>
      </c>
      <c r="D10" s="96">
        <v>0</v>
      </c>
      <c r="E10" s="96">
        <f t="shared" si="0"/>
        <v>174652</v>
      </c>
      <c r="F10" s="96">
        <v>0</v>
      </c>
      <c r="G10" s="98">
        <f t="shared" si="1"/>
        <v>174652</v>
      </c>
    </row>
    <row r="11" spans="2:7" x14ac:dyDescent="0.3">
      <c r="B11" s="99" t="s">
        <v>170</v>
      </c>
      <c r="C11" s="96">
        <f>-C10</f>
        <v>-174652</v>
      </c>
      <c r="D11" s="96">
        <v>0</v>
      </c>
      <c r="E11" s="96">
        <f t="shared" si="0"/>
        <v>-174652</v>
      </c>
      <c r="F11" s="96">
        <v>0</v>
      </c>
      <c r="G11" s="98">
        <f t="shared" si="1"/>
        <v>-174652</v>
      </c>
    </row>
    <row r="12" spans="2:7" x14ac:dyDescent="0.3">
      <c r="B12" s="99" t="s">
        <v>171</v>
      </c>
      <c r="C12" s="96">
        <v>611012.91</v>
      </c>
      <c r="D12" s="96">
        <v>12370493.16</v>
      </c>
      <c r="E12" s="96">
        <f t="shared" si="0"/>
        <v>12981506.07</v>
      </c>
      <c r="F12" s="96">
        <v>0</v>
      </c>
      <c r="G12" s="98">
        <f t="shared" si="1"/>
        <v>12981506.07</v>
      </c>
    </row>
    <row r="13" spans="2:7" x14ac:dyDescent="0.3">
      <c r="B13" s="99" t="s">
        <v>172</v>
      </c>
      <c r="C13" s="96">
        <v>0</v>
      </c>
      <c r="D13" s="96">
        <v>0</v>
      </c>
      <c r="E13" s="96">
        <f t="shared" si="0"/>
        <v>0</v>
      </c>
      <c r="F13" s="96">
        <v>0</v>
      </c>
      <c r="G13" s="98">
        <f t="shared" si="1"/>
        <v>0</v>
      </c>
    </row>
    <row r="14" spans="2:7" x14ac:dyDescent="0.3">
      <c r="B14" s="99" t="s">
        <v>173</v>
      </c>
      <c r="C14" s="96">
        <v>0</v>
      </c>
      <c r="D14" s="96">
        <v>0</v>
      </c>
      <c r="E14" s="96">
        <f t="shared" si="0"/>
        <v>0</v>
      </c>
      <c r="F14" s="96">
        <v>0</v>
      </c>
      <c r="G14" s="98">
        <f t="shared" si="1"/>
        <v>0</v>
      </c>
    </row>
    <row r="15" spans="2:7" ht="15" thickBot="1" x14ac:dyDescent="0.35">
      <c r="B15" s="99" t="s">
        <v>174</v>
      </c>
      <c r="C15" s="96">
        <f>-433651.26-C232</f>
        <v>-454866.93333333335</v>
      </c>
      <c r="D15" s="96">
        <v>-4160489.7578333332</v>
      </c>
      <c r="E15" s="96">
        <f t="shared" si="0"/>
        <v>-4615356.6911666663</v>
      </c>
      <c r="F15" s="96">
        <v>0</v>
      </c>
      <c r="G15" s="98">
        <f t="shared" si="1"/>
        <v>-4615356.6911666663</v>
      </c>
    </row>
    <row r="16" spans="2:7" ht="15" thickBot="1" x14ac:dyDescent="0.35">
      <c r="B16" s="100" t="s">
        <v>18</v>
      </c>
      <c r="C16" s="101">
        <f>SUM(C4:C15)</f>
        <v>156145.97666666668</v>
      </c>
      <c r="D16" s="101">
        <f>SUM(D4:D15)</f>
        <v>8210378.4021666665</v>
      </c>
      <c r="E16" s="101">
        <f t="shared" ref="E16:F16" si="2">SUM(E4:E15)</f>
        <v>8366524.378833334</v>
      </c>
      <c r="F16" s="101">
        <f t="shared" si="2"/>
        <v>0</v>
      </c>
      <c r="G16" s="102">
        <f t="shared" si="1"/>
        <v>8366524.378833334</v>
      </c>
    </row>
    <row r="17" spans="2:7" x14ac:dyDescent="0.3">
      <c r="B17" s="99" t="s">
        <v>175</v>
      </c>
      <c r="C17" s="96">
        <v>6863.52</v>
      </c>
      <c r="D17" s="96">
        <v>0</v>
      </c>
      <c r="E17" s="96">
        <f t="shared" si="0"/>
        <v>6863.52</v>
      </c>
      <c r="F17" s="96">
        <v>0</v>
      </c>
      <c r="G17" s="98">
        <f t="shared" si="1"/>
        <v>6863.52</v>
      </c>
    </row>
    <row r="18" spans="2:7" x14ac:dyDescent="0.3">
      <c r="B18" s="99" t="s">
        <v>176</v>
      </c>
      <c r="C18" s="96">
        <f>-6863.52</f>
        <v>-6863.52</v>
      </c>
      <c r="D18" s="96">
        <v>0</v>
      </c>
      <c r="E18" s="96">
        <f t="shared" si="0"/>
        <v>-6863.52</v>
      </c>
      <c r="F18" s="96">
        <v>0</v>
      </c>
      <c r="G18" s="98">
        <f t="shared" si="1"/>
        <v>-6863.52</v>
      </c>
    </row>
    <row r="19" spans="2:7" x14ac:dyDescent="0.3">
      <c r="B19" s="99" t="s">
        <v>177</v>
      </c>
      <c r="C19" s="96">
        <v>1381.16</v>
      </c>
      <c r="D19" s="96">
        <v>0</v>
      </c>
      <c r="E19" s="96">
        <f t="shared" si="0"/>
        <v>1381.16</v>
      </c>
      <c r="F19" s="96">
        <v>0</v>
      </c>
      <c r="G19" s="98">
        <f t="shared" si="1"/>
        <v>1381.16</v>
      </c>
    </row>
    <row r="20" spans="2:7" x14ac:dyDescent="0.3">
      <c r="B20" s="99" t="s">
        <v>178</v>
      </c>
      <c r="C20" s="96">
        <f>15622.2+1691.12</f>
        <v>17313.32</v>
      </c>
      <c r="D20" s="96">
        <v>0</v>
      </c>
      <c r="E20" s="96">
        <f t="shared" si="0"/>
        <v>17313.32</v>
      </c>
      <c r="F20" s="96">
        <v>0</v>
      </c>
      <c r="G20" s="98">
        <f t="shared" si="1"/>
        <v>17313.32</v>
      </c>
    </row>
    <row r="21" spans="2:7" x14ac:dyDescent="0.3">
      <c r="B21" s="99" t="s">
        <v>179</v>
      </c>
      <c r="C21" s="96">
        <f>-C19</f>
        <v>-1381.16</v>
      </c>
      <c r="D21" s="96">
        <v>0</v>
      </c>
      <c r="E21" s="96">
        <f t="shared" si="0"/>
        <v>-1381.16</v>
      </c>
      <c r="F21" s="96">
        <v>0</v>
      </c>
      <c r="G21" s="98">
        <f t="shared" si="1"/>
        <v>-1381.16</v>
      </c>
    </row>
    <row r="22" spans="2:7" x14ac:dyDescent="0.3">
      <c r="B22" s="99" t="s">
        <v>180</v>
      </c>
      <c r="C22" s="96">
        <f>-C20</f>
        <v>-17313.32</v>
      </c>
      <c r="D22" s="96">
        <v>0</v>
      </c>
      <c r="E22" s="96">
        <f t="shared" si="0"/>
        <v>-17313.32</v>
      </c>
      <c r="F22" s="96">
        <v>0</v>
      </c>
      <c r="G22" s="98">
        <f t="shared" si="1"/>
        <v>-17313.32</v>
      </c>
    </row>
    <row r="23" spans="2:7" ht="15" thickBot="1" x14ac:dyDescent="0.35">
      <c r="B23" s="99" t="s">
        <v>181</v>
      </c>
      <c r="C23" s="96">
        <f>157293.66-157293.66</f>
        <v>0</v>
      </c>
      <c r="D23" s="96">
        <v>0</v>
      </c>
      <c r="E23" s="96">
        <f t="shared" si="0"/>
        <v>0</v>
      </c>
      <c r="F23" s="96">
        <v>0</v>
      </c>
      <c r="G23" s="98">
        <f t="shared" si="1"/>
        <v>0</v>
      </c>
    </row>
    <row r="24" spans="2:7" ht="15" thickBot="1" x14ac:dyDescent="0.35">
      <c r="B24" s="100" t="s">
        <v>21</v>
      </c>
      <c r="C24" s="101">
        <f>SUM(C17:C23)</f>
        <v>0</v>
      </c>
      <c r="D24" s="101">
        <f>SUM(D17:D23)</f>
        <v>0</v>
      </c>
      <c r="E24" s="101">
        <f>SUM(E17:E23)</f>
        <v>0</v>
      </c>
      <c r="F24" s="101">
        <f t="shared" ref="F24:G24" si="3">SUM(F17:F23)</f>
        <v>0</v>
      </c>
      <c r="G24" s="102">
        <f t="shared" si="3"/>
        <v>0</v>
      </c>
    </row>
    <row r="25" spans="2:7" x14ac:dyDescent="0.3">
      <c r="B25" s="99" t="s">
        <v>182</v>
      </c>
      <c r="C25" s="96">
        <f>10000-10000</f>
        <v>0</v>
      </c>
      <c r="D25" s="96">
        <v>0</v>
      </c>
      <c r="E25" s="96">
        <f t="shared" si="0"/>
        <v>0</v>
      </c>
      <c r="F25" s="96">
        <v>0</v>
      </c>
      <c r="G25" s="98">
        <f t="shared" ref="G25:G47" si="4">E25+F25</f>
        <v>0</v>
      </c>
    </row>
    <row r="26" spans="2:7" x14ac:dyDescent="0.3">
      <c r="B26" s="103" t="s">
        <v>183</v>
      </c>
      <c r="C26" s="104">
        <f>11018.07-1118.07+15788</f>
        <v>25688</v>
      </c>
      <c r="D26" s="104">
        <v>0</v>
      </c>
      <c r="E26" s="104">
        <f>C26+D26</f>
        <v>25688</v>
      </c>
      <c r="F26" s="104">
        <f>-E26</f>
        <v>-25688</v>
      </c>
      <c r="G26" s="104">
        <f>E26+F26</f>
        <v>0</v>
      </c>
    </row>
    <row r="27" spans="2:7" x14ac:dyDescent="0.3">
      <c r="B27" s="99" t="s">
        <v>184</v>
      </c>
      <c r="C27" s="96">
        <v>1</v>
      </c>
      <c r="D27" s="96">
        <v>0</v>
      </c>
      <c r="E27" s="96">
        <f t="shared" si="0"/>
        <v>1</v>
      </c>
      <c r="F27" s="96">
        <v>0</v>
      </c>
      <c r="G27" s="98">
        <f t="shared" si="4"/>
        <v>1</v>
      </c>
    </row>
    <row r="28" spans="2:7" x14ac:dyDescent="0.3">
      <c r="B28" s="99" t="s">
        <v>185</v>
      </c>
      <c r="C28" s="96">
        <v>0</v>
      </c>
      <c r="D28" s="96">
        <v>0</v>
      </c>
      <c r="E28" s="96">
        <f>C28+D28</f>
        <v>0</v>
      </c>
      <c r="F28" s="96">
        <v>0</v>
      </c>
      <c r="G28" s="98">
        <f>E28+F28</f>
        <v>0</v>
      </c>
    </row>
    <row r="29" spans="2:7" x14ac:dyDescent="0.3">
      <c r="B29" s="99" t="s">
        <v>186</v>
      </c>
      <c r="C29" s="96">
        <v>0</v>
      </c>
      <c r="D29" s="96">
        <v>0</v>
      </c>
      <c r="E29" s="96">
        <f>C29+D29</f>
        <v>0</v>
      </c>
      <c r="F29" s="96">
        <v>0</v>
      </c>
      <c r="G29" s="98">
        <f>E29+F29</f>
        <v>0</v>
      </c>
    </row>
    <row r="30" spans="2:7" x14ac:dyDescent="0.3">
      <c r="B30" s="103" t="s">
        <v>187</v>
      </c>
      <c r="C30" s="104">
        <v>20000</v>
      </c>
      <c r="D30" s="104">
        <v>0</v>
      </c>
      <c r="E30" s="104">
        <f t="shared" si="0"/>
        <v>20000</v>
      </c>
      <c r="F30" s="104">
        <f>-E30</f>
        <v>-20000</v>
      </c>
      <c r="G30" s="104">
        <f t="shared" si="4"/>
        <v>0</v>
      </c>
    </row>
    <row r="31" spans="2:7" x14ac:dyDescent="0.3">
      <c r="B31" s="105" t="s">
        <v>188</v>
      </c>
      <c r="C31" s="106">
        <v>10000</v>
      </c>
      <c r="D31" s="106">
        <v>0</v>
      </c>
      <c r="E31" s="106">
        <f t="shared" si="0"/>
        <v>10000</v>
      </c>
      <c r="F31" s="106">
        <f>-E31</f>
        <v>-10000</v>
      </c>
      <c r="G31" s="106">
        <f t="shared" si="4"/>
        <v>0</v>
      </c>
    </row>
    <row r="32" spans="2:7" x14ac:dyDescent="0.3">
      <c r="B32" s="105" t="s">
        <v>189</v>
      </c>
      <c r="C32" s="106">
        <v>10000</v>
      </c>
      <c r="D32" s="106">
        <v>0</v>
      </c>
      <c r="E32" s="106">
        <f t="shared" si="0"/>
        <v>10000</v>
      </c>
      <c r="F32" s="106">
        <f>-E32</f>
        <v>-10000</v>
      </c>
      <c r="G32" s="106">
        <f t="shared" si="4"/>
        <v>0</v>
      </c>
    </row>
    <row r="33" spans="2:10" x14ac:dyDescent="0.3">
      <c r="B33" s="105" t="s">
        <v>190</v>
      </c>
      <c r="C33" s="106">
        <v>10000</v>
      </c>
      <c r="D33" s="106">
        <v>0</v>
      </c>
      <c r="E33" s="106">
        <f t="shared" si="0"/>
        <v>10000</v>
      </c>
      <c r="F33" s="106">
        <f t="shared" ref="F33:F34" si="5">-E33</f>
        <v>-10000</v>
      </c>
      <c r="G33" s="106">
        <f t="shared" si="4"/>
        <v>0</v>
      </c>
    </row>
    <row r="34" spans="2:10" x14ac:dyDescent="0.3">
      <c r="B34" s="108" t="s">
        <v>191</v>
      </c>
      <c r="C34" s="109">
        <v>10000</v>
      </c>
      <c r="D34" s="109">
        <v>0</v>
      </c>
      <c r="E34" s="109">
        <f t="shared" si="0"/>
        <v>10000</v>
      </c>
      <c r="F34" s="109">
        <f t="shared" si="5"/>
        <v>-10000</v>
      </c>
      <c r="G34" s="109">
        <f t="shared" si="4"/>
        <v>0</v>
      </c>
    </row>
    <row r="35" spans="2:10" x14ac:dyDescent="0.3">
      <c r="B35" s="99" t="s">
        <v>192</v>
      </c>
      <c r="C35" s="96">
        <v>1000</v>
      </c>
      <c r="D35" s="96">
        <v>0</v>
      </c>
      <c r="E35" s="96">
        <f t="shared" si="0"/>
        <v>1000</v>
      </c>
      <c r="F35" s="96">
        <v>0</v>
      </c>
      <c r="G35" s="98">
        <f t="shared" si="4"/>
        <v>1000</v>
      </c>
      <c r="H35" s="110"/>
    </row>
    <row r="36" spans="2:10" x14ac:dyDescent="0.3">
      <c r="B36" s="9" t="s">
        <v>22</v>
      </c>
      <c r="C36" s="96">
        <v>2582.1999999999998</v>
      </c>
      <c r="D36" s="96">
        <v>3873.3</v>
      </c>
      <c r="E36" s="96">
        <f t="shared" si="0"/>
        <v>6455.5</v>
      </c>
      <c r="F36" s="96">
        <v>0</v>
      </c>
      <c r="G36" s="98">
        <f t="shared" si="4"/>
        <v>6455.5</v>
      </c>
    </row>
    <row r="37" spans="2:10" x14ac:dyDescent="0.3">
      <c r="B37" s="9" t="s">
        <v>23</v>
      </c>
      <c r="C37" s="96">
        <v>0</v>
      </c>
      <c r="D37" s="96">
        <v>6253.92</v>
      </c>
      <c r="E37" s="96">
        <f t="shared" si="0"/>
        <v>6253.92</v>
      </c>
      <c r="F37" s="96">
        <v>0</v>
      </c>
      <c r="G37" s="98">
        <f t="shared" si="4"/>
        <v>6253.92</v>
      </c>
      <c r="H37" s="111"/>
    </row>
    <row r="38" spans="2:10" x14ac:dyDescent="0.3">
      <c r="B38" s="99" t="s">
        <v>193</v>
      </c>
      <c r="C38" s="96">
        <v>0</v>
      </c>
      <c r="D38" s="96">
        <v>0</v>
      </c>
      <c r="E38" s="96">
        <f t="shared" si="0"/>
        <v>0</v>
      </c>
      <c r="F38" s="96">
        <v>0</v>
      </c>
      <c r="G38" s="98">
        <f t="shared" si="4"/>
        <v>0</v>
      </c>
      <c r="H38" s="111"/>
    </row>
    <row r="39" spans="2:10" x14ac:dyDescent="0.3">
      <c r="B39" s="99" t="s">
        <v>194</v>
      </c>
      <c r="C39" s="96">
        <v>0</v>
      </c>
      <c r="D39" s="96">
        <v>0</v>
      </c>
      <c r="E39" s="96">
        <f t="shared" si="0"/>
        <v>0</v>
      </c>
      <c r="F39" s="96">
        <v>0</v>
      </c>
      <c r="G39" s="98">
        <f t="shared" si="4"/>
        <v>0</v>
      </c>
      <c r="H39" s="111"/>
    </row>
    <row r="40" spans="2:10" x14ac:dyDescent="0.3">
      <c r="B40" s="112" t="s">
        <v>195</v>
      </c>
      <c r="C40" s="113">
        <f>1118.07+5100+500+1000</f>
        <v>7718.07</v>
      </c>
      <c r="D40" s="113">
        <v>0</v>
      </c>
      <c r="E40" s="113">
        <f t="shared" si="0"/>
        <v>7718.07</v>
      </c>
      <c r="F40" s="113">
        <f>-E40</f>
        <v>-7718.07</v>
      </c>
      <c r="G40" s="113">
        <f t="shared" si="4"/>
        <v>0</v>
      </c>
      <c r="H40" s="111"/>
    </row>
    <row r="41" spans="2:10" x14ac:dyDescent="0.3">
      <c r="B41" s="105" t="s">
        <v>196</v>
      </c>
      <c r="C41" s="106">
        <f>115-115</f>
        <v>0</v>
      </c>
      <c r="D41" s="106">
        <v>0</v>
      </c>
      <c r="E41" s="106">
        <f t="shared" si="0"/>
        <v>0</v>
      </c>
      <c r="F41" s="106">
        <v>0</v>
      </c>
      <c r="G41" s="106">
        <f t="shared" si="4"/>
        <v>0</v>
      </c>
      <c r="H41" s="111"/>
    </row>
    <row r="42" spans="2:10" x14ac:dyDescent="0.3">
      <c r="B42" s="105" t="s">
        <v>197</v>
      </c>
      <c r="C42" s="106">
        <f>131650-40000-91650</f>
        <v>0</v>
      </c>
      <c r="D42" s="106">
        <v>0</v>
      </c>
      <c r="E42" s="106">
        <f t="shared" si="0"/>
        <v>0</v>
      </c>
      <c r="F42" s="106">
        <f>-E42</f>
        <v>0</v>
      </c>
      <c r="G42" s="106">
        <f t="shared" si="4"/>
        <v>0</v>
      </c>
      <c r="H42" s="111"/>
    </row>
    <row r="43" spans="2:10" x14ac:dyDescent="0.3">
      <c r="B43" s="105" t="s">
        <v>198</v>
      </c>
      <c r="C43" s="106">
        <f>96500-25000-25000</f>
        <v>46500</v>
      </c>
      <c r="D43" s="106">
        <v>0</v>
      </c>
      <c r="E43" s="106">
        <f t="shared" si="0"/>
        <v>46500</v>
      </c>
      <c r="F43" s="106">
        <f>-E43</f>
        <v>-46500</v>
      </c>
      <c r="G43" s="106">
        <f t="shared" si="4"/>
        <v>0</v>
      </c>
      <c r="H43" s="111"/>
    </row>
    <row r="44" spans="2:10" x14ac:dyDescent="0.3">
      <c r="B44" s="105" t="s">
        <v>199</v>
      </c>
      <c r="C44" s="106">
        <f>147165.8-3165.8-40000-50000</f>
        <v>54000</v>
      </c>
      <c r="D44" s="106">
        <v>0</v>
      </c>
      <c r="E44" s="106">
        <f t="shared" si="0"/>
        <v>54000</v>
      </c>
      <c r="F44" s="106">
        <f t="shared" ref="F44" si="6">-E44</f>
        <v>-54000</v>
      </c>
      <c r="G44" s="106">
        <f t="shared" si="4"/>
        <v>0</v>
      </c>
      <c r="H44" s="111"/>
    </row>
    <row r="45" spans="2:10" x14ac:dyDescent="0.3">
      <c r="B45" s="108" t="s">
        <v>200</v>
      </c>
      <c r="C45" s="109">
        <v>0</v>
      </c>
      <c r="D45" s="109">
        <v>1471750</v>
      </c>
      <c r="E45" s="109">
        <f t="shared" si="0"/>
        <v>1471750</v>
      </c>
      <c r="F45" s="109">
        <f>-E45</f>
        <v>-1471750</v>
      </c>
      <c r="G45" s="109">
        <f t="shared" si="4"/>
        <v>0</v>
      </c>
      <c r="H45" s="111"/>
    </row>
    <row r="46" spans="2:10" x14ac:dyDescent="0.3">
      <c r="B46" s="9" t="s">
        <v>201</v>
      </c>
      <c r="C46" s="96">
        <v>2328.0300000000002</v>
      </c>
      <c r="D46" s="96">
        <v>0</v>
      </c>
      <c r="E46" s="96">
        <f t="shared" si="0"/>
        <v>2328.0300000000002</v>
      </c>
      <c r="F46" s="96">
        <v>0</v>
      </c>
      <c r="G46" s="98">
        <f t="shared" si="4"/>
        <v>2328.0300000000002</v>
      </c>
    </row>
    <row r="47" spans="2:10" ht="15" thickBot="1" x14ac:dyDescent="0.35">
      <c r="B47" s="9" t="s">
        <v>202</v>
      </c>
      <c r="C47" s="96">
        <v>0</v>
      </c>
      <c r="D47" s="96">
        <v>0</v>
      </c>
      <c r="E47" s="96">
        <f t="shared" si="0"/>
        <v>0</v>
      </c>
      <c r="F47" s="96">
        <v>0</v>
      </c>
      <c r="G47" s="98">
        <f t="shared" si="4"/>
        <v>0</v>
      </c>
    </row>
    <row r="48" spans="2:10" ht="13.8" thickBot="1" x14ac:dyDescent="0.35">
      <c r="B48" s="100" t="s">
        <v>25</v>
      </c>
      <c r="C48" s="101">
        <f>SUM(C25:C47)</f>
        <v>199817.3</v>
      </c>
      <c r="D48" s="101">
        <f>SUM(D25:D47)</f>
        <v>1481877.22</v>
      </c>
      <c r="E48" s="101">
        <f>SUM(E25:E47)</f>
        <v>1681694.52</v>
      </c>
      <c r="F48" s="101">
        <f>SUM(F25:F47)</f>
        <v>-1665656.07</v>
      </c>
      <c r="G48" s="102">
        <f>SUM(G25:G47)</f>
        <v>16038.45</v>
      </c>
      <c r="H48" s="114"/>
      <c r="I48" s="115"/>
      <c r="J48" s="116"/>
    </row>
    <row r="49" spans="2:12" x14ac:dyDescent="0.3">
      <c r="B49" s="99" t="s">
        <v>203</v>
      </c>
      <c r="C49" s="96">
        <v>0</v>
      </c>
      <c r="D49" s="96">
        <v>0</v>
      </c>
      <c r="E49" s="96">
        <f t="shared" si="0"/>
        <v>0</v>
      </c>
      <c r="F49" s="96">
        <v>0</v>
      </c>
      <c r="G49" s="98">
        <f t="shared" ref="G49:G50" si="7">E49+F49</f>
        <v>0</v>
      </c>
      <c r="I49" s="115"/>
    </row>
    <row r="50" spans="2:12" ht="15" thickBot="1" x14ac:dyDescent="0.35">
      <c r="B50" s="99" t="s">
        <v>204</v>
      </c>
      <c r="C50" s="96">
        <v>0</v>
      </c>
      <c r="D50" s="96">
        <v>0</v>
      </c>
      <c r="E50" s="96">
        <f t="shared" si="0"/>
        <v>0</v>
      </c>
      <c r="F50" s="96">
        <v>0</v>
      </c>
      <c r="G50" s="98">
        <f t="shared" si="7"/>
        <v>0</v>
      </c>
      <c r="I50" s="115"/>
    </row>
    <row r="51" spans="2:12" ht="15" thickBot="1" x14ac:dyDescent="0.35">
      <c r="B51" s="100" t="s">
        <v>27</v>
      </c>
      <c r="C51" s="101">
        <f>SUM(C49:C50)</f>
        <v>0</v>
      </c>
      <c r="D51" s="101">
        <f>SUM(D49:D50)</f>
        <v>0</v>
      </c>
      <c r="E51" s="101">
        <f t="shared" ref="E51:G51" si="8">SUM(E49:E50)</f>
        <v>0</v>
      </c>
      <c r="F51" s="101">
        <f>SUM(F49:F50)</f>
        <v>0</v>
      </c>
      <c r="G51" s="102">
        <f t="shared" si="8"/>
        <v>0</v>
      </c>
      <c r="I51" s="115"/>
      <c r="K51" s="96"/>
    </row>
    <row r="52" spans="2:12" x14ac:dyDescent="0.3">
      <c r="B52" s="99" t="s">
        <v>205</v>
      </c>
      <c r="C52" s="96">
        <f>1051049.77+88745.7-18065.83-36778.47</f>
        <v>1084951.17</v>
      </c>
      <c r="D52" s="96">
        <v>577842.41</v>
      </c>
      <c r="E52" s="96">
        <f t="shared" si="0"/>
        <v>1662793.58</v>
      </c>
      <c r="F52" s="96">
        <v>0</v>
      </c>
      <c r="G52" s="98">
        <f t="shared" ref="G52:G87" si="9">E52+F52</f>
        <v>1662793.58</v>
      </c>
      <c r="I52" s="115"/>
      <c r="K52" s="96"/>
    </row>
    <row r="53" spans="2:12" x14ac:dyDescent="0.3">
      <c r="B53" s="117" t="s">
        <v>206</v>
      </c>
      <c r="C53" s="118">
        <v>0</v>
      </c>
      <c r="D53" s="118">
        <v>0</v>
      </c>
      <c r="E53" s="118">
        <f t="shared" si="0"/>
        <v>0</v>
      </c>
      <c r="F53" s="118">
        <f>-E53</f>
        <v>0</v>
      </c>
      <c r="G53" s="118">
        <f t="shared" si="9"/>
        <v>0</v>
      </c>
      <c r="K53" s="96"/>
    </row>
    <row r="54" spans="2:12" x14ac:dyDescent="0.3">
      <c r="B54" s="99" t="s">
        <v>207</v>
      </c>
      <c r="C54" s="96">
        <v>0</v>
      </c>
      <c r="D54" s="96">
        <v>0</v>
      </c>
      <c r="E54" s="96">
        <f t="shared" si="0"/>
        <v>0</v>
      </c>
      <c r="F54" s="96">
        <v>0</v>
      </c>
      <c r="G54" s="98">
        <f t="shared" si="9"/>
        <v>0</v>
      </c>
      <c r="I54" s="119"/>
      <c r="K54" s="96"/>
      <c r="L54" s="96"/>
    </row>
    <row r="55" spans="2:12" x14ac:dyDescent="0.3">
      <c r="B55" s="99" t="s">
        <v>208</v>
      </c>
      <c r="C55" s="96">
        <v>0</v>
      </c>
      <c r="D55" s="96">
        <v>0</v>
      </c>
      <c r="E55" s="96">
        <f t="shared" si="0"/>
        <v>0</v>
      </c>
      <c r="F55" s="96">
        <v>0</v>
      </c>
      <c r="G55" s="98">
        <f t="shared" si="9"/>
        <v>0</v>
      </c>
      <c r="I55" s="115"/>
      <c r="K55" s="96"/>
      <c r="L55" s="96"/>
    </row>
    <row r="56" spans="2:12" x14ac:dyDescent="0.3">
      <c r="B56" s="99" t="s">
        <v>209</v>
      </c>
      <c r="C56" s="96">
        <v>205066.56</v>
      </c>
      <c r="D56" s="96">
        <v>261790.46</v>
      </c>
      <c r="E56" s="96">
        <f>C56+D56</f>
        <v>466857.02</v>
      </c>
      <c r="F56" s="96">
        <v>0</v>
      </c>
      <c r="G56" s="98">
        <f t="shared" si="9"/>
        <v>466857.02</v>
      </c>
      <c r="H56" s="111"/>
      <c r="I56" s="115"/>
      <c r="J56" s="119"/>
      <c r="K56" s="120"/>
      <c r="L56" s="96"/>
    </row>
    <row r="57" spans="2:12" x14ac:dyDescent="0.3">
      <c r="B57" s="117" t="s">
        <v>210</v>
      </c>
      <c r="C57" s="121">
        <f>4783886.19+C154</f>
        <v>5117131.5233333334</v>
      </c>
      <c r="D57" s="118">
        <v>0</v>
      </c>
      <c r="E57" s="118">
        <f t="shared" si="0"/>
        <v>5117131.5233333334</v>
      </c>
      <c r="F57" s="118">
        <f>-E57</f>
        <v>-5117131.5233333334</v>
      </c>
      <c r="G57" s="118">
        <f t="shared" si="9"/>
        <v>0</v>
      </c>
      <c r="H57" s="111"/>
      <c r="I57" s="115"/>
      <c r="K57" s="118"/>
      <c r="L57" s="96"/>
    </row>
    <row r="58" spans="2:12" x14ac:dyDescent="0.3">
      <c r="B58" s="99"/>
      <c r="C58" s="96">
        <v>0</v>
      </c>
      <c r="D58" s="96">
        <v>0</v>
      </c>
      <c r="E58" s="96">
        <f t="shared" si="0"/>
        <v>0</v>
      </c>
      <c r="F58" s="96">
        <v>0</v>
      </c>
      <c r="G58" s="98">
        <f t="shared" si="9"/>
        <v>0</v>
      </c>
      <c r="H58" s="111"/>
      <c r="I58" s="119"/>
      <c r="K58" s="96"/>
      <c r="L58" s="96"/>
    </row>
    <row r="59" spans="2:12" x14ac:dyDescent="0.3">
      <c r="B59" s="99" t="s">
        <v>211</v>
      </c>
      <c r="C59" s="96">
        <f>-80000</f>
        <v>-80000</v>
      </c>
      <c r="D59" s="96">
        <v>0</v>
      </c>
      <c r="E59" s="96">
        <f t="shared" si="0"/>
        <v>-80000</v>
      </c>
      <c r="F59" s="96">
        <v>0</v>
      </c>
      <c r="G59" s="98">
        <f t="shared" si="9"/>
        <v>-80000</v>
      </c>
      <c r="H59" s="111"/>
      <c r="I59" s="115"/>
      <c r="K59" s="96"/>
      <c r="L59" s="96"/>
    </row>
    <row r="60" spans="2:12" x14ac:dyDescent="0.3">
      <c r="B60" s="99" t="s">
        <v>212</v>
      </c>
      <c r="C60" s="96">
        <v>-295819.96000000002</v>
      </c>
      <c r="D60" s="96">
        <v>0</v>
      </c>
      <c r="E60" s="96">
        <f t="shared" si="0"/>
        <v>-295819.96000000002</v>
      </c>
      <c r="F60" s="96">
        <v>0</v>
      </c>
      <c r="G60" s="98">
        <f t="shared" si="9"/>
        <v>-295819.96000000002</v>
      </c>
      <c r="H60" s="111"/>
      <c r="I60" s="119"/>
      <c r="K60" s="96"/>
      <c r="L60" s="96"/>
    </row>
    <row r="61" spans="2:12" x14ac:dyDescent="0.3">
      <c r="B61" s="99" t="s">
        <v>213</v>
      </c>
      <c r="C61" s="96">
        <v>0</v>
      </c>
      <c r="D61" s="96">
        <v>0</v>
      </c>
      <c r="E61" s="96">
        <f t="shared" si="0"/>
        <v>0</v>
      </c>
      <c r="F61" s="96">
        <v>0</v>
      </c>
      <c r="G61" s="98">
        <f t="shared" si="9"/>
        <v>0</v>
      </c>
      <c r="H61" s="111"/>
      <c r="I61" s="119"/>
      <c r="K61" s="96"/>
      <c r="L61" s="96"/>
    </row>
    <row r="62" spans="2:12" x14ac:dyDescent="0.3">
      <c r="B62" s="103" t="s">
        <v>214</v>
      </c>
      <c r="C62" s="104">
        <f>68304.66-5100+4000</f>
        <v>67204.66</v>
      </c>
      <c r="D62" s="104">
        <v>0</v>
      </c>
      <c r="E62" s="104">
        <f t="shared" si="0"/>
        <v>67204.66</v>
      </c>
      <c r="F62" s="104">
        <f>-E62</f>
        <v>-67204.66</v>
      </c>
      <c r="G62" s="104">
        <f>E62+F62</f>
        <v>0</v>
      </c>
      <c r="H62" s="111"/>
      <c r="I62" s="119"/>
      <c r="K62" s="96"/>
      <c r="L62" s="96"/>
    </row>
    <row r="63" spans="2:12" x14ac:dyDescent="0.3">
      <c r="B63" s="105" t="s">
        <v>215</v>
      </c>
      <c r="C63" s="106">
        <f>1799.08-1799.08</f>
        <v>0</v>
      </c>
      <c r="D63" s="106">
        <v>0</v>
      </c>
      <c r="E63" s="106">
        <f t="shared" si="0"/>
        <v>0</v>
      </c>
      <c r="F63" s="106">
        <v>0</v>
      </c>
      <c r="G63" s="106">
        <f t="shared" si="9"/>
        <v>0</v>
      </c>
      <c r="H63" s="111"/>
      <c r="I63" s="119"/>
      <c r="K63" s="96"/>
      <c r="L63" s="96"/>
    </row>
    <row r="64" spans="2:12" x14ac:dyDescent="0.3">
      <c r="B64" s="122" t="s">
        <v>30</v>
      </c>
      <c r="C64" s="109">
        <v>0</v>
      </c>
      <c r="D64" s="109">
        <v>124167.95</v>
      </c>
      <c r="E64" s="109">
        <f t="shared" si="0"/>
        <v>124167.95</v>
      </c>
      <c r="F64" s="109">
        <f>-E64</f>
        <v>-124167.95</v>
      </c>
      <c r="G64" s="109">
        <f t="shared" si="9"/>
        <v>0</v>
      </c>
      <c r="H64" s="111"/>
      <c r="J64" s="115"/>
      <c r="K64" s="96"/>
      <c r="L64" s="96"/>
    </row>
    <row r="65" spans="2:12" x14ac:dyDescent="0.3">
      <c r="B65" s="99" t="s">
        <v>216</v>
      </c>
      <c r="C65" s="96">
        <v>0</v>
      </c>
      <c r="D65" s="96">
        <v>0</v>
      </c>
      <c r="E65" s="96">
        <f t="shared" si="0"/>
        <v>0</v>
      </c>
      <c r="F65" s="96">
        <v>0</v>
      </c>
      <c r="G65" s="98">
        <f t="shared" si="9"/>
        <v>0</v>
      </c>
      <c r="H65" s="111"/>
      <c r="I65" s="115"/>
      <c r="J65" s="115"/>
      <c r="K65" s="96"/>
      <c r="L65" s="96"/>
    </row>
    <row r="66" spans="2:12" x14ac:dyDescent="0.3">
      <c r="B66" s="99" t="s">
        <v>217</v>
      </c>
      <c r="C66" s="96">
        <f>17508</f>
        <v>17508</v>
      </c>
      <c r="D66" s="96">
        <v>83631.3</v>
      </c>
      <c r="E66" s="96">
        <f t="shared" si="0"/>
        <v>101139.3</v>
      </c>
      <c r="F66" s="96">
        <v>0</v>
      </c>
      <c r="G66" s="98">
        <f t="shared" si="9"/>
        <v>101139.3</v>
      </c>
      <c r="H66" s="111"/>
      <c r="I66" s="123"/>
      <c r="J66" s="115"/>
      <c r="K66" s="96"/>
      <c r="L66" s="96"/>
    </row>
    <row r="67" spans="2:12" x14ac:dyDescent="0.3">
      <c r="B67" s="99" t="s">
        <v>218</v>
      </c>
      <c r="C67" s="96">
        <f>145325+10704+9483+13257+54743+C247</f>
        <v>317575</v>
      </c>
      <c r="D67" s="96">
        <v>36479.161599999999</v>
      </c>
      <c r="E67" s="96">
        <f t="shared" si="0"/>
        <v>354054.16159999999</v>
      </c>
      <c r="F67" s="96">
        <f>-E67</f>
        <v>-354054.16159999999</v>
      </c>
      <c r="G67" s="98">
        <f t="shared" si="9"/>
        <v>0</v>
      </c>
      <c r="H67" s="111"/>
      <c r="I67" s="119"/>
      <c r="J67" s="115"/>
      <c r="K67" s="96"/>
      <c r="L67" s="96"/>
    </row>
    <row r="68" spans="2:12" x14ac:dyDescent="0.3">
      <c r="B68" s="99" t="s">
        <v>219</v>
      </c>
      <c r="C68" s="96">
        <v>80884.850000000006</v>
      </c>
      <c r="D68" s="96">
        <v>424119.77999999997</v>
      </c>
      <c r="E68" s="96">
        <f t="shared" si="0"/>
        <v>505004.63</v>
      </c>
      <c r="F68" s="96">
        <v>0</v>
      </c>
      <c r="G68" s="98">
        <f t="shared" si="9"/>
        <v>505004.63</v>
      </c>
      <c r="H68" s="111"/>
      <c r="I68" s="119"/>
      <c r="J68" s="115"/>
      <c r="K68" s="96"/>
      <c r="L68" s="96"/>
    </row>
    <row r="69" spans="2:12" x14ac:dyDescent="0.3">
      <c r="B69" s="99" t="s">
        <v>220</v>
      </c>
      <c r="C69" s="96">
        <v>0</v>
      </c>
      <c r="D69" s="96">
        <v>0</v>
      </c>
      <c r="E69" s="96">
        <f t="shared" si="0"/>
        <v>0</v>
      </c>
      <c r="F69" s="96">
        <v>0</v>
      </c>
      <c r="G69" s="98">
        <f t="shared" si="9"/>
        <v>0</v>
      </c>
      <c r="H69" s="111"/>
      <c r="K69" s="96"/>
      <c r="L69" s="96"/>
    </row>
    <row r="70" spans="2:12" x14ac:dyDescent="0.3">
      <c r="B70" s="99" t="s">
        <v>221</v>
      </c>
      <c r="C70" s="96">
        <v>0</v>
      </c>
      <c r="D70" s="96">
        <v>2.25</v>
      </c>
      <c r="E70" s="96">
        <f t="shared" si="0"/>
        <v>2.25</v>
      </c>
      <c r="F70" s="96">
        <v>0</v>
      </c>
      <c r="G70" s="98">
        <f t="shared" si="9"/>
        <v>2.25</v>
      </c>
      <c r="H70" s="111"/>
      <c r="I70" s="119"/>
      <c r="K70" s="96"/>
    </row>
    <row r="71" spans="2:12" x14ac:dyDescent="0.3">
      <c r="B71" s="99" t="s">
        <v>222</v>
      </c>
      <c r="C71" s="96">
        <v>936</v>
      </c>
      <c r="D71" s="96">
        <v>1486.44</v>
      </c>
      <c r="E71" s="96">
        <f t="shared" si="0"/>
        <v>2422.44</v>
      </c>
      <c r="F71" s="96">
        <v>0</v>
      </c>
      <c r="G71" s="98">
        <f t="shared" si="9"/>
        <v>2422.44</v>
      </c>
      <c r="H71" s="111"/>
      <c r="K71" s="96"/>
    </row>
    <row r="72" spans="2:12" x14ac:dyDescent="0.3">
      <c r="B72" s="99" t="s">
        <v>223</v>
      </c>
      <c r="C72" s="96">
        <f>-2753.19</f>
        <v>-2753.19</v>
      </c>
      <c r="D72" s="96">
        <v>0</v>
      </c>
      <c r="E72" s="96">
        <f t="shared" si="0"/>
        <v>-2753.19</v>
      </c>
      <c r="F72" s="96">
        <v>0</v>
      </c>
      <c r="G72" s="98">
        <f t="shared" si="9"/>
        <v>-2753.19</v>
      </c>
      <c r="H72" s="111"/>
      <c r="K72" s="96"/>
    </row>
    <row r="73" spans="2:12" x14ac:dyDescent="0.3">
      <c r="B73" s="99" t="s">
        <v>224</v>
      </c>
      <c r="C73" s="96">
        <v>10937.31</v>
      </c>
      <c r="D73" s="96">
        <v>31032.86</v>
      </c>
      <c r="E73" s="96">
        <f t="shared" si="0"/>
        <v>41970.17</v>
      </c>
      <c r="F73" s="96">
        <v>0</v>
      </c>
      <c r="G73" s="98">
        <f t="shared" si="9"/>
        <v>41970.17</v>
      </c>
      <c r="H73" s="111"/>
      <c r="K73" s="96"/>
    </row>
    <row r="74" spans="2:12" x14ac:dyDescent="0.3">
      <c r="B74" s="99" t="s">
        <v>46</v>
      </c>
      <c r="C74" s="96">
        <v>0</v>
      </c>
      <c r="D74" s="96">
        <v>30.04</v>
      </c>
      <c r="E74" s="96">
        <f t="shared" si="0"/>
        <v>30.04</v>
      </c>
      <c r="F74" s="96">
        <v>0</v>
      </c>
      <c r="G74" s="98">
        <f t="shared" si="9"/>
        <v>30.04</v>
      </c>
      <c r="H74" s="111"/>
      <c r="J74" s="115"/>
      <c r="K74" s="96"/>
    </row>
    <row r="75" spans="2:12" x14ac:dyDescent="0.3">
      <c r="B75" s="99" t="s">
        <v>47</v>
      </c>
      <c r="C75" s="96">
        <v>0</v>
      </c>
      <c r="D75" s="96">
        <v>0</v>
      </c>
      <c r="E75" s="96">
        <f t="shared" ref="E75:E77" si="10">C75+D75</f>
        <v>0</v>
      </c>
      <c r="F75" s="96">
        <v>0</v>
      </c>
      <c r="G75" s="98">
        <f t="shared" si="9"/>
        <v>0</v>
      </c>
      <c r="H75" s="111"/>
      <c r="K75" s="96"/>
    </row>
    <row r="76" spans="2:12" x14ac:dyDescent="0.3">
      <c r="B76" s="99" t="s">
        <v>225</v>
      </c>
      <c r="C76" s="96">
        <v>2237.29</v>
      </c>
      <c r="D76" s="96">
        <v>0</v>
      </c>
      <c r="E76" s="96">
        <f t="shared" si="10"/>
        <v>2237.29</v>
      </c>
      <c r="F76" s="96">
        <v>0</v>
      </c>
      <c r="G76" s="98">
        <f t="shared" si="9"/>
        <v>2237.29</v>
      </c>
      <c r="H76" s="111"/>
      <c r="I76" s="119"/>
      <c r="J76" s="115"/>
      <c r="K76" s="96"/>
    </row>
    <row r="77" spans="2:12" ht="15" thickBot="1" x14ac:dyDescent="0.35">
      <c r="B77" s="99" t="s">
        <v>226</v>
      </c>
      <c r="C77" s="96">
        <v>0.63</v>
      </c>
      <c r="D77" s="96">
        <v>0</v>
      </c>
      <c r="E77" s="96">
        <f t="shared" si="10"/>
        <v>0.63</v>
      </c>
      <c r="F77" s="96">
        <v>0</v>
      </c>
      <c r="G77" s="98">
        <f t="shared" si="9"/>
        <v>0.63</v>
      </c>
      <c r="I77" s="115"/>
      <c r="K77" s="96"/>
    </row>
    <row r="78" spans="2:12" ht="15" thickBot="1" x14ac:dyDescent="0.35">
      <c r="B78" s="100" t="s">
        <v>49</v>
      </c>
      <c r="C78" s="101">
        <f>SUM(C52:C77)</f>
        <v>6525859.8433333328</v>
      </c>
      <c r="D78" s="101">
        <f t="shared" ref="D78:F78" si="11">SUM(D52:D77)</f>
        <v>1540582.6516000002</v>
      </c>
      <c r="E78" s="101">
        <f t="shared" si="11"/>
        <v>8066442.4949333332</v>
      </c>
      <c r="F78" s="101">
        <f t="shared" si="11"/>
        <v>-5662558.294933334</v>
      </c>
      <c r="G78" s="102">
        <f t="shared" si="9"/>
        <v>2403884.1999999993</v>
      </c>
      <c r="I78" s="115"/>
      <c r="K78" s="96"/>
    </row>
    <row r="79" spans="2:12" x14ac:dyDescent="0.3">
      <c r="B79" s="99" t="s">
        <v>227</v>
      </c>
      <c r="C79" s="96">
        <v>0</v>
      </c>
      <c r="D79" s="96">
        <v>0</v>
      </c>
      <c r="E79" s="96">
        <f t="shared" ref="E79:E139" si="12">C79+D79</f>
        <v>0</v>
      </c>
      <c r="F79" s="96">
        <v>0</v>
      </c>
      <c r="G79" s="98">
        <f t="shared" si="9"/>
        <v>0</v>
      </c>
      <c r="J79" s="115"/>
      <c r="K79" s="96"/>
    </row>
    <row r="80" spans="2:12" x14ac:dyDescent="0.3">
      <c r="B80" s="99" t="s">
        <v>228</v>
      </c>
      <c r="C80" s="96">
        <v>0</v>
      </c>
      <c r="D80" s="96">
        <v>0</v>
      </c>
      <c r="E80" s="96">
        <f t="shared" si="12"/>
        <v>0</v>
      </c>
      <c r="F80" s="96">
        <v>0</v>
      </c>
      <c r="G80" s="98">
        <f t="shared" si="9"/>
        <v>0</v>
      </c>
      <c r="K80" s="96"/>
    </row>
    <row r="81" spans="2:11" x14ac:dyDescent="0.3">
      <c r="B81" s="99" t="s">
        <v>229</v>
      </c>
      <c r="C81" s="96">
        <v>0</v>
      </c>
      <c r="D81" s="96">
        <v>0</v>
      </c>
      <c r="E81" s="96">
        <f t="shared" si="12"/>
        <v>0</v>
      </c>
      <c r="F81" s="96">
        <v>0</v>
      </c>
      <c r="G81" s="98">
        <f t="shared" si="9"/>
        <v>0</v>
      </c>
      <c r="J81" s="115"/>
      <c r="K81" s="96"/>
    </row>
    <row r="82" spans="2:11" x14ac:dyDescent="0.3">
      <c r="B82" s="99" t="s">
        <v>230</v>
      </c>
      <c r="C82" s="96">
        <v>54149.26</v>
      </c>
      <c r="D82" s="96">
        <v>422040.14</v>
      </c>
      <c r="E82" s="96">
        <f t="shared" si="12"/>
        <v>476189.4</v>
      </c>
      <c r="F82" s="96">
        <v>0</v>
      </c>
      <c r="G82" s="98">
        <f t="shared" si="9"/>
        <v>476189.4</v>
      </c>
      <c r="K82" s="96"/>
    </row>
    <row r="83" spans="2:11" x14ac:dyDescent="0.3">
      <c r="B83" s="99" t="s">
        <v>231</v>
      </c>
      <c r="C83" s="96">
        <v>0</v>
      </c>
      <c r="D83" s="96">
        <v>0</v>
      </c>
      <c r="E83" s="96">
        <f t="shared" si="12"/>
        <v>0</v>
      </c>
      <c r="F83" s="96">
        <v>0</v>
      </c>
      <c r="G83" s="98">
        <f t="shared" si="9"/>
        <v>0</v>
      </c>
      <c r="K83" s="96"/>
    </row>
    <row r="84" spans="2:11" x14ac:dyDescent="0.3">
      <c r="B84" s="99" t="s">
        <v>232</v>
      </c>
      <c r="C84" s="96">
        <v>0</v>
      </c>
      <c r="D84" s="96">
        <v>573696.07999999996</v>
      </c>
      <c r="E84" s="96">
        <f t="shared" si="12"/>
        <v>573696.07999999996</v>
      </c>
      <c r="F84" s="96">
        <v>0</v>
      </c>
      <c r="G84" s="98">
        <f t="shared" si="9"/>
        <v>573696.07999999996</v>
      </c>
      <c r="K84" s="96"/>
    </row>
    <row r="85" spans="2:11" x14ac:dyDescent="0.3">
      <c r="B85" s="99" t="s">
        <v>233</v>
      </c>
      <c r="C85" s="96">
        <v>1014.81</v>
      </c>
      <c r="D85" s="96">
        <v>0</v>
      </c>
      <c r="E85" s="96">
        <f t="shared" si="12"/>
        <v>1014.81</v>
      </c>
      <c r="F85" s="96">
        <v>0</v>
      </c>
      <c r="G85" s="98">
        <f>E85+F85</f>
        <v>1014.81</v>
      </c>
      <c r="K85" s="96"/>
    </row>
    <row r="86" spans="2:11" ht="15" thickBot="1" x14ac:dyDescent="0.35">
      <c r="B86" s="99" t="s">
        <v>53</v>
      </c>
      <c r="C86" s="96">
        <v>6.2</v>
      </c>
      <c r="D86" s="96">
        <v>5.13</v>
      </c>
      <c r="E86" s="96">
        <f t="shared" si="12"/>
        <v>11.33</v>
      </c>
      <c r="F86" s="96">
        <v>0</v>
      </c>
      <c r="G86" s="98">
        <f t="shared" si="9"/>
        <v>11.33</v>
      </c>
      <c r="K86" s="96"/>
    </row>
    <row r="87" spans="2:11" ht="15" thickBot="1" x14ac:dyDescent="0.35">
      <c r="B87" s="100" t="s">
        <v>54</v>
      </c>
      <c r="C87" s="101">
        <f>SUM(C79:C86)</f>
        <v>55170.27</v>
      </c>
      <c r="D87" s="101">
        <f>SUM(D79:D86)</f>
        <v>995741.35</v>
      </c>
      <c r="E87" s="101">
        <f t="shared" si="12"/>
        <v>1050911.6199999999</v>
      </c>
      <c r="F87" s="101">
        <f>SUM(F79:F86)</f>
        <v>0</v>
      </c>
      <c r="G87" s="102">
        <f t="shared" si="9"/>
        <v>1050911.6199999999</v>
      </c>
      <c r="K87" s="96"/>
    </row>
    <row r="88" spans="2:11" ht="15" thickBot="1" x14ac:dyDescent="0.35">
      <c r="B88" s="99" t="s">
        <v>55</v>
      </c>
      <c r="C88" s="96">
        <v>3027.78</v>
      </c>
      <c r="D88" s="96">
        <v>0</v>
      </c>
      <c r="E88" s="96">
        <f t="shared" si="12"/>
        <v>3027.78</v>
      </c>
      <c r="F88" s="96">
        <v>0</v>
      </c>
      <c r="G88" s="98">
        <f>E88+F88</f>
        <v>3027.78</v>
      </c>
      <c r="K88" s="96"/>
    </row>
    <row r="89" spans="2:11" ht="15" thickBot="1" x14ac:dyDescent="0.35">
      <c r="B89" s="100" t="s">
        <v>56</v>
      </c>
      <c r="C89" s="101">
        <f>SUM(C88)</f>
        <v>3027.78</v>
      </c>
      <c r="D89" s="101">
        <f>SUM(D88)</f>
        <v>0</v>
      </c>
      <c r="E89" s="101">
        <f t="shared" si="12"/>
        <v>3027.78</v>
      </c>
      <c r="F89" s="101">
        <f>SUM(F88)</f>
        <v>0</v>
      </c>
      <c r="G89" s="102">
        <f t="shared" ref="G89" si="13">E89+F89</f>
        <v>3027.78</v>
      </c>
      <c r="K89" s="96"/>
    </row>
    <row r="90" spans="2:11" x14ac:dyDescent="0.3">
      <c r="B90" s="43" t="s">
        <v>57</v>
      </c>
      <c r="C90" s="124">
        <f>+C89+C87+C78+C51+C48+C24+C16</f>
        <v>6940021.169999999</v>
      </c>
      <c r="D90" s="124">
        <f>+D89+D24+D87+D78+D51+D48+D16</f>
        <v>12228579.623766666</v>
      </c>
      <c r="E90" s="124">
        <f>+E89+E87+E78+E51+E48+E24+E16</f>
        <v>19168600.793766666</v>
      </c>
      <c r="F90" s="124">
        <f>+F89+F87+F78+F51+F48+F24+F16</f>
        <v>-7328214.3649333343</v>
      </c>
      <c r="G90" s="124">
        <f>+G89+G87+G78+G51+G48+G24+G16</f>
        <v>11840386.428833334</v>
      </c>
      <c r="K90" s="96"/>
    </row>
    <row r="91" spans="2:11" x14ac:dyDescent="0.3">
      <c r="B91" s="99"/>
    </row>
    <row r="92" spans="2:11" x14ac:dyDescent="0.3">
      <c r="B92" s="93" t="s">
        <v>58</v>
      </c>
      <c r="C92" s="94" t="s">
        <v>162</v>
      </c>
      <c r="D92" s="94" t="s">
        <v>163</v>
      </c>
      <c r="E92" s="94" t="s">
        <v>8</v>
      </c>
      <c r="F92" s="94" t="s">
        <v>9</v>
      </c>
      <c r="G92" s="95" t="s">
        <v>164</v>
      </c>
    </row>
    <row r="93" spans="2:11" x14ac:dyDescent="0.3">
      <c r="B93" s="99" t="s">
        <v>59</v>
      </c>
      <c r="C93" s="96">
        <v>1000000</v>
      </c>
      <c r="D93" s="96">
        <v>70000</v>
      </c>
      <c r="E93" s="96">
        <f t="shared" si="12"/>
        <v>1070000</v>
      </c>
      <c r="F93" s="96">
        <f>F30+F31+F32+F33+F34+F26</f>
        <v>-85688</v>
      </c>
      <c r="G93" s="98">
        <f t="shared" ref="G93:G99" si="14">E93+F93</f>
        <v>984312</v>
      </c>
    </row>
    <row r="94" spans="2:11" x14ac:dyDescent="0.3">
      <c r="B94" s="99" t="s">
        <v>60</v>
      </c>
      <c r="C94" s="96">
        <v>102212.54</v>
      </c>
      <c r="D94" s="96">
        <v>26376.62</v>
      </c>
      <c r="E94" s="96">
        <f t="shared" si="12"/>
        <v>128589.15999999999</v>
      </c>
      <c r="F94" s="96">
        <v>0</v>
      </c>
      <c r="G94" s="98">
        <f t="shared" si="14"/>
        <v>128589.15999999999</v>
      </c>
    </row>
    <row r="95" spans="2:11" x14ac:dyDescent="0.3">
      <c r="B95" s="99" t="s">
        <v>234</v>
      </c>
      <c r="C95" s="96">
        <v>372035.9</v>
      </c>
      <c r="D95" s="96">
        <v>778621.14</v>
      </c>
      <c r="E95" s="96">
        <f t="shared" si="12"/>
        <v>1150657.04</v>
      </c>
      <c r="F95" s="96">
        <v>0</v>
      </c>
      <c r="G95" s="98">
        <f t="shared" si="14"/>
        <v>1150657.04</v>
      </c>
    </row>
    <row r="96" spans="2:11" x14ac:dyDescent="0.3">
      <c r="B96" s="99" t="s">
        <v>235</v>
      </c>
      <c r="C96" s="96">
        <v>0</v>
      </c>
      <c r="D96" s="96">
        <v>27074.26</v>
      </c>
      <c r="E96" s="96">
        <f t="shared" si="12"/>
        <v>27074.26</v>
      </c>
      <c r="F96" s="96">
        <v>0</v>
      </c>
      <c r="G96" s="98">
        <f t="shared" si="14"/>
        <v>27074.26</v>
      </c>
    </row>
    <row r="97" spans="2:9" x14ac:dyDescent="0.3">
      <c r="B97" s="99" t="s">
        <v>236</v>
      </c>
      <c r="C97" s="96">
        <v>0</v>
      </c>
      <c r="D97" s="96">
        <v>0</v>
      </c>
      <c r="E97" s="96">
        <f t="shared" si="12"/>
        <v>0</v>
      </c>
      <c r="F97" s="96">
        <v>-283485.19</v>
      </c>
      <c r="G97" s="98">
        <f t="shared" si="14"/>
        <v>-283485.19</v>
      </c>
    </row>
    <row r="98" spans="2:9" x14ac:dyDescent="0.3">
      <c r="B98" s="99" t="s">
        <v>237</v>
      </c>
      <c r="C98" s="96">
        <v>22563.56</v>
      </c>
      <c r="D98" s="96">
        <v>163332.84</v>
      </c>
      <c r="E98" s="96">
        <f t="shared" si="12"/>
        <v>185896.4</v>
      </c>
      <c r="F98" s="96">
        <v>0</v>
      </c>
      <c r="G98" s="98">
        <f t="shared" si="14"/>
        <v>185896.4</v>
      </c>
    </row>
    <row r="99" spans="2:9" ht="15" thickBot="1" x14ac:dyDescent="0.35">
      <c r="B99" s="99" t="s">
        <v>238</v>
      </c>
      <c r="C99" s="96">
        <f>+C249</f>
        <v>251567.16666666669</v>
      </c>
      <c r="D99" s="96">
        <v>4417.6695388332591</v>
      </c>
      <c r="E99" s="96">
        <f t="shared" si="12"/>
        <v>255984.83620549995</v>
      </c>
      <c r="F99" s="96">
        <v>0</v>
      </c>
      <c r="G99" s="98">
        <f t="shared" si="14"/>
        <v>255984.83620549995</v>
      </c>
    </row>
    <row r="100" spans="2:9" ht="15" thickBot="1" x14ac:dyDescent="0.35">
      <c r="B100" s="100" t="s">
        <v>65</v>
      </c>
      <c r="C100" s="101">
        <f>SUM(C93:C99)</f>
        <v>1748379.1666666667</v>
      </c>
      <c r="D100" s="101">
        <f>SUM(D93:D99)</f>
        <v>1069822.5295388333</v>
      </c>
      <c r="E100" s="101">
        <f t="shared" ref="E100:F100" si="15">SUM(E93:E99)</f>
        <v>2818201.6962054996</v>
      </c>
      <c r="F100" s="101">
        <f t="shared" si="15"/>
        <v>-369173.19</v>
      </c>
      <c r="G100" s="102">
        <f>SUM(G93:G99)</f>
        <v>2449028.5062055001</v>
      </c>
      <c r="I100" s="119"/>
    </row>
    <row r="101" spans="2:9" ht="15" thickBot="1" x14ac:dyDescent="0.35">
      <c r="B101" s="99" t="s">
        <v>239</v>
      </c>
      <c r="C101" s="96">
        <v>0</v>
      </c>
      <c r="D101" s="96">
        <v>0</v>
      </c>
      <c r="E101" s="96">
        <f t="shared" si="12"/>
        <v>0</v>
      </c>
      <c r="F101" s="96">
        <v>0</v>
      </c>
      <c r="G101" s="98">
        <f t="shared" ref="G101:G139" si="16">E101+F101</f>
        <v>0</v>
      </c>
    </row>
    <row r="102" spans="2:9" ht="15" thickBot="1" x14ac:dyDescent="0.35">
      <c r="B102" s="100" t="s">
        <v>240</v>
      </c>
      <c r="C102" s="101">
        <f>SUM(C101)</f>
        <v>0</v>
      </c>
      <c r="D102" s="101">
        <f>SUM(D101)</f>
        <v>0</v>
      </c>
      <c r="E102" s="101">
        <f t="shared" si="12"/>
        <v>0</v>
      </c>
      <c r="F102" s="101">
        <f>SUM(F101)</f>
        <v>0</v>
      </c>
      <c r="G102" s="102">
        <f>E102+F102</f>
        <v>0</v>
      </c>
    </row>
    <row r="103" spans="2:9" ht="15" thickBot="1" x14ac:dyDescent="0.35">
      <c r="B103" s="125" t="s">
        <v>241</v>
      </c>
      <c r="C103" s="126">
        <v>0</v>
      </c>
      <c r="D103" s="126">
        <v>55964.82</v>
      </c>
      <c r="E103" s="101">
        <f t="shared" si="12"/>
        <v>55964.82</v>
      </c>
      <c r="F103" s="101">
        <f>SUM(F102)</f>
        <v>0</v>
      </c>
      <c r="G103" s="102">
        <f>E103+F103</f>
        <v>55964.82</v>
      </c>
    </row>
    <row r="104" spans="2:9" x14ac:dyDescent="0.3">
      <c r="B104" s="127" t="s">
        <v>242</v>
      </c>
      <c r="C104" s="128">
        <v>0</v>
      </c>
      <c r="D104" s="128">
        <v>108218.07</v>
      </c>
      <c r="E104" s="128">
        <f t="shared" si="12"/>
        <v>108218.07</v>
      </c>
      <c r="F104" s="128">
        <f>F42+F43+F44+F40</f>
        <v>-108218.07</v>
      </c>
      <c r="G104" s="128">
        <f t="shared" si="16"/>
        <v>0</v>
      </c>
    </row>
    <row r="105" spans="2:9" x14ac:dyDescent="0.3">
      <c r="B105" s="99" t="s">
        <v>243</v>
      </c>
      <c r="C105" s="96">
        <v>326995.40000000002</v>
      </c>
      <c r="D105" s="96">
        <v>1611632</v>
      </c>
      <c r="E105" s="96">
        <f t="shared" si="12"/>
        <v>1938627.4</v>
      </c>
      <c r="F105" s="96">
        <v>0</v>
      </c>
      <c r="G105" s="98">
        <f t="shared" si="16"/>
        <v>1938627.4</v>
      </c>
      <c r="I105" s="115"/>
    </row>
    <row r="106" spans="2:9" x14ac:dyDescent="0.3">
      <c r="B106" s="99" t="s">
        <v>244</v>
      </c>
      <c r="C106" s="96">
        <v>0</v>
      </c>
      <c r="D106" s="96">
        <v>0</v>
      </c>
      <c r="E106" s="96">
        <f t="shared" si="12"/>
        <v>0</v>
      </c>
      <c r="F106" s="96">
        <v>0</v>
      </c>
      <c r="G106" s="98">
        <f t="shared" si="16"/>
        <v>0</v>
      </c>
      <c r="I106" s="115"/>
    </row>
    <row r="107" spans="2:9" x14ac:dyDescent="0.3">
      <c r="B107" s="99" t="s">
        <v>245</v>
      </c>
      <c r="C107" s="96">
        <v>113595.78</v>
      </c>
      <c r="D107" s="96">
        <v>498695.11</v>
      </c>
      <c r="E107" s="96">
        <f t="shared" si="12"/>
        <v>612290.89</v>
      </c>
      <c r="F107" s="96">
        <v>0</v>
      </c>
      <c r="G107" s="98">
        <f t="shared" si="16"/>
        <v>612290.89</v>
      </c>
      <c r="I107" s="115"/>
    </row>
    <row r="108" spans="2:9" x14ac:dyDescent="0.3">
      <c r="B108" s="99" t="s">
        <v>246</v>
      </c>
      <c r="C108" s="96">
        <v>0</v>
      </c>
      <c r="D108" s="96">
        <v>0</v>
      </c>
      <c r="E108" s="96">
        <f>C108+D108</f>
        <v>0</v>
      </c>
      <c r="F108" s="96">
        <v>0</v>
      </c>
      <c r="G108" s="98">
        <f>E108+F108</f>
        <v>0</v>
      </c>
    </row>
    <row r="109" spans="2:9" x14ac:dyDescent="0.3">
      <c r="B109" s="99" t="s">
        <v>71</v>
      </c>
      <c r="C109" s="96">
        <v>0</v>
      </c>
      <c r="D109" s="96">
        <v>2832076.7199999997</v>
      </c>
      <c r="E109" s="96">
        <f t="shared" si="12"/>
        <v>2832076.7199999997</v>
      </c>
      <c r="F109" s="96">
        <v>0</v>
      </c>
      <c r="G109" s="98">
        <f t="shared" si="16"/>
        <v>2832076.7199999997</v>
      </c>
    </row>
    <row r="110" spans="2:9" x14ac:dyDescent="0.3">
      <c r="B110" s="99" t="s">
        <v>72</v>
      </c>
      <c r="C110" s="96">
        <f>44050.88+6310.74</f>
        <v>50361.619999999995</v>
      </c>
      <c r="D110" s="96">
        <v>129487.00999999995</v>
      </c>
      <c r="E110" s="96">
        <f t="shared" si="12"/>
        <v>179848.62999999995</v>
      </c>
      <c r="F110" s="96">
        <v>0</v>
      </c>
      <c r="G110" s="98">
        <f t="shared" si="16"/>
        <v>179848.62999999995</v>
      </c>
    </row>
    <row r="111" spans="2:9" x14ac:dyDescent="0.3">
      <c r="B111" s="117" t="s">
        <v>73</v>
      </c>
      <c r="C111" s="118">
        <v>0</v>
      </c>
      <c r="D111" s="118">
        <v>630883.99</v>
      </c>
      <c r="E111" s="118">
        <f t="shared" si="12"/>
        <v>630883.99</v>
      </c>
      <c r="F111" s="118">
        <f>F53</f>
        <v>0</v>
      </c>
      <c r="G111" s="118">
        <f t="shared" si="16"/>
        <v>630883.99</v>
      </c>
    </row>
    <row r="112" spans="2:9" x14ac:dyDescent="0.3">
      <c r="B112" s="99" t="s">
        <v>74</v>
      </c>
      <c r="C112" s="96">
        <v>2725919.82</v>
      </c>
      <c r="D112" s="96">
        <v>17178.54</v>
      </c>
      <c r="E112" s="96">
        <f t="shared" si="12"/>
        <v>2743098.36</v>
      </c>
      <c r="F112" s="96">
        <v>0</v>
      </c>
      <c r="G112" s="98">
        <f t="shared" si="16"/>
        <v>2743098.36</v>
      </c>
      <c r="I112" s="115"/>
    </row>
    <row r="113" spans="2:11" x14ac:dyDescent="0.3">
      <c r="B113" s="99" t="s">
        <v>75</v>
      </c>
      <c r="C113" s="96">
        <v>0</v>
      </c>
      <c r="D113" s="96">
        <v>16004.83</v>
      </c>
      <c r="E113" s="96">
        <f t="shared" si="12"/>
        <v>16004.83</v>
      </c>
      <c r="F113" s="96">
        <v>0</v>
      </c>
      <c r="G113" s="98">
        <f t="shared" si="16"/>
        <v>16004.83</v>
      </c>
      <c r="H113" s="111"/>
      <c r="I113" s="115"/>
    </row>
    <row r="114" spans="2:11" x14ac:dyDescent="0.3">
      <c r="B114" s="117" t="s">
        <v>76</v>
      </c>
      <c r="C114" s="118">
        <v>0</v>
      </c>
      <c r="D114" s="118">
        <v>4920738.2966666669</v>
      </c>
      <c r="E114" s="118">
        <f>C114+D114</f>
        <v>4920738.2966666669</v>
      </c>
      <c r="F114" s="118">
        <f>-E114</f>
        <v>-4920738.2966666669</v>
      </c>
      <c r="G114" s="118">
        <f t="shared" si="16"/>
        <v>0</v>
      </c>
      <c r="H114" s="111"/>
      <c r="K114" s="115"/>
    </row>
    <row r="115" spans="2:11" x14ac:dyDescent="0.3">
      <c r="B115" s="99" t="s">
        <v>247</v>
      </c>
      <c r="C115" s="96">
        <v>9252.58</v>
      </c>
      <c r="D115" s="96">
        <v>6979.88</v>
      </c>
      <c r="E115" s="96">
        <f t="shared" si="12"/>
        <v>16232.46</v>
      </c>
      <c r="F115" s="96">
        <v>0</v>
      </c>
      <c r="G115" s="98">
        <f t="shared" si="16"/>
        <v>16232.46</v>
      </c>
      <c r="H115" s="111"/>
      <c r="I115" s="115"/>
    </row>
    <row r="116" spans="2:11" x14ac:dyDescent="0.3">
      <c r="B116" s="103" t="s">
        <v>248</v>
      </c>
      <c r="C116" s="104">
        <v>490950</v>
      </c>
      <c r="D116" s="104">
        <v>0</v>
      </c>
      <c r="E116" s="104">
        <f t="shared" si="12"/>
        <v>490950</v>
      </c>
      <c r="F116" s="104">
        <f>-E116</f>
        <v>-490950</v>
      </c>
      <c r="G116" s="104">
        <f t="shared" si="16"/>
        <v>0</v>
      </c>
      <c r="H116" s="111"/>
    </row>
    <row r="117" spans="2:11" x14ac:dyDescent="0.3">
      <c r="B117" s="105" t="s">
        <v>249</v>
      </c>
      <c r="C117" s="106">
        <v>319000</v>
      </c>
      <c r="D117" s="106">
        <v>0</v>
      </c>
      <c r="E117" s="106">
        <f t="shared" si="12"/>
        <v>319000</v>
      </c>
      <c r="F117" s="106">
        <f>-E117</f>
        <v>-319000</v>
      </c>
      <c r="G117" s="106">
        <f t="shared" si="16"/>
        <v>0</v>
      </c>
      <c r="H117" s="111"/>
      <c r="K117" s="115"/>
    </row>
    <row r="118" spans="2:11" x14ac:dyDescent="0.3">
      <c r="B118" s="105" t="s">
        <v>250</v>
      </c>
      <c r="C118" s="106">
        <v>180000</v>
      </c>
      <c r="D118" s="106">
        <v>0</v>
      </c>
      <c r="E118" s="106">
        <f t="shared" si="12"/>
        <v>180000</v>
      </c>
      <c r="F118" s="106">
        <f>-E118</f>
        <v>-180000</v>
      </c>
      <c r="G118" s="106">
        <f t="shared" si="16"/>
        <v>0</v>
      </c>
      <c r="H118" s="111"/>
      <c r="I118" s="115"/>
    </row>
    <row r="119" spans="2:11" x14ac:dyDescent="0.3">
      <c r="B119" s="105" t="s">
        <v>251</v>
      </c>
      <c r="C119" s="106">
        <f>747488.36-96688.36-194000+25000</f>
        <v>481800</v>
      </c>
      <c r="D119" s="106">
        <v>0</v>
      </c>
      <c r="E119" s="106">
        <f t="shared" si="12"/>
        <v>481800</v>
      </c>
      <c r="F119" s="106">
        <f>-E119</f>
        <v>-481800</v>
      </c>
      <c r="G119" s="106">
        <f t="shared" si="16"/>
        <v>0</v>
      </c>
      <c r="H119" s="111"/>
      <c r="I119" s="115"/>
    </row>
    <row r="120" spans="2:11" x14ac:dyDescent="0.3">
      <c r="B120" s="105" t="s">
        <v>252</v>
      </c>
      <c r="C120" s="106">
        <v>0</v>
      </c>
      <c r="D120" s="106">
        <v>0</v>
      </c>
      <c r="E120" s="106">
        <f t="shared" si="12"/>
        <v>0</v>
      </c>
      <c r="F120" s="106">
        <v>0</v>
      </c>
      <c r="G120" s="106">
        <f t="shared" si="16"/>
        <v>0</v>
      </c>
      <c r="H120" s="111"/>
    </row>
    <row r="121" spans="2:11" x14ac:dyDescent="0.3">
      <c r="B121" s="105" t="s">
        <v>253</v>
      </c>
      <c r="C121" s="106">
        <v>101116.89</v>
      </c>
      <c r="D121" s="106">
        <v>0</v>
      </c>
      <c r="E121" s="106">
        <f t="shared" si="12"/>
        <v>101116.89</v>
      </c>
      <c r="F121" s="106">
        <f>-E121</f>
        <v>-101116.89</v>
      </c>
      <c r="G121" s="106">
        <f t="shared" si="16"/>
        <v>0</v>
      </c>
      <c r="H121" s="111"/>
    </row>
    <row r="122" spans="2:11" x14ac:dyDescent="0.3">
      <c r="B122" s="105" t="s">
        <v>254</v>
      </c>
      <c r="C122" s="106">
        <v>0</v>
      </c>
      <c r="D122" s="106">
        <v>0.89</v>
      </c>
      <c r="E122" s="106">
        <f t="shared" si="12"/>
        <v>0.89</v>
      </c>
      <c r="F122" s="106">
        <f>F65</f>
        <v>0</v>
      </c>
      <c r="G122" s="106">
        <f t="shared" si="16"/>
        <v>0.89</v>
      </c>
      <c r="H122" s="111"/>
    </row>
    <row r="123" spans="2:11" x14ac:dyDescent="0.3">
      <c r="B123" s="122" t="s">
        <v>255</v>
      </c>
      <c r="C123" s="109">
        <f>10200-10200</f>
        <v>0</v>
      </c>
      <c r="D123" s="109">
        <v>62200.79</v>
      </c>
      <c r="E123" s="109">
        <f t="shared" si="12"/>
        <v>62200.79</v>
      </c>
      <c r="F123" s="109">
        <f>-E123</f>
        <v>-62200.79</v>
      </c>
      <c r="G123" s="109">
        <f t="shared" si="16"/>
        <v>0</v>
      </c>
      <c r="H123" s="111"/>
    </row>
    <row r="124" spans="2:11" x14ac:dyDescent="0.3">
      <c r="B124" s="99" t="s">
        <v>84</v>
      </c>
      <c r="C124" s="96">
        <f>282191.58</f>
        <v>282191.58</v>
      </c>
      <c r="D124" s="96">
        <v>38696.44</v>
      </c>
      <c r="E124" s="96">
        <f t="shared" si="12"/>
        <v>320888.02</v>
      </c>
      <c r="F124" s="96">
        <v>0</v>
      </c>
      <c r="G124" s="98">
        <f>E124+F124</f>
        <v>320888.02</v>
      </c>
      <c r="H124" s="111"/>
      <c r="I124" s="115"/>
    </row>
    <row r="125" spans="2:11" x14ac:dyDescent="0.3">
      <c r="B125" s="99" t="s">
        <v>256</v>
      </c>
      <c r="C125" s="96">
        <f>1279+20033+2152</f>
        <v>23464</v>
      </c>
      <c r="D125" s="96">
        <v>219822.7</v>
      </c>
      <c r="E125" s="96">
        <f t="shared" si="12"/>
        <v>243286.7</v>
      </c>
      <c r="F125" s="96">
        <f>-E125</f>
        <v>-243286.7</v>
      </c>
      <c r="G125" s="98">
        <f t="shared" ref="G125:G126" si="17">E125+F125</f>
        <v>0</v>
      </c>
      <c r="H125" s="111"/>
      <c r="I125" s="115"/>
    </row>
    <row r="126" spans="2:11" x14ac:dyDescent="0.3">
      <c r="B126" s="99" t="s">
        <v>257</v>
      </c>
      <c r="C126" s="96">
        <v>49879.43</v>
      </c>
      <c r="D126" s="96">
        <v>7057.13</v>
      </c>
      <c r="E126" s="96">
        <f t="shared" si="12"/>
        <v>56936.56</v>
      </c>
      <c r="F126" s="96">
        <f>-C126-1851</f>
        <v>-51730.43</v>
      </c>
      <c r="G126" s="98">
        <f t="shared" si="17"/>
        <v>5206.1299999999974</v>
      </c>
      <c r="H126" s="111"/>
    </row>
    <row r="127" spans="2:11" x14ac:dyDescent="0.3">
      <c r="B127" s="99" t="s">
        <v>41</v>
      </c>
      <c r="C127" s="96">
        <v>0</v>
      </c>
      <c r="D127" s="96">
        <v>0.01</v>
      </c>
      <c r="E127" s="96">
        <f t="shared" si="12"/>
        <v>0.01</v>
      </c>
      <c r="F127" s="96">
        <v>0</v>
      </c>
      <c r="G127" s="98">
        <f t="shared" si="16"/>
        <v>0.01</v>
      </c>
      <c r="H127" s="111"/>
    </row>
    <row r="128" spans="2:11" x14ac:dyDescent="0.3">
      <c r="B128" s="99" t="s">
        <v>241</v>
      </c>
      <c r="C128" s="96">
        <v>0</v>
      </c>
      <c r="D128" s="96">
        <v>0</v>
      </c>
      <c r="E128" s="96">
        <f t="shared" si="12"/>
        <v>0</v>
      </c>
      <c r="F128" s="96">
        <v>0</v>
      </c>
      <c r="G128" s="98">
        <f t="shared" si="16"/>
        <v>0</v>
      </c>
      <c r="H128" s="111"/>
      <c r="I128" s="115"/>
    </row>
    <row r="129" spans="2:9" x14ac:dyDescent="0.3">
      <c r="B129" s="99" t="s">
        <v>258</v>
      </c>
      <c r="C129" s="96">
        <v>11190.1</v>
      </c>
      <c r="D129" s="96">
        <v>0</v>
      </c>
      <c r="E129" s="96">
        <f t="shared" si="12"/>
        <v>11190.1</v>
      </c>
      <c r="F129" s="96">
        <v>0</v>
      </c>
      <c r="G129" s="98">
        <f t="shared" si="16"/>
        <v>11190.1</v>
      </c>
      <c r="H129" s="111"/>
      <c r="I129" s="119"/>
    </row>
    <row r="130" spans="2:9" x14ac:dyDescent="0.3">
      <c r="B130" s="99" t="s">
        <v>259</v>
      </c>
      <c r="C130" s="96">
        <v>0</v>
      </c>
      <c r="D130" s="96">
        <v>0</v>
      </c>
      <c r="E130" s="96">
        <f t="shared" si="12"/>
        <v>0</v>
      </c>
      <c r="F130" s="96">
        <v>0</v>
      </c>
      <c r="G130" s="98">
        <f t="shared" si="16"/>
        <v>0</v>
      </c>
      <c r="I130" s="119"/>
    </row>
    <row r="131" spans="2:9" x14ac:dyDescent="0.3">
      <c r="B131" s="99" t="s">
        <v>90</v>
      </c>
      <c r="C131" s="96">
        <v>2753.19</v>
      </c>
      <c r="D131" s="96">
        <v>4947.1000000000004</v>
      </c>
      <c r="E131" s="96">
        <f>C131+D131</f>
        <v>7700.2900000000009</v>
      </c>
      <c r="F131" s="96">
        <v>0</v>
      </c>
      <c r="G131" s="98">
        <f>E131+F131</f>
        <v>7700.2900000000009</v>
      </c>
    </row>
    <row r="132" spans="2:9" x14ac:dyDescent="0.3">
      <c r="B132" s="99" t="s">
        <v>88</v>
      </c>
      <c r="C132" s="96">
        <v>5483.68</v>
      </c>
      <c r="D132" s="96">
        <v>0</v>
      </c>
      <c r="E132" s="96">
        <f t="shared" si="12"/>
        <v>5483.68</v>
      </c>
      <c r="F132" s="96">
        <v>0</v>
      </c>
      <c r="G132" s="98">
        <f t="shared" si="16"/>
        <v>5483.68</v>
      </c>
    </row>
    <row r="133" spans="2:9" x14ac:dyDescent="0.3">
      <c r="B133" s="99" t="s">
        <v>89</v>
      </c>
      <c r="C133" s="96">
        <v>3953.37</v>
      </c>
      <c r="D133" s="96">
        <v>-2527.2199999999998</v>
      </c>
      <c r="E133" s="96">
        <f t="shared" si="12"/>
        <v>1426.15</v>
      </c>
      <c r="F133" s="96">
        <v>0</v>
      </c>
      <c r="G133" s="98">
        <f t="shared" si="16"/>
        <v>1426.15</v>
      </c>
    </row>
    <row r="134" spans="2:9" x14ac:dyDescent="0.3">
      <c r="B134" s="99" t="s">
        <v>260</v>
      </c>
      <c r="C134" s="96">
        <v>0</v>
      </c>
      <c r="D134" s="96">
        <v>0</v>
      </c>
      <c r="E134" s="96">
        <f t="shared" si="12"/>
        <v>0</v>
      </c>
      <c r="F134" s="96">
        <v>0</v>
      </c>
      <c r="G134" s="98">
        <f t="shared" si="16"/>
        <v>0</v>
      </c>
    </row>
    <row r="135" spans="2:9" x14ac:dyDescent="0.3">
      <c r="B135" s="99" t="s">
        <v>261</v>
      </c>
      <c r="C135" s="96">
        <v>0</v>
      </c>
      <c r="D135" s="96">
        <v>0</v>
      </c>
      <c r="E135" s="96">
        <f t="shared" si="12"/>
        <v>0</v>
      </c>
      <c r="F135" s="96">
        <v>0</v>
      </c>
      <c r="G135" s="98">
        <f t="shared" si="16"/>
        <v>0</v>
      </c>
    </row>
    <row r="136" spans="2:9" x14ac:dyDescent="0.3">
      <c r="B136" s="99" t="s">
        <v>262</v>
      </c>
      <c r="C136" s="96">
        <v>0</v>
      </c>
      <c r="D136" s="96">
        <v>0</v>
      </c>
      <c r="E136" s="96">
        <v>0</v>
      </c>
      <c r="F136" s="96">
        <v>0</v>
      </c>
      <c r="G136" s="98">
        <f t="shared" si="16"/>
        <v>0</v>
      </c>
    </row>
    <row r="137" spans="2:9" x14ac:dyDescent="0.3">
      <c r="B137" s="99" t="s">
        <v>263</v>
      </c>
      <c r="C137" s="96">
        <v>0</v>
      </c>
      <c r="D137" s="96">
        <v>0</v>
      </c>
      <c r="E137" s="96">
        <f t="shared" si="12"/>
        <v>0</v>
      </c>
      <c r="F137" s="96">
        <v>0</v>
      </c>
      <c r="G137" s="98">
        <f t="shared" si="16"/>
        <v>0</v>
      </c>
    </row>
    <row r="138" spans="2:9" x14ac:dyDescent="0.3">
      <c r="B138" s="99" t="s">
        <v>264</v>
      </c>
      <c r="C138" s="96">
        <v>0</v>
      </c>
      <c r="D138" s="96">
        <v>0</v>
      </c>
      <c r="E138" s="96">
        <v>0.01</v>
      </c>
      <c r="F138" s="96">
        <v>0</v>
      </c>
      <c r="G138" s="98">
        <v>0.01</v>
      </c>
    </row>
    <row r="139" spans="2:9" ht="15" thickBot="1" x14ac:dyDescent="0.35">
      <c r="B139" s="32" t="s">
        <v>91</v>
      </c>
      <c r="C139" s="96">
        <f>5001.02+910.97+3065</f>
        <v>8976.9900000000016</v>
      </c>
      <c r="D139" s="96">
        <v>700</v>
      </c>
      <c r="E139" s="96">
        <f t="shared" si="12"/>
        <v>9676.9900000000016</v>
      </c>
      <c r="F139" s="96">
        <v>0</v>
      </c>
      <c r="G139" s="98">
        <f t="shared" si="16"/>
        <v>9676.9900000000016</v>
      </c>
    </row>
    <row r="140" spans="2:9" ht="15" thickBot="1" x14ac:dyDescent="0.35">
      <c r="B140" s="100" t="s">
        <v>92</v>
      </c>
      <c r="C140" s="101">
        <f>SUM(C104:C139)</f>
        <v>5186884.43</v>
      </c>
      <c r="D140" s="101">
        <f>SUM(D104:D139)</f>
        <v>11102792.286666665</v>
      </c>
      <c r="E140" s="101">
        <f>SUM(E104:E139)</f>
        <v>16289676.726666667</v>
      </c>
      <c r="F140" s="101">
        <f>SUM(F104:F139)</f>
        <v>-6959041.1766666668</v>
      </c>
      <c r="G140" s="102">
        <f>SUM(G104:G139)</f>
        <v>9330635.5500000007</v>
      </c>
    </row>
    <row r="141" spans="2:9" x14ac:dyDescent="0.3">
      <c r="B141" s="99" t="s">
        <v>93</v>
      </c>
      <c r="C141" s="96">
        <v>0</v>
      </c>
      <c r="D141" s="96">
        <v>-0.01</v>
      </c>
      <c r="E141" s="96">
        <f t="shared" ref="E141" si="18">C141+D141</f>
        <v>-0.01</v>
      </c>
      <c r="F141" s="96">
        <v>0</v>
      </c>
      <c r="G141" s="98">
        <f>E141+F141</f>
        <v>-0.01</v>
      </c>
    </row>
    <row r="142" spans="2:9" ht="15" thickBot="1" x14ac:dyDescent="0.35">
      <c r="B142" s="99" t="s">
        <v>265</v>
      </c>
      <c r="C142" s="96">
        <v>4757.57</v>
      </c>
      <c r="D142" s="96">
        <v>0</v>
      </c>
      <c r="E142" s="96">
        <f>C142+D142-0.01</f>
        <v>4757.5599999999995</v>
      </c>
      <c r="F142" s="96">
        <v>0</v>
      </c>
      <c r="G142" s="98">
        <f t="shared" ref="G142" si="19">E142+F142</f>
        <v>4757.5599999999995</v>
      </c>
    </row>
    <row r="143" spans="2:9" ht="15" thickBot="1" x14ac:dyDescent="0.35">
      <c r="B143" s="100" t="s">
        <v>56</v>
      </c>
      <c r="C143" s="101">
        <f>SUM(C141:C142)</f>
        <v>4757.57</v>
      </c>
      <c r="D143" s="101">
        <f t="shared" ref="D143:G143" si="20">SUM(D141:D142)</f>
        <v>-0.01</v>
      </c>
      <c r="E143" s="101">
        <f t="shared" si="20"/>
        <v>4757.5499999999993</v>
      </c>
      <c r="F143" s="101">
        <f t="shared" si="20"/>
        <v>0</v>
      </c>
      <c r="G143" s="101">
        <f t="shared" si="20"/>
        <v>4757.5499999999993</v>
      </c>
    </row>
    <row r="144" spans="2:9" x14ac:dyDescent="0.3">
      <c r="B144" s="43" t="s">
        <v>94</v>
      </c>
      <c r="C144" s="124">
        <f>+C143+C140+C102+C100</f>
        <v>6940021.166666667</v>
      </c>
      <c r="D144" s="124">
        <f>+D143+D140+D102+D100+D103</f>
        <v>12228579.626205498</v>
      </c>
      <c r="E144" s="124">
        <f>+E143+E140+E102+E100+E103</f>
        <v>19168600.792872168</v>
      </c>
      <c r="F144" s="124">
        <f>+F143+F140+F102+F100+F103</f>
        <v>-7328214.3666666672</v>
      </c>
      <c r="G144" s="124">
        <f>+G143+G140+G102+G100+G103</f>
        <v>11840386.426205501</v>
      </c>
      <c r="I144" s="115"/>
    </row>
    <row r="145" spans="2:10" x14ac:dyDescent="0.3">
      <c r="B145" s="99"/>
      <c r="C145" s="96">
        <f>+C90-C144</f>
        <v>3.3333320170640945E-3</v>
      </c>
      <c r="D145" s="96">
        <f>+D90-D144</f>
        <v>-2.4388320744037628E-3</v>
      </c>
      <c r="E145" s="96">
        <f>+E90-E144</f>
        <v>8.944980800151825E-4</v>
      </c>
      <c r="F145" s="96">
        <f>+F90-F144</f>
        <v>1.7333328723907471E-3</v>
      </c>
      <c r="G145" s="96">
        <f>+G90-G144</f>
        <v>2.6278328150510788E-3</v>
      </c>
      <c r="I145" s="115"/>
    </row>
    <row r="146" spans="2:10" x14ac:dyDescent="0.3">
      <c r="B146" s="99"/>
      <c r="G146" s="96"/>
    </row>
    <row r="147" spans="2:10" ht="15" thickBot="1" x14ac:dyDescent="0.35">
      <c r="B147" s="99"/>
      <c r="G147" s="96"/>
    </row>
    <row r="148" spans="2:10" s="92" customFormat="1" ht="21.6" thickBot="1" x14ac:dyDescent="0.35">
      <c r="B148" s="157" t="s">
        <v>266</v>
      </c>
      <c r="C148" s="161"/>
      <c r="D148" s="161"/>
      <c r="E148" s="161"/>
      <c r="F148" s="161"/>
      <c r="G148" s="161"/>
    </row>
    <row r="149" spans="2:10" x14ac:dyDescent="0.3">
      <c r="B149" s="93" t="s">
        <v>267</v>
      </c>
      <c r="C149" s="94" t="s">
        <v>162</v>
      </c>
      <c r="D149" s="94" t="s">
        <v>163</v>
      </c>
      <c r="E149" s="94" t="s">
        <v>8</v>
      </c>
      <c r="F149" s="94" t="s">
        <v>9</v>
      </c>
      <c r="G149" s="95" t="s">
        <v>164</v>
      </c>
    </row>
    <row r="150" spans="2:10" x14ac:dyDescent="0.3">
      <c r="B150" s="93" t="s">
        <v>127</v>
      </c>
      <c r="G150" s="97"/>
    </row>
    <row r="151" spans="2:10" x14ac:dyDescent="0.3">
      <c r="B151" s="99" t="s">
        <v>128</v>
      </c>
      <c r="C151" s="96">
        <v>164978.80666666664</v>
      </c>
      <c r="D151" s="96">
        <v>1259821.5133333332</v>
      </c>
      <c r="E151" s="96">
        <f t="shared" ref="E151:E160" si="21">C151+D151</f>
        <v>1424800.3199999998</v>
      </c>
      <c r="F151" s="96">
        <v>0</v>
      </c>
      <c r="G151" s="98">
        <f t="shared" ref="G151:G160" si="22">E151+F151</f>
        <v>1424800.3199999998</v>
      </c>
      <c r="H151" s="129"/>
      <c r="I151" s="130"/>
    </row>
    <row r="152" spans="2:10" x14ac:dyDescent="0.3">
      <c r="B152" s="53" t="s">
        <v>129</v>
      </c>
      <c r="C152" s="96">
        <v>0</v>
      </c>
      <c r="D152" s="96">
        <v>0</v>
      </c>
      <c r="E152" s="96">
        <f t="shared" si="21"/>
        <v>0</v>
      </c>
      <c r="F152" s="96">
        <v>0</v>
      </c>
      <c r="G152" s="96">
        <f t="shared" si="22"/>
        <v>0</v>
      </c>
      <c r="I152" s="130"/>
    </row>
    <row r="153" spans="2:10" x14ac:dyDescent="0.3">
      <c r="B153" s="99" t="s">
        <v>102</v>
      </c>
      <c r="C153" s="96">
        <v>0</v>
      </c>
      <c r="D153" s="96">
        <v>0</v>
      </c>
      <c r="E153" s="96">
        <f t="shared" si="21"/>
        <v>0</v>
      </c>
      <c r="F153" s="96">
        <f>-E153</f>
        <v>0</v>
      </c>
      <c r="G153" s="98">
        <f t="shared" si="22"/>
        <v>0</v>
      </c>
      <c r="I153" s="130"/>
    </row>
    <row r="154" spans="2:10" ht="13.2" x14ac:dyDescent="0.3">
      <c r="B154" s="131" t="s">
        <v>103</v>
      </c>
      <c r="C154" s="132">
        <v>333245.33333333337</v>
      </c>
      <c r="D154" s="132">
        <v>0</v>
      </c>
      <c r="E154" s="132">
        <f t="shared" si="21"/>
        <v>333245.33333333337</v>
      </c>
      <c r="F154" s="132">
        <f>-E154</f>
        <v>-333245.33333333337</v>
      </c>
      <c r="G154" s="98">
        <f t="shared" si="22"/>
        <v>0</v>
      </c>
      <c r="H154" s="114"/>
      <c r="I154" s="130"/>
    </row>
    <row r="155" spans="2:10" ht="13.2" x14ac:dyDescent="0.3">
      <c r="B155" s="99" t="s">
        <v>268</v>
      </c>
      <c r="C155" s="96">
        <v>0</v>
      </c>
      <c r="D155" s="96">
        <v>0</v>
      </c>
      <c r="E155" s="96">
        <f t="shared" si="21"/>
        <v>0</v>
      </c>
      <c r="F155" s="96">
        <v>0</v>
      </c>
      <c r="G155" s="98">
        <f t="shared" si="22"/>
        <v>0</v>
      </c>
      <c r="H155" s="114"/>
      <c r="I155" s="130"/>
    </row>
    <row r="156" spans="2:10" ht="13.2" x14ac:dyDescent="0.3">
      <c r="B156" s="99" t="s">
        <v>269</v>
      </c>
      <c r="C156" s="96">
        <v>0</v>
      </c>
      <c r="D156" s="96">
        <v>0</v>
      </c>
      <c r="E156" s="96">
        <f t="shared" si="21"/>
        <v>0</v>
      </c>
      <c r="F156" s="96">
        <v>0</v>
      </c>
      <c r="G156" s="98">
        <f>(E156+F156)</f>
        <v>0</v>
      </c>
      <c r="H156" s="114"/>
      <c r="I156" s="130"/>
      <c r="J156" s="119"/>
    </row>
    <row r="157" spans="2:10" x14ac:dyDescent="0.3">
      <c r="B157" s="99" t="s">
        <v>270</v>
      </c>
      <c r="C157" s="96">
        <v>0</v>
      </c>
      <c r="D157" s="96">
        <v>343310.38</v>
      </c>
      <c r="E157" s="96">
        <f t="shared" si="21"/>
        <v>343310.38</v>
      </c>
      <c r="F157" s="96">
        <v>0</v>
      </c>
      <c r="G157" s="98">
        <f t="shared" si="22"/>
        <v>343310.38</v>
      </c>
      <c r="I157" s="133"/>
    </row>
    <row r="158" spans="2:10" x14ac:dyDescent="0.3">
      <c r="B158" s="99" t="s">
        <v>271</v>
      </c>
      <c r="C158" s="96">
        <v>0</v>
      </c>
      <c r="D158" s="96">
        <v>0</v>
      </c>
      <c r="E158" s="96">
        <f t="shared" si="21"/>
        <v>0</v>
      </c>
      <c r="F158" s="96">
        <v>0</v>
      </c>
      <c r="G158" s="98">
        <f t="shared" si="22"/>
        <v>0</v>
      </c>
      <c r="I158" s="133"/>
    </row>
    <row r="159" spans="2:10" x14ac:dyDescent="0.3">
      <c r="B159" s="99" t="s">
        <v>272</v>
      </c>
      <c r="C159" s="96">
        <v>0</v>
      </c>
      <c r="D159" s="96">
        <v>0</v>
      </c>
      <c r="E159" s="96">
        <f t="shared" si="21"/>
        <v>0</v>
      </c>
      <c r="F159" s="96">
        <v>0</v>
      </c>
      <c r="G159" s="98">
        <f t="shared" si="22"/>
        <v>0</v>
      </c>
      <c r="I159" s="133"/>
    </row>
    <row r="160" spans="2:10" ht="15" thickBot="1" x14ac:dyDescent="0.35">
      <c r="B160" s="99" t="s">
        <v>273</v>
      </c>
      <c r="C160" s="96">
        <v>0.77</v>
      </c>
      <c r="D160" s="96">
        <v>0.19</v>
      </c>
      <c r="E160" s="96">
        <f t="shared" si="21"/>
        <v>0.96</v>
      </c>
      <c r="F160" s="96">
        <v>0</v>
      </c>
      <c r="G160" s="98">
        <f t="shared" si="22"/>
        <v>0.96</v>
      </c>
      <c r="H160" s="129"/>
      <c r="I160" s="133"/>
    </row>
    <row r="161" spans="2:10" ht="15" thickBot="1" x14ac:dyDescent="0.35">
      <c r="B161" s="100" t="s">
        <v>127</v>
      </c>
      <c r="C161" s="101">
        <f>SUM(C151:C160)</f>
        <v>498224.91000000003</v>
      </c>
      <c r="D161" s="101">
        <f>SUM(D151:D160)</f>
        <v>1603132.083333333</v>
      </c>
      <c r="E161" s="101">
        <f>SUM(E151:E160)</f>
        <v>2101356.9933333332</v>
      </c>
      <c r="F161" s="101">
        <f>SUM(F151:F160)</f>
        <v>-333245.33333333337</v>
      </c>
      <c r="G161" s="102">
        <f>SUM(G151:G160)</f>
        <v>1768111.6599999997</v>
      </c>
      <c r="H161" s="133"/>
      <c r="I161" s="133"/>
    </row>
    <row r="162" spans="2:10" x14ac:dyDescent="0.3">
      <c r="B162" s="93" t="s">
        <v>274</v>
      </c>
      <c r="C162" s="94"/>
      <c r="D162" s="94"/>
      <c r="E162" s="94"/>
      <c r="F162" s="94"/>
      <c r="G162" s="95"/>
      <c r="H162" s="133"/>
      <c r="I162" s="133"/>
    </row>
    <row r="163" spans="2:10" x14ac:dyDescent="0.3">
      <c r="B163" s="99" t="s">
        <v>275</v>
      </c>
      <c r="C163" s="96">
        <v>0</v>
      </c>
      <c r="D163" s="96">
        <v>0</v>
      </c>
      <c r="E163" s="96">
        <f>C163+D163</f>
        <v>0</v>
      </c>
      <c r="F163" s="96">
        <v>0</v>
      </c>
      <c r="G163" s="98">
        <f>E163+F163</f>
        <v>0</v>
      </c>
      <c r="H163" s="133"/>
      <c r="I163" s="133"/>
    </row>
    <row r="164" spans="2:10" x14ac:dyDescent="0.3">
      <c r="B164" s="99" t="s">
        <v>98</v>
      </c>
      <c r="C164" s="96">
        <v>17792.86</v>
      </c>
      <c r="D164" s="96">
        <v>108776.23000000001</v>
      </c>
      <c r="E164" s="96">
        <f>C164+D164</f>
        <v>126569.09000000001</v>
      </c>
      <c r="F164" s="96">
        <v>0</v>
      </c>
      <c r="G164" s="98">
        <f>E164+F164</f>
        <v>126569.09000000001</v>
      </c>
      <c r="H164" s="133"/>
      <c r="I164" s="133"/>
    </row>
    <row r="165" spans="2:10" x14ac:dyDescent="0.3">
      <c r="B165" s="99" t="s">
        <v>276</v>
      </c>
      <c r="C165" s="96">
        <v>0</v>
      </c>
      <c r="D165" s="96">
        <v>0</v>
      </c>
      <c r="E165" s="96">
        <f>C165+D165</f>
        <v>0</v>
      </c>
      <c r="F165" s="96">
        <v>0</v>
      </c>
      <c r="G165" s="98">
        <f>E165+F165</f>
        <v>0</v>
      </c>
      <c r="H165" s="134"/>
      <c r="I165" s="133"/>
    </row>
    <row r="166" spans="2:10" x14ac:dyDescent="0.3">
      <c r="B166" s="99" t="s">
        <v>277</v>
      </c>
      <c r="C166" s="96">
        <v>0</v>
      </c>
      <c r="D166" s="96">
        <v>0</v>
      </c>
      <c r="E166" s="96">
        <f>C166+D166</f>
        <v>0</v>
      </c>
      <c r="F166" s="96">
        <v>0</v>
      </c>
      <c r="G166" s="98">
        <f>E166+F166</f>
        <v>0</v>
      </c>
      <c r="H166" s="133"/>
      <c r="I166" s="133"/>
      <c r="J166" s="135"/>
    </row>
    <row r="167" spans="2:10" ht="15" thickBot="1" x14ac:dyDescent="0.35">
      <c r="B167" s="99" t="s">
        <v>269</v>
      </c>
      <c r="C167" s="96">
        <v>0</v>
      </c>
      <c r="D167" s="96">
        <v>0</v>
      </c>
      <c r="E167" s="96">
        <f>C167+D167</f>
        <v>0</v>
      </c>
      <c r="F167" s="96">
        <v>0</v>
      </c>
      <c r="G167" s="98">
        <f>(E167+F167)</f>
        <v>0</v>
      </c>
      <c r="H167" s="133"/>
      <c r="I167" s="133"/>
    </row>
    <row r="168" spans="2:10" ht="15" thickBot="1" x14ac:dyDescent="0.35">
      <c r="B168" s="100" t="s">
        <v>99</v>
      </c>
      <c r="C168" s="101">
        <f>SUM(C163:C167)</f>
        <v>17792.86</v>
      </c>
      <c r="D168" s="101">
        <f>SUM(D163:D167)</f>
        <v>108776.23000000001</v>
      </c>
      <c r="E168" s="101">
        <f>SUM(E163:E167)</f>
        <v>126569.09000000001</v>
      </c>
      <c r="F168" s="101">
        <f>SUM(F163:F167)</f>
        <v>0</v>
      </c>
      <c r="G168" s="102">
        <f>SUM(G163:G167)</f>
        <v>126569.09000000001</v>
      </c>
      <c r="H168" s="133"/>
      <c r="I168" s="133"/>
    </row>
    <row r="169" spans="2:10" x14ac:dyDescent="0.3">
      <c r="B169" s="99" t="s">
        <v>100</v>
      </c>
      <c r="C169" s="96">
        <v>44382.73</v>
      </c>
      <c r="D169" s="96">
        <v>339266.98</v>
      </c>
      <c r="E169" s="96">
        <f t="shared" ref="E169:E175" si="23">C169+D169</f>
        <v>383649.70999999996</v>
      </c>
      <c r="F169" s="96">
        <v>0</v>
      </c>
      <c r="G169" s="98">
        <f t="shared" ref="G169:G175" si="24">E169+F169</f>
        <v>383649.70999999996</v>
      </c>
      <c r="H169" s="134"/>
      <c r="I169" s="136"/>
    </row>
    <row r="170" spans="2:10" x14ac:dyDescent="0.3">
      <c r="B170" s="99" t="s">
        <v>278</v>
      </c>
      <c r="C170" s="96">
        <v>0</v>
      </c>
      <c r="D170" s="96">
        <v>0</v>
      </c>
      <c r="E170" s="96">
        <f t="shared" si="23"/>
        <v>0</v>
      </c>
      <c r="F170" s="96">
        <v>0</v>
      </c>
      <c r="G170" s="98">
        <f t="shared" si="24"/>
        <v>0</v>
      </c>
      <c r="H170" s="133"/>
      <c r="I170" s="133"/>
    </row>
    <row r="171" spans="2:10" x14ac:dyDescent="0.3">
      <c r="B171" s="99" t="s">
        <v>279</v>
      </c>
      <c r="C171" s="96">
        <v>0</v>
      </c>
      <c r="D171" s="96">
        <v>0</v>
      </c>
      <c r="E171" s="96">
        <f t="shared" si="23"/>
        <v>0</v>
      </c>
      <c r="F171" s="96">
        <v>0</v>
      </c>
      <c r="G171" s="98">
        <f t="shared" si="24"/>
        <v>0</v>
      </c>
      <c r="H171" s="133"/>
      <c r="I171" s="133"/>
    </row>
    <row r="172" spans="2:10" x14ac:dyDescent="0.3">
      <c r="B172" s="99" t="s">
        <v>280</v>
      </c>
      <c r="C172" s="96">
        <v>0</v>
      </c>
      <c r="D172" s="96">
        <v>0</v>
      </c>
      <c r="E172" s="96">
        <f t="shared" si="23"/>
        <v>0</v>
      </c>
      <c r="F172" s="96">
        <f>F153</f>
        <v>0</v>
      </c>
      <c r="G172" s="98">
        <f t="shared" si="24"/>
        <v>0</v>
      </c>
      <c r="H172" s="133"/>
      <c r="I172" s="133"/>
    </row>
    <row r="173" spans="2:10" x14ac:dyDescent="0.3">
      <c r="B173" s="99" t="s">
        <v>281</v>
      </c>
      <c r="C173" s="96">
        <v>0</v>
      </c>
      <c r="D173" s="96">
        <v>333245.33333333337</v>
      </c>
      <c r="E173" s="96">
        <f t="shared" si="23"/>
        <v>333245.33333333337</v>
      </c>
      <c r="F173" s="96">
        <f>F154</f>
        <v>-333245.33333333337</v>
      </c>
      <c r="G173" s="98">
        <f t="shared" si="24"/>
        <v>0</v>
      </c>
      <c r="H173" s="133"/>
      <c r="I173" s="133"/>
    </row>
    <row r="174" spans="2:10" x14ac:dyDescent="0.3">
      <c r="B174" s="99" t="s">
        <v>282</v>
      </c>
      <c r="C174" s="96">
        <v>0</v>
      </c>
      <c r="D174" s="96">
        <v>0</v>
      </c>
      <c r="E174" s="96">
        <f t="shared" si="23"/>
        <v>0</v>
      </c>
      <c r="F174" s="96">
        <f>F155</f>
        <v>0</v>
      </c>
      <c r="G174" s="98">
        <f t="shared" si="24"/>
        <v>0</v>
      </c>
      <c r="H174" s="133"/>
      <c r="I174" s="133"/>
    </row>
    <row r="175" spans="2:10" ht="15" thickBot="1" x14ac:dyDescent="0.35">
      <c r="B175" s="99" t="s">
        <v>283</v>
      </c>
      <c r="C175" s="96">
        <v>21782.12</v>
      </c>
      <c r="D175" s="96">
        <v>312617.78999999998</v>
      </c>
      <c r="E175" s="96">
        <f t="shared" si="23"/>
        <v>334399.90999999997</v>
      </c>
      <c r="F175" s="96">
        <v>0</v>
      </c>
      <c r="G175" s="98">
        <f t="shared" si="24"/>
        <v>334399.90999999997</v>
      </c>
      <c r="H175" s="133"/>
      <c r="I175" s="133"/>
      <c r="J175" s="135"/>
    </row>
    <row r="176" spans="2:10" ht="15" thickBot="1" x14ac:dyDescent="0.35">
      <c r="B176" s="100" t="s">
        <v>111</v>
      </c>
      <c r="C176" s="101">
        <f>SUM(C169:C175)</f>
        <v>66164.850000000006</v>
      </c>
      <c r="D176" s="101">
        <f>SUM(D169:D175)</f>
        <v>985130.10333333327</v>
      </c>
      <c r="E176" s="101">
        <f>SUM(E169:E175)</f>
        <v>1051294.9533333334</v>
      </c>
      <c r="F176" s="101">
        <f>SUM(F169:F175)</f>
        <v>-333245.33333333337</v>
      </c>
      <c r="G176" s="102">
        <f>SUM(G169:G175)</f>
        <v>718049.61999999988</v>
      </c>
      <c r="H176" s="134"/>
      <c r="I176" s="136"/>
    </row>
    <row r="177" spans="2:10" x14ac:dyDescent="0.3">
      <c r="B177" s="137" t="s">
        <v>284</v>
      </c>
      <c r="C177" s="124">
        <f>C161-C168-C176</f>
        <v>414267.20000000007</v>
      </c>
      <c r="D177" s="124">
        <f>D161-D168-D176</f>
        <v>509225.74999999977</v>
      </c>
      <c r="E177" s="124">
        <f>E161-E168-E176</f>
        <v>923492.94999999972</v>
      </c>
      <c r="F177" s="124">
        <f>F161-F168-F176</f>
        <v>0</v>
      </c>
      <c r="G177" s="124">
        <f>G161-G168-G176</f>
        <v>923492.94999999972</v>
      </c>
      <c r="H177" s="133"/>
      <c r="I177" s="133"/>
      <c r="J177" s="135"/>
    </row>
    <row r="178" spans="2:10" x14ac:dyDescent="0.3">
      <c r="B178" s="99" t="s">
        <v>285</v>
      </c>
      <c r="C178" s="96">
        <v>0</v>
      </c>
      <c r="D178" s="96">
        <v>0</v>
      </c>
      <c r="E178" s="96">
        <f t="shared" ref="E178:E191" si="25">C178+D178</f>
        <v>0</v>
      </c>
      <c r="F178" s="96">
        <v>0</v>
      </c>
      <c r="G178" s="98">
        <f t="shared" ref="G178:G191" si="26">E178+F178</f>
        <v>0</v>
      </c>
      <c r="I178" s="133"/>
    </row>
    <row r="179" spans="2:10" x14ac:dyDescent="0.3">
      <c r="B179" s="99" t="s">
        <v>286</v>
      </c>
      <c r="C179" s="96">
        <v>0</v>
      </c>
      <c r="D179" s="96">
        <v>0</v>
      </c>
      <c r="E179" s="96">
        <f t="shared" si="25"/>
        <v>0</v>
      </c>
      <c r="F179" s="96">
        <v>0</v>
      </c>
      <c r="G179" s="98">
        <f t="shared" si="26"/>
        <v>0</v>
      </c>
      <c r="I179" s="133"/>
    </row>
    <row r="180" spans="2:10" x14ac:dyDescent="0.3">
      <c r="B180" s="99" t="s">
        <v>287</v>
      </c>
      <c r="C180" s="96">
        <v>0</v>
      </c>
      <c r="D180" s="96">
        <v>0</v>
      </c>
      <c r="E180" s="96">
        <f t="shared" si="25"/>
        <v>0</v>
      </c>
      <c r="F180" s="96">
        <v>0</v>
      </c>
      <c r="G180" s="98">
        <f t="shared" si="26"/>
        <v>0</v>
      </c>
      <c r="H180" s="129"/>
      <c r="I180" s="136"/>
    </row>
    <row r="181" spans="2:10" x14ac:dyDescent="0.3">
      <c r="B181" s="99" t="s">
        <v>288</v>
      </c>
      <c r="C181" s="96">
        <v>0</v>
      </c>
      <c r="D181" s="96">
        <v>0</v>
      </c>
      <c r="E181" s="96">
        <f t="shared" si="25"/>
        <v>0</v>
      </c>
      <c r="F181" s="96">
        <v>0</v>
      </c>
      <c r="G181" s="98">
        <f t="shared" si="26"/>
        <v>0</v>
      </c>
      <c r="I181" s="133"/>
      <c r="J181" s="135"/>
    </row>
    <row r="182" spans="2:10" x14ac:dyDescent="0.3">
      <c r="B182" s="99" t="s">
        <v>289</v>
      </c>
      <c r="C182" s="96">
        <v>0</v>
      </c>
      <c r="D182" s="96">
        <v>0</v>
      </c>
      <c r="E182" s="96">
        <f t="shared" si="25"/>
        <v>0</v>
      </c>
      <c r="F182" s="96">
        <v>0</v>
      </c>
      <c r="G182" s="98">
        <f t="shared" si="26"/>
        <v>0</v>
      </c>
      <c r="I182" s="133"/>
    </row>
    <row r="183" spans="2:10" x14ac:dyDescent="0.3">
      <c r="B183" s="99" t="s">
        <v>290</v>
      </c>
      <c r="C183" s="96">
        <v>0</v>
      </c>
      <c r="D183" s="96">
        <v>0</v>
      </c>
      <c r="E183" s="96">
        <f t="shared" si="25"/>
        <v>0</v>
      </c>
      <c r="F183" s="96">
        <v>0</v>
      </c>
      <c r="G183" s="98">
        <f t="shared" si="26"/>
        <v>0</v>
      </c>
      <c r="I183" s="133"/>
    </row>
    <row r="184" spans="2:10" x14ac:dyDescent="0.3">
      <c r="B184" s="99" t="s">
        <v>291</v>
      </c>
      <c r="C184" s="96">
        <v>0</v>
      </c>
      <c r="D184" s="96">
        <v>0</v>
      </c>
      <c r="E184" s="96">
        <f t="shared" si="25"/>
        <v>0</v>
      </c>
      <c r="F184" s="96">
        <v>0</v>
      </c>
      <c r="G184" s="98">
        <f t="shared" si="26"/>
        <v>0</v>
      </c>
      <c r="I184" s="133"/>
    </row>
    <row r="185" spans="2:10" x14ac:dyDescent="0.3">
      <c r="B185" s="99" t="s">
        <v>292</v>
      </c>
      <c r="C185" s="96">
        <v>0</v>
      </c>
      <c r="D185" s="96">
        <v>0</v>
      </c>
      <c r="E185" s="96">
        <f t="shared" si="25"/>
        <v>0</v>
      </c>
      <c r="F185" s="96">
        <v>0</v>
      </c>
      <c r="G185" s="98">
        <f t="shared" si="26"/>
        <v>0</v>
      </c>
      <c r="I185" s="133"/>
    </row>
    <row r="186" spans="2:10" x14ac:dyDescent="0.3">
      <c r="B186" s="99" t="s">
        <v>293</v>
      </c>
      <c r="C186" s="96">
        <v>0</v>
      </c>
      <c r="D186" s="96">
        <v>0</v>
      </c>
      <c r="E186" s="96">
        <f t="shared" si="25"/>
        <v>0</v>
      </c>
      <c r="F186" s="96">
        <v>0</v>
      </c>
      <c r="G186" s="98">
        <f t="shared" si="26"/>
        <v>0</v>
      </c>
      <c r="I186" s="133"/>
    </row>
    <row r="187" spans="2:10" x14ac:dyDescent="0.3">
      <c r="B187" s="99" t="s">
        <v>106</v>
      </c>
      <c r="C187" s="96">
        <v>1248</v>
      </c>
      <c r="D187" s="96">
        <v>5472.82</v>
      </c>
      <c r="E187" s="96">
        <f t="shared" si="25"/>
        <v>6720.82</v>
      </c>
      <c r="F187" s="96">
        <v>0</v>
      </c>
      <c r="G187" s="98">
        <f t="shared" si="26"/>
        <v>6720.82</v>
      </c>
      <c r="I187" s="133"/>
    </row>
    <row r="188" spans="2:10" x14ac:dyDescent="0.3">
      <c r="B188" s="99" t="s">
        <v>294</v>
      </c>
      <c r="C188" s="96">
        <f>2500*8+1512</f>
        <v>21512</v>
      </c>
      <c r="D188" s="96">
        <v>0</v>
      </c>
      <c r="E188" s="96">
        <f t="shared" si="25"/>
        <v>21512</v>
      </c>
      <c r="F188" s="96">
        <v>0</v>
      </c>
      <c r="G188" s="98">
        <f t="shared" si="26"/>
        <v>21512</v>
      </c>
      <c r="H188" s="129"/>
      <c r="I188" s="138"/>
    </row>
    <row r="189" spans="2:10" x14ac:dyDescent="0.3">
      <c r="B189" s="99" t="s">
        <v>295</v>
      </c>
      <c r="C189" s="96">
        <v>0</v>
      </c>
      <c r="D189" s="96">
        <v>0</v>
      </c>
      <c r="E189" s="96">
        <f t="shared" si="25"/>
        <v>0</v>
      </c>
      <c r="F189" s="96">
        <v>0</v>
      </c>
      <c r="G189" s="98">
        <f t="shared" si="26"/>
        <v>0</v>
      </c>
      <c r="I189" s="133"/>
      <c r="J189" s="135"/>
    </row>
    <row r="190" spans="2:10" x14ac:dyDescent="0.3">
      <c r="B190" s="99" t="s">
        <v>296</v>
      </c>
      <c r="C190" s="96">
        <f>1514*8</f>
        <v>12112</v>
      </c>
      <c r="D190" s="96">
        <v>14166.999999999998</v>
      </c>
      <c r="E190" s="96">
        <f t="shared" si="25"/>
        <v>26279</v>
      </c>
      <c r="F190" s="96">
        <v>0</v>
      </c>
      <c r="G190" s="98">
        <f t="shared" si="26"/>
        <v>26279</v>
      </c>
      <c r="I190" s="133"/>
    </row>
    <row r="191" spans="2:10" ht="15" thickBot="1" x14ac:dyDescent="0.35">
      <c r="B191" s="139" t="s">
        <v>110</v>
      </c>
      <c r="C191" s="140">
        <v>177.8</v>
      </c>
      <c r="D191" s="140">
        <v>411.65</v>
      </c>
      <c r="E191" s="140">
        <f t="shared" si="25"/>
        <v>589.45000000000005</v>
      </c>
      <c r="F191" s="140">
        <v>0</v>
      </c>
      <c r="G191" s="141">
        <f t="shared" si="26"/>
        <v>589.45000000000005</v>
      </c>
      <c r="I191" s="133"/>
    </row>
    <row r="192" spans="2:10" ht="15" thickBot="1" x14ac:dyDescent="0.35">
      <c r="B192" s="100" t="s">
        <v>297</v>
      </c>
      <c r="C192" s="101">
        <f>SUM(C178:C191)</f>
        <v>35049.800000000003</v>
      </c>
      <c r="D192" s="101">
        <f>SUM(D178:D191)</f>
        <v>20051.47</v>
      </c>
      <c r="E192" s="101">
        <f>SUM(E178:E191)</f>
        <v>55101.27</v>
      </c>
      <c r="F192" s="101">
        <f>SUM(F178:F191)</f>
        <v>0</v>
      </c>
      <c r="G192" s="102">
        <f>SUM(G178:G191)</f>
        <v>55101.27</v>
      </c>
      <c r="H192" s="107"/>
      <c r="I192" s="133"/>
    </row>
    <row r="193" spans="2:9" x14ac:dyDescent="0.3">
      <c r="B193" s="99" t="s">
        <v>298</v>
      </c>
      <c r="C193" s="96">
        <v>2104</v>
      </c>
      <c r="D193" s="96">
        <v>0</v>
      </c>
      <c r="E193" s="96">
        <f t="shared" ref="E193:E198" si="27">C193+D193</f>
        <v>2104</v>
      </c>
      <c r="F193" s="96">
        <v>0</v>
      </c>
      <c r="G193" s="98">
        <f t="shared" ref="G193:G198" si="28">E193+F193</f>
        <v>2104</v>
      </c>
      <c r="I193" s="133"/>
    </row>
    <row r="194" spans="2:9" x14ac:dyDescent="0.3">
      <c r="B194" s="99" t="s">
        <v>299</v>
      </c>
      <c r="C194" s="96">
        <v>0</v>
      </c>
      <c r="D194" s="96">
        <v>0</v>
      </c>
      <c r="E194" s="96">
        <f t="shared" si="27"/>
        <v>0</v>
      </c>
      <c r="F194" s="96">
        <v>0</v>
      </c>
      <c r="G194" s="98">
        <f t="shared" si="28"/>
        <v>0</v>
      </c>
      <c r="I194" s="133"/>
    </row>
    <row r="195" spans="2:9" x14ac:dyDescent="0.3">
      <c r="B195" s="99" t="s">
        <v>300</v>
      </c>
      <c r="C195" s="96">
        <v>0</v>
      </c>
      <c r="D195" s="96">
        <v>0</v>
      </c>
      <c r="E195" s="96">
        <f t="shared" si="27"/>
        <v>0</v>
      </c>
      <c r="F195" s="96">
        <v>0</v>
      </c>
      <c r="G195" s="98">
        <f t="shared" si="28"/>
        <v>0</v>
      </c>
      <c r="I195" s="133"/>
    </row>
    <row r="196" spans="2:9" x14ac:dyDescent="0.3">
      <c r="B196" s="99" t="s">
        <v>301</v>
      </c>
      <c r="C196" s="96">
        <v>0</v>
      </c>
      <c r="D196" s="96">
        <v>0</v>
      </c>
      <c r="E196" s="96">
        <f t="shared" si="27"/>
        <v>0</v>
      </c>
      <c r="F196" s="96">
        <v>0</v>
      </c>
      <c r="G196" s="98">
        <f t="shared" si="28"/>
        <v>0</v>
      </c>
      <c r="I196" s="133"/>
    </row>
    <row r="197" spans="2:9" x14ac:dyDescent="0.3">
      <c r="B197" s="99" t="s">
        <v>302</v>
      </c>
      <c r="C197" s="96">
        <v>0</v>
      </c>
      <c r="D197" s="96">
        <v>0</v>
      </c>
      <c r="E197" s="96">
        <f t="shared" si="27"/>
        <v>0</v>
      </c>
      <c r="F197" s="96">
        <v>0</v>
      </c>
      <c r="G197" s="98">
        <f t="shared" si="28"/>
        <v>0</v>
      </c>
      <c r="I197" s="133"/>
    </row>
    <row r="198" spans="2:9" ht="15" thickBot="1" x14ac:dyDescent="0.35">
      <c r="B198" s="99" t="s">
        <v>303</v>
      </c>
      <c r="C198" s="96">
        <v>455</v>
      </c>
      <c r="D198" s="96">
        <v>0</v>
      </c>
      <c r="E198" s="96">
        <f t="shared" si="27"/>
        <v>455</v>
      </c>
      <c r="F198" s="96">
        <v>0</v>
      </c>
      <c r="G198" s="98">
        <f t="shared" si="28"/>
        <v>455</v>
      </c>
      <c r="I198" s="133"/>
    </row>
    <row r="199" spans="2:9" ht="15" thickBot="1" x14ac:dyDescent="0.35">
      <c r="B199" s="100" t="s">
        <v>304</v>
      </c>
      <c r="C199" s="101">
        <f>SUM(C193:C198)</f>
        <v>2559</v>
      </c>
      <c r="D199" s="101">
        <f>SUM(D193:D198)</f>
        <v>0</v>
      </c>
      <c r="E199" s="101">
        <f>SUM(E193:E198)</f>
        <v>2559</v>
      </c>
      <c r="F199" s="101">
        <f>SUM(F193:F198)</f>
        <v>0</v>
      </c>
      <c r="G199" s="102">
        <f>SUM(G193:G198)</f>
        <v>2559</v>
      </c>
      <c r="I199" s="133"/>
    </row>
    <row r="200" spans="2:9" x14ac:dyDescent="0.3">
      <c r="B200" s="99" t="s">
        <v>305</v>
      </c>
      <c r="C200" s="96">
        <v>0</v>
      </c>
      <c r="D200" s="96">
        <v>0</v>
      </c>
      <c r="E200" s="96">
        <f t="shared" ref="E200:E205" si="29">C200+D200</f>
        <v>0</v>
      </c>
      <c r="F200" s="96">
        <v>0</v>
      </c>
      <c r="G200" s="98">
        <f t="shared" ref="G200:G205" si="30">E200+F200</f>
        <v>0</v>
      </c>
      <c r="I200" s="133"/>
    </row>
    <row r="201" spans="2:9" x14ac:dyDescent="0.3">
      <c r="B201" s="99" t="s">
        <v>306</v>
      </c>
      <c r="C201" s="96">
        <v>0</v>
      </c>
      <c r="D201" s="96">
        <v>0</v>
      </c>
      <c r="E201" s="96">
        <f t="shared" si="29"/>
        <v>0</v>
      </c>
      <c r="F201" s="96">
        <v>0</v>
      </c>
      <c r="G201" s="98">
        <f t="shared" si="30"/>
        <v>0</v>
      </c>
      <c r="I201" s="133"/>
    </row>
    <row r="202" spans="2:9" x14ac:dyDescent="0.3">
      <c r="B202" s="99" t="s">
        <v>307</v>
      </c>
      <c r="C202" s="96">
        <v>0</v>
      </c>
      <c r="D202" s="96">
        <v>0</v>
      </c>
      <c r="E202" s="96">
        <f t="shared" si="29"/>
        <v>0</v>
      </c>
      <c r="F202" s="96">
        <v>0</v>
      </c>
      <c r="G202" s="98">
        <f t="shared" si="30"/>
        <v>0</v>
      </c>
      <c r="I202" s="133"/>
    </row>
    <row r="203" spans="2:9" x14ac:dyDescent="0.3">
      <c r="B203" s="99" t="s">
        <v>308</v>
      </c>
      <c r="C203" s="96">
        <v>0</v>
      </c>
      <c r="D203" s="96">
        <v>0</v>
      </c>
      <c r="E203" s="96">
        <f t="shared" si="29"/>
        <v>0</v>
      </c>
      <c r="F203" s="96">
        <v>0</v>
      </c>
      <c r="G203" s="98">
        <f t="shared" si="30"/>
        <v>0</v>
      </c>
      <c r="I203" s="133"/>
    </row>
    <row r="204" spans="2:9" x14ac:dyDescent="0.3">
      <c r="B204" s="99" t="s">
        <v>309</v>
      </c>
      <c r="C204" s="96">
        <v>0</v>
      </c>
      <c r="D204" s="96">
        <v>0</v>
      </c>
      <c r="E204" s="96">
        <f t="shared" si="29"/>
        <v>0</v>
      </c>
      <c r="F204" s="96">
        <v>0</v>
      </c>
      <c r="G204" s="98">
        <f t="shared" si="30"/>
        <v>0</v>
      </c>
      <c r="I204" s="133"/>
    </row>
    <row r="205" spans="2:9" ht="15" thickBot="1" x14ac:dyDescent="0.35">
      <c r="B205" s="99" t="s">
        <v>310</v>
      </c>
      <c r="C205" s="96">
        <v>0</v>
      </c>
      <c r="D205" s="96">
        <v>0</v>
      </c>
      <c r="E205" s="96">
        <f t="shared" si="29"/>
        <v>0</v>
      </c>
      <c r="F205" s="96">
        <v>0</v>
      </c>
      <c r="G205" s="98">
        <f t="shared" si="30"/>
        <v>0</v>
      </c>
      <c r="I205" s="133"/>
    </row>
    <row r="206" spans="2:9" ht="15" thickBot="1" x14ac:dyDescent="0.35">
      <c r="B206" s="100" t="s">
        <v>311</v>
      </c>
      <c r="C206" s="101">
        <f>SUM(C200:C205)</f>
        <v>0</v>
      </c>
      <c r="D206" s="101">
        <f>SUM(D200:D205)</f>
        <v>0</v>
      </c>
      <c r="E206" s="101">
        <f>SUM(E200:E205)</f>
        <v>0</v>
      </c>
      <c r="F206" s="101">
        <f>SUM(F200:F205)</f>
        <v>0</v>
      </c>
      <c r="G206" s="102">
        <f>SUM(G200:G205)</f>
        <v>0</v>
      </c>
      <c r="I206" s="133"/>
    </row>
    <row r="207" spans="2:9" x14ac:dyDescent="0.3">
      <c r="B207" s="99" t="s">
        <v>115</v>
      </c>
      <c r="C207" s="96">
        <v>516.46</v>
      </c>
      <c r="D207" s="96">
        <v>1652.6999999999998</v>
      </c>
      <c r="E207" s="96">
        <f t="shared" ref="E207:E219" si="31">C207+D207</f>
        <v>2169.16</v>
      </c>
      <c r="F207" s="96">
        <v>0</v>
      </c>
      <c r="G207" s="98">
        <f t="shared" ref="G207:G219" si="32">E207+F207</f>
        <v>2169.16</v>
      </c>
      <c r="I207" s="133"/>
    </row>
    <row r="208" spans="2:9" x14ac:dyDescent="0.3">
      <c r="B208" s="99" t="s">
        <v>312</v>
      </c>
      <c r="C208" s="96">
        <v>0</v>
      </c>
      <c r="D208" s="96">
        <v>0</v>
      </c>
      <c r="E208" s="96">
        <f t="shared" si="31"/>
        <v>0</v>
      </c>
      <c r="F208" s="96">
        <v>0</v>
      </c>
      <c r="G208" s="98">
        <f t="shared" si="32"/>
        <v>0</v>
      </c>
      <c r="I208" s="133"/>
    </row>
    <row r="209" spans="2:9" x14ac:dyDescent="0.3">
      <c r="B209" s="99" t="s">
        <v>313</v>
      </c>
      <c r="C209" s="96">
        <v>0</v>
      </c>
      <c r="D209" s="96">
        <v>0</v>
      </c>
      <c r="E209" s="96">
        <f t="shared" si="31"/>
        <v>0</v>
      </c>
      <c r="F209" s="96">
        <v>0</v>
      </c>
      <c r="G209" s="98">
        <f t="shared" si="32"/>
        <v>0</v>
      </c>
      <c r="I209" s="133"/>
    </row>
    <row r="210" spans="2:9" x14ac:dyDescent="0.3">
      <c r="B210" s="99" t="s">
        <v>314</v>
      </c>
      <c r="C210" s="96">
        <v>0</v>
      </c>
      <c r="D210" s="96">
        <v>0</v>
      </c>
      <c r="E210" s="96">
        <f t="shared" si="31"/>
        <v>0</v>
      </c>
      <c r="F210" s="96">
        <v>0</v>
      </c>
      <c r="G210" s="98">
        <f t="shared" si="32"/>
        <v>0</v>
      </c>
      <c r="I210" s="133"/>
    </row>
    <row r="211" spans="2:9" x14ac:dyDescent="0.3">
      <c r="B211" s="99" t="s">
        <v>315</v>
      </c>
      <c r="C211" s="96">
        <v>0</v>
      </c>
      <c r="D211" s="96">
        <v>156</v>
      </c>
      <c r="E211" s="96">
        <f t="shared" si="31"/>
        <v>156</v>
      </c>
      <c r="F211" s="96">
        <v>0</v>
      </c>
      <c r="G211" s="98">
        <f t="shared" si="32"/>
        <v>156</v>
      </c>
      <c r="I211" s="133"/>
    </row>
    <row r="212" spans="2:9" x14ac:dyDescent="0.3">
      <c r="B212" s="99" t="s">
        <v>316</v>
      </c>
      <c r="C212" s="96">
        <v>808.51</v>
      </c>
      <c r="D212" s="96">
        <v>0</v>
      </c>
      <c r="E212" s="96">
        <f t="shared" si="31"/>
        <v>808.51</v>
      </c>
      <c r="F212" s="96">
        <v>0</v>
      </c>
      <c r="G212" s="98">
        <f t="shared" si="32"/>
        <v>808.51</v>
      </c>
      <c r="I212" s="133"/>
    </row>
    <row r="213" spans="2:9" x14ac:dyDescent="0.3">
      <c r="B213" s="99" t="s">
        <v>317</v>
      </c>
      <c r="C213" s="96">
        <v>0</v>
      </c>
      <c r="D213" s="96">
        <v>0</v>
      </c>
      <c r="E213" s="96">
        <f t="shared" si="31"/>
        <v>0</v>
      </c>
      <c r="F213" s="96">
        <v>0</v>
      </c>
      <c r="G213" s="98">
        <f t="shared" si="32"/>
        <v>0</v>
      </c>
      <c r="I213" s="133"/>
    </row>
    <row r="214" spans="2:9" x14ac:dyDescent="0.3">
      <c r="B214" s="99" t="s">
        <v>318</v>
      </c>
      <c r="C214" s="96">
        <v>0</v>
      </c>
      <c r="D214" s="96">
        <v>0</v>
      </c>
      <c r="E214" s="96">
        <f t="shared" si="31"/>
        <v>0</v>
      </c>
      <c r="F214" s="96">
        <v>0</v>
      </c>
      <c r="G214" s="98">
        <f t="shared" si="32"/>
        <v>0</v>
      </c>
      <c r="I214" s="133"/>
    </row>
    <row r="215" spans="2:9" x14ac:dyDescent="0.3">
      <c r="B215" s="99" t="s">
        <v>117</v>
      </c>
      <c r="C215" s="96">
        <v>0</v>
      </c>
      <c r="D215" s="96">
        <v>0</v>
      </c>
      <c r="E215" s="96">
        <f t="shared" si="31"/>
        <v>0</v>
      </c>
      <c r="F215" s="96">
        <v>0</v>
      </c>
      <c r="G215" s="98">
        <f t="shared" si="32"/>
        <v>0</v>
      </c>
      <c r="I215" s="133"/>
    </row>
    <row r="216" spans="2:9" x14ac:dyDescent="0.3">
      <c r="B216" s="99" t="s">
        <v>319</v>
      </c>
      <c r="C216" s="96">
        <v>0</v>
      </c>
      <c r="D216" s="96">
        <v>0</v>
      </c>
      <c r="E216" s="96">
        <f t="shared" si="31"/>
        <v>0</v>
      </c>
      <c r="F216" s="96">
        <v>0</v>
      </c>
      <c r="G216" s="98">
        <f t="shared" si="32"/>
        <v>0</v>
      </c>
      <c r="I216" s="133"/>
    </row>
    <row r="217" spans="2:9" x14ac:dyDescent="0.3">
      <c r="B217" s="99" t="s">
        <v>320</v>
      </c>
      <c r="C217" s="96">
        <v>0</v>
      </c>
      <c r="D217" s="96">
        <v>0</v>
      </c>
      <c r="E217" s="96">
        <f t="shared" si="31"/>
        <v>0</v>
      </c>
      <c r="F217" s="96">
        <v>0</v>
      </c>
      <c r="G217" s="98">
        <f t="shared" si="32"/>
        <v>0</v>
      </c>
      <c r="I217" s="133"/>
    </row>
    <row r="218" spans="2:9" x14ac:dyDescent="0.3">
      <c r="B218" s="99" t="s">
        <v>321</v>
      </c>
      <c r="C218" s="96">
        <v>466.75</v>
      </c>
      <c r="D218" s="96">
        <v>2514.96</v>
      </c>
      <c r="E218" s="96">
        <f t="shared" si="31"/>
        <v>2981.71</v>
      </c>
      <c r="F218" s="96">
        <v>0</v>
      </c>
      <c r="G218" s="98">
        <f t="shared" si="32"/>
        <v>2981.71</v>
      </c>
      <c r="I218" s="133"/>
    </row>
    <row r="219" spans="2:9" ht="15" thickBot="1" x14ac:dyDescent="0.35">
      <c r="B219" s="99" t="s">
        <v>322</v>
      </c>
      <c r="C219" s="96">
        <v>0</v>
      </c>
      <c r="D219" s="96">
        <v>300</v>
      </c>
      <c r="E219" s="96">
        <f t="shared" si="31"/>
        <v>300</v>
      </c>
      <c r="F219" s="96">
        <v>0</v>
      </c>
      <c r="G219" s="98">
        <f t="shared" si="32"/>
        <v>300</v>
      </c>
      <c r="I219" s="133"/>
    </row>
    <row r="220" spans="2:9" ht="15" thickBot="1" x14ac:dyDescent="0.35">
      <c r="B220" s="100" t="s">
        <v>122</v>
      </c>
      <c r="C220" s="101">
        <f>SUM(C207:C219)</f>
        <v>1791.72</v>
      </c>
      <c r="D220" s="101">
        <f>SUM(D207:D219)</f>
        <v>4623.66</v>
      </c>
      <c r="E220" s="101">
        <f t="shared" ref="E220:F220" si="33">SUM(E207:E219)</f>
        <v>6415.38</v>
      </c>
      <c r="F220" s="101">
        <f t="shared" si="33"/>
        <v>0</v>
      </c>
      <c r="G220" s="102">
        <f>SUM(G207:G219)</f>
        <v>6415.38</v>
      </c>
      <c r="I220" s="133"/>
    </row>
    <row r="221" spans="2:9" ht="15" thickBot="1" x14ac:dyDescent="0.35">
      <c r="B221" s="100" t="s">
        <v>323</v>
      </c>
      <c r="C221" s="101">
        <f>C192+C199+C206+C220</f>
        <v>39400.520000000004</v>
      </c>
      <c r="D221" s="101">
        <f t="shared" ref="D221:G221" si="34">D192+D199+D206+D220</f>
        <v>24675.13</v>
      </c>
      <c r="E221" s="101">
        <f t="shared" si="34"/>
        <v>64075.649999999994</v>
      </c>
      <c r="F221" s="101">
        <f t="shared" si="34"/>
        <v>0</v>
      </c>
      <c r="G221" s="102">
        <f t="shared" si="34"/>
        <v>64075.649999999994</v>
      </c>
      <c r="I221" s="133"/>
    </row>
    <row r="222" spans="2:9" x14ac:dyDescent="0.3">
      <c r="B222" s="137" t="s">
        <v>324</v>
      </c>
      <c r="C222" s="124">
        <f>C177-C221</f>
        <v>374866.68000000005</v>
      </c>
      <c r="D222" s="124">
        <f>D177-D221</f>
        <v>484550.61999999976</v>
      </c>
      <c r="E222" s="124">
        <f>E177-E221</f>
        <v>859417.2999999997</v>
      </c>
      <c r="F222" s="124">
        <f>F177-F221</f>
        <v>0</v>
      </c>
      <c r="G222" s="124">
        <f>G177-G221</f>
        <v>859417.2999999997</v>
      </c>
      <c r="I222" s="133"/>
    </row>
    <row r="223" spans="2:9" x14ac:dyDescent="0.3">
      <c r="B223" s="99" t="s">
        <v>325</v>
      </c>
      <c r="C223" s="96">
        <v>0</v>
      </c>
      <c r="D223" s="96">
        <v>0</v>
      </c>
      <c r="E223" s="96">
        <f t="shared" ref="E223:E231" si="35">C223+D223</f>
        <v>0</v>
      </c>
      <c r="F223" s="96">
        <v>0</v>
      </c>
      <c r="G223" s="98">
        <f t="shared" ref="G223:G231" si="36">E223+F223</f>
        <v>0</v>
      </c>
      <c r="I223" s="133"/>
    </row>
    <row r="224" spans="2:9" x14ac:dyDescent="0.3">
      <c r="B224" s="99" t="s">
        <v>326</v>
      </c>
      <c r="C224" s="96">
        <v>0</v>
      </c>
      <c r="D224" s="96">
        <v>375</v>
      </c>
      <c r="E224" s="96">
        <f t="shared" si="35"/>
        <v>375</v>
      </c>
      <c r="F224" s="96">
        <v>0</v>
      </c>
      <c r="G224" s="98">
        <f t="shared" si="36"/>
        <v>375</v>
      </c>
      <c r="I224" s="133"/>
    </row>
    <row r="225" spans="2:9" x14ac:dyDescent="0.3">
      <c r="B225" s="99" t="s">
        <v>327</v>
      </c>
      <c r="C225" s="96">
        <v>21215.673333333332</v>
      </c>
      <c r="D225" s="96">
        <v>447019.79116666666</v>
      </c>
      <c r="E225" s="96">
        <f t="shared" si="35"/>
        <v>468235.4645</v>
      </c>
      <c r="F225" s="96">
        <v>0</v>
      </c>
      <c r="G225" s="98">
        <f t="shared" si="36"/>
        <v>468235.4645</v>
      </c>
      <c r="I225" s="133"/>
    </row>
    <row r="226" spans="2:9" x14ac:dyDescent="0.3">
      <c r="B226" s="99" t="s">
        <v>328</v>
      </c>
      <c r="C226" s="96">
        <v>0</v>
      </c>
      <c r="D226" s="96">
        <v>0</v>
      </c>
      <c r="E226" s="96">
        <f t="shared" si="35"/>
        <v>0</v>
      </c>
      <c r="F226" s="96">
        <v>0</v>
      </c>
      <c r="G226" s="98">
        <f t="shared" si="36"/>
        <v>0</v>
      </c>
      <c r="I226" s="133"/>
    </row>
    <row r="227" spans="2:9" x14ac:dyDescent="0.3">
      <c r="B227" s="99" t="s">
        <v>329</v>
      </c>
      <c r="C227" s="96">
        <v>0</v>
      </c>
      <c r="D227" s="96">
        <v>0</v>
      </c>
      <c r="E227" s="96">
        <f t="shared" si="35"/>
        <v>0</v>
      </c>
      <c r="F227" s="96">
        <v>0</v>
      </c>
      <c r="G227" s="98">
        <f t="shared" si="36"/>
        <v>0</v>
      </c>
      <c r="I227" s="133"/>
    </row>
    <row r="228" spans="2:9" x14ac:dyDescent="0.3">
      <c r="B228" s="99" t="s">
        <v>330</v>
      </c>
      <c r="C228" s="96">
        <v>0</v>
      </c>
      <c r="D228" s="96">
        <v>0</v>
      </c>
      <c r="E228" s="96">
        <f t="shared" si="35"/>
        <v>0</v>
      </c>
      <c r="F228" s="96">
        <v>0</v>
      </c>
      <c r="G228" s="98">
        <f t="shared" si="36"/>
        <v>0</v>
      </c>
      <c r="I228" s="133"/>
    </row>
    <row r="229" spans="2:9" x14ac:dyDescent="0.3">
      <c r="B229" s="99" t="s">
        <v>331</v>
      </c>
      <c r="C229" s="96">
        <v>0</v>
      </c>
      <c r="D229" s="96">
        <v>0</v>
      </c>
      <c r="E229" s="96">
        <f t="shared" si="35"/>
        <v>0</v>
      </c>
      <c r="F229" s="96">
        <v>0</v>
      </c>
      <c r="G229" s="98">
        <f t="shared" si="36"/>
        <v>0</v>
      </c>
      <c r="I229" s="133"/>
    </row>
    <row r="230" spans="2:9" x14ac:dyDescent="0.3">
      <c r="B230" s="99" t="s">
        <v>332</v>
      </c>
      <c r="C230" s="96">
        <v>0</v>
      </c>
      <c r="D230" s="96">
        <v>0</v>
      </c>
      <c r="E230" s="96">
        <f t="shared" si="35"/>
        <v>0</v>
      </c>
      <c r="F230" s="96">
        <v>0</v>
      </c>
      <c r="G230" s="98">
        <f t="shared" si="36"/>
        <v>0</v>
      </c>
      <c r="I230" s="133"/>
    </row>
    <row r="231" spans="2:9" ht="15" thickBot="1" x14ac:dyDescent="0.35">
      <c r="B231" s="99" t="s">
        <v>333</v>
      </c>
      <c r="C231" s="96">
        <v>0</v>
      </c>
      <c r="D231" s="96">
        <v>0</v>
      </c>
      <c r="E231" s="96">
        <f t="shared" si="35"/>
        <v>0</v>
      </c>
      <c r="F231" s="96">
        <v>0</v>
      </c>
      <c r="G231" s="98">
        <f t="shared" si="36"/>
        <v>0</v>
      </c>
      <c r="I231" s="133"/>
    </row>
    <row r="232" spans="2:9" ht="15" thickBot="1" x14ac:dyDescent="0.35">
      <c r="B232" s="100" t="s">
        <v>114</v>
      </c>
      <c r="C232" s="101">
        <f>SUM(C223:C231)</f>
        <v>21215.673333333332</v>
      </c>
      <c r="D232" s="101">
        <f t="shared" ref="D232:F232" si="37">SUM(D223:D231)</f>
        <v>447394.79116666666</v>
      </c>
      <c r="E232" s="101">
        <f t="shared" si="37"/>
        <v>468610.4645</v>
      </c>
      <c r="F232" s="101">
        <f t="shared" si="37"/>
        <v>0</v>
      </c>
      <c r="G232" s="102">
        <f>SUM(G223:G231)</f>
        <v>468610.4645</v>
      </c>
      <c r="I232" s="133"/>
    </row>
    <row r="233" spans="2:9" x14ac:dyDescent="0.3">
      <c r="B233" s="137" t="s">
        <v>334</v>
      </c>
      <c r="C233" s="124">
        <f>C222-C232</f>
        <v>353651.00666666671</v>
      </c>
      <c r="D233" s="124">
        <f>D222-D232</f>
        <v>37155.8288333331</v>
      </c>
      <c r="E233" s="124">
        <f>E222-E232</f>
        <v>390806.8354999997</v>
      </c>
      <c r="F233" s="124">
        <f>F222-F232</f>
        <v>0</v>
      </c>
      <c r="G233" s="124">
        <f>G222-G232</f>
        <v>390806.8354999997</v>
      </c>
      <c r="I233" s="133"/>
    </row>
    <row r="234" spans="2:9" x14ac:dyDescent="0.3">
      <c r="B234" s="99" t="s">
        <v>335</v>
      </c>
      <c r="C234" s="96">
        <v>0</v>
      </c>
      <c r="D234" s="96">
        <v>0</v>
      </c>
      <c r="E234" s="96">
        <f>C234+D234</f>
        <v>0</v>
      </c>
      <c r="F234" s="96">
        <v>0</v>
      </c>
      <c r="G234" s="98">
        <f t="shared" ref="G234:G236" si="38">E234+F234</f>
        <v>0</v>
      </c>
      <c r="I234" s="133"/>
    </row>
    <row r="235" spans="2:9" x14ac:dyDescent="0.3">
      <c r="B235" s="99" t="s">
        <v>336</v>
      </c>
      <c r="C235" s="96">
        <v>-3999.46</v>
      </c>
      <c r="D235" s="96">
        <v>0</v>
      </c>
      <c r="E235" s="96">
        <f>C235+D235</f>
        <v>-3999.46</v>
      </c>
      <c r="F235" s="96">
        <v>0</v>
      </c>
      <c r="G235" s="98">
        <f t="shared" si="38"/>
        <v>-3999.46</v>
      </c>
      <c r="I235" s="133"/>
    </row>
    <row r="236" spans="2:9" ht="15" thickBot="1" x14ac:dyDescent="0.35">
      <c r="B236" s="99" t="s">
        <v>337</v>
      </c>
      <c r="C236" s="96">
        <v>-197.38</v>
      </c>
      <c r="D236" s="96">
        <v>0</v>
      </c>
      <c r="E236" s="96">
        <f>C236+D236</f>
        <v>-197.38</v>
      </c>
      <c r="F236" s="96">
        <v>0</v>
      </c>
      <c r="G236" s="98">
        <f t="shared" si="38"/>
        <v>-197.38</v>
      </c>
      <c r="I236" s="133"/>
    </row>
    <row r="237" spans="2:9" ht="15" thickBot="1" x14ac:dyDescent="0.35">
      <c r="B237" s="100" t="s">
        <v>338</v>
      </c>
      <c r="C237" s="101">
        <f>SUM(C234:C236)</f>
        <v>-4196.84</v>
      </c>
      <c r="D237" s="101">
        <f t="shared" ref="D237:F237" si="39">SUM(D234:D236)</f>
        <v>0</v>
      </c>
      <c r="E237" s="101">
        <f t="shared" si="39"/>
        <v>-4196.84</v>
      </c>
      <c r="F237" s="101">
        <f t="shared" si="39"/>
        <v>0</v>
      </c>
      <c r="G237" s="102">
        <f>E237+F237</f>
        <v>-4196.84</v>
      </c>
      <c r="I237" s="133"/>
    </row>
    <row r="238" spans="2:9" x14ac:dyDescent="0.3">
      <c r="B238" s="142" t="s">
        <v>124</v>
      </c>
      <c r="C238" s="98">
        <v>0</v>
      </c>
      <c r="D238" s="98">
        <v>120121.97999999998</v>
      </c>
      <c r="E238" s="98">
        <f>C238+D238</f>
        <v>120121.97999999998</v>
      </c>
      <c r="F238" s="98">
        <v>0</v>
      </c>
      <c r="G238" s="98">
        <f>E238+F238</f>
        <v>120121.97999999998</v>
      </c>
      <c r="I238" s="133"/>
    </row>
    <row r="239" spans="2:9" x14ac:dyDescent="0.3">
      <c r="B239" s="99" t="s">
        <v>123</v>
      </c>
      <c r="C239" s="96">
        <v>0</v>
      </c>
      <c r="D239" s="96">
        <v>16376.5</v>
      </c>
      <c r="E239" s="96">
        <f>C239+D239</f>
        <v>16376.5</v>
      </c>
      <c r="F239" s="96">
        <v>0</v>
      </c>
      <c r="G239" s="98">
        <f>E239+F239</f>
        <v>16376.5</v>
      </c>
      <c r="I239" s="133"/>
    </row>
    <row r="240" spans="2:9" ht="15" thickBot="1" x14ac:dyDescent="0.35">
      <c r="B240" s="99" t="s">
        <v>339</v>
      </c>
      <c r="C240" s="96">
        <v>0</v>
      </c>
      <c r="D240" s="96">
        <v>0</v>
      </c>
      <c r="E240" s="96">
        <f>C240+D240</f>
        <v>0</v>
      </c>
      <c r="F240" s="96">
        <v>0</v>
      </c>
      <c r="G240" s="98">
        <f>E240+F240</f>
        <v>0</v>
      </c>
      <c r="I240" s="133"/>
    </row>
    <row r="241" spans="2:9" ht="15" thickBot="1" x14ac:dyDescent="0.35">
      <c r="B241" s="100" t="s">
        <v>125</v>
      </c>
      <c r="C241" s="101">
        <f>SUM(C238:C240)</f>
        <v>0</v>
      </c>
      <c r="D241" s="101">
        <f>SUM(D238:D240)</f>
        <v>136498.47999999998</v>
      </c>
      <c r="E241" s="101">
        <f>SUM(E238:E240)</f>
        <v>136498.47999999998</v>
      </c>
      <c r="F241" s="101">
        <f>SUM(F238:F240)</f>
        <v>0</v>
      </c>
      <c r="G241" s="102">
        <f>SUM(G238:G240)</f>
        <v>136498.47999999998</v>
      </c>
      <c r="I241" s="133"/>
    </row>
    <row r="242" spans="2:9" ht="15" thickBot="1" x14ac:dyDescent="0.35">
      <c r="B242" s="100" t="s">
        <v>340</v>
      </c>
      <c r="C242" s="101">
        <f>C237-C241</f>
        <v>-4196.84</v>
      </c>
      <c r="D242" s="101">
        <f>D237-D241</f>
        <v>-136498.47999999998</v>
      </c>
      <c r="E242" s="101">
        <f>E237-E241</f>
        <v>-140695.31999999998</v>
      </c>
      <c r="F242" s="101">
        <f>F237-F241</f>
        <v>0</v>
      </c>
      <c r="G242" s="102">
        <f>G237-G241</f>
        <v>-140695.31999999998</v>
      </c>
      <c r="I242" s="133"/>
    </row>
    <row r="243" spans="2:9" x14ac:dyDescent="0.3">
      <c r="B243" s="99" t="s">
        <v>341</v>
      </c>
      <c r="C243" s="96">
        <v>0</v>
      </c>
      <c r="D243" s="96">
        <v>1810.96</v>
      </c>
      <c r="E243" s="96">
        <f>C243+D243</f>
        <v>1810.96</v>
      </c>
      <c r="F243" s="96">
        <v>0</v>
      </c>
      <c r="G243" s="98">
        <f>E243+F243</f>
        <v>1810.96</v>
      </c>
      <c r="I243" s="133"/>
    </row>
    <row r="244" spans="2:9" ht="15" thickBot="1" x14ac:dyDescent="0.35">
      <c r="B244" s="99" t="s">
        <v>342</v>
      </c>
      <c r="C244" s="96">
        <v>0</v>
      </c>
      <c r="D244" s="96">
        <v>0</v>
      </c>
      <c r="E244" s="96">
        <f>C244+D244</f>
        <v>0</v>
      </c>
      <c r="F244" s="96">
        <v>0</v>
      </c>
      <c r="G244" s="98">
        <f>E244+F244</f>
        <v>0</v>
      </c>
      <c r="I244" s="133"/>
    </row>
    <row r="245" spans="2:9" ht="15" thickBot="1" x14ac:dyDescent="0.35">
      <c r="B245" s="100" t="s">
        <v>343</v>
      </c>
      <c r="C245" s="101">
        <f>C243-C244</f>
        <v>0</v>
      </c>
      <c r="D245" s="101">
        <f>D243-D244</f>
        <v>1810.96</v>
      </c>
      <c r="E245" s="101">
        <f t="shared" ref="E245:F245" si="40">E243-E244</f>
        <v>1810.96</v>
      </c>
      <c r="F245" s="101">
        <f t="shared" si="40"/>
        <v>0</v>
      </c>
      <c r="G245" s="102">
        <f>G243-G244</f>
        <v>1810.96</v>
      </c>
      <c r="I245" s="133"/>
    </row>
    <row r="246" spans="2:9" x14ac:dyDescent="0.3">
      <c r="B246" s="137" t="s">
        <v>344</v>
      </c>
      <c r="C246" s="124">
        <f>C233+C242+C245</f>
        <v>349454.16666666669</v>
      </c>
      <c r="D246" s="124">
        <f>D233+D242+D245</f>
        <v>-97531.691166666875</v>
      </c>
      <c r="E246" s="124">
        <f>E233+E242+E245</f>
        <v>251922.47549999971</v>
      </c>
      <c r="F246" s="124">
        <f>F233+F242+F245</f>
        <v>0</v>
      </c>
      <c r="G246" s="124">
        <f>G233+G242+G245</f>
        <v>251922.47549999971</v>
      </c>
      <c r="I246" s="133"/>
    </row>
    <row r="247" spans="2:9" x14ac:dyDescent="0.3">
      <c r="B247" s="99" t="s">
        <v>345</v>
      </c>
      <c r="C247" s="96">
        <f>+C272</f>
        <v>84063</v>
      </c>
      <c r="D247" s="96">
        <v>105802.09708000004</v>
      </c>
      <c r="E247" s="96">
        <f>C247-D247</f>
        <v>-21739.097080000036</v>
      </c>
      <c r="F247" s="96">
        <v>0</v>
      </c>
      <c r="G247" s="98">
        <f t="shared" ref="G247:G248" si="41">E247+F247</f>
        <v>-21739.097080000036</v>
      </c>
      <c r="I247" s="133"/>
    </row>
    <row r="248" spans="2:9" x14ac:dyDescent="0.3">
      <c r="B248" s="99" t="s">
        <v>346</v>
      </c>
      <c r="C248" s="96">
        <f>C288</f>
        <v>13824</v>
      </c>
      <c r="D248" s="96">
        <v>-3852.7363744999971</v>
      </c>
      <c r="E248" s="96">
        <f>C248-D248</f>
        <v>17676.736374499997</v>
      </c>
      <c r="F248" s="96">
        <v>0</v>
      </c>
      <c r="G248" s="98">
        <f t="shared" si="41"/>
        <v>17676.736374499997</v>
      </c>
      <c r="I248" s="133"/>
    </row>
    <row r="249" spans="2:9" x14ac:dyDescent="0.3">
      <c r="B249" s="137" t="s">
        <v>347</v>
      </c>
      <c r="C249" s="124">
        <f>C246-C247-C248</f>
        <v>251567.16666666669</v>
      </c>
      <c r="D249" s="44">
        <f>D246+D247+D248</f>
        <v>4417.6695388331646</v>
      </c>
      <c r="E249" s="124">
        <f t="shared" ref="E249" si="42">E246-E247-E248</f>
        <v>255984.83620549974</v>
      </c>
      <c r="F249" s="124">
        <f>F246-F247-F248</f>
        <v>0</v>
      </c>
      <c r="G249" s="124">
        <f t="shared" ref="G249" si="43">G246-G247-G248</f>
        <v>255984.83620549974</v>
      </c>
      <c r="I249" s="133"/>
    </row>
    <row r="250" spans="2:9" x14ac:dyDescent="0.3">
      <c r="B250" s="9"/>
      <c r="G250" s="96"/>
      <c r="I250" s="133"/>
    </row>
    <row r="251" spans="2:9" x14ac:dyDescent="0.3">
      <c r="B251" s="143" t="s">
        <v>348</v>
      </c>
      <c r="C251" s="96">
        <f>C99-C249</f>
        <v>0</v>
      </c>
      <c r="D251" s="96">
        <f>D99-D249</f>
        <v>9.4587448984384537E-11</v>
      </c>
      <c r="E251" s="96">
        <f>E99-E249</f>
        <v>0</v>
      </c>
      <c r="F251" s="96">
        <f>F99-F249</f>
        <v>0</v>
      </c>
      <c r="G251" s="96">
        <f>G99-G249</f>
        <v>0</v>
      </c>
      <c r="I251" s="133"/>
    </row>
    <row r="252" spans="2:9" x14ac:dyDescent="0.3">
      <c r="B252" s="107"/>
      <c r="C252" s="115"/>
      <c r="D252" s="115"/>
      <c r="E252" s="115"/>
      <c r="F252" s="115"/>
      <c r="G252" s="115"/>
      <c r="I252" s="133"/>
    </row>
    <row r="253" spans="2:9" ht="15" thickBot="1" x14ac:dyDescent="0.35">
      <c r="B253" s="43" t="s">
        <v>349</v>
      </c>
      <c r="C253" s="124"/>
      <c r="G253" s="115"/>
      <c r="I253" s="133"/>
    </row>
    <row r="254" spans="2:9" ht="15" thickBot="1" x14ac:dyDescent="0.35">
      <c r="B254" s="100" t="s">
        <v>146</v>
      </c>
      <c r="C254" s="115"/>
      <c r="I254" s="133"/>
    </row>
    <row r="255" spans="2:9" ht="15" thickBot="1" x14ac:dyDescent="0.35">
      <c r="B255" s="100" t="str">
        <f>B246</f>
        <v>RISULTATO DI  ESERCIZIO LORDO</v>
      </c>
      <c r="C255" s="101">
        <f>C246</f>
        <v>349454.16666666669</v>
      </c>
      <c r="I255" s="133"/>
    </row>
    <row r="256" spans="2:9" x14ac:dyDescent="0.3">
      <c r="B256" s="46" t="s">
        <v>147</v>
      </c>
      <c r="I256" s="133"/>
    </row>
    <row r="257" spans="2:9" x14ac:dyDescent="0.3">
      <c r="B257" s="144" t="str">
        <f>B179</f>
        <v>Spese telefonia fissa e mobile (20%)</v>
      </c>
      <c r="C257" s="106">
        <f>C179*0.2</f>
        <v>0</v>
      </c>
      <c r="I257" s="133"/>
    </row>
    <row r="258" spans="2:9" x14ac:dyDescent="0.3">
      <c r="B258" s="145" t="str">
        <f>B182</f>
        <v>Spese di rappresentanza parzialmente deducibili</v>
      </c>
      <c r="C258" s="106">
        <f>C182</f>
        <v>0</v>
      </c>
      <c r="I258" s="133"/>
    </row>
    <row r="259" spans="2:9" x14ac:dyDescent="0.3">
      <c r="B259" s="146" t="s">
        <v>350</v>
      </c>
      <c r="C259" s="96">
        <v>0</v>
      </c>
      <c r="I259" s="133"/>
    </row>
    <row r="260" spans="2:9" x14ac:dyDescent="0.3">
      <c r="B260" s="144" t="str">
        <f>B217</f>
        <v>Ammende, multe, e oblazioni</v>
      </c>
      <c r="C260" s="106">
        <f>+C212+C217</f>
        <v>808.51</v>
      </c>
      <c r="I260" s="133"/>
    </row>
    <row r="261" spans="2:9" x14ac:dyDescent="0.3">
      <c r="B261" s="144" t="str">
        <f>B244</f>
        <v xml:space="preserve">Sopravvenienze passive </v>
      </c>
      <c r="C261" s="106">
        <f>C244</f>
        <v>0</v>
      </c>
      <c r="I261" s="133"/>
    </row>
    <row r="262" spans="2:9" ht="15" thickBot="1" x14ac:dyDescent="0.35">
      <c r="B262" s="144" t="str">
        <f>B229</f>
        <v xml:space="preserve">Accantonamento f.do svalut. crediti </v>
      </c>
      <c r="C262" s="106">
        <f>C229+C230+C231</f>
        <v>0</v>
      </c>
      <c r="I262" s="133"/>
    </row>
    <row r="263" spans="2:9" ht="15" thickBot="1" x14ac:dyDescent="0.35">
      <c r="B263" s="100" t="s">
        <v>351</v>
      </c>
      <c r="C263" s="101">
        <f>SUM(C257:C262)</f>
        <v>808.51</v>
      </c>
      <c r="I263" s="133"/>
    </row>
    <row r="264" spans="2:9" x14ac:dyDescent="0.3">
      <c r="B264" s="46" t="s">
        <v>149</v>
      </c>
      <c r="I264" s="133"/>
    </row>
    <row r="265" spans="2:9" x14ac:dyDescent="0.3">
      <c r="B265" s="145" t="str">
        <f>B258</f>
        <v>Spese di rappresentanza parzialmente deducibili</v>
      </c>
      <c r="C265" s="106">
        <f>C258*0.75</f>
        <v>0</v>
      </c>
      <c r="I265" s="133"/>
    </row>
    <row r="266" spans="2:9" x14ac:dyDescent="0.3">
      <c r="B266" s="146" t="s">
        <v>352</v>
      </c>
      <c r="C266" s="147">
        <v>0</v>
      </c>
      <c r="I266" s="133"/>
    </row>
    <row r="267" spans="2:9" x14ac:dyDescent="0.3">
      <c r="B267" s="146" t="s">
        <v>353</v>
      </c>
      <c r="C267" s="147">
        <v>0</v>
      </c>
      <c r="I267" s="133"/>
    </row>
    <row r="268" spans="2:9" x14ac:dyDescent="0.3">
      <c r="B268" s="148" t="s">
        <v>354</v>
      </c>
      <c r="C268" s="149">
        <f>C158</f>
        <v>0</v>
      </c>
      <c r="I268" s="133"/>
    </row>
    <row r="269" spans="2:9" ht="15" thickBot="1" x14ac:dyDescent="0.35">
      <c r="B269" s="150" t="s">
        <v>355</v>
      </c>
      <c r="C269" s="106">
        <v>0</v>
      </c>
      <c r="I269" s="133"/>
    </row>
    <row r="270" spans="2:9" ht="15" thickBot="1" x14ac:dyDescent="0.35">
      <c r="B270" s="100" t="s">
        <v>356</v>
      </c>
      <c r="C270" s="101">
        <f>SUM(C265:C269)</f>
        <v>0</v>
      </c>
      <c r="I270" s="133"/>
    </row>
    <row r="271" spans="2:9" ht="15" thickBot="1" x14ac:dyDescent="0.35">
      <c r="B271" s="100" t="s">
        <v>357</v>
      </c>
      <c r="C271" s="101">
        <f>C255+C263-C270</f>
        <v>350262.6766666667</v>
      </c>
    </row>
    <row r="272" spans="2:9" ht="15" thickBot="1" x14ac:dyDescent="0.35">
      <c r="B272" s="151" t="s">
        <v>146</v>
      </c>
      <c r="C272" s="152">
        <f>ROUND((C271*0.24),0)</f>
        <v>84063</v>
      </c>
    </row>
    <row r="273" spans="2:12" ht="15" thickBot="1" x14ac:dyDescent="0.35">
      <c r="B273" s="153" t="s">
        <v>154</v>
      </c>
    </row>
    <row r="274" spans="2:12" ht="15" thickBot="1" x14ac:dyDescent="0.35">
      <c r="B274" s="100" t="s">
        <v>358</v>
      </c>
      <c r="C274" s="101">
        <f>C233+C245</f>
        <v>353651.00666666671</v>
      </c>
      <c r="E274" s="115"/>
    </row>
    <row r="275" spans="2:12" x14ac:dyDescent="0.3">
      <c r="B275" s="46" t="s">
        <v>156</v>
      </c>
    </row>
    <row r="276" spans="2:12" x14ac:dyDescent="0.3">
      <c r="B276" s="154" t="str">
        <f>B206</f>
        <v>Costi per il personale</v>
      </c>
      <c r="C276" s="106">
        <f>C206</f>
        <v>0</v>
      </c>
    </row>
    <row r="277" spans="2:12" x14ac:dyDescent="0.3">
      <c r="B277" s="154" t="str">
        <f>B262</f>
        <v xml:space="preserve">Accantonamento f.do svalut. crediti </v>
      </c>
      <c r="C277" s="106">
        <f>C262</f>
        <v>0</v>
      </c>
    </row>
    <row r="278" spans="2:12" s="96" customFormat="1" x14ac:dyDescent="0.3">
      <c r="B278" s="146" t="s">
        <v>359</v>
      </c>
      <c r="C278" s="147">
        <v>0</v>
      </c>
      <c r="G278" s="107"/>
      <c r="H278" s="92"/>
      <c r="I278" s="107"/>
      <c r="J278" s="107"/>
      <c r="K278" s="107"/>
      <c r="L278" s="107"/>
    </row>
    <row r="279" spans="2:12" s="96" customFormat="1" x14ac:dyDescent="0.3">
      <c r="B279" s="148" t="s">
        <v>354</v>
      </c>
      <c r="C279" s="149">
        <f>-C158</f>
        <v>0</v>
      </c>
      <c r="G279" s="107"/>
      <c r="H279" s="92"/>
      <c r="I279" s="107"/>
      <c r="J279" s="107"/>
      <c r="K279" s="107"/>
      <c r="L279" s="107"/>
    </row>
    <row r="280" spans="2:12" s="96" customFormat="1" x14ac:dyDescent="0.3">
      <c r="B280" s="145" t="s">
        <v>360</v>
      </c>
      <c r="C280" s="149">
        <f>C184</f>
        <v>0</v>
      </c>
      <c r="G280" s="107"/>
      <c r="H280" s="92"/>
      <c r="I280" s="107"/>
      <c r="J280" s="107"/>
      <c r="K280" s="107"/>
      <c r="L280" s="107"/>
    </row>
    <row r="281" spans="2:12" s="96" customFormat="1" x14ac:dyDescent="0.3">
      <c r="B281" s="145" t="s">
        <v>361</v>
      </c>
      <c r="C281" s="149">
        <f>C181</f>
        <v>0</v>
      </c>
      <c r="G281" s="107"/>
      <c r="H281" s="92"/>
      <c r="I281" s="107"/>
      <c r="J281" s="107"/>
      <c r="K281" s="107"/>
      <c r="L281" s="107"/>
    </row>
    <row r="282" spans="2:12" s="96" customFormat="1" x14ac:dyDescent="0.3">
      <c r="B282" s="148" t="s">
        <v>362</v>
      </c>
      <c r="C282" s="149">
        <f>C185+C186</f>
        <v>0</v>
      </c>
      <c r="G282" s="107"/>
      <c r="H282" s="92"/>
      <c r="I282" s="107"/>
      <c r="J282" s="107"/>
      <c r="K282" s="107"/>
      <c r="L282" s="107"/>
    </row>
    <row r="283" spans="2:12" s="96" customFormat="1" x14ac:dyDescent="0.3">
      <c r="B283" s="144" t="str">
        <f>B217</f>
        <v>Ammende, multe, e oblazioni</v>
      </c>
      <c r="C283" s="106">
        <f>+C212</f>
        <v>808.51</v>
      </c>
      <c r="G283" s="107"/>
      <c r="H283" s="92"/>
      <c r="I283" s="107"/>
      <c r="J283" s="107"/>
      <c r="K283" s="107"/>
      <c r="L283" s="107"/>
    </row>
    <row r="284" spans="2:12" s="96" customFormat="1" x14ac:dyDescent="0.3">
      <c r="B284" s="146" t="s">
        <v>350</v>
      </c>
      <c r="C284" s="147">
        <v>0</v>
      </c>
      <c r="G284" s="107"/>
      <c r="H284" s="92"/>
      <c r="I284" s="107"/>
      <c r="J284" s="107"/>
      <c r="K284" s="107"/>
      <c r="L284" s="107"/>
    </row>
    <row r="285" spans="2:12" s="96" customFormat="1" ht="15" thickBot="1" x14ac:dyDescent="0.35">
      <c r="B285" s="144" t="str">
        <f>B261</f>
        <v xml:space="preserve">Sopravvenienze passive </v>
      </c>
      <c r="C285" s="106">
        <f>C261</f>
        <v>0</v>
      </c>
      <c r="G285" s="107"/>
      <c r="H285" s="92"/>
      <c r="I285" s="107"/>
      <c r="J285" s="107"/>
      <c r="K285" s="107"/>
      <c r="L285" s="107"/>
    </row>
    <row r="286" spans="2:12" s="96" customFormat="1" ht="15" thickBot="1" x14ac:dyDescent="0.35">
      <c r="B286" s="100" t="s">
        <v>363</v>
      </c>
      <c r="C286" s="101">
        <f>SUM(C274:C285)</f>
        <v>354459.51666666672</v>
      </c>
      <c r="G286" s="107"/>
      <c r="H286" s="92"/>
      <c r="I286" s="107"/>
      <c r="J286" s="107"/>
      <c r="K286" s="107"/>
      <c r="L286" s="107"/>
    </row>
    <row r="287" spans="2:12" s="96" customFormat="1" x14ac:dyDescent="0.3">
      <c r="B287" s="155" t="s">
        <v>154</v>
      </c>
      <c r="C287" s="156">
        <f>ROUND((C286*0.039),0)</f>
        <v>13824</v>
      </c>
      <c r="G287" s="107"/>
      <c r="H287" s="92"/>
      <c r="I287" s="107"/>
      <c r="J287" s="107"/>
      <c r="K287" s="107"/>
      <c r="L287" s="107"/>
    </row>
    <row r="288" spans="2:12" s="96" customFormat="1" x14ac:dyDescent="0.3">
      <c r="B288" s="155" t="s">
        <v>364</v>
      </c>
      <c r="C288" s="156">
        <f>IF(C287&lt;0,0,C287)</f>
        <v>13824</v>
      </c>
      <c r="G288" s="107"/>
      <c r="H288" s="92"/>
      <c r="I288" s="107"/>
      <c r="J288" s="107"/>
      <c r="K288" s="107"/>
      <c r="L288" s="107"/>
    </row>
  </sheetData>
  <mergeCells count="2">
    <mergeCell ref="B1:G1"/>
    <mergeCell ref="B148:G148"/>
  </mergeCells>
  <pageMargins left="0.70866141732283472" right="0.70866141732283472" top="0.74803149606299213" bottom="0.74803149606299213" header="0.31496062992125984" footer="0.31496062992125984"/>
  <pageSetup paperSize="9" scale="95" fitToHeight="0" orientation="landscape" r:id="rId1"/>
  <rowBreaks count="2" manualBreakCount="2">
    <brk id="91" max="16383" man="1"/>
    <brk id="14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A7A6-F97F-4321-8A4C-3852B9AC74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8D4A29D3D45842B44FAED1AAC439B1" ma:contentTypeVersion="3" ma:contentTypeDescription="Creare un nuovo documento." ma:contentTypeScope="" ma:versionID="0cc1a2f0fdecc834e7558ba0e7a1d85c">
  <xsd:schema xmlns:xsd="http://www.w3.org/2001/XMLSchema" xmlns:xs="http://www.w3.org/2001/XMLSchema" xmlns:p="http://schemas.microsoft.com/office/2006/metadata/properties" xmlns:ns2="1b5ffcd3-4ccc-457b-be3a-1b839281403e" targetNamespace="http://schemas.microsoft.com/office/2006/metadata/properties" ma:root="true" ma:fieldsID="6be16466061a7c4b03b887c3be9e4e07" ns2:_="">
    <xsd:import namespace="1b5ffcd3-4ccc-457b-be3a-1b83928140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ffcd3-4ccc-457b-be3a-1b8392814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86F18-D5DE-4542-AA74-CD7E5D678B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F2ACF5-444D-4216-97EC-F684BA714BA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5C470A7-18D9-4194-B84E-2FF29A7AE7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ffcd3-4ccc-457b-be3a-1b83928140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Aggr. SPV</vt:lpstr>
      <vt:lpstr>SGP+SPV</vt:lpstr>
      <vt:lpstr>Foglio1</vt:lpstr>
      <vt:lpstr>'Aggr. SPV'!Print_Area</vt:lpstr>
      <vt:lpstr>'SGP+SPV'!Print_Area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 Nigrotti</dc:creator>
  <cp:lastModifiedBy>Enrico Molena</cp:lastModifiedBy>
  <dcterms:created xsi:type="dcterms:W3CDTF">2026-09-04T08:35:45Z</dcterms:created>
  <dcterms:modified xsi:type="dcterms:W3CDTF">2026-09-23T08:22:05Z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0x010100D78D4A29D3D45842B44FAED1AAC439B1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