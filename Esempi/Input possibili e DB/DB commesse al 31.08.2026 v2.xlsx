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ivismartcloud.sharepoint.com/sites/Finance/FPA/Reporting/2026/08_Agosto/01_Input/Import Economics/"/>
    </mc:Choice>
  </mc:AlternateContent>
  <xr:revisionPtr revIDLastSave="209" documentId="8_{D528EF0C-CD5E-43FB-B50A-0A7DC15BEB57}" xr6:coauthVersionLast="47" xr6:coauthVersionMax="47" xr10:uidLastSave="{F54EA5C1-CFE9-47BB-AF4B-3F0483EC7B22}"/>
  <bookViews>
    <workbookView xWindow="-120" yWindow="-120" windowWidth="29040" windowHeight="15720" tabRatio="860" activeTab="4" xr2:uid="{00000000-000D-0000-FFFF-FFFF00000000}"/>
  </bookViews>
  <sheets>
    <sheet name="Original" sheetId="1" r:id="rId1"/>
    <sheet name="Elab 1" sheetId="2" r:id="rId2"/>
    <sheet name="Elab 2" sheetId="3" r:id="rId3"/>
    <sheet name="Elab 3" sheetId="4" r:id="rId4"/>
    <sheet name="Fotovoltaico" sheetId="5" r:id="rId5"/>
    <sheet name="ExtraLav e Spot" sheetId="12" r:id="rId6"/>
    <sheet name="Pivot CVS" sheetId="8" r:id="rId7"/>
    <sheet name="capitalizzazioni CVS" sheetId="6" r:id="rId8"/>
    <sheet name="Pivot SPVs" sheetId="9" r:id="rId9"/>
    <sheet name="capitalizzazioni SPV" sheetId="7" r:id="rId10"/>
    <sheet name="RipartizioneCosti Capitalizzati" sheetId="10" r:id="rId11"/>
    <sheet name="check" sheetId="11" r:id="rId12"/>
  </sheets>
  <definedNames>
    <definedName name="_xlnm._FilterDatabase" localSheetId="7" hidden="1">'capitalizzazioni CVS'!$A$5:$P$5</definedName>
    <definedName name="_xlnm._FilterDatabase" localSheetId="9" hidden="1">'capitalizzazioni SPV'!$A$5:$N$40</definedName>
    <definedName name="_xlnm._FilterDatabase" localSheetId="1" hidden="1">'Elab 1'!$A$6:$H$1249</definedName>
    <definedName name="_xlnm._FilterDatabase" localSheetId="2" hidden="1">'Elab 2'!$A$6:$I$1249</definedName>
    <definedName name="_xlnm._FilterDatabase" localSheetId="3" hidden="1">'Elab 3'!$A$6:$J$1249</definedName>
    <definedName name="_xlnm._FilterDatabase" localSheetId="5" hidden="1">'ExtraLav e Spot'!$A$5:$J$271</definedName>
    <definedName name="_xlnm._FilterDatabase" localSheetId="4" hidden="1">Fotovoltaico!$A$5:$H$63</definedName>
    <definedName name="_xlnm._FilterDatabase" localSheetId="6" hidden="1">'Pivot CVS'!$G$3:$K$214</definedName>
    <definedName name="_xlnm._FilterDatabase" localSheetId="10" hidden="1">'RipartizioneCosti Capitalizzati'!$A$5:$S$347</definedName>
  </definedNames>
  <calcPr calcId="191029"/>
  <pivotCaches>
    <pivotCache cacheId="0" r:id="rId13"/>
    <pivotCache cacheId="1" r:id="rId14"/>
    <pivotCache cacheId="2" r:id="rId15"/>
    <pivotCache cacheId="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/>
  <c r="O2" i="6"/>
  <c r="N2" i="6"/>
  <c r="P4" i="6"/>
  <c r="Q332" i="6"/>
  <c r="F3" i="4"/>
  <c r="E91" i="12"/>
  <c r="E245" i="12"/>
  <c r="E258" i="12"/>
  <c r="E6" i="12"/>
  <c r="E76" i="12"/>
  <c r="E262" i="12"/>
  <c r="E268" i="12"/>
  <c r="E184" i="12"/>
  <c r="E143" i="12"/>
  <c r="E90" i="12"/>
  <c r="E229" i="12"/>
  <c r="E116" i="12"/>
  <c r="E218" i="12"/>
  <c r="E216" i="12"/>
  <c r="E96" i="12"/>
  <c r="E227" i="12"/>
  <c r="E236" i="12"/>
  <c r="E167" i="12"/>
  <c r="E49" i="12"/>
  <c r="E101" i="12"/>
  <c r="E224" i="12"/>
  <c r="E214" i="12"/>
  <c r="E250" i="12"/>
  <c r="E105" i="12"/>
  <c r="E226" i="12"/>
  <c r="E221" i="12"/>
  <c r="E206" i="12"/>
  <c r="E261" i="12"/>
  <c r="E209" i="12"/>
  <c r="E232" i="12"/>
  <c r="E187" i="12"/>
  <c r="E255" i="12"/>
  <c r="E75" i="12"/>
  <c r="E215" i="12"/>
  <c r="E270" i="12"/>
  <c r="E247" i="12"/>
  <c r="E235" i="12"/>
  <c r="E67" i="12"/>
  <c r="E234" i="12"/>
  <c r="E225" i="12"/>
  <c r="E243" i="12"/>
  <c r="E14" i="12"/>
  <c r="E242" i="12"/>
  <c r="E238" i="12"/>
  <c r="E217" i="12"/>
  <c r="E237" i="12"/>
  <c r="E39" i="12"/>
  <c r="E257" i="12"/>
  <c r="E210" i="12"/>
  <c r="E7" i="12"/>
  <c r="E27" i="12"/>
  <c r="E219" i="12"/>
  <c r="E160" i="12"/>
  <c r="E260" i="12"/>
  <c r="E19" i="12"/>
  <c r="E87" i="12"/>
  <c r="E8" i="12"/>
  <c r="E266" i="12"/>
  <c r="E138" i="12"/>
  <c r="E244" i="12"/>
  <c r="E271" i="12"/>
  <c r="E74" i="12"/>
  <c r="E18" i="12"/>
  <c r="E240" i="12"/>
  <c r="E228" i="12"/>
  <c r="E253" i="12"/>
  <c r="E10" i="12"/>
  <c r="E118" i="12"/>
  <c r="E126" i="12"/>
  <c r="E241" i="12"/>
  <c r="E30" i="12"/>
  <c r="E124" i="12"/>
  <c r="E13" i="12"/>
  <c r="E231" i="12"/>
  <c r="E29" i="12"/>
  <c r="E142" i="12"/>
  <c r="E137" i="12"/>
  <c r="E186" i="12"/>
  <c r="E53" i="12"/>
  <c r="E163" i="12"/>
  <c r="E35" i="12"/>
  <c r="E239" i="12"/>
  <c r="E195" i="12"/>
  <c r="E176" i="12"/>
  <c r="E32" i="12"/>
  <c r="E185" i="12"/>
  <c r="E223" i="12"/>
  <c r="E233" i="12"/>
  <c r="E89" i="12"/>
  <c r="E205" i="12"/>
  <c r="E148" i="12"/>
  <c r="E9" i="12"/>
  <c r="E208" i="12"/>
  <c r="E128" i="12"/>
  <c r="E78" i="12"/>
  <c r="E84" i="12"/>
  <c r="E42" i="12"/>
  <c r="E63" i="12"/>
  <c r="E40" i="12"/>
  <c r="E20" i="12"/>
  <c r="E256" i="12"/>
  <c r="E265" i="12"/>
  <c r="E52" i="12"/>
  <c r="E66" i="12"/>
  <c r="E230" i="12"/>
  <c r="E179" i="12"/>
  <c r="E136" i="12"/>
  <c r="E47" i="12"/>
  <c r="E213" i="12"/>
  <c r="E174" i="12"/>
  <c r="E80" i="12"/>
  <c r="E183" i="12"/>
  <c r="E123" i="12"/>
  <c r="E107" i="12"/>
  <c r="E141" i="12"/>
  <c r="E61" i="12"/>
  <c r="E173" i="12"/>
  <c r="E170" i="12"/>
  <c r="E188" i="12"/>
  <c r="E72" i="12"/>
  <c r="E162" i="12"/>
  <c r="E269" i="12"/>
  <c r="E267" i="12"/>
  <c r="E166" i="12"/>
  <c r="E21" i="12"/>
  <c r="E201" i="12"/>
  <c r="E158" i="12"/>
  <c r="E172" i="12"/>
  <c r="E110" i="12"/>
  <c r="E70" i="12"/>
  <c r="E37" i="12"/>
  <c r="E145" i="12"/>
  <c r="E98" i="12"/>
  <c r="E117" i="12"/>
  <c r="E55" i="12"/>
  <c r="E157" i="12"/>
  <c r="E153" i="12"/>
  <c r="E246" i="12"/>
  <c r="E156" i="12"/>
  <c r="E159" i="12"/>
  <c r="E12" i="12"/>
  <c r="E102" i="12"/>
  <c r="E249" i="12"/>
  <c r="E104" i="12"/>
  <c r="E28" i="12"/>
  <c r="E220" i="12"/>
  <c r="E57" i="12"/>
  <c r="E26" i="12"/>
  <c r="E71" i="12"/>
  <c r="E155" i="12"/>
  <c r="E178" i="12"/>
  <c r="E169" i="12"/>
  <c r="E73" i="12"/>
  <c r="E196" i="12"/>
  <c r="E139" i="12"/>
  <c r="E38" i="12"/>
  <c r="E202" i="12"/>
  <c r="E11" i="12"/>
  <c r="E103" i="12"/>
  <c r="E154" i="12"/>
  <c r="E41" i="12"/>
  <c r="E165" i="12"/>
  <c r="E212" i="12"/>
  <c r="E114" i="12"/>
  <c r="E95" i="12"/>
  <c r="E127" i="12"/>
  <c r="E168" i="12"/>
  <c r="E264" i="12"/>
  <c r="E222" i="12"/>
  <c r="E85" i="12"/>
  <c r="E83" i="12"/>
  <c r="E24" i="12"/>
  <c r="E113" i="12"/>
  <c r="E171" i="12"/>
  <c r="E115" i="12"/>
  <c r="E133" i="12"/>
  <c r="E62" i="12"/>
  <c r="E22" i="12"/>
  <c r="E175" i="12"/>
  <c r="E120" i="12"/>
  <c r="E77" i="12"/>
  <c r="E69" i="12"/>
  <c r="E152" i="12"/>
  <c r="E200" i="12"/>
  <c r="E111" i="12"/>
  <c r="E36" i="12"/>
  <c r="E86" i="12"/>
  <c r="E34" i="12"/>
  <c r="E164" i="12"/>
  <c r="E59" i="12"/>
  <c r="E197" i="12"/>
  <c r="E54" i="12"/>
  <c r="E25" i="12"/>
  <c r="E131" i="12"/>
  <c r="E33" i="12"/>
  <c r="E193" i="12"/>
  <c r="E81" i="12"/>
  <c r="E121" i="12"/>
  <c r="E48" i="12"/>
  <c r="E204" i="12"/>
  <c r="E92" i="12"/>
  <c r="E93" i="12"/>
  <c r="E182" i="12"/>
  <c r="E199" i="12"/>
  <c r="E68" i="12"/>
  <c r="E151" i="12"/>
  <c r="E135" i="12"/>
  <c r="E259" i="12"/>
  <c r="E252" i="12"/>
  <c r="E56" i="12"/>
  <c r="E251" i="12"/>
  <c r="E108" i="12"/>
  <c r="E149" i="12"/>
  <c r="E147" i="12"/>
  <c r="E65" i="12"/>
  <c r="E119" i="12"/>
  <c r="E194" i="12"/>
  <c r="E94" i="12"/>
  <c r="E122" i="12"/>
  <c r="E23" i="12"/>
  <c r="E146" i="12"/>
  <c r="E112" i="12"/>
  <c r="E134" i="12"/>
  <c r="E82" i="12"/>
  <c r="E45" i="12"/>
  <c r="E58" i="12"/>
  <c r="E100" i="12"/>
  <c r="E161" i="12"/>
  <c r="E254" i="12"/>
  <c r="E88" i="12"/>
  <c r="E97" i="12"/>
  <c r="E177" i="12"/>
  <c r="E31" i="12"/>
  <c r="E207" i="12"/>
  <c r="E79" i="12"/>
  <c r="E198" i="12"/>
  <c r="E109" i="12"/>
  <c r="E248" i="12"/>
  <c r="E189" i="12"/>
  <c r="E150" i="12"/>
  <c r="E106" i="12"/>
  <c r="E125" i="12"/>
  <c r="E263" i="12"/>
  <c r="E50" i="12"/>
  <c r="E191" i="12"/>
  <c r="E129" i="12"/>
  <c r="E17" i="12"/>
  <c r="E180" i="12"/>
  <c r="E51" i="12"/>
  <c r="E132" i="12"/>
  <c r="E190" i="12"/>
  <c r="E181" i="12"/>
  <c r="E16" i="12"/>
  <c r="E144" i="12"/>
  <c r="E44" i="12"/>
  <c r="E130" i="12"/>
  <c r="E203" i="12"/>
  <c r="E140" i="12"/>
  <c r="E43" i="12"/>
  <c r="E60" i="12"/>
  <c r="E64" i="12"/>
  <c r="E15" i="12"/>
  <c r="E46" i="12"/>
  <c r="E99" i="12"/>
  <c r="E192" i="12"/>
  <c r="E211" i="12"/>
  <c r="I4" i="12"/>
  <c r="H4" i="12"/>
  <c r="G4" i="12"/>
  <c r="F4" i="12"/>
  <c r="D4" i="12"/>
  <c r="I63" i="5"/>
  <c r="K63" i="5" s="1"/>
  <c r="L63" i="5" s="1"/>
  <c r="N63" i="5" s="1"/>
  <c r="I62" i="5"/>
  <c r="K62" i="5" s="1"/>
  <c r="L62" i="5" s="1"/>
  <c r="N62" i="5" s="1"/>
  <c r="I61" i="5"/>
  <c r="K61" i="5" s="1"/>
  <c r="L61" i="5" s="1"/>
  <c r="N61" i="5" s="1"/>
  <c r="I60" i="5"/>
  <c r="K60" i="5" s="1"/>
  <c r="L60" i="5" s="1"/>
  <c r="N60" i="5" s="1"/>
  <c r="I59" i="5"/>
  <c r="K59" i="5" s="1"/>
  <c r="L59" i="5" s="1"/>
  <c r="N59" i="5" s="1"/>
  <c r="I58" i="5"/>
  <c r="K58" i="5" s="1"/>
  <c r="L58" i="5" s="1"/>
  <c r="N58" i="5" s="1"/>
  <c r="I57" i="5"/>
  <c r="K57" i="5" s="1"/>
  <c r="L57" i="5" s="1"/>
  <c r="N57" i="5" s="1"/>
  <c r="I56" i="5"/>
  <c r="K56" i="5" s="1"/>
  <c r="L56" i="5" s="1"/>
  <c r="N56" i="5" s="1"/>
  <c r="I55" i="5"/>
  <c r="K55" i="5" s="1"/>
  <c r="L55" i="5" s="1"/>
  <c r="N55" i="5" s="1"/>
  <c r="I54" i="5"/>
  <c r="K54" i="5" s="1"/>
  <c r="L54" i="5" s="1"/>
  <c r="N54" i="5" s="1"/>
  <c r="I53" i="5"/>
  <c r="K53" i="5" s="1"/>
  <c r="L53" i="5" s="1"/>
  <c r="N53" i="5" s="1"/>
  <c r="I52" i="5"/>
  <c r="K52" i="5" s="1"/>
  <c r="L52" i="5" s="1"/>
  <c r="N52" i="5" s="1"/>
  <c r="I51" i="5"/>
  <c r="K51" i="5" s="1"/>
  <c r="L51" i="5" s="1"/>
  <c r="N51" i="5" s="1"/>
  <c r="I50" i="5"/>
  <c r="K50" i="5" s="1"/>
  <c r="L50" i="5" s="1"/>
  <c r="N50" i="5" s="1"/>
  <c r="I49" i="5"/>
  <c r="K49" i="5" s="1"/>
  <c r="L49" i="5" s="1"/>
  <c r="N49" i="5" s="1"/>
  <c r="I48" i="5"/>
  <c r="K48" i="5" s="1"/>
  <c r="L48" i="5" s="1"/>
  <c r="N48" i="5" s="1"/>
  <c r="I47" i="5"/>
  <c r="K47" i="5" s="1"/>
  <c r="L47" i="5" s="1"/>
  <c r="N47" i="5" s="1"/>
  <c r="I46" i="5"/>
  <c r="K46" i="5" s="1"/>
  <c r="L46" i="5" s="1"/>
  <c r="N46" i="5" s="1"/>
  <c r="I45" i="5"/>
  <c r="K45" i="5" s="1"/>
  <c r="L45" i="5" s="1"/>
  <c r="N45" i="5" s="1"/>
  <c r="I44" i="5"/>
  <c r="K44" i="5" s="1"/>
  <c r="L44" i="5" s="1"/>
  <c r="N44" i="5" s="1"/>
  <c r="I43" i="5"/>
  <c r="K43" i="5" s="1"/>
  <c r="L43" i="5" s="1"/>
  <c r="N43" i="5" s="1"/>
  <c r="I42" i="5"/>
  <c r="K42" i="5" s="1"/>
  <c r="L42" i="5" s="1"/>
  <c r="N42" i="5" s="1"/>
  <c r="I41" i="5"/>
  <c r="K41" i="5" s="1"/>
  <c r="L41" i="5" s="1"/>
  <c r="N41" i="5" s="1"/>
  <c r="I40" i="5"/>
  <c r="K40" i="5" s="1"/>
  <c r="L40" i="5" s="1"/>
  <c r="N40" i="5" s="1"/>
  <c r="I39" i="5"/>
  <c r="K39" i="5" s="1"/>
  <c r="L39" i="5" s="1"/>
  <c r="N39" i="5" s="1"/>
  <c r="I38" i="5"/>
  <c r="K38" i="5" s="1"/>
  <c r="L38" i="5" s="1"/>
  <c r="N38" i="5" s="1"/>
  <c r="I37" i="5"/>
  <c r="K37" i="5" s="1"/>
  <c r="L37" i="5" s="1"/>
  <c r="N37" i="5" s="1"/>
  <c r="I36" i="5"/>
  <c r="K36" i="5" s="1"/>
  <c r="L36" i="5" s="1"/>
  <c r="N36" i="5" s="1"/>
  <c r="I35" i="5"/>
  <c r="K35" i="5" s="1"/>
  <c r="L35" i="5" s="1"/>
  <c r="N35" i="5" s="1"/>
  <c r="I34" i="5"/>
  <c r="K34" i="5" s="1"/>
  <c r="L34" i="5" s="1"/>
  <c r="N34" i="5" s="1"/>
  <c r="I33" i="5"/>
  <c r="K33" i="5" s="1"/>
  <c r="L33" i="5" s="1"/>
  <c r="N33" i="5" s="1"/>
  <c r="I32" i="5"/>
  <c r="K32" i="5" s="1"/>
  <c r="L32" i="5" s="1"/>
  <c r="N32" i="5" s="1"/>
  <c r="I31" i="5"/>
  <c r="K31" i="5" s="1"/>
  <c r="L31" i="5" s="1"/>
  <c r="N31" i="5" s="1"/>
  <c r="I30" i="5"/>
  <c r="K30" i="5" s="1"/>
  <c r="L30" i="5" s="1"/>
  <c r="N30" i="5" s="1"/>
  <c r="I29" i="5"/>
  <c r="K29" i="5" s="1"/>
  <c r="L29" i="5" s="1"/>
  <c r="N29" i="5" s="1"/>
  <c r="I28" i="5"/>
  <c r="K28" i="5" s="1"/>
  <c r="L28" i="5" s="1"/>
  <c r="N28" i="5" s="1"/>
  <c r="I27" i="5"/>
  <c r="K27" i="5" s="1"/>
  <c r="L27" i="5" s="1"/>
  <c r="N27" i="5" s="1"/>
  <c r="I26" i="5"/>
  <c r="K26" i="5" s="1"/>
  <c r="L26" i="5" s="1"/>
  <c r="N26" i="5" s="1"/>
  <c r="I25" i="5"/>
  <c r="K25" i="5" s="1"/>
  <c r="L25" i="5" s="1"/>
  <c r="N25" i="5" s="1"/>
  <c r="I24" i="5"/>
  <c r="K24" i="5" s="1"/>
  <c r="L24" i="5" s="1"/>
  <c r="N24" i="5" s="1"/>
  <c r="I23" i="5"/>
  <c r="K23" i="5" s="1"/>
  <c r="L23" i="5" s="1"/>
  <c r="N23" i="5" s="1"/>
  <c r="I22" i="5"/>
  <c r="K22" i="5" s="1"/>
  <c r="L22" i="5" s="1"/>
  <c r="N22" i="5" s="1"/>
  <c r="I21" i="5"/>
  <c r="K21" i="5" s="1"/>
  <c r="L21" i="5" s="1"/>
  <c r="N21" i="5" s="1"/>
  <c r="I20" i="5"/>
  <c r="K20" i="5" s="1"/>
  <c r="L20" i="5" s="1"/>
  <c r="N20" i="5" s="1"/>
  <c r="I19" i="5"/>
  <c r="K19" i="5" s="1"/>
  <c r="L19" i="5" s="1"/>
  <c r="N19" i="5" s="1"/>
  <c r="I18" i="5"/>
  <c r="K18" i="5" s="1"/>
  <c r="L18" i="5" s="1"/>
  <c r="N18" i="5" s="1"/>
  <c r="I17" i="5"/>
  <c r="K17" i="5" s="1"/>
  <c r="L17" i="5" s="1"/>
  <c r="N17" i="5" s="1"/>
  <c r="I16" i="5"/>
  <c r="K16" i="5" s="1"/>
  <c r="L16" i="5" s="1"/>
  <c r="N16" i="5" s="1"/>
  <c r="I15" i="5"/>
  <c r="K15" i="5" s="1"/>
  <c r="L15" i="5" s="1"/>
  <c r="N15" i="5" s="1"/>
  <c r="I14" i="5"/>
  <c r="K14" i="5" s="1"/>
  <c r="L14" i="5" s="1"/>
  <c r="N14" i="5" s="1"/>
  <c r="I13" i="5"/>
  <c r="K13" i="5" s="1"/>
  <c r="L13" i="5" s="1"/>
  <c r="N13" i="5" s="1"/>
  <c r="I12" i="5"/>
  <c r="K12" i="5" s="1"/>
  <c r="L12" i="5" s="1"/>
  <c r="N12" i="5" s="1"/>
  <c r="I11" i="5"/>
  <c r="K11" i="5" s="1"/>
  <c r="L11" i="5" s="1"/>
  <c r="N11" i="5" s="1"/>
  <c r="I10" i="5"/>
  <c r="K10" i="5" s="1"/>
  <c r="L10" i="5" s="1"/>
  <c r="N10" i="5" s="1"/>
  <c r="I9" i="5"/>
  <c r="K9" i="5" s="1"/>
  <c r="L9" i="5" s="1"/>
  <c r="N9" i="5" s="1"/>
  <c r="I8" i="5"/>
  <c r="K8" i="5" s="1"/>
  <c r="L8" i="5" s="1"/>
  <c r="N8" i="5" s="1"/>
  <c r="I7" i="5"/>
  <c r="K7" i="5" s="1"/>
  <c r="L7" i="5" s="1"/>
  <c r="N7" i="5" s="1"/>
  <c r="I6" i="5"/>
  <c r="H4" i="5"/>
  <c r="G4" i="5"/>
  <c r="F4" i="5"/>
  <c r="E4" i="5"/>
  <c r="E3" i="5" s="1"/>
  <c r="F3" i="5" s="1"/>
  <c r="G3" i="5" s="1"/>
  <c r="D4" i="5"/>
  <c r="P347" i="10"/>
  <c r="O347" i="10"/>
  <c r="N347" i="10"/>
  <c r="P346" i="10"/>
  <c r="O346" i="10"/>
  <c r="N346" i="10"/>
  <c r="P345" i="10"/>
  <c r="O345" i="10"/>
  <c r="N345" i="10"/>
  <c r="P344" i="10"/>
  <c r="O344" i="10"/>
  <c r="N344" i="10"/>
  <c r="P343" i="10"/>
  <c r="O343" i="10"/>
  <c r="N343" i="10"/>
  <c r="P342" i="10"/>
  <c r="O342" i="10"/>
  <c r="N342" i="10"/>
  <c r="P341" i="10"/>
  <c r="O341" i="10"/>
  <c r="N341" i="10"/>
  <c r="P340" i="10"/>
  <c r="O340" i="10"/>
  <c r="N340" i="10"/>
  <c r="P339" i="10"/>
  <c r="O339" i="10"/>
  <c r="N339" i="10"/>
  <c r="P338" i="10"/>
  <c r="O338" i="10"/>
  <c r="N338" i="10"/>
  <c r="P337" i="10"/>
  <c r="O337" i="10"/>
  <c r="N337" i="10"/>
  <c r="P336" i="10"/>
  <c r="O336" i="10"/>
  <c r="N336" i="10"/>
  <c r="P335" i="10"/>
  <c r="O335" i="10"/>
  <c r="N335" i="10"/>
  <c r="P334" i="10"/>
  <c r="O334" i="10"/>
  <c r="N334" i="10"/>
  <c r="P333" i="10"/>
  <c r="O333" i="10"/>
  <c r="N333" i="10"/>
  <c r="P332" i="10"/>
  <c r="O332" i="10"/>
  <c r="N332" i="10"/>
  <c r="P331" i="10"/>
  <c r="O331" i="10"/>
  <c r="N331" i="10"/>
  <c r="P330" i="10"/>
  <c r="O330" i="10"/>
  <c r="N330" i="10"/>
  <c r="P329" i="10"/>
  <c r="O329" i="10"/>
  <c r="N329" i="10"/>
  <c r="P328" i="10"/>
  <c r="O328" i="10"/>
  <c r="N328" i="10"/>
  <c r="P327" i="10"/>
  <c r="O327" i="10"/>
  <c r="N327" i="10"/>
  <c r="P326" i="10"/>
  <c r="O326" i="10"/>
  <c r="N326" i="10"/>
  <c r="P325" i="10"/>
  <c r="O325" i="10"/>
  <c r="N325" i="10"/>
  <c r="P324" i="10"/>
  <c r="O324" i="10"/>
  <c r="N324" i="10"/>
  <c r="P323" i="10"/>
  <c r="O323" i="10"/>
  <c r="N323" i="10"/>
  <c r="P322" i="10"/>
  <c r="O322" i="10"/>
  <c r="N322" i="10"/>
  <c r="P321" i="10"/>
  <c r="O321" i="10"/>
  <c r="N321" i="10"/>
  <c r="P320" i="10"/>
  <c r="O320" i="10"/>
  <c r="N320" i="10"/>
  <c r="P319" i="10"/>
  <c r="O319" i="10"/>
  <c r="N319" i="10"/>
  <c r="P318" i="10"/>
  <c r="O318" i="10"/>
  <c r="N318" i="10"/>
  <c r="P317" i="10"/>
  <c r="O317" i="10"/>
  <c r="N317" i="10"/>
  <c r="P316" i="10"/>
  <c r="O316" i="10"/>
  <c r="N316" i="10"/>
  <c r="P315" i="10"/>
  <c r="O315" i="10"/>
  <c r="N315" i="10"/>
  <c r="P314" i="10"/>
  <c r="O314" i="10"/>
  <c r="N314" i="10"/>
  <c r="P313" i="10"/>
  <c r="O313" i="10"/>
  <c r="N313" i="10"/>
  <c r="P312" i="10"/>
  <c r="O312" i="10"/>
  <c r="N312" i="10"/>
  <c r="P311" i="10"/>
  <c r="O311" i="10"/>
  <c r="N311" i="10"/>
  <c r="P310" i="10"/>
  <c r="O310" i="10"/>
  <c r="N310" i="10"/>
  <c r="P309" i="10"/>
  <c r="O309" i="10"/>
  <c r="N309" i="10"/>
  <c r="P308" i="10"/>
  <c r="O308" i="10"/>
  <c r="N308" i="10"/>
  <c r="P307" i="10"/>
  <c r="O307" i="10"/>
  <c r="N307" i="10"/>
  <c r="P306" i="10"/>
  <c r="O306" i="10"/>
  <c r="N306" i="10"/>
  <c r="P305" i="10"/>
  <c r="O305" i="10"/>
  <c r="N305" i="10"/>
  <c r="P304" i="10"/>
  <c r="O304" i="10"/>
  <c r="N304" i="10"/>
  <c r="P303" i="10"/>
  <c r="O303" i="10"/>
  <c r="N303" i="10"/>
  <c r="P302" i="10"/>
  <c r="O302" i="10"/>
  <c r="N302" i="10"/>
  <c r="P301" i="10"/>
  <c r="O301" i="10"/>
  <c r="N301" i="10"/>
  <c r="P300" i="10"/>
  <c r="O300" i="10"/>
  <c r="N300" i="10"/>
  <c r="P299" i="10"/>
  <c r="O299" i="10"/>
  <c r="N299" i="10"/>
  <c r="P298" i="10"/>
  <c r="O298" i="10"/>
  <c r="N298" i="10"/>
  <c r="P297" i="10"/>
  <c r="O297" i="10"/>
  <c r="N297" i="10"/>
  <c r="P296" i="10"/>
  <c r="O296" i="10"/>
  <c r="N296" i="10"/>
  <c r="P295" i="10"/>
  <c r="O295" i="10"/>
  <c r="N295" i="10"/>
  <c r="P294" i="10"/>
  <c r="O294" i="10"/>
  <c r="N294" i="10"/>
  <c r="P293" i="10"/>
  <c r="O293" i="10"/>
  <c r="N293" i="10"/>
  <c r="P292" i="10"/>
  <c r="O292" i="10"/>
  <c r="N292" i="10"/>
  <c r="P291" i="10"/>
  <c r="O291" i="10"/>
  <c r="N291" i="10"/>
  <c r="P290" i="10"/>
  <c r="O290" i="10"/>
  <c r="N290" i="10"/>
  <c r="P289" i="10"/>
  <c r="O289" i="10"/>
  <c r="N289" i="10"/>
  <c r="P288" i="10"/>
  <c r="O288" i="10"/>
  <c r="N288" i="10"/>
  <c r="P287" i="10"/>
  <c r="O287" i="10"/>
  <c r="N287" i="10"/>
  <c r="P286" i="10"/>
  <c r="O286" i="10"/>
  <c r="N286" i="10"/>
  <c r="P285" i="10"/>
  <c r="O285" i="10"/>
  <c r="N285" i="10"/>
  <c r="P284" i="10"/>
  <c r="O284" i="10"/>
  <c r="N284" i="10"/>
  <c r="P283" i="10"/>
  <c r="O283" i="10"/>
  <c r="N283" i="10"/>
  <c r="P282" i="10"/>
  <c r="O282" i="10"/>
  <c r="N282" i="10"/>
  <c r="P281" i="10"/>
  <c r="O281" i="10"/>
  <c r="N281" i="10"/>
  <c r="P280" i="10"/>
  <c r="O280" i="10"/>
  <c r="N280" i="10"/>
  <c r="P279" i="10"/>
  <c r="O279" i="10"/>
  <c r="N279" i="10"/>
  <c r="P278" i="10"/>
  <c r="O278" i="10"/>
  <c r="N278" i="10"/>
  <c r="P277" i="10"/>
  <c r="O277" i="10"/>
  <c r="N277" i="10"/>
  <c r="P276" i="10"/>
  <c r="O276" i="10"/>
  <c r="N276" i="10"/>
  <c r="P275" i="10"/>
  <c r="O275" i="10"/>
  <c r="N275" i="10"/>
  <c r="P274" i="10"/>
  <c r="O274" i="10"/>
  <c r="N274" i="10"/>
  <c r="P273" i="10"/>
  <c r="O273" i="10"/>
  <c r="N273" i="10"/>
  <c r="P272" i="10"/>
  <c r="O272" i="10"/>
  <c r="N272" i="10"/>
  <c r="P271" i="10"/>
  <c r="O271" i="10"/>
  <c r="N271" i="10"/>
  <c r="P270" i="10"/>
  <c r="O270" i="10"/>
  <c r="N270" i="10"/>
  <c r="P269" i="10"/>
  <c r="O269" i="10"/>
  <c r="N269" i="10"/>
  <c r="P268" i="10"/>
  <c r="O268" i="10"/>
  <c r="N268" i="10"/>
  <c r="P267" i="10"/>
  <c r="O267" i="10"/>
  <c r="N267" i="10"/>
  <c r="P266" i="10"/>
  <c r="O266" i="10"/>
  <c r="N266" i="10"/>
  <c r="P265" i="10"/>
  <c r="O265" i="10"/>
  <c r="N265" i="10"/>
  <c r="P264" i="10"/>
  <c r="O264" i="10"/>
  <c r="N264" i="10"/>
  <c r="P263" i="10"/>
  <c r="O263" i="10"/>
  <c r="N263" i="10"/>
  <c r="P262" i="10"/>
  <c r="O262" i="10"/>
  <c r="N262" i="10"/>
  <c r="P261" i="10"/>
  <c r="O261" i="10"/>
  <c r="N261" i="10"/>
  <c r="P260" i="10"/>
  <c r="O260" i="10"/>
  <c r="N260" i="10"/>
  <c r="P259" i="10"/>
  <c r="O259" i="10"/>
  <c r="N259" i="10"/>
  <c r="P258" i="10"/>
  <c r="O258" i="10"/>
  <c r="N258" i="10"/>
  <c r="P257" i="10"/>
  <c r="O257" i="10"/>
  <c r="N257" i="10"/>
  <c r="P256" i="10"/>
  <c r="O256" i="10"/>
  <c r="N256" i="10"/>
  <c r="P255" i="10"/>
  <c r="O255" i="10"/>
  <c r="N255" i="10"/>
  <c r="P254" i="10"/>
  <c r="O254" i="10"/>
  <c r="N254" i="10"/>
  <c r="P253" i="10"/>
  <c r="O253" i="10"/>
  <c r="N253" i="10"/>
  <c r="P252" i="10"/>
  <c r="O252" i="10"/>
  <c r="N252" i="10"/>
  <c r="P251" i="10"/>
  <c r="O251" i="10"/>
  <c r="N251" i="10"/>
  <c r="P250" i="10"/>
  <c r="O250" i="10"/>
  <c r="N250" i="10"/>
  <c r="P249" i="10"/>
  <c r="O249" i="10"/>
  <c r="N249" i="10"/>
  <c r="P248" i="10"/>
  <c r="O248" i="10"/>
  <c r="N248" i="10"/>
  <c r="P247" i="10"/>
  <c r="O247" i="10"/>
  <c r="N247" i="10"/>
  <c r="P246" i="10"/>
  <c r="O246" i="10"/>
  <c r="N246" i="10"/>
  <c r="P245" i="10"/>
  <c r="O245" i="10"/>
  <c r="N245" i="10"/>
  <c r="P244" i="10"/>
  <c r="O244" i="10"/>
  <c r="N244" i="10"/>
  <c r="P243" i="10"/>
  <c r="O243" i="10"/>
  <c r="N243" i="10"/>
  <c r="P242" i="10"/>
  <c r="O242" i="10"/>
  <c r="N242" i="10"/>
  <c r="P241" i="10"/>
  <c r="O241" i="10"/>
  <c r="N241" i="10"/>
  <c r="P240" i="10"/>
  <c r="O240" i="10"/>
  <c r="N240" i="10"/>
  <c r="P239" i="10"/>
  <c r="O239" i="10"/>
  <c r="N239" i="10"/>
  <c r="P238" i="10"/>
  <c r="O238" i="10"/>
  <c r="N238" i="10"/>
  <c r="P237" i="10"/>
  <c r="O237" i="10"/>
  <c r="N237" i="10"/>
  <c r="P236" i="10"/>
  <c r="O236" i="10"/>
  <c r="N236" i="10"/>
  <c r="P235" i="10"/>
  <c r="O235" i="10"/>
  <c r="N235" i="10"/>
  <c r="P234" i="10"/>
  <c r="O234" i="10"/>
  <c r="N234" i="10"/>
  <c r="P233" i="10"/>
  <c r="O233" i="10"/>
  <c r="N233" i="10"/>
  <c r="P232" i="10"/>
  <c r="O232" i="10"/>
  <c r="N232" i="10"/>
  <c r="P231" i="10"/>
  <c r="O231" i="10"/>
  <c r="N231" i="10"/>
  <c r="P230" i="10"/>
  <c r="O230" i="10"/>
  <c r="N230" i="10"/>
  <c r="P229" i="10"/>
  <c r="O229" i="10"/>
  <c r="N229" i="10"/>
  <c r="P228" i="10"/>
  <c r="O228" i="10"/>
  <c r="N228" i="10"/>
  <c r="P227" i="10"/>
  <c r="O227" i="10"/>
  <c r="N227" i="10"/>
  <c r="P226" i="10"/>
  <c r="O226" i="10"/>
  <c r="N226" i="10"/>
  <c r="P225" i="10"/>
  <c r="O225" i="10"/>
  <c r="N225" i="10"/>
  <c r="P224" i="10"/>
  <c r="O224" i="10"/>
  <c r="N224" i="10"/>
  <c r="P223" i="10"/>
  <c r="O223" i="10"/>
  <c r="N223" i="10"/>
  <c r="P222" i="10"/>
  <c r="O222" i="10"/>
  <c r="N222" i="10"/>
  <c r="P221" i="10"/>
  <c r="O221" i="10"/>
  <c r="N221" i="10"/>
  <c r="P220" i="10"/>
  <c r="O220" i="10"/>
  <c r="N220" i="10"/>
  <c r="P219" i="10"/>
  <c r="O219" i="10"/>
  <c r="N219" i="10"/>
  <c r="P218" i="10"/>
  <c r="O218" i="10"/>
  <c r="N218" i="10"/>
  <c r="P217" i="10"/>
  <c r="O217" i="10"/>
  <c r="N217" i="10"/>
  <c r="P216" i="10"/>
  <c r="O216" i="10"/>
  <c r="N216" i="10"/>
  <c r="P215" i="10"/>
  <c r="O215" i="10"/>
  <c r="N215" i="10"/>
  <c r="P214" i="10"/>
  <c r="O214" i="10"/>
  <c r="N214" i="10"/>
  <c r="P213" i="10"/>
  <c r="O213" i="10"/>
  <c r="N213" i="10"/>
  <c r="P212" i="10"/>
  <c r="O212" i="10"/>
  <c r="N212" i="10"/>
  <c r="P211" i="10"/>
  <c r="O211" i="10"/>
  <c r="N211" i="10"/>
  <c r="P210" i="10"/>
  <c r="O210" i="10"/>
  <c r="N210" i="10"/>
  <c r="P209" i="10"/>
  <c r="O209" i="10"/>
  <c r="N209" i="10"/>
  <c r="P208" i="10"/>
  <c r="O208" i="10"/>
  <c r="N208" i="10"/>
  <c r="P207" i="10"/>
  <c r="O207" i="10"/>
  <c r="N207" i="10"/>
  <c r="P206" i="10"/>
  <c r="O206" i="10"/>
  <c r="N206" i="10"/>
  <c r="P205" i="10"/>
  <c r="O205" i="10"/>
  <c r="N205" i="10"/>
  <c r="P204" i="10"/>
  <c r="O204" i="10"/>
  <c r="N204" i="10"/>
  <c r="P203" i="10"/>
  <c r="O203" i="10"/>
  <c r="N203" i="10"/>
  <c r="P202" i="10"/>
  <c r="O202" i="10"/>
  <c r="N202" i="10"/>
  <c r="P201" i="10"/>
  <c r="O201" i="10"/>
  <c r="N201" i="10"/>
  <c r="P200" i="10"/>
  <c r="O200" i="10"/>
  <c r="N200" i="10"/>
  <c r="P199" i="10"/>
  <c r="O199" i="10"/>
  <c r="N199" i="10"/>
  <c r="P198" i="10"/>
  <c r="O198" i="10"/>
  <c r="N198" i="10"/>
  <c r="P197" i="10"/>
  <c r="O197" i="10"/>
  <c r="N197" i="10"/>
  <c r="P196" i="10"/>
  <c r="O196" i="10"/>
  <c r="N196" i="10"/>
  <c r="P195" i="10"/>
  <c r="O195" i="10"/>
  <c r="N195" i="10"/>
  <c r="P194" i="10"/>
  <c r="O194" i="10"/>
  <c r="N194" i="10"/>
  <c r="P193" i="10"/>
  <c r="O193" i="10"/>
  <c r="N193" i="10"/>
  <c r="P192" i="10"/>
  <c r="O192" i="10"/>
  <c r="N192" i="10"/>
  <c r="P191" i="10"/>
  <c r="O191" i="10"/>
  <c r="N191" i="10"/>
  <c r="P190" i="10"/>
  <c r="O190" i="10"/>
  <c r="N190" i="10"/>
  <c r="P189" i="10"/>
  <c r="O189" i="10"/>
  <c r="N189" i="10"/>
  <c r="P188" i="10"/>
  <c r="O188" i="10"/>
  <c r="N188" i="10"/>
  <c r="P187" i="10"/>
  <c r="O187" i="10"/>
  <c r="N187" i="10"/>
  <c r="P186" i="10"/>
  <c r="O186" i="10"/>
  <c r="N186" i="10"/>
  <c r="P185" i="10"/>
  <c r="O185" i="10"/>
  <c r="N185" i="10"/>
  <c r="P184" i="10"/>
  <c r="O184" i="10"/>
  <c r="N184" i="10"/>
  <c r="P183" i="10"/>
  <c r="O183" i="10"/>
  <c r="N183" i="10"/>
  <c r="P182" i="10"/>
  <c r="O182" i="10"/>
  <c r="N182" i="10"/>
  <c r="P181" i="10"/>
  <c r="O181" i="10"/>
  <c r="N181" i="10"/>
  <c r="P180" i="10"/>
  <c r="O180" i="10"/>
  <c r="N180" i="10"/>
  <c r="P179" i="10"/>
  <c r="O179" i="10"/>
  <c r="N179" i="10"/>
  <c r="P178" i="10"/>
  <c r="O178" i="10"/>
  <c r="N178" i="10"/>
  <c r="P177" i="10"/>
  <c r="O177" i="10"/>
  <c r="N177" i="10"/>
  <c r="P176" i="10"/>
  <c r="O176" i="10"/>
  <c r="N176" i="10"/>
  <c r="P175" i="10"/>
  <c r="O175" i="10"/>
  <c r="N175" i="10"/>
  <c r="P174" i="10"/>
  <c r="O174" i="10"/>
  <c r="N174" i="10"/>
  <c r="P173" i="10"/>
  <c r="O173" i="10"/>
  <c r="N173" i="10"/>
  <c r="P172" i="10"/>
  <c r="O172" i="10"/>
  <c r="N172" i="10"/>
  <c r="P171" i="10"/>
  <c r="O171" i="10"/>
  <c r="N171" i="10"/>
  <c r="P170" i="10"/>
  <c r="O170" i="10"/>
  <c r="N170" i="10"/>
  <c r="P169" i="10"/>
  <c r="O169" i="10"/>
  <c r="N169" i="10"/>
  <c r="P168" i="10"/>
  <c r="O168" i="10"/>
  <c r="N168" i="10"/>
  <c r="P167" i="10"/>
  <c r="O167" i="10"/>
  <c r="N167" i="10"/>
  <c r="P166" i="10"/>
  <c r="O166" i="10"/>
  <c r="N166" i="10"/>
  <c r="P165" i="10"/>
  <c r="O165" i="10"/>
  <c r="N165" i="10"/>
  <c r="P164" i="10"/>
  <c r="O164" i="10"/>
  <c r="N164" i="10"/>
  <c r="P163" i="10"/>
  <c r="O163" i="10"/>
  <c r="N163" i="10"/>
  <c r="P162" i="10"/>
  <c r="O162" i="10"/>
  <c r="N162" i="10"/>
  <c r="P161" i="10"/>
  <c r="O161" i="10"/>
  <c r="N161" i="10"/>
  <c r="P160" i="10"/>
  <c r="O160" i="10"/>
  <c r="N160" i="10"/>
  <c r="P159" i="10"/>
  <c r="O159" i="10"/>
  <c r="N159" i="10"/>
  <c r="P158" i="10"/>
  <c r="O158" i="10"/>
  <c r="N158" i="10"/>
  <c r="P157" i="10"/>
  <c r="O157" i="10"/>
  <c r="N157" i="10"/>
  <c r="P156" i="10"/>
  <c r="O156" i="10"/>
  <c r="N156" i="10"/>
  <c r="P155" i="10"/>
  <c r="O155" i="10"/>
  <c r="N155" i="10"/>
  <c r="P154" i="10"/>
  <c r="O154" i="10"/>
  <c r="N154" i="10"/>
  <c r="P153" i="10"/>
  <c r="O153" i="10"/>
  <c r="N153" i="10"/>
  <c r="P152" i="10"/>
  <c r="O152" i="10"/>
  <c r="N152" i="10"/>
  <c r="P151" i="10"/>
  <c r="O151" i="10"/>
  <c r="N151" i="10"/>
  <c r="P150" i="10"/>
  <c r="O150" i="10"/>
  <c r="N150" i="10"/>
  <c r="P149" i="10"/>
  <c r="O149" i="10"/>
  <c r="N149" i="10"/>
  <c r="P148" i="10"/>
  <c r="O148" i="10"/>
  <c r="N148" i="10"/>
  <c r="P147" i="10"/>
  <c r="O147" i="10"/>
  <c r="N147" i="10"/>
  <c r="P146" i="10"/>
  <c r="O146" i="10"/>
  <c r="N146" i="10"/>
  <c r="P145" i="10"/>
  <c r="O145" i="10"/>
  <c r="N145" i="10"/>
  <c r="P144" i="10"/>
  <c r="O144" i="10"/>
  <c r="N144" i="10"/>
  <c r="P143" i="10"/>
  <c r="O143" i="10"/>
  <c r="N143" i="10"/>
  <c r="P142" i="10"/>
  <c r="O142" i="10"/>
  <c r="N142" i="10"/>
  <c r="P141" i="10"/>
  <c r="O141" i="10"/>
  <c r="N141" i="10"/>
  <c r="P140" i="10"/>
  <c r="O140" i="10"/>
  <c r="N140" i="10"/>
  <c r="P139" i="10"/>
  <c r="O139" i="10"/>
  <c r="N139" i="10"/>
  <c r="P138" i="10"/>
  <c r="O138" i="10"/>
  <c r="N138" i="10"/>
  <c r="P137" i="10"/>
  <c r="O137" i="10"/>
  <c r="N137" i="10"/>
  <c r="P136" i="10"/>
  <c r="O136" i="10"/>
  <c r="N136" i="10"/>
  <c r="P135" i="10"/>
  <c r="O135" i="10"/>
  <c r="N135" i="10"/>
  <c r="P134" i="10"/>
  <c r="O134" i="10"/>
  <c r="N134" i="10"/>
  <c r="P133" i="10"/>
  <c r="O133" i="10"/>
  <c r="N133" i="10"/>
  <c r="P132" i="10"/>
  <c r="O132" i="10"/>
  <c r="N132" i="10"/>
  <c r="P131" i="10"/>
  <c r="O131" i="10"/>
  <c r="N131" i="10"/>
  <c r="P130" i="10"/>
  <c r="O130" i="10"/>
  <c r="N130" i="10"/>
  <c r="P129" i="10"/>
  <c r="O129" i="10"/>
  <c r="N129" i="10"/>
  <c r="P128" i="10"/>
  <c r="O128" i="10"/>
  <c r="N128" i="10"/>
  <c r="P127" i="10"/>
  <c r="O127" i="10"/>
  <c r="N127" i="10"/>
  <c r="P126" i="10"/>
  <c r="O126" i="10"/>
  <c r="N126" i="10"/>
  <c r="P125" i="10"/>
  <c r="O125" i="10"/>
  <c r="N125" i="10"/>
  <c r="P124" i="10"/>
  <c r="O124" i="10"/>
  <c r="N124" i="10"/>
  <c r="P123" i="10"/>
  <c r="O123" i="10"/>
  <c r="N123" i="10"/>
  <c r="P122" i="10"/>
  <c r="O122" i="10"/>
  <c r="N122" i="10"/>
  <c r="P121" i="10"/>
  <c r="O121" i="10"/>
  <c r="N121" i="10"/>
  <c r="P120" i="10"/>
  <c r="O120" i="10"/>
  <c r="N120" i="10"/>
  <c r="P119" i="10"/>
  <c r="O119" i="10"/>
  <c r="N119" i="10"/>
  <c r="P118" i="10"/>
  <c r="O118" i="10"/>
  <c r="N118" i="10"/>
  <c r="P117" i="10"/>
  <c r="O117" i="10"/>
  <c r="N117" i="10"/>
  <c r="P116" i="10"/>
  <c r="O116" i="10"/>
  <c r="N116" i="10"/>
  <c r="P115" i="10"/>
  <c r="O115" i="10"/>
  <c r="N115" i="10"/>
  <c r="P114" i="10"/>
  <c r="O114" i="10"/>
  <c r="N114" i="10"/>
  <c r="P113" i="10"/>
  <c r="O113" i="10"/>
  <c r="N113" i="10"/>
  <c r="P112" i="10"/>
  <c r="O112" i="10"/>
  <c r="N112" i="10"/>
  <c r="P111" i="10"/>
  <c r="O111" i="10"/>
  <c r="N111" i="10"/>
  <c r="P110" i="10"/>
  <c r="O110" i="10"/>
  <c r="N110" i="10"/>
  <c r="P109" i="10"/>
  <c r="O109" i="10"/>
  <c r="N109" i="10"/>
  <c r="P108" i="10"/>
  <c r="O108" i="10"/>
  <c r="N108" i="10"/>
  <c r="P107" i="10"/>
  <c r="O107" i="10"/>
  <c r="N107" i="10"/>
  <c r="P106" i="10"/>
  <c r="O106" i="10"/>
  <c r="N106" i="10"/>
  <c r="P105" i="10"/>
  <c r="O105" i="10"/>
  <c r="N105" i="10"/>
  <c r="P104" i="10"/>
  <c r="O104" i="10"/>
  <c r="N104" i="10"/>
  <c r="P103" i="10"/>
  <c r="O103" i="10"/>
  <c r="N103" i="10"/>
  <c r="P102" i="10"/>
  <c r="O102" i="10"/>
  <c r="N102" i="10"/>
  <c r="P101" i="10"/>
  <c r="O101" i="10"/>
  <c r="N101" i="10"/>
  <c r="P100" i="10"/>
  <c r="O100" i="10"/>
  <c r="N100" i="10"/>
  <c r="P99" i="10"/>
  <c r="O99" i="10"/>
  <c r="N99" i="10"/>
  <c r="P98" i="10"/>
  <c r="O98" i="10"/>
  <c r="N98" i="10"/>
  <c r="P97" i="10"/>
  <c r="O97" i="10"/>
  <c r="N97" i="10"/>
  <c r="P96" i="10"/>
  <c r="O96" i="10"/>
  <c r="N96" i="10"/>
  <c r="P95" i="10"/>
  <c r="O95" i="10"/>
  <c r="N95" i="10"/>
  <c r="P94" i="10"/>
  <c r="O94" i="10"/>
  <c r="N94" i="10"/>
  <c r="P93" i="10"/>
  <c r="O93" i="10"/>
  <c r="N93" i="10"/>
  <c r="P92" i="10"/>
  <c r="O92" i="10"/>
  <c r="N92" i="10"/>
  <c r="P91" i="10"/>
  <c r="O91" i="10"/>
  <c r="N91" i="10"/>
  <c r="P90" i="10"/>
  <c r="O90" i="10"/>
  <c r="N90" i="10"/>
  <c r="P89" i="10"/>
  <c r="O89" i="10"/>
  <c r="N89" i="10"/>
  <c r="P88" i="10"/>
  <c r="O88" i="10"/>
  <c r="N88" i="10"/>
  <c r="P87" i="10"/>
  <c r="O87" i="10"/>
  <c r="N87" i="10"/>
  <c r="P86" i="10"/>
  <c r="O86" i="10"/>
  <c r="N86" i="10"/>
  <c r="P85" i="10"/>
  <c r="O85" i="10"/>
  <c r="N85" i="10"/>
  <c r="P84" i="10"/>
  <c r="O84" i="10"/>
  <c r="N84" i="10"/>
  <c r="P83" i="10"/>
  <c r="O83" i="10"/>
  <c r="N83" i="10"/>
  <c r="P82" i="10"/>
  <c r="O82" i="10"/>
  <c r="N82" i="10"/>
  <c r="P81" i="10"/>
  <c r="O81" i="10"/>
  <c r="N81" i="10"/>
  <c r="P80" i="10"/>
  <c r="O80" i="10"/>
  <c r="N80" i="10"/>
  <c r="P79" i="10"/>
  <c r="O79" i="10"/>
  <c r="N79" i="10"/>
  <c r="P78" i="10"/>
  <c r="O78" i="10"/>
  <c r="N78" i="10"/>
  <c r="P77" i="10"/>
  <c r="O77" i="10"/>
  <c r="N77" i="10"/>
  <c r="P76" i="10"/>
  <c r="O76" i="10"/>
  <c r="N76" i="10"/>
  <c r="P75" i="10"/>
  <c r="O75" i="10"/>
  <c r="N75" i="10"/>
  <c r="P74" i="10"/>
  <c r="O74" i="10"/>
  <c r="N74" i="10"/>
  <c r="P73" i="10"/>
  <c r="O73" i="10"/>
  <c r="N73" i="10"/>
  <c r="P72" i="10"/>
  <c r="O72" i="10"/>
  <c r="N72" i="10"/>
  <c r="P71" i="10"/>
  <c r="O71" i="10"/>
  <c r="N71" i="10"/>
  <c r="P70" i="10"/>
  <c r="O70" i="10"/>
  <c r="N70" i="10"/>
  <c r="P69" i="10"/>
  <c r="O69" i="10"/>
  <c r="N69" i="10"/>
  <c r="P68" i="10"/>
  <c r="O68" i="10"/>
  <c r="N68" i="10"/>
  <c r="P67" i="10"/>
  <c r="O67" i="10"/>
  <c r="N67" i="10"/>
  <c r="P66" i="10"/>
  <c r="O66" i="10"/>
  <c r="N66" i="10"/>
  <c r="P65" i="10"/>
  <c r="O65" i="10"/>
  <c r="N65" i="10"/>
  <c r="P64" i="10"/>
  <c r="O64" i="10"/>
  <c r="N64" i="10"/>
  <c r="P63" i="10"/>
  <c r="O63" i="10"/>
  <c r="N63" i="10"/>
  <c r="P62" i="10"/>
  <c r="O62" i="10"/>
  <c r="N62" i="10"/>
  <c r="P61" i="10"/>
  <c r="O61" i="10"/>
  <c r="N61" i="10"/>
  <c r="P60" i="10"/>
  <c r="O60" i="10"/>
  <c r="N60" i="10"/>
  <c r="P59" i="10"/>
  <c r="O59" i="10"/>
  <c r="N59" i="10"/>
  <c r="P58" i="10"/>
  <c r="O58" i="10"/>
  <c r="N58" i="10"/>
  <c r="P57" i="10"/>
  <c r="O57" i="10"/>
  <c r="N57" i="10"/>
  <c r="P56" i="10"/>
  <c r="O56" i="10"/>
  <c r="N56" i="10"/>
  <c r="P55" i="10"/>
  <c r="O55" i="10"/>
  <c r="N55" i="10"/>
  <c r="P54" i="10"/>
  <c r="O54" i="10"/>
  <c r="N54" i="10"/>
  <c r="P53" i="10"/>
  <c r="O53" i="10"/>
  <c r="N53" i="10"/>
  <c r="P52" i="10"/>
  <c r="O52" i="10"/>
  <c r="N52" i="10"/>
  <c r="P51" i="10"/>
  <c r="O51" i="10"/>
  <c r="N51" i="10"/>
  <c r="P50" i="10"/>
  <c r="O50" i="10"/>
  <c r="N50" i="10"/>
  <c r="P49" i="10"/>
  <c r="O49" i="10"/>
  <c r="N49" i="10"/>
  <c r="P48" i="10"/>
  <c r="O48" i="10"/>
  <c r="N48" i="10"/>
  <c r="P47" i="10"/>
  <c r="O47" i="10"/>
  <c r="N47" i="10"/>
  <c r="P46" i="10"/>
  <c r="O46" i="10"/>
  <c r="N46" i="10"/>
  <c r="P45" i="10"/>
  <c r="O45" i="10"/>
  <c r="N45" i="10"/>
  <c r="P44" i="10"/>
  <c r="O44" i="10"/>
  <c r="N44" i="10"/>
  <c r="P43" i="10"/>
  <c r="O43" i="10"/>
  <c r="N43" i="10"/>
  <c r="P42" i="10"/>
  <c r="O42" i="10"/>
  <c r="N42" i="10"/>
  <c r="P41" i="10"/>
  <c r="O41" i="10"/>
  <c r="N41" i="10"/>
  <c r="P40" i="10"/>
  <c r="O40" i="10"/>
  <c r="N40" i="10"/>
  <c r="P39" i="10"/>
  <c r="O39" i="10"/>
  <c r="N39" i="10"/>
  <c r="P38" i="10"/>
  <c r="O38" i="10"/>
  <c r="N38" i="10"/>
  <c r="P37" i="10"/>
  <c r="O37" i="10"/>
  <c r="N37" i="10"/>
  <c r="P36" i="10"/>
  <c r="O36" i="10"/>
  <c r="N36" i="10"/>
  <c r="P35" i="10"/>
  <c r="O35" i="10"/>
  <c r="N35" i="10"/>
  <c r="P34" i="10"/>
  <c r="O34" i="10"/>
  <c r="N34" i="10"/>
  <c r="P33" i="10"/>
  <c r="O33" i="10"/>
  <c r="N33" i="10"/>
  <c r="P32" i="10"/>
  <c r="O32" i="10"/>
  <c r="N32" i="10"/>
  <c r="P31" i="10"/>
  <c r="O31" i="10"/>
  <c r="N31" i="10"/>
  <c r="P30" i="10"/>
  <c r="O30" i="10"/>
  <c r="N30" i="10"/>
  <c r="P29" i="10"/>
  <c r="O29" i="10"/>
  <c r="N29" i="10"/>
  <c r="P28" i="10"/>
  <c r="O28" i="10"/>
  <c r="N28" i="10"/>
  <c r="P27" i="10"/>
  <c r="O27" i="10"/>
  <c r="N27" i="10"/>
  <c r="P26" i="10"/>
  <c r="O26" i="10"/>
  <c r="N26" i="10"/>
  <c r="P25" i="10"/>
  <c r="O25" i="10"/>
  <c r="N25" i="10"/>
  <c r="P24" i="10"/>
  <c r="O24" i="10"/>
  <c r="N24" i="10"/>
  <c r="P23" i="10"/>
  <c r="O23" i="10"/>
  <c r="N23" i="10"/>
  <c r="P22" i="10"/>
  <c r="O22" i="10"/>
  <c r="N22" i="10"/>
  <c r="P21" i="10"/>
  <c r="O21" i="10"/>
  <c r="N21" i="10"/>
  <c r="P20" i="10"/>
  <c r="O20" i="10"/>
  <c r="N20" i="10"/>
  <c r="P19" i="10"/>
  <c r="O19" i="10"/>
  <c r="N19" i="10"/>
  <c r="P18" i="10"/>
  <c r="O18" i="10"/>
  <c r="N18" i="10"/>
  <c r="P17" i="10"/>
  <c r="O17" i="10"/>
  <c r="N17" i="10"/>
  <c r="P16" i="10"/>
  <c r="O16" i="10"/>
  <c r="N16" i="10"/>
  <c r="P15" i="10"/>
  <c r="O15" i="10"/>
  <c r="N15" i="10"/>
  <c r="P14" i="10"/>
  <c r="O14" i="10"/>
  <c r="N14" i="10"/>
  <c r="P13" i="10"/>
  <c r="O13" i="10"/>
  <c r="N13" i="10"/>
  <c r="P12" i="10"/>
  <c r="O12" i="10"/>
  <c r="N12" i="10"/>
  <c r="P11" i="10"/>
  <c r="O11" i="10"/>
  <c r="N11" i="10"/>
  <c r="P10" i="10"/>
  <c r="O10" i="10"/>
  <c r="N10" i="10"/>
  <c r="P9" i="10"/>
  <c r="O9" i="10"/>
  <c r="N9" i="10"/>
  <c r="P8" i="10"/>
  <c r="O8" i="10"/>
  <c r="N8" i="10"/>
  <c r="P7" i="10"/>
  <c r="O7" i="10"/>
  <c r="N7" i="10"/>
  <c r="P6" i="10"/>
  <c r="O6" i="10"/>
  <c r="O4" i="10" s="1"/>
  <c r="N6" i="10"/>
  <c r="P4" i="10"/>
  <c r="N4" i="10"/>
  <c r="L347" i="10"/>
  <c r="Q347" i="10" s="1"/>
  <c r="R347" i="10" s="1"/>
  <c r="L346" i="10"/>
  <c r="Q346" i="10" s="1"/>
  <c r="R346" i="10" s="1"/>
  <c r="L345" i="10"/>
  <c r="Q345" i="10" s="1"/>
  <c r="R345" i="10" s="1"/>
  <c r="L344" i="10"/>
  <c r="Q344" i="10" s="1"/>
  <c r="R344" i="10" s="1"/>
  <c r="L343" i="10"/>
  <c r="Q343" i="10" s="1"/>
  <c r="R343" i="10" s="1"/>
  <c r="L342" i="10"/>
  <c r="Q342" i="10" s="1"/>
  <c r="R342" i="10" s="1"/>
  <c r="L341" i="10"/>
  <c r="Q341" i="10" s="1"/>
  <c r="R341" i="10" s="1"/>
  <c r="L340" i="10"/>
  <c r="Q340" i="10" s="1"/>
  <c r="R340" i="10" s="1"/>
  <c r="L339" i="10"/>
  <c r="Q339" i="10" s="1"/>
  <c r="R339" i="10" s="1"/>
  <c r="L338" i="10"/>
  <c r="Q338" i="10" s="1"/>
  <c r="R338" i="10" s="1"/>
  <c r="L337" i="10"/>
  <c r="Q337" i="10" s="1"/>
  <c r="R337" i="10" s="1"/>
  <c r="L336" i="10"/>
  <c r="Q336" i="10" s="1"/>
  <c r="R336" i="10" s="1"/>
  <c r="L335" i="10"/>
  <c r="Q335" i="10" s="1"/>
  <c r="R335" i="10" s="1"/>
  <c r="L334" i="10"/>
  <c r="Q334" i="10" s="1"/>
  <c r="R334" i="10" s="1"/>
  <c r="L333" i="10"/>
  <c r="Q333" i="10" s="1"/>
  <c r="R333" i="10" s="1"/>
  <c r="L332" i="10"/>
  <c r="Q332" i="10" s="1"/>
  <c r="R332" i="10" s="1"/>
  <c r="L331" i="10"/>
  <c r="Q331" i="10" s="1"/>
  <c r="R331" i="10" s="1"/>
  <c r="L330" i="10"/>
  <c r="Q330" i="10" s="1"/>
  <c r="R330" i="10" s="1"/>
  <c r="L329" i="10"/>
  <c r="Q329" i="10" s="1"/>
  <c r="R329" i="10" s="1"/>
  <c r="L328" i="10"/>
  <c r="Q328" i="10" s="1"/>
  <c r="R328" i="10" s="1"/>
  <c r="L327" i="10"/>
  <c r="Q327" i="10" s="1"/>
  <c r="R327" i="10" s="1"/>
  <c r="L326" i="10"/>
  <c r="Q326" i="10" s="1"/>
  <c r="R326" i="10" s="1"/>
  <c r="L325" i="10"/>
  <c r="Q325" i="10" s="1"/>
  <c r="R325" i="10" s="1"/>
  <c r="L324" i="10"/>
  <c r="Q324" i="10" s="1"/>
  <c r="R324" i="10" s="1"/>
  <c r="L323" i="10"/>
  <c r="Q323" i="10" s="1"/>
  <c r="R323" i="10" s="1"/>
  <c r="L322" i="10"/>
  <c r="Q322" i="10" s="1"/>
  <c r="R322" i="10" s="1"/>
  <c r="L321" i="10"/>
  <c r="Q321" i="10" s="1"/>
  <c r="R321" i="10" s="1"/>
  <c r="L320" i="10"/>
  <c r="Q320" i="10" s="1"/>
  <c r="R320" i="10" s="1"/>
  <c r="L319" i="10"/>
  <c r="Q319" i="10" s="1"/>
  <c r="R319" i="10" s="1"/>
  <c r="L318" i="10"/>
  <c r="Q318" i="10" s="1"/>
  <c r="R318" i="10" s="1"/>
  <c r="L317" i="10"/>
  <c r="Q317" i="10" s="1"/>
  <c r="R317" i="10" s="1"/>
  <c r="L316" i="10"/>
  <c r="Q316" i="10" s="1"/>
  <c r="R316" i="10" s="1"/>
  <c r="L315" i="10"/>
  <c r="Q315" i="10" s="1"/>
  <c r="R315" i="10" s="1"/>
  <c r="L314" i="10"/>
  <c r="Q314" i="10" s="1"/>
  <c r="R314" i="10" s="1"/>
  <c r="L313" i="10"/>
  <c r="Q313" i="10" s="1"/>
  <c r="R313" i="10" s="1"/>
  <c r="L312" i="10"/>
  <c r="Q312" i="10" s="1"/>
  <c r="R312" i="10" s="1"/>
  <c r="L311" i="10"/>
  <c r="Q311" i="10" s="1"/>
  <c r="R311" i="10" s="1"/>
  <c r="L310" i="10"/>
  <c r="Q310" i="10" s="1"/>
  <c r="R310" i="10" s="1"/>
  <c r="L309" i="10"/>
  <c r="Q309" i="10" s="1"/>
  <c r="R309" i="10" s="1"/>
  <c r="L308" i="10"/>
  <c r="Q308" i="10" s="1"/>
  <c r="R308" i="10" s="1"/>
  <c r="L307" i="10"/>
  <c r="Q307" i="10" s="1"/>
  <c r="R307" i="10" s="1"/>
  <c r="L306" i="10"/>
  <c r="Q306" i="10" s="1"/>
  <c r="R306" i="10" s="1"/>
  <c r="L305" i="10"/>
  <c r="Q305" i="10" s="1"/>
  <c r="R305" i="10" s="1"/>
  <c r="L304" i="10"/>
  <c r="Q304" i="10" s="1"/>
  <c r="R304" i="10" s="1"/>
  <c r="L303" i="10"/>
  <c r="Q303" i="10" s="1"/>
  <c r="R303" i="10" s="1"/>
  <c r="L302" i="10"/>
  <c r="Q302" i="10" s="1"/>
  <c r="R302" i="10" s="1"/>
  <c r="L301" i="10"/>
  <c r="Q301" i="10" s="1"/>
  <c r="R301" i="10" s="1"/>
  <c r="L300" i="10"/>
  <c r="Q300" i="10" s="1"/>
  <c r="R300" i="10" s="1"/>
  <c r="L299" i="10"/>
  <c r="Q299" i="10" s="1"/>
  <c r="R299" i="10" s="1"/>
  <c r="L298" i="10"/>
  <c r="Q298" i="10" s="1"/>
  <c r="R298" i="10" s="1"/>
  <c r="L297" i="10"/>
  <c r="Q297" i="10" s="1"/>
  <c r="R297" i="10" s="1"/>
  <c r="L296" i="10"/>
  <c r="Q296" i="10" s="1"/>
  <c r="R296" i="10" s="1"/>
  <c r="L295" i="10"/>
  <c r="Q295" i="10" s="1"/>
  <c r="R295" i="10" s="1"/>
  <c r="L294" i="10"/>
  <c r="Q294" i="10" s="1"/>
  <c r="R294" i="10" s="1"/>
  <c r="L293" i="10"/>
  <c r="Q293" i="10" s="1"/>
  <c r="R293" i="10" s="1"/>
  <c r="L292" i="10"/>
  <c r="Q292" i="10" s="1"/>
  <c r="R292" i="10" s="1"/>
  <c r="L291" i="10"/>
  <c r="Q291" i="10" s="1"/>
  <c r="R291" i="10" s="1"/>
  <c r="L290" i="10"/>
  <c r="Q290" i="10" s="1"/>
  <c r="R290" i="10" s="1"/>
  <c r="L289" i="10"/>
  <c r="Q289" i="10" s="1"/>
  <c r="R289" i="10" s="1"/>
  <c r="L288" i="10"/>
  <c r="Q288" i="10" s="1"/>
  <c r="R288" i="10" s="1"/>
  <c r="L287" i="10"/>
  <c r="Q287" i="10" s="1"/>
  <c r="R287" i="10" s="1"/>
  <c r="L286" i="10"/>
  <c r="Q286" i="10" s="1"/>
  <c r="R286" i="10" s="1"/>
  <c r="L285" i="10"/>
  <c r="Q285" i="10" s="1"/>
  <c r="R285" i="10" s="1"/>
  <c r="L284" i="10"/>
  <c r="Q284" i="10" s="1"/>
  <c r="R284" i="10" s="1"/>
  <c r="L283" i="10"/>
  <c r="Q283" i="10" s="1"/>
  <c r="R283" i="10" s="1"/>
  <c r="L282" i="10"/>
  <c r="Q282" i="10" s="1"/>
  <c r="R282" i="10" s="1"/>
  <c r="L281" i="10"/>
  <c r="Q281" i="10" s="1"/>
  <c r="R281" i="10" s="1"/>
  <c r="L280" i="10"/>
  <c r="Q280" i="10" s="1"/>
  <c r="R280" i="10" s="1"/>
  <c r="L279" i="10"/>
  <c r="Q279" i="10" s="1"/>
  <c r="R279" i="10" s="1"/>
  <c r="L278" i="10"/>
  <c r="Q278" i="10" s="1"/>
  <c r="R278" i="10" s="1"/>
  <c r="L277" i="10"/>
  <c r="Q277" i="10" s="1"/>
  <c r="R277" i="10" s="1"/>
  <c r="L276" i="10"/>
  <c r="Q276" i="10" s="1"/>
  <c r="R276" i="10" s="1"/>
  <c r="L275" i="10"/>
  <c r="Q275" i="10" s="1"/>
  <c r="R275" i="10" s="1"/>
  <c r="L274" i="10"/>
  <c r="Q274" i="10" s="1"/>
  <c r="R274" i="10" s="1"/>
  <c r="L273" i="10"/>
  <c r="Q273" i="10" s="1"/>
  <c r="R273" i="10" s="1"/>
  <c r="L272" i="10"/>
  <c r="Q272" i="10" s="1"/>
  <c r="R272" i="10" s="1"/>
  <c r="L271" i="10"/>
  <c r="Q271" i="10" s="1"/>
  <c r="R271" i="10" s="1"/>
  <c r="L270" i="10"/>
  <c r="Q270" i="10" s="1"/>
  <c r="R270" i="10" s="1"/>
  <c r="L269" i="10"/>
  <c r="Q269" i="10" s="1"/>
  <c r="R269" i="10" s="1"/>
  <c r="L268" i="10"/>
  <c r="Q268" i="10" s="1"/>
  <c r="R268" i="10" s="1"/>
  <c r="L267" i="10"/>
  <c r="Q267" i="10" s="1"/>
  <c r="R267" i="10" s="1"/>
  <c r="L266" i="10"/>
  <c r="Q266" i="10" s="1"/>
  <c r="R266" i="10" s="1"/>
  <c r="L265" i="10"/>
  <c r="Q265" i="10" s="1"/>
  <c r="R265" i="10" s="1"/>
  <c r="L264" i="10"/>
  <c r="Q264" i="10" s="1"/>
  <c r="R264" i="10" s="1"/>
  <c r="L263" i="10"/>
  <c r="Q263" i="10" s="1"/>
  <c r="R263" i="10" s="1"/>
  <c r="L262" i="10"/>
  <c r="Q262" i="10" s="1"/>
  <c r="R262" i="10" s="1"/>
  <c r="L261" i="10"/>
  <c r="Q261" i="10" s="1"/>
  <c r="R261" i="10" s="1"/>
  <c r="L260" i="10"/>
  <c r="Q260" i="10" s="1"/>
  <c r="R260" i="10" s="1"/>
  <c r="L259" i="10"/>
  <c r="Q259" i="10" s="1"/>
  <c r="R259" i="10" s="1"/>
  <c r="L258" i="10"/>
  <c r="Q258" i="10" s="1"/>
  <c r="R258" i="10" s="1"/>
  <c r="L257" i="10"/>
  <c r="Q257" i="10" s="1"/>
  <c r="R257" i="10" s="1"/>
  <c r="L256" i="10"/>
  <c r="Q256" i="10" s="1"/>
  <c r="R256" i="10" s="1"/>
  <c r="L255" i="10"/>
  <c r="Q255" i="10" s="1"/>
  <c r="R255" i="10" s="1"/>
  <c r="L254" i="10"/>
  <c r="Q254" i="10" s="1"/>
  <c r="R254" i="10" s="1"/>
  <c r="L253" i="10"/>
  <c r="Q253" i="10" s="1"/>
  <c r="R253" i="10" s="1"/>
  <c r="L252" i="10"/>
  <c r="Q252" i="10" s="1"/>
  <c r="R252" i="10" s="1"/>
  <c r="L251" i="10"/>
  <c r="Q251" i="10" s="1"/>
  <c r="R251" i="10" s="1"/>
  <c r="L250" i="10"/>
  <c r="Q250" i="10" s="1"/>
  <c r="R250" i="10" s="1"/>
  <c r="L249" i="10"/>
  <c r="Q249" i="10" s="1"/>
  <c r="R249" i="10" s="1"/>
  <c r="L248" i="10"/>
  <c r="Q248" i="10" s="1"/>
  <c r="R248" i="10" s="1"/>
  <c r="L247" i="10"/>
  <c r="Q247" i="10" s="1"/>
  <c r="R247" i="10" s="1"/>
  <c r="L246" i="10"/>
  <c r="Q246" i="10" s="1"/>
  <c r="R246" i="10" s="1"/>
  <c r="L245" i="10"/>
  <c r="Q245" i="10" s="1"/>
  <c r="R245" i="10" s="1"/>
  <c r="L244" i="10"/>
  <c r="Q244" i="10" s="1"/>
  <c r="R244" i="10" s="1"/>
  <c r="L243" i="10"/>
  <c r="Q243" i="10" s="1"/>
  <c r="R243" i="10" s="1"/>
  <c r="L242" i="10"/>
  <c r="Q242" i="10" s="1"/>
  <c r="R242" i="10" s="1"/>
  <c r="L241" i="10"/>
  <c r="Q241" i="10" s="1"/>
  <c r="R241" i="10" s="1"/>
  <c r="L240" i="10"/>
  <c r="Q240" i="10" s="1"/>
  <c r="R240" i="10" s="1"/>
  <c r="L239" i="10"/>
  <c r="Q239" i="10" s="1"/>
  <c r="R239" i="10" s="1"/>
  <c r="L238" i="10"/>
  <c r="Q238" i="10" s="1"/>
  <c r="R238" i="10" s="1"/>
  <c r="L237" i="10"/>
  <c r="Q237" i="10" s="1"/>
  <c r="R237" i="10" s="1"/>
  <c r="L236" i="10"/>
  <c r="Q236" i="10" s="1"/>
  <c r="R236" i="10" s="1"/>
  <c r="L235" i="10"/>
  <c r="Q235" i="10" s="1"/>
  <c r="R235" i="10" s="1"/>
  <c r="L234" i="10"/>
  <c r="Q234" i="10" s="1"/>
  <c r="R234" i="10" s="1"/>
  <c r="L233" i="10"/>
  <c r="Q233" i="10" s="1"/>
  <c r="R233" i="10" s="1"/>
  <c r="L232" i="10"/>
  <c r="Q232" i="10" s="1"/>
  <c r="R232" i="10" s="1"/>
  <c r="L231" i="10"/>
  <c r="Q231" i="10" s="1"/>
  <c r="R231" i="10" s="1"/>
  <c r="L230" i="10"/>
  <c r="Q230" i="10" s="1"/>
  <c r="R230" i="10" s="1"/>
  <c r="L229" i="10"/>
  <c r="Q229" i="10" s="1"/>
  <c r="R229" i="10" s="1"/>
  <c r="L228" i="10"/>
  <c r="Q228" i="10" s="1"/>
  <c r="R228" i="10" s="1"/>
  <c r="L227" i="10"/>
  <c r="Q227" i="10" s="1"/>
  <c r="R227" i="10" s="1"/>
  <c r="L226" i="10"/>
  <c r="Q226" i="10" s="1"/>
  <c r="R226" i="10" s="1"/>
  <c r="L225" i="10"/>
  <c r="Q225" i="10" s="1"/>
  <c r="R225" i="10" s="1"/>
  <c r="L224" i="10"/>
  <c r="Q224" i="10" s="1"/>
  <c r="R224" i="10" s="1"/>
  <c r="L223" i="10"/>
  <c r="Q223" i="10" s="1"/>
  <c r="R223" i="10" s="1"/>
  <c r="L222" i="10"/>
  <c r="Q222" i="10" s="1"/>
  <c r="R222" i="10" s="1"/>
  <c r="L221" i="10"/>
  <c r="Q221" i="10" s="1"/>
  <c r="R221" i="10" s="1"/>
  <c r="L220" i="10"/>
  <c r="Q220" i="10" s="1"/>
  <c r="R220" i="10" s="1"/>
  <c r="L219" i="10"/>
  <c r="Q219" i="10" s="1"/>
  <c r="R219" i="10" s="1"/>
  <c r="L218" i="10"/>
  <c r="Q218" i="10" s="1"/>
  <c r="R218" i="10" s="1"/>
  <c r="L217" i="10"/>
  <c r="Q217" i="10" s="1"/>
  <c r="R217" i="10" s="1"/>
  <c r="L216" i="10"/>
  <c r="Q216" i="10" s="1"/>
  <c r="R216" i="10" s="1"/>
  <c r="L215" i="10"/>
  <c r="Q215" i="10" s="1"/>
  <c r="R215" i="10" s="1"/>
  <c r="L214" i="10"/>
  <c r="Q214" i="10" s="1"/>
  <c r="R214" i="10" s="1"/>
  <c r="L213" i="10"/>
  <c r="Q213" i="10" s="1"/>
  <c r="R213" i="10" s="1"/>
  <c r="L212" i="10"/>
  <c r="Q212" i="10" s="1"/>
  <c r="R212" i="10" s="1"/>
  <c r="L211" i="10"/>
  <c r="Q211" i="10" s="1"/>
  <c r="R211" i="10" s="1"/>
  <c r="L210" i="10"/>
  <c r="Q210" i="10" s="1"/>
  <c r="R210" i="10" s="1"/>
  <c r="L209" i="10"/>
  <c r="Q209" i="10" s="1"/>
  <c r="R209" i="10" s="1"/>
  <c r="L208" i="10"/>
  <c r="Q208" i="10" s="1"/>
  <c r="R208" i="10" s="1"/>
  <c r="L207" i="10"/>
  <c r="Q207" i="10" s="1"/>
  <c r="R207" i="10" s="1"/>
  <c r="L206" i="10"/>
  <c r="Q206" i="10" s="1"/>
  <c r="R206" i="10" s="1"/>
  <c r="L205" i="10"/>
  <c r="Q205" i="10" s="1"/>
  <c r="R205" i="10" s="1"/>
  <c r="L204" i="10"/>
  <c r="Q204" i="10" s="1"/>
  <c r="R204" i="10" s="1"/>
  <c r="L203" i="10"/>
  <c r="Q203" i="10" s="1"/>
  <c r="R203" i="10" s="1"/>
  <c r="L202" i="10"/>
  <c r="Q202" i="10" s="1"/>
  <c r="R202" i="10" s="1"/>
  <c r="L201" i="10"/>
  <c r="Q201" i="10" s="1"/>
  <c r="R201" i="10" s="1"/>
  <c r="L200" i="10"/>
  <c r="Q200" i="10" s="1"/>
  <c r="R200" i="10" s="1"/>
  <c r="L199" i="10"/>
  <c r="Q199" i="10" s="1"/>
  <c r="R199" i="10" s="1"/>
  <c r="L198" i="10"/>
  <c r="Q198" i="10" s="1"/>
  <c r="R198" i="10" s="1"/>
  <c r="L197" i="10"/>
  <c r="Q197" i="10" s="1"/>
  <c r="R197" i="10" s="1"/>
  <c r="L196" i="10"/>
  <c r="Q196" i="10" s="1"/>
  <c r="R196" i="10" s="1"/>
  <c r="L195" i="10"/>
  <c r="Q195" i="10" s="1"/>
  <c r="R195" i="10" s="1"/>
  <c r="L194" i="10"/>
  <c r="Q194" i="10" s="1"/>
  <c r="R194" i="10" s="1"/>
  <c r="L193" i="10"/>
  <c r="Q193" i="10" s="1"/>
  <c r="R193" i="10" s="1"/>
  <c r="L192" i="10"/>
  <c r="Q192" i="10" s="1"/>
  <c r="R192" i="10" s="1"/>
  <c r="L191" i="10"/>
  <c r="Q191" i="10" s="1"/>
  <c r="R191" i="10" s="1"/>
  <c r="L190" i="10"/>
  <c r="Q190" i="10" s="1"/>
  <c r="R190" i="10" s="1"/>
  <c r="L189" i="10"/>
  <c r="Q189" i="10" s="1"/>
  <c r="R189" i="10" s="1"/>
  <c r="L188" i="10"/>
  <c r="Q188" i="10" s="1"/>
  <c r="R188" i="10" s="1"/>
  <c r="L187" i="10"/>
  <c r="Q187" i="10" s="1"/>
  <c r="R187" i="10" s="1"/>
  <c r="L186" i="10"/>
  <c r="Q186" i="10" s="1"/>
  <c r="R186" i="10" s="1"/>
  <c r="L185" i="10"/>
  <c r="Q185" i="10" s="1"/>
  <c r="R185" i="10" s="1"/>
  <c r="L184" i="10"/>
  <c r="Q184" i="10" s="1"/>
  <c r="R184" i="10" s="1"/>
  <c r="L183" i="10"/>
  <c r="Q183" i="10" s="1"/>
  <c r="R183" i="10" s="1"/>
  <c r="L182" i="10"/>
  <c r="Q182" i="10" s="1"/>
  <c r="R182" i="10" s="1"/>
  <c r="L181" i="10"/>
  <c r="Q181" i="10" s="1"/>
  <c r="R181" i="10" s="1"/>
  <c r="L180" i="10"/>
  <c r="Q180" i="10" s="1"/>
  <c r="R180" i="10" s="1"/>
  <c r="L179" i="10"/>
  <c r="Q179" i="10" s="1"/>
  <c r="R179" i="10" s="1"/>
  <c r="L178" i="10"/>
  <c r="Q178" i="10" s="1"/>
  <c r="R178" i="10" s="1"/>
  <c r="L177" i="10"/>
  <c r="Q177" i="10" s="1"/>
  <c r="R177" i="10" s="1"/>
  <c r="L176" i="10"/>
  <c r="Q176" i="10" s="1"/>
  <c r="R176" i="10" s="1"/>
  <c r="L175" i="10"/>
  <c r="Q175" i="10" s="1"/>
  <c r="R175" i="10" s="1"/>
  <c r="L174" i="10"/>
  <c r="Q174" i="10" s="1"/>
  <c r="R174" i="10" s="1"/>
  <c r="L173" i="10"/>
  <c r="Q173" i="10" s="1"/>
  <c r="R173" i="10" s="1"/>
  <c r="L172" i="10"/>
  <c r="Q172" i="10" s="1"/>
  <c r="R172" i="10" s="1"/>
  <c r="L171" i="10"/>
  <c r="Q171" i="10" s="1"/>
  <c r="R171" i="10" s="1"/>
  <c r="L170" i="10"/>
  <c r="Q170" i="10" s="1"/>
  <c r="R170" i="10" s="1"/>
  <c r="L169" i="10"/>
  <c r="Q169" i="10" s="1"/>
  <c r="R169" i="10" s="1"/>
  <c r="L168" i="10"/>
  <c r="Q168" i="10" s="1"/>
  <c r="R168" i="10" s="1"/>
  <c r="L167" i="10"/>
  <c r="Q167" i="10" s="1"/>
  <c r="R167" i="10" s="1"/>
  <c r="L166" i="10"/>
  <c r="Q166" i="10" s="1"/>
  <c r="R166" i="10" s="1"/>
  <c r="L165" i="10"/>
  <c r="Q165" i="10" s="1"/>
  <c r="R165" i="10" s="1"/>
  <c r="L164" i="10"/>
  <c r="Q164" i="10" s="1"/>
  <c r="R164" i="10" s="1"/>
  <c r="L163" i="10"/>
  <c r="Q163" i="10" s="1"/>
  <c r="R163" i="10" s="1"/>
  <c r="L162" i="10"/>
  <c r="Q162" i="10" s="1"/>
  <c r="R162" i="10" s="1"/>
  <c r="L161" i="10"/>
  <c r="Q161" i="10" s="1"/>
  <c r="R161" i="10" s="1"/>
  <c r="L160" i="10"/>
  <c r="Q160" i="10" s="1"/>
  <c r="R160" i="10" s="1"/>
  <c r="L159" i="10"/>
  <c r="Q159" i="10" s="1"/>
  <c r="R159" i="10" s="1"/>
  <c r="L158" i="10"/>
  <c r="Q158" i="10" s="1"/>
  <c r="R158" i="10" s="1"/>
  <c r="L157" i="10"/>
  <c r="Q157" i="10" s="1"/>
  <c r="R157" i="10" s="1"/>
  <c r="L156" i="10"/>
  <c r="Q156" i="10" s="1"/>
  <c r="R156" i="10" s="1"/>
  <c r="L155" i="10"/>
  <c r="Q155" i="10" s="1"/>
  <c r="R155" i="10" s="1"/>
  <c r="L154" i="10"/>
  <c r="Q154" i="10" s="1"/>
  <c r="R154" i="10" s="1"/>
  <c r="L153" i="10"/>
  <c r="Q153" i="10" s="1"/>
  <c r="R153" i="10" s="1"/>
  <c r="L152" i="10"/>
  <c r="Q152" i="10" s="1"/>
  <c r="R152" i="10" s="1"/>
  <c r="L151" i="10"/>
  <c r="Q151" i="10" s="1"/>
  <c r="R151" i="10" s="1"/>
  <c r="L150" i="10"/>
  <c r="Q150" i="10" s="1"/>
  <c r="R150" i="10" s="1"/>
  <c r="L149" i="10"/>
  <c r="Q149" i="10" s="1"/>
  <c r="R149" i="10" s="1"/>
  <c r="L148" i="10"/>
  <c r="Q148" i="10" s="1"/>
  <c r="R148" i="10" s="1"/>
  <c r="L147" i="10"/>
  <c r="Q147" i="10" s="1"/>
  <c r="R147" i="10" s="1"/>
  <c r="L146" i="10"/>
  <c r="Q146" i="10" s="1"/>
  <c r="R146" i="10" s="1"/>
  <c r="L145" i="10"/>
  <c r="Q145" i="10" s="1"/>
  <c r="R145" i="10" s="1"/>
  <c r="L144" i="10"/>
  <c r="Q144" i="10" s="1"/>
  <c r="R144" i="10" s="1"/>
  <c r="L143" i="10"/>
  <c r="Q143" i="10" s="1"/>
  <c r="R143" i="10" s="1"/>
  <c r="L142" i="10"/>
  <c r="Q142" i="10" s="1"/>
  <c r="R142" i="10" s="1"/>
  <c r="L141" i="10"/>
  <c r="Q141" i="10" s="1"/>
  <c r="R141" i="10" s="1"/>
  <c r="L140" i="10"/>
  <c r="Q140" i="10" s="1"/>
  <c r="R140" i="10" s="1"/>
  <c r="L139" i="10"/>
  <c r="Q139" i="10" s="1"/>
  <c r="R139" i="10" s="1"/>
  <c r="L138" i="10"/>
  <c r="Q138" i="10" s="1"/>
  <c r="R138" i="10" s="1"/>
  <c r="L137" i="10"/>
  <c r="L136" i="10"/>
  <c r="Q136" i="10" s="1"/>
  <c r="R136" i="10" s="1"/>
  <c r="L135" i="10"/>
  <c r="Q135" i="10" s="1"/>
  <c r="R135" i="10" s="1"/>
  <c r="L134" i="10"/>
  <c r="Q134" i="10" s="1"/>
  <c r="R134" i="10" s="1"/>
  <c r="L133" i="10"/>
  <c r="Q133" i="10" s="1"/>
  <c r="R133" i="10" s="1"/>
  <c r="L132" i="10"/>
  <c r="Q132" i="10" s="1"/>
  <c r="R132" i="10" s="1"/>
  <c r="L131" i="10"/>
  <c r="Q131" i="10" s="1"/>
  <c r="R131" i="10" s="1"/>
  <c r="L130" i="10"/>
  <c r="Q130" i="10" s="1"/>
  <c r="R130" i="10" s="1"/>
  <c r="L129" i="10"/>
  <c r="Q129" i="10" s="1"/>
  <c r="R129" i="10" s="1"/>
  <c r="L128" i="10"/>
  <c r="Q128" i="10" s="1"/>
  <c r="R128" i="10" s="1"/>
  <c r="L127" i="10"/>
  <c r="Q127" i="10" s="1"/>
  <c r="R127" i="10" s="1"/>
  <c r="L126" i="10"/>
  <c r="Q126" i="10" s="1"/>
  <c r="R126" i="10" s="1"/>
  <c r="L125" i="10"/>
  <c r="Q125" i="10" s="1"/>
  <c r="R125" i="10" s="1"/>
  <c r="L124" i="10"/>
  <c r="Q124" i="10" s="1"/>
  <c r="R124" i="10" s="1"/>
  <c r="L123" i="10"/>
  <c r="Q123" i="10" s="1"/>
  <c r="R123" i="10" s="1"/>
  <c r="L122" i="10"/>
  <c r="Q122" i="10" s="1"/>
  <c r="R122" i="10" s="1"/>
  <c r="L121" i="10"/>
  <c r="Q121" i="10" s="1"/>
  <c r="R121" i="10" s="1"/>
  <c r="L120" i="10"/>
  <c r="Q120" i="10" s="1"/>
  <c r="R120" i="10" s="1"/>
  <c r="L119" i="10"/>
  <c r="Q119" i="10" s="1"/>
  <c r="R119" i="10" s="1"/>
  <c r="L118" i="10"/>
  <c r="Q118" i="10" s="1"/>
  <c r="R118" i="10" s="1"/>
  <c r="L117" i="10"/>
  <c r="Q117" i="10" s="1"/>
  <c r="R117" i="10" s="1"/>
  <c r="L116" i="10"/>
  <c r="Q116" i="10" s="1"/>
  <c r="R116" i="10" s="1"/>
  <c r="L115" i="10"/>
  <c r="Q115" i="10" s="1"/>
  <c r="R115" i="10" s="1"/>
  <c r="L114" i="10"/>
  <c r="Q114" i="10" s="1"/>
  <c r="R114" i="10" s="1"/>
  <c r="L113" i="10"/>
  <c r="Q113" i="10" s="1"/>
  <c r="R113" i="10" s="1"/>
  <c r="L112" i="10"/>
  <c r="Q112" i="10" s="1"/>
  <c r="R112" i="10" s="1"/>
  <c r="L111" i="10"/>
  <c r="Q111" i="10" s="1"/>
  <c r="R111" i="10" s="1"/>
  <c r="L110" i="10"/>
  <c r="Q110" i="10" s="1"/>
  <c r="R110" i="10" s="1"/>
  <c r="L109" i="10"/>
  <c r="Q109" i="10" s="1"/>
  <c r="R109" i="10" s="1"/>
  <c r="L108" i="10"/>
  <c r="Q108" i="10" s="1"/>
  <c r="R108" i="10" s="1"/>
  <c r="L107" i="10"/>
  <c r="Q107" i="10" s="1"/>
  <c r="R107" i="10" s="1"/>
  <c r="L106" i="10"/>
  <c r="Q106" i="10" s="1"/>
  <c r="R106" i="10" s="1"/>
  <c r="L105" i="10"/>
  <c r="Q105" i="10" s="1"/>
  <c r="R105" i="10" s="1"/>
  <c r="L104" i="10"/>
  <c r="Q104" i="10" s="1"/>
  <c r="R104" i="10" s="1"/>
  <c r="L103" i="10"/>
  <c r="Q103" i="10" s="1"/>
  <c r="R103" i="10" s="1"/>
  <c r="L102" i="10"/>
  <c r="Q102" i="10" s="1"/>
  <c r="R102" i="10" s="1"/>
  <c r="L101" i="10"/>
  <c r="Q101" i="10" s="1"/>
  <c r="R101" i="10" s="1"/>
  <c r="L100" i="10"/>
  <c r="Q100" i="10" s="1"/>
  <c r="R100" i="10" s="1"/>
  <c r="L99" i="10"/>
  <c r="Q99" i="10" s="1"/>
  <c r="R99" i="10" s="1"/>
  <c r="L98" i="10"/>
  <c r="Q98" i="10" s="1"/>
  <c r="R98" i="10" s="1"/>
  <c r="L97" i="10"/>
  <c r="Q97" i="10" s="1"/>
  <c r="R97" i="10" s="1"/>
  <c r="L96" i="10"/>
  <c r="Q96" i="10" s="1"/>
  <c r="R96" i="10" s="1"/>
  <c r="L95" i="10"/>
  <c r="Q95" i="10" s="1"/>
  <c r="R95" i="10" s="1"/>
  <c r="L94" i="10"/>
  <c r="Q94" i="10" s="1"/>
  <c r="R94" i="10" s="1"/>
  <c r="L93" i="10"/>
  <c r="Q93" i="10" s="1"/>
  <c r="R93" i="10" s="1"/>
  <c r="L92" i="10"/>
  <c r="Q92" i="10" s="1"/>
  <c r="R92" i="10" s="1"/>
  <c r="L91" i="10"/>
  <c r="Q91" i="10" s="1"/>
  <c r="R91" i="10" s="1"/>
  <c r="L90" i="10"/>
  <c r="Q90" i="10" s="1"/>
  <c r="R90" i="10" s="1"/>
  <c r="L89" i="10"/>
  <c r="Q89" i="10" s="1"/>
  <c r="R89" i="10" s="1"/>
  <c r="L88" i="10"/>
  <c r="Q88" i="10" s="1"/>
  <c r="R88" i="10" s="1"/>
  <c r="L87" i="10"/>
  <c r="Q87" i="10" s="1"/>
  <c r="R87" i="10" s="1"/>
  <c r="L86" i="10"/>
  <c r="Q86" i="10" s="1"/>
  <c r="R86" i="10" s="1"/>
  <c r="L85" i="10"/>
  <c r="Q85" i="10" s="1"/>
  <c r="R85" i="10" s="1"/>
  <c r="L84" i="10"/>
  <c r="Q84" i="10" s="1"/>
  <c r="R84" i="10" s="1"/>
  <c r="L83" i="10"/>
  <c r="Q83" i="10" s="1"/>
  <c r="R83" i="10" s="1"/>
  <c r="L82" i="10"/>
  <c r="Q82" i="10" s="1"/>
  <c r="R82" i="10" s="1"/>
  <c r="L81" i="10"/>
  <c r="Q81" i="10" s="1"/>
  <c r="R81" i="10" s="1"/>
  <c r="L80" i="10"/>
  <c r="Q80" i="10" s="1"/>
  <c r="R80" i="10" s="1"/>
  <c r="L79" i="10"/>
  <c r="Q79" i="10" s="1"/>
  <c r="R79" i="10" s="1"/>
  <c r="L78" i="10"/>
  <c r="Q78" i="10" s="1"/>
  <c r="R78" i="10" s="1"/>
  <c r="L77" i="10"/>
  <c r="Q77" i="10" s="1"/>
  <c r="R77" i="10" s="1"/>
  <c r="L76" i="10"/>
  <c r="Q76" i="10" s="1"/>
  <c r="R76" i="10" s="1"/>
  <c r="L75" i="10"/>
  <c r="Q75" i="10" s="1"/>
  <c r="R75" i="10" s="1"/>
  <c r="L74" i="10"/>
  <c r="Q74" i="10" s="1"/>
  <c r="R74" i="10" s="1"/>
  <c r="L73" i="10"/>
  <c r="Q73" i="10" s="1"/>
  <c r="R73" i="10" s="1"/>
  <c r="L72" i="10"/>
  <c r="Q72" i="10" s="1"/>
  <c r="R72" i="10" s="1"/>
  <c r="L71" i="10"/>
  <c r="Q71" i="10" s="1"/>
  <c r="R71" i="10" s="1"/>
  <c r="L70" i="10"/>
  <c r="Q70" i="10" s="1"/>
  <c r="R70" i="10" s="1"/>
  <c r="L69" i="10"/>
  <c r="Q69" i="10" s="1"/>
  <c r="R69" i="10" s="1"/>
  <c r="L68" i="10"/>
  <c r="Q68" i="10" s="1"/>
  <c r="R68" i="10" s="1"/>
  <c r="L67" i="10"/>
  <c r="Q67" i="10" s="1"/>
  <c r="R67" i="10" s="1"/>
  <c r="L66" i="10"/>
  <c r="Q66" i="10" s="1"/>
  <c r="R66" i="10" s="1"/>
  <c r="L65" i="10"/>
  <c r="Q65" i="10" s="1"/>
  <c r="R65" i="10" s="1"/>
  <c r="L64" i="10"/>
  <c r="Q64" i="10" s="1"/>
  <c r="R64" i="10" s="1"/>
  <c r="L63" i="10"/>
  <c r="Q63" i="10" s="1"/>
  <c r="R63" i="10" s="1"/>
  <c r="L62" i="10"/>
  <c r="Q62" i="10" s="1"/>
  <c r="R62" i="10" s="1"/>
  <c r="L61" i="10"/>
  <c r="Q61" i="10" s="1"/>
  <c r="R61" i="10" s="1"/>
  <c r="L60" i="10"/>
  <c r="Q60" i="10" s="1"/>
  <c r="R60" i="10" s="1"/>
  <c r="L59" i="10"/>
  <c r="Q59" i="10" s="1"/>
  <c r="R59" i="10" s="1"/>
  <c r="L58" i="10"/>
  <c r="Q58" i="10" s="1"/>
  <c r="R58" i="10" s="1"/>
  <c r="L57" i="10"/>
  <c r="Q57" i="10" s="1"/>
  <c r="R57" i="10" s="1"/>
  <c r="L56" i="10"/>
  <c r="Q56" i="10" s="1"/>
  <c r="R56" i="10" s="1"/>
  <c r="L55" i="10"/>
  <c r="Q55" i="10" s="1"/>
  <c r="R55" i="10" s="1"/>
  <c r="L54" i="10"/>
  <c r="Q54" i="10" s="1"/>
  <c r="R54" i="10" s="1"/>
  <c r="L53" i="10"/>
  <c r="Q53" i="10" s="1"/>
  <c r="R53" i="10" s="1"/>
  <c r="L52" i="10"/>
  <c r="Q52" i="10" s="1"/>
  <c r="R52" i="10" s="1"/>
  <c r="L51" i="10"/>
  <c r="Q51" i="10" s="1"/>
  <c r="R51" i="10" s="1"/>
  <c r="L50" i="10"/>
  <c r="Q50" i="10" s="1"/>
  <c r="R50" i="10" s="1"/>
  <c r="L49" i="10"/>
  <c r="Q49" i="10" s="1"/>
  <c r="R49" i="10" s="1"/>
  <c r="L48" i="10"/>
  <c r="Q48" i="10" s="1"/>
  <c r="R48" i="10" s="1"/>
  <c r="L47" i="10"/>
  <c r="Q47" i="10" s="1"/>
  <c r="R47" i="10" s="1"/>
  <c r="L46" i="10"/>
  <c r="Q46" i="10" s="1"/>
  <c r="R46" i="10" s="1"/>
  <c r="L45" i="10"/>
  <c r="Q45" i="10" s="1"/>
  <c r="R45" i="10" s="1"/>
  <c r="L44" i="10"/>
  <c r="Q44" i="10" s="1"/>
  <c r="R44" i="10" s="1"/>
  <c r="L43" i="10"/>
  <c r="Q43" i="10" s="1"/>
  <c r="R43" i="10" s="1"/>
  <c r="L42" i="10"/>
  <c r="Q42" i="10" s="1"/>
  <c r="R42" i="10" s="1"/>
  <c r="L41" i="10"/>
  <c r="Q41" i="10" s="1"/>
  <c r="R41" i="10" s="1"/>
  <c r="L40" i="10"/>
  <c r="Q40" i="10" s="1"/>
  <c r="R40" i="10" s="1"/>
  <c r="L39" i="10"/>
  <c r="Q39" i="10" s="1"/>
  <c r="R39" i="10" s="1"/>
  <c r="L38" i="10"/>
  <c r="Q38" i="10" s="1"/>
  <c r="R38" i="10" s="1"/>
  <c r="L37" i="10"/>
  <c r="Q37" i="10" s="1"/>
  <c r="R37" i="10" s="1"/>
  <c r="L36" i="10"/>
  <c r="Q36" i="10" s="1"/>
  <c r="R36" i="10" s="1"/>
  <c r="L35" i="10"/>
  <c r="Q35" i="10" s="1"/>
  <c r="R35" i="10" s="1"/>
  <c r="L34" i="10"/>
  <c r="Q34" i="10" s="1"/>
  <c r="R34" i="10" s="1"/>
  <c r="L33" i="10"/>
  <c r="Q33" i="10" s="1"/>
  <c r="R33" i="10" s="1"/>
  <c r="L32" i="10"/>
  <c r="Q32" i="10" s="1"/>
  <c r="R32" i="10" s="1"/>
  <c r="L31" i="10"/>
  <c r="Q31" i="10" s="1"/>
  <c r="R31" i="10" s="1"/>
  <c r="L30" i="10"/>
  <c r="Q30" i="10" s="1"/>
  <c r="R30" i="10" s="1"/>
  <c r="L29" i="10"/>
  <c r="Q29" i="10" s="1"/>
  <c r="R29" i="10" s="1"/>
  <c r="L28" i="10"/>
  <c r="Q28" i="10" s="1"/>
  <c r="R28" i="10" s="1"/>
  <c r="L27" i="10"/>
  <c r="Q27" i="10" s="1"/>
  <c r="R27" i="10" s="1"/>
  <c r="L26" i="10"/>
  <c r="Q26" i="10" s="1"/>
  <c r="R26" i="10" s="1"/>
  <c r="L25" i="10"/>
  <c r="Q25" i="10" s="1"/>
  <c r="R25" i="10" s="1"/>
  <c r="L24" i="10"/>
  <c r="Q24" i="10" s="1"/>
  <c r="R24" i="10" s="1"/>
  <c r="L23" i="10"/>
  <c r="Q23" i="10" s="1"/>
  <c r="R23" i="10" s="1"/>
  <c r="L22" i="10"/>
  <c r="Q22" i="10" s="1"/>
  <c r="R22" i="10" s="1"/>
  <c r="L21" i="10"/>
  <c r="Q21" i="10" s="1"/>
  <c r="R21" i="10" s="1"/>
  <c r="L20" i="10"/>
  <c r="Q20" i="10" s="1"/>
  <c r="R20" i="10" s="1"/>
  <c r="L19" i="10"/>
  <c r="Q19" i="10" s="1"/>
  <c r="R19" i="10" s="1"/>
  <c r="L18" i="10"/>
  <c r="Q18" i="10" s="1"/>
  <c r="R18" i="10" s="1"/>
  <c r="L17" i="10"/>
  <c r="Q17" i="10" s="1"/>
  <c r="R17" i="10" s="1"/>
  <c r="L16" i="10"/>
  <c r="Q16" i="10" s="1"/>
  <c r="R16" i="10" s="1"/>
  <c r="L15" i="10"/>
  <c r="Q15" i="10" s="1"/>
  <c r="R15" i="10" s="1"/>
  <c r="L14" i="10"/>
  <c r="Q14" i="10" s="1"/>
  <c r="R14" i="10" s="1"/>
  <c r="L13" i="10"/>
  <c r="Q13" i="10" s="1"/>
  <c r="R13" i="10" s="1"/>
  <c r="L12" i="10"/>
  <c r="Q12" i="10" s="1"/>
  <c r="R12" i="10" s="1"/>
  <c r="L11" i="10"/>
  <c r="Q11" i="10" s="1"/>
  <c r="R11" i="10" s="1"/>
  <c r="L10" i="10"/>
  <c r="Q10" i="10" s="1"/>
  <c r="R10" i="10" s="1"/>
  <c r="L9" i="10"/>
  <c r="Q9" i="10" s="1"/>
  <c r="R9" i="10" s="1"/>
  <c r="L8" i="10"/>
  <c r="Q8" i="10" s="1"/>
  <c r="R8" i="10" s="1"/>
  <c r="L7" i="10"/>
  <c r="Q7" i="10" s="1"/>
  <c r="R7" i="10" s="1"/>
  <c r="L6" i="10"/>
  <c r="Q6" i="10" s="1"/>
  <c r="K4" i="10"/>
  <c r="J4" i="10"/>
  <c r="I4" i="10"/>
  <c r="H4" i="10"/>
  <c r="F4" i="10"/>
  <c r="G1" i="9"/>
  <c r="G2" i="9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4" i="8"/>
  <c r="K40" i="7"/>
  <c r="M40" i="7" s="1"/>
  <c r="K39" i="7"/>
  <c r="M39" i="7" s="1"/>
  <c r="K38" i="7"/>
  <c r="M38" i="7" s="1"/>
  <c r="K37" i="7"/>
  <c r="M37" i="7" s="1"/>
  <c r="K36" i="7"/>
  <c r="M36" i="7" s="1"/>
  <c r="K35" i="7"/>
  <c r="M35" i="7" s="1"/>
  <c r="K34" i="7"/>
  <c r="M34" i="7" s="1"/>
  <c r="K33" i="7"/>
  <c r="M33" i="7" s="1"/>
  <c r="K32" i="7"/>
  <c r="M32" i="7" s="1"/>
  <c r="K31" i="7"/>
  <c r="M31" i="7" s="1"/>
  <c r="K30" i="7"/>
  <c r="M30" i="7" s="1"/>
  <c r="K29" i="7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K21" i="7"/>
  <c r="M21" i="7" s="1"/>
  <c r="K20" i="7"/>
  <c r="M20" i="7" s="1"/>
  <c r="K19" i="7"/>
  <c r="M19" i="7" s="1"/>
  <c r="K18" i="7"/>
  <c r="M18" i="7" s="1"/>
  <c r="K17" i="7"/>
  <c r="M17" i="7" s="1"/>
  <c r="K16" i="7"/>
  <c r="M16" i="7" s="1"/>
  <c r="K15" i="7"/>
  <c r="M15" i="7" s="1"/>
  <c r="K14" i="7"/>
  <c r="M14" i="7" s="1"/>
  <c r="K13" i="7"/>
  <c r="M13" i="7" s="1"/>
  <c r="K12" i="7"/>
  <c r="M12" i="7" s="1"/>
  <c r="K11" i="7"/>
  <c r="M11" i="7" s="1"/>
  <c r="K10" i="7"/>
  <c r="M10" i="7" s="1"/>
  <c r="K9" i="7"/>
  <c r="M9" i="7" s="1"/>
  <c r="K8" i="7"/>
  <c r="M8" i="7" s="1"/>
  <c r="K7" i="7"/>
  <c r="M7" i="7" s="1"/>
  <c r="K6" i="7"/>
  <c r="M6" i="7" s="1"/>
  <c r="J4" i="7"/>
  <c r="I4" i="7"/>
  <c r="H4" i="7"/>
  <c r="G4" i="7"/>
  <c r="F4" i="7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J4" i="6"/>
  <c r="I4" i="6"/>
  <c r="H4" i="6"/>
  <c r="G4" i="6"/>
  <c r="F4" i="6"/>
  <c r="I4" i="4"/>
  <c r="H4" i="4"/>
  <c r="E4" i="4"/>
  <c r="G4" i="4"/>
  <c r="F4" i="4"/>
  <c r="I4" i="3"/>
  <c r="H4" i="3"/>
  <c r="G4" i="3"/>
  <c r="F4" i="3"/>
  <c r="E4" i="3"/>
  <c r="E4" i="12" l="1"/>
  <c r="I4" i="5"/>
  <c r="K6" i="5"/>
  <c r="Q137" i="10"/>
  <c r="R137" i="10" s="1"/>
  <c r="L4" i="10"/>
  <c r="Q4" i="10"/>
  <c r="R6" i="10"/>
  <c r="R4" i="10" s="1"/>
  <c r="I2" i="8"/>
  <c r="K4" i="7"/>
  <c r="M4" i="7"/>
  <c r="M347" i="6"/>
  <c r="N347" i="6" s="1"/>
  <c r="M346" i="6"/>
  <c r="N346" i="6" s="1"/>
  <c r="M345" i="6"/>
  <c r="N345" i="6" s="1"/>
  <c r="M344" i="6"/>
  <c r="N344" i="6" s="1"/>
  <c r="M343" i="6"/>
  <c r="N343" i="6" s="1"/>
  <c r="M342" i="6"/>
  <c r="N342" i="6" s="1"/>
  <c r="M341" i="6"/>
  <c r="N341" i="6" s="1"/>
  <c r="M50" i="6"/>
  <c r="N50" i="6" s="1"/>
  <c r="M49" i="6"/>
  <c r="N49" i="6" s="1"/>
  <c r="M48" i="6"/>
  <c r="N48" i="6" s="1"/>
  <c r="M47" i="6"/>
  <c r="N47" i="6" s="1"/>
  <c r="M46" i="6"/>
  <c r="N46" i="6" s="1"/>
  <c r="M45" i="6"/>
  <c r="N45" i="6" s="1"/>
  <c r="M44" i="6"/>
  <c r="N44" i="6" s="1"/>
  <c r="M43" i="6"/>
  <c r="N43" i="6" s="1"/>
  <c r="M42" i="6"/>
  <c r="N42" i="6" s="1"/>
  <c r="M41" i="6"/>
  <c r="N41" i="6" s="1"/>
  <c r="M40" i="6"/>
  <c r="N40" i="6" s="1"/>
  <c r="M39" i="6"/>
  <c r="N39" i="6" s="1"/>
  <c r="M38" i="6"/>
  <c r="N38" i="6" s="1"/>
  <c r="M37" i="6"/>
  <c r="N37" i="6" s="1"/>
  <c r="M36" i="6"/>
  <c r="N36" i="6" s="1"/>
  <c r="M35" i="6"/>
  <c r="N35" i="6" s="1"/>
  <c r="M34" i="6"/>
  <c r="N34" i="6" s="1"/>
  <c r="M33" i="6"/>
  <c r="N33" i="6" s="1"/>
  <c r="M32" i="6"/>
  <c r="N32" i="6" s="1"/>
  <c r="M31" i="6"/>
  <c r="N31" i="6" s="1"/>
  <c r="M30" i="6"/>
  <c r="N30" i="6" s="1"/>
  <c r="M29" i="6"/>
  <c r="N29" i="6" s="1"/>
  <c r="M28" i="6"/>
  <c r="N28" i="6" s="1"/>
  <c r="M27" i="6"/>
  <c r="N27" i="6" s="1"/>
  <c r="M26" i="6"/>
  <c r="N26" i="6" s="1"/>
  <c r="M25" i="6"/>
  <c r="N25" i="6" s="1"/>
  <c r="M24" i="6"/>
  <c r="N24" i="6" s="1"/>
  <c r="M23" i="6"/>
  <c r="N23" i="6" s="1"/>
  <c r="M22" i="6"/>
  <c r="N22" i="6" s="1"/>
  <c r="M21" i="6"/>
  <c r="N21" i="6" s="1"/>
  <c r="M20" i="6"/>
  <c r="N20" i="6" s="1"/>
  <c r="M19" i="6"/>
  <c r="N19" i="6" s="1"/>
  <c r="M18" i="6"/>
  <c r="N18" i="6" s="1"/>
  <c r="M17" i="6"/>
  <c r="N17" i="6" s="1"/>
  <c r="M16" i="6"/>
  <c r="N16" i="6" s="1"/>
  <c r="M15" i="6"/>
  <c r="N15" i="6" s="1"/>
  <c r="M14" i="6"/>
  <c r="N14" i="6" s="1"/>
  <c r="M13" i="6"/>
  <c r="N13" i="6" s="1"/>
  <c r="M12" i="6"/>
  <c r="N12" i="6" s="1"/>
  <c r="M11" i="6"/>
  <c r="N11" i="6" s="1"/>
  <c r="M10" i="6"/>
  <c r="N10" i="6" s="1"/>
  <c r="M9" i="6"/>
  <c r="N9" i="6" s="1"/>
  <c r="M8" i="6"/>
  <c r="N8" i="6" s="1"/>
  <c r="M7" i="6"/>
  <c r="N7" i="6" s="1"/>
  <c r="M6" i="6"/>
  <c r="N6" i="6" s="1"/>
  <c r="M340" i="6"/>
  <c r="N340" i="6" s="1"/>
  <c r="M339" i="6"/>
  <c r="N339" i="6" s="1"/>
  <c r="M338" i="6"/>
  <c r="N338" i="6" s="1"/>
  <c r="M337" i="6"/>
  <c r="N337" i="6" s="1"/>
  <c r="M336" i="6"/>
  <c r="N336" i="6" s="1"/>
  <c r="M335" i="6"/>
  <c r="N335" i="6" s="1"/>
  <c r="M334" i="6"/>
  <c r="N334" i="6" s="1"/>
  <c r="M333" i="6"/>
  <c r="N333" i="6" s="1"/>
  <c r="M332" i="6"/>
  <c r="N332" i="6" s="1"/>
  <c r="M331" i="6"/>
  <c r="N331" i="6" s="1"/>
  <c r="M330" i="6"/>
  <c r="N330" i="6" s="1"/>
  <c r="M329" i="6"/>
  <c r="N329" i="6" s="1"/>
  <c r="M328" i="6"/>
  <c r="N328" i="6" s="1"/>
  <c r="M327" i="6"/>
  <c r="N327" i="6" s="1"/>
  <c r="M326" i="6"/>
  <c r="N326" i="6" s="1"/>
  <c r="M325" i="6"/>
  <c r="N325" i="6" s="1"/>
  <c r="M324" i="6"/>
  <c r="N324" i="6" s="1"/>
  <c r="M323" i="6"/>
  <c r="N323" i="6" s="1"/>
  <c r="M322" i="6"/>
  <c r="N322" i="6" s="1"/>
  <c r="M321" i="6"/>
  <c r="N321" i="6" s="1"/>
  <c r="M320" i="6"/>
  <c r="N320" i="6" s="1"/>
  <c r="M319" i="6"/>
  <c r="N319" i="6" s="1"/>
  <c r="M318" i="6"/>
  <c r="N318" i="6" s="1"/>
  <c r="M317" i="6"/>
  <c r="N317" i="6" s="1"/>
  <c r="M316" i="6"/>
  <c r="N316" i="6" s="1"/>
  <c r="M315" i="6"/>
  <c r="N315" i="6" s="1"/>
  <c r="M314" i="6"/>
  <c r="N314" i="6" s="1"/>
  <c r="M313" i="6"/>
  <c r="N313" i="6" s="1"/>
  <c r="M312" i="6"/>
  <c r="N312" i="6" s="1"/>
  <c r="M311" i="6"/>
  <c r="N311" i="6" s="1"/>
  <c r="M310" i="6"/>
  <c r="N310" i="6" s="1"/>
  <c r="M309" i="6"/>
  <c r="N309" i="6" s="1"/>
  <c r="M308" i="6"/>
  <c r="N308" i="6" s="1"/>
  <c r="M307" i="6"/>
  <c r="N307" i="6" s="1"/>
  <c r="M306" i="6"/>
  <c r="N306" i="6" s="1"/>
  <c r="M305" i="6"/>
  <c r="N305" i="6" s="1"/>
  <c r="M304" i="6"/>
  <c r="N304" i="6" s="1"/>
  <c r="M303" i="6"/>
  <c r="N303" i="6" s="1"/>
  <c r="M302" i="6"/>
  <c r="N302" i="6" s="1"/>
  <c r="M301" i="6"/>
  <c r="N301" i="6" s="1"/>
  <c r="M300" i="6"/>
  <c r="N300" i="6" s="1"/>
  <c r="M299" i="6"/>
  <c r="N299" i="6" s="1"/>
  <c r="M298" i="6"/>
  <c r="N298" i="6" s="1"/>
  <c r="M297" i="6"/>
  <c r="N297" i="6" s="1"/>
  <c r="M296" i="6"/>
  <c r="N296" i="6" s="1"/>
  <c r="M295" i="6"/>
  <c r="N295" i="6" s="1"/>
  <c r="M294" i="6"/>
  <c r="N294" i="6" s="1"/>
  <c r="M293" i="6"/>
  <c r="N293" i="6" s="1"/>
  <c r="M292" i="6"/>
  <c r="N292" i="6" s="1"/>
  <c r="M291" i="6"/>
  <c r="N291" i="6" s="1"/>
  <c r="M290" i="6"/>
  <c r="N290" i="6" s="1"/>
  <c r="M289" i="6"/>
  <c r="N289" i="6" s="1"/>
  <c r="M288" i="6"/>
  <c r="N288" i="6" s="1"/>
  <c r="M287" i="6"/>
  <c r="N287" i="6" s="1"/>
  <c r="M286" i="6"/>
  <c r="N286" i="6" s="1"/>
  <c r="M285" i="6"/>
  <c r="N285" i="6" s="1"/>
  <c r="M284" i="6"/>
  <c r="N284" i="6" s="1"/>
  <c r="M283" i="6"/>
  <c r="N283" i="6" s="1"/>
  <c r="M282" i="6"/>
  <c r="N282" i="6" s="1"/>
  <c r="M281" i="6"/>
  <c r="N281" i="6" s="1"/>
  <c r="M280" i="6"/>
  <c r="N280" i="6" s="1"/>
  <c r="M279" i="6"/>
  <c r="N279" i="6" s="1"/>
  <c r="M278" i="6"/>
  <c r="N278" i="6" s="1"/>
  <c r="M277" i="6"/>
  <c r="N277" i="6" s="1"/>
  <c r="M276" i="6"/>
  <c r="N276" i="6" s="1"/>
  <c r="M275" i="6"/>
  <c r="N275" i="6" s="1"/>
  <c r="M274" i="6"/>
  <c r="N274" i="6" s="1"/>
  <c r="M273" i="6"/>
  <c r="N273" i="6" s="1"/>
  <c r="M272" i="6"/>
  <c r="N272" i="6" s="1"/>
  <c r="M271" i="6"/>
  <c r="N271" i="6" s="1"/>
  <c r="M270" i="6"/>
  <c r="N270" i="6" s="1"/>
  <c r="M269" i="6"/>
  <c r="N269" i="6" s="1"/>
  <c r="M268" i="6"/>
  <c r="N268" i="6" s="1"/>
  <c r="M267" i="6"/>
  <c r="N267" i="6" s="1"/>
  <c r="M266" i="6"/>
  <c r="N266" i="6" s="1"/>
  <c r="M265" i="6"/>
  <c r="N265" i="6" s="1"/>
  <c r="M264" i="6"/>
  <c r="N264" i="6" s="1"/>
  <c r="M263" i="6"/>
  <c r="N263" i="6" s="1"/>
  <c r="M262" i="6"/>
  <c r="N262" i="6" s="1"/>
  <c r="M261" i="6"/>
  <c r="N261" i="6" s="1"/>
  <c r="M260" i="6"/>
  <c r="N260" i="6" s="1"/>
  <c r="M259" i="6"/>
  <c r="N259" i="6" s="1"/>
  <c r="M258" i="6"/>
  <c r="N258" i="6" s="1"/>
  <c r="M257" i="6"/>
  <c r="N257" i="6" s="1"/>
  <c r="M256" i="6"/>
  <c r="N256" i="6" s="1"/>
  <c r="M255" i="6"/>
  <c r="N255" i="6" s="1"/>
  <c r="M254" i="6"/>
  <c r="N254" i="6" s="1"/>
  <c r="M253" i="6"/>
  <c r="N253" i="6" s="1"/>
  <c r="M252" i="6"/>
  <c r="N252" i="6" s="1"/>
  <c r="M251" i="6"/>
  <c r="N251" i="6" s="1"/>
  <c r="M250" i="6"/>
  <c r="N250" i="6" s="1"/>
  <c r="M249" i="6"/>
  <c r="N249" i="6" s="1"/>
  <c r="M248" i="6"/>
  <c r="N248" i="6" s="1"/>
  <c r="M247" i="6"/>
  <c r="N247" i="6" s="1"/>
  <c r="M246" i="6"/>
  <c r="N246" i="6" s="1"/>
  <c r="M245" i="6"/>
  <c r="N245" i="6" s="1"/>
  <c r="M244" i="6"/>
  <c r="N244" i="6" s="1"/>
  <c r="M243" i="6"/>
  <c r="N243" i="6" s="1"/>
  <c r="M242" i="6"/>
  <c r="N242" i="6" s="1"/>
  <c r="M241" i="6"/>
  <c r="N241" i="6" s="1"/>
  <c r="M240" i="6"/>
  <c r="N240" i="6" s="1"/>
  <c r="M239" i="6"/>
  <c r="N239" i="6" s="1"/>
  <c r="M238" i="6"/>
  <c r="N238" i="6" s="1"/>
  <c r="M237" i="6"/>
  <c r="N237" i="6" s="1"/>
  <c r="M236" i="6"/>
  <c r="N236" i="6" s="1"/>
  <c r="M235" i="6"/>
  <c r="N235" i="6" s="1"/>
  <c r="M234" i="6"/>
  <c r="N234" i="6" s="1"/>
  <c r="M233" i="6"/>
  <c r="N233" i="6" s="1"/>
  <c r="M232" i="6"/>
  <c r="N232" i="6" s="1"/>
  <c r="M231" i="6"/>
  <c r="N231" i="6" s="1"/>
  <c r="M230" i="6"/>
  <c r="N230" i="6" s="1"/>
  <c r="M229" i="6"/>
  <c r="N229" i="6" s="1"/>
  <c r="M228" i="6"/>
  <c r="N228" i="6" s="1"/>
  <c r="M227" i="6"/>
  <c r="N227" i="6" s="1"/>
  <c r="M226" i="6"/>
  <c r="N226" i="6" s="1"/>
  <c r="M225" i="6"/>
  <c r="N225" i="6" s="1"/>
  <c r="M224" i="6"/>
  <c r="N224" i="6" s="1"/>
  <c r="M223" i="6"/>
  <c r="N223" i="6" s="1"/>
  <c r="M222" i="6"/>
  <c r="N222" i="6" s="1"/>
  <c r="M221" i="6"/>
  <c r="N221" i="6" s="1"/>
  <c r="M220" i="6"/>
  <c r="N220" i="6" s="1"/>
  <c r="M219" i="6"/>
  <c r="N219" i="6" s="1"/>
  <c r="M218" i="6"/>
  <c r="N218" i="6" s="1"/>
  <c r="M217" i="6"/>
  <c r="N217" i="6" s="1"/>
  <c r="M216" i="6"/>
  <c r="N216" i="6" s="1"/>
  <c r="M215" i="6"/>
  <c r="N215" i="6" s="1"/>
  <c r="M214" i="6"/>
  <c r="N214" i="6" s="1"/>
  <c r="M213" i="6"/>
  <c r="N213" i="6" s="1"/>
  <c r="M212" i="6"/>
  <c r="N212" i="6" s="1"/>
  <c r="M211" i="6"/>
  <c r="N211" i="6" s="1"/>
  <c r="M210" i="6"/>
  <c r="N210" i="6" s="1"/>
  <c r="M209" i="6"/>
  <c r="N209" i="6" s="1"/>
  <c r="M208" i="6"/>
  <c r="N208" i="6" s="1"/>
  <c r="M207" i="6"/>
  <c r="N207" i="6" s="1"/>
  <c r="M206" i="6"/>
  <c r="N206" i="6" s="1"/>
  <c r="M205" i="6"/>
  <c r="N205" i="6" s="1"/>
  <c r="M204" i="6"/>
  <c r="N204" i="6" s="1"/>
  <c r="M203" i="6"/>
  <c r="N203" i="6" s="1"/>
  <c r="M202" i="6"/>
  <c r="N202" i="6" s="1"/>
  <c r="M201" i="6"/>
  <c r="N201" i="6" s="1"/>
  <c r="M200" i="6"/>
  <c r="N200" i="6" s="1"/>
  <c r="M199" i="6"/>
  <c r="N199" i="6" s="1"/>
  <c r="M198" i="6"/>
  <c r="N198" i="6" s="1"/>
  <c r="M197" i="6"/>
  <c r="N197" i="6" s="1"/>
  <c r="M196" i="6"/>
  <c r="N196" i="6" s="1"/>
  <c r="M195" i="6"/>
  <c r="N195" i="6" s="1"/>
  <c r="M194" i="6"/>
  <c r="N194" i="6" s="1"/>
  <c r="M193" i="6"/>
  <c r="N193" i="6" s="1"/>
  <c r="M192" i="6"/>
  <c r="N192" i="6" s="1"/>
  <c r="M191" i="6"/>
  <c r="N191" i="6" s="1"/>
  <c r="M190" i="6"/>
  <c r="N190" i="6" s="1"/>
  <c r="M189" i="6"/>
  <c r="N189" i="6" s="1"/>
  <c r="M188" i="6"/>
  <c r="N188" i="6" s="1"/>
  <c r="M187" i="6"/>
  <c r="N187" i="6" s="1"/>
  <c r="M186" i="6"/>
  <c r="N186" i="6" s="1"/>
  <c r="M185" i="6"/>
  <c r="N185" i="6" s="1"/>
  <c r="M184" i="6"/>
  <c r="N184" i="6" s="1"/>
  <c r="M183" i="6"/>
  <c r="N183" i="6" s="1"/>
  <c r="M182" i="6"/>
  <c r="N182" i="6" s="1"/>
  <c r="M181" i="6"/>
  <c r="N181" i="6" s="1"/>
  <c r="M180" i="6"/>
  <c r="N180" i="6" s="1"/>
  <c r="M179" i="6"/>
  <c r="N179" i="6" s="1"/>
  <c r="M178" i="6"/>
  <c r="N178" i="6" s="1"/>
  <c r="M177" i="6"/>
  <c r="N177" i="6" s="1"/>
  <c r="M176" i="6"/>
  <c r="N176" i="6" s="1"/>
  <c r="M175" i="6"/>
  <c r="N175" i="6" s="1"/>
  <c r="M174" i="6"/>
  <c r="N174" i="6" s="1"/>
  <c r="M173" i="6"/>
  <c r="N173" i="6" s="1"/>
  <c r="M172" i="6"/>
  <c r="N172" i="6" s="1"/>
  <c r="M171" i="6"/>
  <c r="N171" i="6" s="1"/>
  <c r="M170" i="6"/>
  <c r="N170" i="6" s="1"/>
  <c r="M169" i="6"/>
  <c r="N169" i="6" s="1"/>
  <c r="M168" i="6"/>
  <c r="N168" i="6" s="1"/>
  <c r="M167" i="6"/>
  <c r="N167" i="6" s="1"/>
  <c r="M166" i="6"/>
  <c r="N166" i="6" s="1"/>
  <c r="M165" i="6"/>
  <c r="N165" i="6" s="1"/>
  <c r="M164" i="6"/>
  <c r="N164" i="6" s="1"/>
  <c r="M163" i="6"/>
  <c r="N163" i="6" s="1"/>
  <c r="M162" i="6"/>
  <c r="N162" i="6" s="1"/>
  <c r="M161" i="6"/>
  <c r="N161" i="6" s="1"/>
  <c r="M160" i="6"/>
  <c r="N160" i="6" s="1"/>
  <c r="M159" i="6"/>
  <c r="N159" i="6" s="1"/>
  <c r="M158" i="6"/>
  <c r="N158" i="6" s="1"/>
  <c r="M157" i="6"/>
  <c r="N157" i="6" s="1"/>
  <c r="M156" i="6"/>
  <c r="N156" i="6" s="1"/>
  <c r="M155" i="6"/>
  <c r="N155" i="6" s="1"/>
  <c r="M154" i="6"/>
  <c r="N154" i="6" s="1"/>
  <c r="M153" i="6"/>
  <c r="N153" i="6" s="1"/>
  <c r="M152" i="6"/>
  <c r="N152" i="6" s="1"/>
  <c r="M151" i="6"/>
  <c r="N151" i="6" s="1"/>
  <c r="M150" i="6"/>
  <c r="N150" i="6" s="1"/>
  <c r="M149" i="6"/>
  <c r="N149" i="6" s="1"/>
  <c r="M148" i="6"/>
  <c r="N148" i="6" s="1"/>
  <c r="M147" i="6"/>
  <c r="N147" i="6" s="1"/>
  <c r="M146" i="6"/>
  <c r="N146" i="6" s="1"/>
  <c r="M145" i="6"/>
  <c r="N145" i="6" s="1"/>
  <c r="M144" i="6"/>
  <c r="N144" i="6" s="1"/>
  <c r="M143" i="6"/>
  <c r="N143" i="6" s="1"/>
  <c r="M142" i="6"/>
  <c r="N142" i="6" s="1"/>
  <c r="M141" i="6"/>
  <c r="N141" i="6" s="1"/>
  <c r="M140" i="6"/>
  <c r="N140" i="6" s="1"/>
  <c r="M139" i="6"/>
  <c r="N139" i="6" s="1"/>
  <c r="M138" i="6"/>
  <c r="N138" i="6" s="1"/>
  <c r="M137" i="6"/>
  <c r="N137" i="6" s="1"/>
  <c r="M136" i="6"/>
  <c r="N136" i="6" s="1"/>
  <c r="M135" i="6"/>
  <c r="N135" i="6" s="1"/>
  <c r="M134" i="6"/>
  <c r="N134" i="6" s="1"/>
  <c r="M133" i="6"/>
  <c r="N133" i="6" s="1"/>
  <c r="M132" i="6"/>
  <c r="N132" i="6" s="1"/>
  <c r="M131" i="6"/>
  <c r="N131" i="6" s="1"/>
  <c r="M130" i="6"/>
  <c r="N130" i="6" s="1"/>
  <c r="M129" i="6"/>
  <c r="N129" i="6" s="1"/>
  <c r="M128" i="6"/>
  <c r="N128" i="6" s="1"/>
  <c r="M127" i="6"/>
  <c r="N127" i="6" s="1"/>
  <c r="M126" i="6"/>
  <c r="N126" i="6" s="1"/>
  <c r="M125" i="6"/>
  <c r="N125" i="6" s="1"/>
  <c r="M124" i="6"/>
  <c r="N124" i="6" s="1"/>
  <c r="M123" i="6"/>
  <c r="N123" i="6" s="1"/>
  <c r="M122" i="6"/>
  <c r="N122" i="6" s="1"/>
  <c r="M121" i="6"/>
  <c r="N121" i="6" s="1"/>
  <c r="M120" i="6"/>
  <c r="N120" i="6" s="1"/>
  <c r="M119" i="6"/>
  <c r="N119" i="6" s="1"/>
  <c r="M118" i="6"/>
  <c r="N118" i="6" s="1"/>
  <c r="M117" i="6"/>
  <c r="N117" i="6" s="1"/>
  <c r="M116" i="6"/>
  <c r="N116" i="6" s="1"/>
  <c r="M115" i="6"/>
  <c r="N115" i="6" s="1"/>
  <c r="M114" i="6"/>
  <c r="N114" i="6" s="1"/>
  <c r="M113" i="6"/>
  <c r="N113" i="6" s="1"/>
  <c r="M112" i="6"/>
  <c r="N112" i="6" s="1"/>
  <c r="M111" i="6"/>
  <c r="N111" i="6" s="1"/>
  <c r="M110" i="6"/>
  <c r="N110" i="6" s="1"/>
  <c r="M109" i="6"/>
  <c r="N109" i="6" s="1"/>
  <c r="M108" i="6"/>
  <c r="N108" i="6" s="1"/>
  <c r="M107" i="6"/>
  <c r="N107" i="6" s="1"/>
  <c r="M106" i="6"/>
  <c r="N106" i="6" s="1"/>
  <c r="M105" i="6"/>
  <c r="N105" i="6" s="1"/>
  <c r="M104" i="6"/>
  <c r="N104" i="6" s="1"/>
  <c r="M103" i="6"/>
  <c r="N103" i="6" s="1"/>
  <c r="M102" i="6"/>
  <c r="N102" i="6" s="1"/>
  <c r="M101" i="6"/>
  <c r="N101" i="6" s="1"/>
  <c r="M100" i="6"/>
  <c r="N100" i="6" s="1"/>
  <c r="M99" i="6"/>
  <c r="N99" i="6" s="1"/>
  <c r="M98" i="6"/>
  <c r="N98" i="6" s="1"/>
  <c r="M97" i="6"/>
  <c r="N97" i="6" s="1"/>
  <c r="M96" i="6"/>
  <c r="N96" i="6" s="1"/>
  <c r="M95" i="6"/>
  <c r="N95" i="6" s="1"/>
  <c r="M94" i="6"/>
  <c r="N94" i="6" s="1"/>
  <c r="M93" i="6"/>
  <c r="N93" i="6" s="1"/>
  <c r="M92" i="6"/>
  <c r="N92" i="6" s="1"/>
  <c r="M91" i="6"/>
  <c r="N91" i="6" s="1"/>
  <c r="M90" i="6"/>
  <c r="N90" i="6" s="1"/>
  <c r="M89" i="6"/>
  <c r="N89" i="6" s="1"/>
  <c r="M88" i="6"/>
  <c r="N88" i="6" s="1"/>
  <c r="M87" i="6"/>
  <c r="N87" i="6" s="1"/>
  <c r="M86" i="6"/>
  <c r="N86" i="6" s="1"/>
  <c r="M85" i="6"/>
  <c r="N85" i="6" s="1"/>
  <c r="M84" i="6"/>
  <c r="N84" i="6" s="1"/>
  <c r="M83" i="6"/>
  <c r="N83" i="6" s="1"/>
  <c r="M82" i="6"/>
  <c r="N82" i="6" s="1"/>
  <c r="M81" i="6"/>
  <c r="N81" i="6" s="1"/>
  <c r="M80" i="6"/>
  <c r="N80" i="6" s="1"/>
  <c r="M79" i="6"/>
  <c r="N79" i="6" s="1"/>
  <c r="M78" i="6"/>
  <c r="N78" i="6" s="1"/>
  <c r="M77" i="6"/>
  <c r="N77" i="6" s="1"/>
  <c r="M76" i="6"/>
  <c r="N76" i="6" s="1"/>
  <c r="M75" i="6"/>
  <c r="N75" i="6" s="1"/>
  <c r="M74" i="6"/>
  <c r="N74" i="6" s="1"/>
  <c r="M73" i="6"/>
  <c r="N73" i="6" s="1"/>
  <c r="M72" i="6"/>
  <c r="N72" i="6" s="1"/>
  <c r="M71" i="6"/>
  <c r="N71" i="6" s="1"/>
  <c r="M70" i="6"/>
  <c r="N70" i="6" s="1"/>
  <c r="M69" i="6"/>
  <c r="N69" i="6" s="1"/>
  <c r="M68" i="6"/>
  <c r="N68" i="6" s="1"/>
  <c r="M67" i="6"/>
  <c r="N67" i="6" s="1"/>
  <c r="M66" i="6"/>
  <c r="N66" i="6" s="1"/>
  <c r="M65" i="6"/>
  <c r="N65" i="6" s="1"/>
  <c r="M64" i="6"/>
  <c r="N64" i="6" s="1"/>
  <c r="M63" i="6"/>
  <c r="N63" i="6" s="1"/>
  <c r="M62" i="6"/>
  <c r="N62" i="6" s="1"/>
  <c r="M61" i="6"/>
  <c r="N61" i="6" s="1"/>
  <c r="M60" i="6"/>
  <c r="N60" i="6" s="1"/>
  <c r="M59" i="6"/>
  <c r="N59" i="6" s="1"/>
  <c r="M58" i="6"/>
  <c r="N58" i="6" s="1"/>
  <c r="M57" i="6"/>
  <c r="N57" i="6" s="1"/>
  <c r="M56" i="6"/>
  <c r="N56" i="6" s="1"/>
  <c r="M55" i="6"/>
  <c r="N55" i="6" s="1"/>
  <c r="M54" i="6"/>
  <c r="N54" i="6" s="1"/>
  <c r="M53" i="6"/>
  <c r="N53" i="6" s="1"/>
  <c r="M52" i="6"/>
  <c r="N52" i="6" s="1"/>
  <c r="M51" i="6"/>
  <c r="N51" i="6" s="1"/>
  <c r="K4" i="6"/>
  <c r="L6" i="5" l="1"/>
  <c r="K4" i="5"/>
  <c r="N4" i="6"/>
  <c r="I1" i="8" s="1"/>
  <c r="M4" i="6"/>
  <c r="N6" i="5" l="1"/>
  <c r="N4" i="5" s="1"/>
  <c r="L4" i="5"/>
</calcChain>
</file>

<file path=xl/sharedStrings.xml><?xml version="1.0" encoding="utf-8"?>
<sst xmlns="http://schemas.openxmlformats.org/spreadsheetml/2006/main" count="22966" uniqueCount="2629">
  <si>
    <t>Financials Commesse</t>
  </si>
  <si>
    <t>CiviSmart</t>
  </si>
  <si>
    <t/>
  </si>
  <si>
    <t>02 - Servizi</t>
  </si>
  <si>
    <t>04 - Materiali</t>
  </si>
  <si>
    <t>05 - Ricavi</t>
  </si>
  <si>
    <t>03 - Manodopera</t>
  </si>
  <si>
    <t>01 - Oneri</t>
  </si>
  <si>
    <t>Activity Code Tr.</t>
  </si>
  <si>
    <t>Project ID</t>
  </si>
  <si>
    <t>Project Name</t>
  </si>
  <si>
    <t>Importo</t>
  </si>
  <si>
    <t>Grand Total</t>
  </si>
  <si>
    <t>OPERATIONAL</t>
  </si>
  <si>
    <t>Total OPERATIONAL</t>
  </si>
  <si>
    <t>CL3-IPU-F522-01</t>
  </si>
  <si>
    <t>Total CL3-IPU-F522-01</t>
  </si>
  <si>
    <t>Comune di Montegranaro : MontegranaroILLUMINAZIONE PUBBLICA</t>
  </si>
  <si>
    <t>PPP-IPU-G560-01</t>
  </si>
  <si>
    <t>Total PPP-IPU-G560-01</t>
  </si>
  <si>
    <t>COMUNE DI PIANEZZE : PIANEZZE ILLUMINAZIONE PUBBLICA</t>
  </si>
  <si>
    <t>CL3-IPU-I608-01</t>
  </si>
  <si>
    <t>Total CL3-IPU-I608-01</t>
  </si>
  <si>
    <t>Comune di Senigallia : SenigalliaILLUMINAZIONE PUBBLICA</t>
  </si>
  <si>
    <t>PPP-IPU-E569-01</t>
  </si>
  <si>
    <t>Total PPP-IPU-E569-01</t>
  </si>
  <si>
    <t>Comune di Lezzeno - Uff_eFatturaPA : LEZZENO ILLUMINAZIONE PUBBLICA</t>
  </si>
  <si>
    <t>PPP-IPU-G023-01</t>
  </si>
  <si>
    <t>Total PPP-IPU-G023-01</t>
  </si>
  <si>
    <t>Comune di Olevano sul Tusciano : OLEVANO SUL TUSCIANO ILLUMINAZIONE PUBBLICA</t>
  </si>
  <si>
    <t>PPP-IPU-A746-01</t>
  </si>
  <si>
    <t>Total PPP-IPU-A746-01</t>
  </si>
  <si>
    <t>Comune di Bellante - Uff_eFatturaPA : BELLANTE ILLUMINAZIONE PUBBLICA</t>
  </si>
  <si>
    <t>SEC-IPU-L781-01</t>
  </si>
  <si>
    <t>Total SEC-IPU-L781-01</t>
  </si>
  <si>
    <t>PAYANINI IMMOBILIARE S.R.L. : Payanini Center Rugby</t>
  </si>
  <si>
    <t>CL3-IPU-I441-01</t>
  </si>
  <si>
    <t>Total CL3-IPU-I441-01</t>
  </si>
  <si>
    <t>Comune di Saronno : SaronnoILLUMINAZIONE PUBBLICA</t>
  </si>
  <si>
    <t>CL4-IPU-G762-01</t>
  </si>
  <si>
    <t>Total CL4-IPU-G762-01</t>
  </si>
  <si>
    <t>COMUNE DI POGGIOMARINO : PoggiomarinoILLUMINAZIONE PUBBLICA</t>
  </si>
  <si>
    <t>PPP-IPU-H990-01</t>
  </si>
  <si>
    <t>Total PPP-IPU-H990-01</t>
  </si>
  <si>
    <t>COMUNE DI SAN MARTINO IN PENSILIS : SAN MARTINO IN PENSILIS ILLUMINAZIONE PUBBLICA</t>
  </si>
  <si>
    <t>PPP-IPU-A350-01</t>
  </si>
  <si>
    <t>Total PPP-IPU-A350-01</t>
  </si>
  <si>
    <t>COMUNE DI ARADEO : ARADEO ILLUMINAZIONE PUBBLICA</t>
  </si>
  <si>
    <t>PPP-IPU-D223-01</t>
  </si>
  <si>
    <t>Total PPP-IPU-D223-01</t>
  </si>
  <si>
    <t>COMUNE DI CURSI : CURSI ILLUMINAZIONE PUBBLICA</t>
  </si>
  <si>
    <t>CL4-IPU-I054-01</t>
  </si>
  <si>
    <t>Total CL4-IPU-I054-01</t>
  </si>
  <si>
    <t>COMUNE DI SAN NICANDRO GARGANICO : San Nicandro GarganicoILLUMINAZIONE PUBBLICA</t>
  </si>
  <si>
    <t>PPP-IPU-A208-01</t>
  </si>
  <si>
    <t>Total PPP-IPU-A208-01</t>
  </si>
  <si>
    <t>Comune di Alliste : ALLISTE ILLUMINAZIONE PUBBLICA</t>
  </si>
  <si>
    <t>PPP-IPU-G910-01</t>
  </si>
  <si>
    <t>Total PPP-IPU-G910-01</t>
  </si>
  <si>
    <t>COMUNE DI PORTOCANNONE : PORTOCANNONE ILLUMINAZIONE PUBBLICA</t>
  </si>
  <si>
    <t>PPP-IPU-I480-02</t>
  </si>
  <si>
    <t>Total PPP-IPU-I480-02</t>
  </si>
  <si>
    <t>COMUNE DI SAVONA : IMPIANTI COMUNE DI SAVONA</t>
  </si>
  <si>
    <t>PPP-IPU-H090-01</t>
  </si>
  <si>
    <t>Total PPP-IPU-H090-01</t>
  </si>
  <si>
    <t>COMUNE DI PULSANO : PULSANO (SUSSIDIARIA) ILLUMINAZIONE PUBBLICA</t>
  </si>
  <si>
    <t>CL3-IPU-L415-01</t>
  </si>
  <si>
    <t>Total CL3-IPU-L415-01</t>
  </si>
  <si>
    <t>COMUNE DI TRIBIANO : TribianoILLUMINAZIONE PUBBLICA</t>
  </si>
  <si>
    <t>ATI-IPU-G674-01</t>
  </si>
  <si>
    <t>Total ATI-IPU-G674-01</t>
  </si>
  <si>
    <t>COMUNE DI PINEROLO : IN ATI PINEROLO ILLUMINAZIONE PUBBLICA</t>
  </si>
  <si>
    <t>PPP-IPU-G070-01</t>
  </si>
  <si>
    <t>Total PPP-IPU-G070-01</t>
  </si>
  <si>
    <t>COMUNE DI ONIFAI : Onifai ILLUMINAZIONE PUBBLICA</t>
  </si>
  <si>
    <t>PPP-IPU-G616-01</t>
  </si>
  <si>
    <t>Total PPP-IPU-G616-01</t>
  </si>
  <si>
    <t>Comune di Pietragalla : PIETRAGALLA ILLUMINAZIONE PUBBLICA</t>
  </si>
  <si>
    <t>PPP-IPU-A854-01</t>
  </si>
  <si>
    <t>Total PPP-IPU-A854-01</t>
  </si>
  <si>
    <t>COMUNE DI BICCARI : BICCARI ILLUMINAZIONE PUBBLICA</t>
  </si>
  <si>
    <t>PPP-IPU-C334-01</t>
  </si>
  <si>
    <t>Total PPP-IPU-C334-01</t>
  </si>
  <si>
    <t>COMUNE DI CASTRI DI LECCE : CASTRI DI LECCE ILLUMINAZIONE PUBBLICA</t>
  </si>
  <si>
    <t>PPP-IPU-L326-01</t>
  </si>
  <si>
    <t>Total PPP-IPU-L326-01</t>
  </si>
  <si>
    <t>COMUNE DI TRAMUTOLA : TRAMUTOLA ILLUMINAZIONE PUBBLICA</t>
  </si>
  <si>
    <t>PPP-IPU-D593-01</t>
  </si>
  <si>
    <t>Total PPP-IPU-D593-01</t>
  </si>
  <si>
    <t>Comune di Filiano : FILIANO ILLUMINAZIONE PUBBLICA</t>
  </si>
  <si>
    <t>PPP-IPU-G187-01</t>
  </si>
  <si>
    <t>Total PPP-IPU-G187-01</t>
  </si>
  <si>
    <t>Comune di Ostuni : OSTUNI ILLUMINAZIONE PUBBLICA</t>
  </si>
  <si>
    <t>PPP-IPU-E498-01</t>
  </si>
  <si>
    <t>Total PPP-IPU-E498-01</t>
  </si>
  <si>
    <t>Comune di Laviano : LAVIANO ILLUMINAZIONE PUBBLICA</t>
  </si>
  <si>
    <t>CL3-IPU-C752-01</t>
  </si>
  <si>
    <t>Total CL3-IPU-C752-01</t>
  </si>
  <si>
    <t>Comune di Civate : CivateILLUMINAZIONE PUBBLICA</t>
  </si>
  <si>
    <t>PPP-IPU-F637-01</t>
  </si>
  <si>
    <t>Total PPP-IPU-F637-01</t>
  </si>
  <si>
    <t>Comune di Montescaglioso : MONTESCAGLIOSO ILLUMINAZIONE PUBBLICA</t>
  </si>
  <si>
    <t>PPP-IPU-G761-01</t>
  </si>
  <si>
    <t>Total PPP-IPU-G761-01</t>
  </si>
  <si>
    <t>Comune di Poggio Imperiale : POGGIO IMPERIALE ILLUMINAZIONE PUBBLICA</t>
  </si>
  <si>
    <t>CL3-IPU-F736-01</t>
  </si>
  <si>
    <t>Total CL3-IPU-F736-01</t>
  </si>
  <si>
    <t>Comune di Mornago : MornagoILLUMINAZIONE PUBBLICA</t>
  </si>
  <si>
    <t>AQ1-IPU-D946-01</t>
  </si>
  <si>
    <t>Total AQ1-IPU-D946-01</t>
  </si>
  <si>
    <t>COMUNE DI GAVIRATE : GavirateILLUMINAZIONE PUBBLICA</t>
  </si>
  <si>
    <t>CL4-IPU-H985-01</t>
  </si>
  <si>
    <t>Total CL4-IPU-H985-01</t>
  </si>
  <si>
    <t>COMUNE DI SAN MARCO IN LAMIS : San Marco in LamisILLUMINAZIONE PUBBLICA</t>
  </si>
  <si>
    <t>PPP-IPU-B593-01</t>
  </si>
  <si>
    <t>Total PPP-IPU-B593-01</t>
  </si>
  <si>
    <t>Comune di Canegrate : CANEGRATE ILLUMINAZIONE PUBBLICA</t>
  </si>
  <si>
    <t>PPP-IPU-I018-01</t>
  </si>
  <si>
    <t>Total PPP-IPU-I018-01</t>
  </si>
  <si>
    <t>COMUNE DI SAN MARZANO DI SAN GIUSEPPE : SAN MARZANO DI SAN GIUSEPPE ILLUMINAZIONE PUBBLICA</t>
  </si>
  <si>
    <t>PPP-IPU-L285-01</t>
  </si>
  <si>
    <t>Total PPP-IPU-L285-01</t>
  </si>
  <si>
    <t>Comune di Torrevecchia : IMPIANTI COMUNE DI TORREVECCHIA PIA</t>
  </si>
  <si>
    <t>PPP-IPU-H147-02</t>
  </si>
  <si>
    <t>Total PPP-IPU-H147-02</t>
  </si>
  <si>
    <t>COMUNE DI RACALE : COMUNE DI RACALE (SUSSIDIARIA) ILLUMINAZIONE PUBBLICA</t>
  </si>
  <si>
    <t>CL4-IPU-D170-01</t>
  </si>
  <si>
    <t>Total CL4-IPU-D170-01</t>
  </si>
  <si>
    <t>COMUNE DI CRISPANO : CrispanoILLUMINAZIONE PUBBLICA</t>
  </si>
  <si>
    <t>CL4-IPU-H703-01</t>
  </si>
  <si>
    <t>Total CL4-IPU-H703-01</t>
  </si>
  <si>
    <t>COMUNE DI SALERNO : SalernoILLUMINAZIONE PUBBLICA</t>
  </si>
  <si>
    <t>CL3-IPU-B731-01</t>
  </si>
  <si>
    <t>Total CL3-IPU-B731-01</t>
  </si>
  <si>
    <t>Comune di Caravaggio : CaravaggioILLUMINAZIONE PUBBLICA</t>
  </si>
  <si>
    <t>CL4-IPU-D643-01</t>
  </si>
  <si>
    <t>Total CL4-IPU-D643-01</t>
  </si>
  <si>
    <t>Comune di Foggia : FoggiaILLUMINAZIONE PUBBLICA</t>
  </si>
  <si>
    <t>CL4-IPU-E885-01</t>
  </si>
  <si>
    <t>Total CL4-IPU-E885-01</t>
  </si>
  <si>
    <t>COMUNE DI MANFREDONIA : ManfredoniaILLUMINAZIONE PUBBLICA</t>
  </si>
  <si>
    <t>CL3-IPU-D458-01</t>
  </si>
  <si>
    <t>Total CL3-IPU-D458-01</t>
  </si>
  <si>
    <t>Comune di Faenza : FaenzaILLUMINAZIONE PUBBLICA</t>
  </si>
  <si>
    <t>CL3-IPU-H930-01</t>
  </si>
  <si>
    <t>Total CL3-IPU-H930-01</t>
  </si>
  <si>
    <t>COMUNE DI SAN GIULIANO MILANESE : San Giuliano MilaneseILLUMINAZIONE PUBBLICA</t>
  </si>
  <si>
    <t>PPP-IPU-G543-01</t>
  </si>
  <si>
    <t>Total PPP-IPU-G543-01</t>
  </si>
  <si>
    <t>COMUNE DI PIANA DEGLI ALBANESI : PIANA DEGLI ALBANESI ILLUMINAZIONE PUBBLICA</t>
  </si>
  <si>
    <t>CL3-IPU-D652-01</t>
  </si>
  <si>
    <t>Total CL3-IPU-D652-01</t>
  </si>
  <si>
    <t>Comune di Folignano : FolignanoILLUMINAZIONE PUBBLICA</t>
  </si>
  <si>
    <t>PPP-VS-C638-01</t>
  </si>
  <si>
    <t>Total PPP-VS-C638-01</t>
  </si>
  <si>
    <t>COMUNE DI CHIOGGIA : Chioggia - Bando Sicurezza 2020VIDEOSORVEGLIANZA</t>
  </si>
  <si>
    <t>PPP-IPU-G293-01</t>
  </si>
  <si>
    <t>Total PPP-IPU-G293-01</t>
  </si>
  <si>
    <t>Comune di Palombara Sabina - LAVORI PUBBLICI-URBANISTICA : PALOMBARA SABINA ILLUMINAZIONE PUBBLICA</t>
  </si>
  <si>
    <t>PPP-IPU-F747-01</t>
  </si>
  <si>
    <t>Total PPP-IPU-F747-01</t>
  </si>
  <si>
    <t>Comune di Morro D'Oro - Uff_eFatturaPA : MORRO D'ORO ILLUMINAZIONE PUBBLICA</t>
  </si>
  <si>
    <t>PPP-IPU-A488-01</t>
  </si>
  <si>
    <t>Total PPP-IPU-A488-01</t>
  </si>
  <si>
    <t>Comune di Atri : ATRI EDIFICI ILLUMINAZIONE PUBBLICA</t>
  </si>
  <si>
    <t>PPP-IPU-C767-01</t>
  </si>
  <si>
    <t>Total PPP-IPU-C767-01</t>
  </si>
  <si>
    <t>Comune di Lanuvio - SET.1 Serv.2  PROGRAMMAZIONE, MANUTENZIONE PATRIMONIO, VERDE : LANUVIO ILLUMINAZIONE PUBBLICA</t>
  </si>
  <si>
    <t>PPP-IPU-G806-01</t>
  </si>
  <si>
    <t>Total PPP-IPU-G806-01</t>
  </si>
  <si>
    <t>COMUNE DI POMARICO : POMARICO ILLUMINAZIONE PUBBLICA</t>
  </si>
  <si>
    <t>PPP-IPU-G707-01</t>
  </si>
  <si>
    <t>Total PPP-IPU-G707-01</t>
  </si>
  <si>
    <t>COMUNE DI PISCIOTTA : PISCIOTTA ILLUMINAZIONE PUBBLICA</t>
  </si>
  <si>
    <t>PPP-IPU-B115-01</t>
  </si>
  <si>
    <t>Total PPP-IPU-B115-01</t>
  </si>
  <si>
    <t>Comune di Bracigliano : BRACIGLIANO ILLUMINAZIONE PUBBLICA</t>
  </si>
  <si>
    <t>PPP-IPU-H641-01</t>
  </si>
  <si>
    <t>Total PPP-IPU-H641-01</t>
  </si>
  <si>
    <t>Comune di Ruoti : RUOTI ILLUMINAZIONE PUBBLICA</t>
  </si>
  <si>
    <t>PPP-IPU-F370-01</t>
  </si>
  <si>
    <t>Total PPP-IPU-F370-01</t>
  </si>
  <si>
    <t>COMUNE DI MONGRASSANO : MONGRASSANO ILLUMINAZIONE PUBBLICA</t>
  </si>
  <si>
    <t>PPP-IPU-D361-01</t>
  </si>
  <si>
    <t>Total PPP-IPU-D361-01</t>
  </si>
  <si>
    <t>COMUNE DI DRAGONI : DRAGONI ILLUMINAZIONE PUBBLICA</t>
  </si>
  <si>
    <t>PPP-IPU-B959-01</t>
  </si>
  <si>
    <t>Total PPP-IPU-B959-01</t>
  </si>
  <si>
    <t>COMUNE DI CASELLE IN PITTARI : CASELLE IN PITTARI ILLUMINAZIONE PUBBLICA</t>
  </si>
  <si>
    <t>PPP-IPU-B180-01</t>
  </si>
  <si>
    <t>Total PPP-IPU-B180-01</t>
  </si>
  <si>
    <t>CONSORZIO ASI BRINDISI : ASI BRINDISI ILLUMINAZIONE PUBBLICA</t>
  </si>
  <si>
    <t>PPP-IPU-I305-01</t>
  </si>
  <si>
    <t>Total PPP-IPU-I305-01</t>
  </si>
  <si>
    <t>COMUNE DI SANT'ARCANGELO : SANT'ARCANGELO ILLUMINAZIONE PUBBLICA</t>
  </si>
  <si>
    <t>PPP-IPU-G587-01</t>
  </si>
  <si>
    <t>Total PPP-IPU-G587-01</t>
  </si>
  <si>
    <t>COMUNE DI PIAZZOLA SUL BRENTA : PIAZZOLA SUL BRENTA ILLUMINAZIONE PUBBLICA</t>
  </si>
  <si>
    <t>PPP-IPU-B391-01</t>
  </si>
  <si>
    <t>Total PPP-IPU-B391-01</t>
  </si>
  <si>
    <t>Comune di Calciano : CALCIANO ILLUMINAZIONE PUBBLICA</t>
  </si>
  <si>
    <t>PPP-IPU-F582-01</t>
  </si>
  <si>
    <t>Total PPP-IPU-F582-01</t>
  </si>
  <si>
    <t>Comune di Monteodorisio - Uff_eFatturaPA : MONTEODORISIO ILLUMINAZIONE PUBBLICA</t>
  </si>
  <si>
    <t>PPP-IPU-A017-01</t>
  </si>
  <si>
    <t>Total PPP-IPU-A017-01</t>
  </si>
  <si>
    <t>Comune di Accettura : ACCETTURA ILLUMINAZIONE PUBBLICA</t>
  </si>
  <si>
    <t>PPP-IPU-E919-01</t>
  </si>
  <si>
    <t>Total PPP-IPU-E919-01</t>
  </si>
  <si>
    <t>Comune di Maratea : MARATEA ILLUMINAZIONE PUBBLICA</t>
  </si>
  <si>
    <t>PPP-IPU-G348-01</t>
  </si>
  <si>
    <t>Total PPP-IPU-G348-01</t>
  </si>
  <si>
    <t>Comune di Partinico : PARTINICO ILLUMINAZIONE PUBBLICA</t>
  </si>
  <si>
    <t>PPP-IPU-A415-01</t>
  </si>
  <si>
    <t>Total PPP-IPU-A415-01</t>
  </si>
  <si>
    <t>Comune di Armento : ARMENTO ILLUMINAZIONE PUBBLICA</t>
  </si>
  <si>
    <t>PPP-IPU-G514-01</t>
  </si>
  <si>
    <t>Total PPP-IPU-G514-01</t>
  </si>
  <si>
    <t>Comune di Petriano : PPP COMUNE DI PETRIANO</t>
  </si>
  <si>
    <t>EPC-EEE-L736-02</t>
  </si>
  <si>
    <t>Total EPC-EEE-L736-02</t>
  </si>
  <si>
    <t>COVEDI SCARL : COVEDI EXTRA LAVORI EFF ENERGETICO EDIFICI</t>
  </si>
  <si>
    <t>PPP-IPU-C422-01</t>
  </si>
  <si>
    <t>Total PPP-IPU-C422-01</t>
  </si>
  <si>
    <t>COMUNE DI CEGGIA : CEGGIA ILLUMINAZIONE PUBBLICA</t>
  </si>
  <si>
    <t>PPP-IPU-B415-01</t>
  </si>
  <si>
    <t>Total PPP-IPU-B415-01</t>
  </si>
  <si>
    <t>Comune di Calitri : CALITRI ILLUMINAZIONE PUBBLICA</t>
  </si>
  <si>
    <t>PPP-IPU-L008-01</t>
  </si>
  <si>
    <t>Total PPP-IPU-L008-01</t>
  </si>
  <si>
    <t>Comune di Supersano : SUPERSANO ILLUMINAZIONE PUBBLICA</t>
  </si>
  <si>
    <t>PPP-IPU-I394-01</t>
  </si>
  <si>
    <t>Total PPP-IPU-I394-01</t>
  </si>
  <si>
    <t>COMUNE DI SAN VITO CHIETINO : SAN VITO CHIETINO ILLUMINAZIONE PUBBLICA</t>
  </si>
  <si>
    <t>PPP-IPU-A047-01</t>
  </si>
  <si>
    <t>Total PPP-IPU-A047-01</t>
  </si>
  <si>
    <t>Comune di Acquaviva Picena - UFFICIO TECNICO URBANISTICA : ACQUAVIVA PICENA ILLUMINAZIONE PUBBLICA</t>
  </si>
  <si>
    <t>PPP-IPU-H795-01</t>
  </si>
  <si>
    <t>Total PPP-IPU-H795-01</t>
  </si>
  <si>
    <t>Comune di San Chirico Nuovo : SAN CHIRICO NUOVO ILLUMINAZIONE PUBBLICA</t>
  </si>
  <si>
    <t>PPP-IPU-E033-01</t>
  </si>
  <si>
    <t>Total PPP-IPU-E033-01</t>
  </si>
  <si>
    <t>Comune di Ginestra : GINESTRA ILLUMINAZIONE PUBBLICA</t>
  </si>
  <si>
    <t>PPP-IPU-F348-01</t>
  </si>
  <si>
    <t>Total PPP-IPU-F348-01</t>
  </si>
  <si>
    <t>Comune di Mondolfo : Mondolfo - PPPILLUMINAZIONE PUBBLICA</t>
  </si>
  <si>
    <t>PPP-IPU-A743-01</t>
  </si>
  <si>
    <t>Total PPP-IPU-A743-01</t>
  </si>
  <si>
    <t>Comune di Bella : BELLA ILLUMINAZIONE PUBBLICA</t>
  </si>
  <si>
    <t>CL3-IPU-E951-01</t>
  </si>
  <si>
    <t>Total CL3-IPU-E951-01</t>
  </si>
  <si>
    <t>Comune di Mariano Comense : Mariano ComenseILLUMINAZIONE PUBBLICA</t>
  </si>
  <si>
    <t>PPP-IPU-I553-01</t>
  </si>
  <si>
    <t>Total PPP-IPU-I553-01</t>
  </si>
  <si>
    <t>COMUNE DI SCURCOLA MARSICANA : SCURCOLA MARSICANA ILLUMINAZIONE PUBBLICA</t>
  </si>
  <si>
    <t>PPP-IPU-L356-01</t>
  </si>
  <si>
    <t>Total PPP-IPU-L356-01</t>
  </si>
  <si>
    <t>Comune di Trecate - Uff_eFatturaPA : TRECATE ILLUMINAZIONE PUBBLICA</t>
  </si>
  <si>
    <t>PPP-IPU-E716-01</t>
  </si>
  <si>
    <t>Total PPP-IPU-E716-01</t>
  </si>
  <si>
    <t>Comune di Lucera : LUCERA ILLUMINAZIONE PUBBLICA</t>
  </si>
  <si>
    <t>PPP-IPU-G136-01</t>
  </si>
  <si>
    <t>Total PPP-IPU-G136-01</t>
  </si>
  <si>
    <t>COMUNE DI ORTELLE : ORTELLE ILLUMINAZIONE PUBBLICA</t>
  </si>
  <si>
    <t>PPP-IPU-G648-01</t>
  </si>
  <si>
    <t>Total PPP-IPU-G648-01</t>
  </si>
  <si>
    <t>COMUNE DI PIEVE FOSCIANA : PIEVE FOSCIANA ILLUMINAZIONE PUBBLICA</t>
  </si>
  <si>
    <t>PPP-IPU-C717-01</t>
  </si>
  <si>
    <t>Total PPP-IPU-C717-01</t>
  </si>
  <si>
    <t>COMUNE DI SANTA MARIA DEL CEDRO : SANTA MARIA DEL CEDRO ILLUMINAZIONE PUBBLICA</t>
  </si>
  <si>
    <t>PPP-IPU-I457-01</t>
  </si>
  <si>
    <t>Total PPP-IPU-I457-01</t>
  </si>
  <si>
    <t>Comune di Sasso di Castalda : SASSO DI CASTALDA ILLUMINAZIONE PUBBLICA</t>
  </si>
  <si>
    <t>CL3-IPU-A413-01</t>
  </si>
  <si>
    <t>Total CL3-IPU-A413-01</t>
  </si>
  <si>
    <t>Comune di Arluno : ArlunoILLUMINAZIONE PUBBLICA</t>
  </si>
  <si>
    <t>CL3-IPU-B593-01</t>
  </si>
  <si>
    <t>Total CL3-IPU-B593-01</t>
  </si>
  <si>
    <t>Comune di Canegrate : CanegrateILLUMINAZIONE PUBBLICA</t>
  </si>
  <si>
    <t>CL3-IPU-I696-01</t>
  </si>
  <si>
    <t>Total CL3-IPU-I696-01</t>
  </si>
  <si>
    <t>Comune di Settala : SettalaILLUMINAZIONE PUBBLICA</t>
  </si>
  <si>
    <t>CL3-IPU-F632-01</t>
  </si>
  <si>
    <t>Total CL3-IPU-F632-01</t>
  </si>
  <si>
    <t>Comune di Potenza Picena : Potenza PicenaILLUMINAZIONE PUBBLICA</t>
  </si>
  <si>
    <t>PPP-IPU-A615-01</t>
  </si>
  <si>
    <t>Total PPP-IPU-A615-01</t>
  </si>
  <si>
    <t>COMUNE DI BARAGIANO : BARAGIANO ILLUMINAZIONE PUBBLICA</t>
  </si>
  <si>
    <t>SEC-PHV-A515-02</t>
  </si>
  <si>
    <t>Total SEC-PHV-A515-02</t>
  </si>
  <si>
    <t>COMUNE DI AVEZZANO : FOTOVOLTAICO AVEZZANO 4</t>
  </si>
  <si>
    <t>PPP-IPU-A674-01</t>
  </si>
  <si>
    <t>Total PPP-IPU-A674-01</t>
  </si>
  <si>
    <t>Comune di Baronissi : BARONISSI ILLUMINAZIONE PUBBLICA</t>
  </si>
  <si>
    <t>CL4-IPU-M115-01</t>
  </si>
  <si>
    <t>Total CL4-IPU-M115-01</t>
  </si>
  <si>
    <t>COMUNE DI VOLLA : VollaILLUMINAZIONE PUBBLICA</t>
  </si>
  <si>
    <t>PPP-IPU-D171-01</t>
  </si>
  <si>
    <t>Total PPP-IPU-D171-01</t>
  </si>
  <si>
    <t>COMUNE DI CRISPIANO : CRISPIANO ILLUMINAZIONE PUBBLICA</t>
  </si>
  <si>
    <t>PPP-IPU-L424-01</t>
  </si>
  <si>
    <t>Total PPP-IPU-L424-01</t>
  </si>
  <si>
    <t>COMUNE DI TRIESTE : Trieste - PPPILLUMINAZIONE PUBBLICA</t>
  </si>
  <si>
    <t>PPP-IPU-F165-01</t>
  </si>
  <si>
    <t>Total PPP-IPU-F165-01</t>
  </si>
  <si>
    <t>COMUNE DI MEZZAGO : Mezzago ILLUMINAZIONE PUBBLICA</t>
  </si>
  <si>
    <t>PPP-IPU-C485-01</t>
  </si>
  <si>
    <t>Total PPP-IPU-C485-01</t>
  </si>
  <si>
    <t>Comune di Ceraso : CERASO ILLUMINAZIONE PUBBLICA</t>
  </si>
  <si>
    <t>PPP-IPU-I332-01</t>
  </si>
  <si>
    <t>Total PPP-IPU-I332-01</t>
  </si>
  <si>
    <t>Comune di Sant'Eufemia a Maiella - Uff_eFatturaPA : SANT'EUFEMIA A MAIELLA ILLUMINAZIONE PUBBLICA</t>
  </si>
  <si>
    <t>CL3-IPU-G514-01</t>
  </si>
  <si>
    <t>Total CL3-IPU-G514-01</t>
  </si>
  <si>
    <t>Comune di Petriano : PetrianoILLUMINAZIONE PUBBLICA</t>
  </si>
  <si>
    <t>PPP-IPU-A942-01</t>
  </si>
  <si>
    <t>Total PPP-IPU-A942-01</t>
  </si>
  <si>
    <t>COMUNE DI NOVA SIRI : NOVA SIRI ILLUMINAZIONE PUBBLICA</t>
  </si>
  <si>
    <t>PPP-IPU-H052-01</t>
  </si>
  <si>
    <t>Total PPP-IPU-H052-01</t>
  </si>
  <si>
    <t>Comune di Pretoro - SETTORE TECNICO MANUTENTIVO : PRETORO ILLUMINAZIONE PUBBLICA</t>
  </si>
  <si>
    <t>PPP-IPU-D269-01</t>
  </si>
  <si>
    <t>Total PPP-IPU-D269-01</t>
  </si>
  <si>
    <t>Comune Di Deliceto : DELICETO ILLUMINAZIONE PUBBLICA</t>
  </si>
  <si>
    <t>PPP-IPU-H823-01</t>
  </si>
  <si>
    <t>Total PPP-IPU-H823-01</t>
  </si>
  <si>
    <t>COMUNE DI SAN DONA' DI PIAVE : SAN DONA' DI PIAVE ILLUMINAZIONE PUBBLICA</t>
  </si>
  <si>
    <t>EPC-IPU-L415-04</t>
  </si>
  <si>
    <t>Total EPC-IPU-L415-04</t>
  </si>
  <si>
    <t>COMUNE DI TRIBIANO : TRIBIANO EXTRA LAV.-VIA PAPA GIOVANNO XXIII</t>
  </si>
  <si>
    <t>PPP-IPU-I965-01</t>
  </si>
  <si>
    <t>Total PPP-IPU-I965-01</t>
  </si>
  <si>
    <t>Comune di Strà : IMPIANTI COMUNE DI STRA'</t>
  </si>
  <si>
    <t>AQ1-IPU-L191-01</t>
  </si>
  <si>
    <t>Total AQ1-IPU-L191-01</t>
  </si>
  <si>
    <t>COMUNE DI TOLENTINO : TolentinoILLUMINAZIONE PUBBLICA</t>
  </si>
  <si>
    <t>STRUTTURA BU SUD</t>
  </si>
  <si>
    <t>Total STRUTTURA BU SUD</t>
  </si>
  <si>
    <t>PPP-IPU-M428-02</t>
  </si>
  <si>
    <t>Total PPP-IPU-M428-02</t>
  </si>
  <si>
    <t>COMUNE DI PRESICCE - ACQUARICA : PRESICCE-ACQUARICA (sussidiaria) ILL. PUBBLICA</t>
  </si>
  <si>
    <t>PPP-IPU-F826-01</t>
  </si>
  <si>
    <t>Total PPP-IPU-F826-01</t>
  </si>
  <si>
    <t>COMUNE DI MUSILE DI PIAVE : MUSILE DI PIAVE ILLUMINAZIONE PUBBLICA</t>
  </si>
  <si>
    <t>PPP-IPU-H793-01</t>
  </si>
  <si>
    <t>Total PPP-IPU-H793-01</t>
  </si>
  <si>
    <t>COMUNE DI SAN CESARIO DI LECCE : SAN CESARIO DI LECCE ILLUMINAZIONE PUBBLICA</t>
  </si>
  <si>
    <t>PPP-IPU-H355-01</t>
  </si>
  <si>
    <t>Total PPP-IPU-H355-01</t>
  </si>
  <si>
    <t>COMUNE DI RIVOLI : RIVOLI ILLUMINAZIONE PUBBLICA</t>
  </si>
  <si>
    <t>CL3-IPU-F348-01</t>
  </si>
  <si>
    <t>Total CL3-IPU-F348-01</t>
  </si>
  <si>
    <t>Comune di Mondolfo : MondolfoILLUMINAZIONE PUBBLICA</t>
  </si>
  <si>
    <t>STRUTTURA BU CENTRO</t>
  </si>
  <si>
    <t>Total STRUTTURA BU CENTRO</t>
  </si>
  <si>
    <t>PPP-EEE-L736-01</t>
  </si>
  <si>
    <t>Total PPP-EEE-L736-01</t>
  </si>
  <si>
    <t>COMUNE DI VENEZIA : Venezia PBEFFICIENTAMENTO ENERGETICO EDIFICI</t>
  </si>
  <si>
    <t>CL3-IPU-D472-01</t>
  </si>
  <si>
    <t>Total CL3-IPU-D472-01</t>
  </si>
  <si>
    <t>Comune di Falconara Marittima : Falconara MarittimaILLUMINAZIONE PUBBLICA</t>
  </si>
  <si>
    <t>CL4-IPU-B925-01</t>
  </si>
  <si>
    <t>Total CL4-IPU-B925-01</t>
  </si>
  <si>
    <t>COMUNE DI CASANDRINO : CasandrinoILLUMINAZIONE PUBBLICA</t>
  </si>
  <si>
    <t>PPP-IPU-G694-01</t>
  </si>
  <si>
    <t>Total PPP-IPU-G694-01</t>
  </si>
  <si>
    <t>COMUNE DI PIOVENE ROCCHETTE : PIOVENE ROCCHETTE ILLUMINAZIONE PUBBLICA</t>
  </si>
  <si>
    <t>PPP-IPU-L736-01</t>
  </si>
  <si>
    <t>Total PPP-IPU-L736-01</t>
  </si>
  <si>
    <t>CITTA' METROPOLITANA DI VENEZIA I SMART CITY S.R.L. : Impianti Citta Metropolitana di VeneziaILLUMINAZIONE PUBBLICA</t>
  </si>
  <si>
    <t>PPP-IPU-G426-01</t>
  </si>
  <si>
    <t>Total PPP-IPU-G426-01</t>
  </si>
  <si>
    <t>COMUNE DI PELLEZZANO : PELLEZZANO ILLUMINAZIONE PUBBLICA</t>
  </si>
  <si>
    <t>PPP-IPU-F843-01</t>
  </si>
  <si>
    <t>Total PPP-IPU-F843-01</t>
  </si>
  <si>
    <t>COMUNE DI NARDODIPACE : NARDODIPACE ILLUMINAZIONE PUBBLICA</t>
  </si>
  <si>
    <t>PPP-IPU-E558-01</t>
  </si>
  <si>
    <t>Total PPP-IPU-E558-01</t>
  </si>
  <si>
    <t>Comune di Lettomanoppello - UFFICIO TECNICO : LETTOMANOPPELLO ILLUMINAZIONE PUBBLICA</t>
  </si>
  <si>
    <t>ATI-IPU-A887-01</t>
  </si>
  <si>
    <t>Total ATI-IPU-A887-01</t>
  </si>
  <si>
    <t>COMUNE DI BISIGNANO : IN ATI BISIGNANO ILLUMINAZIONE PUBBLICA</t>
  </si>
  <si>
    <t>PPP-IPU-L656-01</t>
  </si>
  <si>
    <t>Total PPP-IPU-L656-01</t>
  </si>
  <si>
    <t>Comune di Valva : VALVA ILLUMINAZIONE PUBBLICA</t>
  </si>
  <si>
    <t>ATI-IPU-I307-01</t>
  </si>
  <si>
    <t>Total ATI-IPU-I307-01</t>
  </si>
  <si>
    <t>COMUNE DI SANT'ARSENIO : IN ATI SANT'ARSENIO ILLUMINAZIONE PUBBLICA</t>
  </si>
  <si>
    <t>PPP-IPU-B476-01</t>
  </si>
  <si>
    <t>Total PPP-IPU-B476-01</t>
  </si>
  <si>
    <t>Comune di Camerota : CAMEROTA ILLUMINAZIONE PUBBLICA</t>
  </si>
  <si>
    <t>PPP-IPU-E053-01</t>
  </si>
  <si>
    <t>Total PPP-IPU-E053-01</t>
  </si>
  <si>
    <t>COMUNE DI GIUGGIANELLO : GIUGGIANELLO ILLUMINAZIONE PUBBLICA</t>
  </si>
  <si>
    <t>PPP-IPU-B826-01</t>
  </si>
  <si>
    <t>Total PPP-IPU-B826-01</t>
  </si>
  <si>
    <t>Comune di Carpineto Sinello - Uff. eFatturaPA : IMPIANTI COMUNE DI CARPINETO SINELLO</t>
  </si>
  <si>
    <t>PPP-IPU-B294-01</t>
  </si>
  <si>
    <t>Total PPP-IPU-B294-01</t>
  </si>
  <si>
    <t>Comune di Bussi sul Tirino - ufficio tecnico : BUSSI SUL TIRINO ILLUMINAZIONE PUBBLICA (CIV)</t>
  </si>
  <si>
    <t>PPP-IPU-L505-01</t>
  </si>
  <si>
    <t>Total PPP-IPU-L505-01</t>
  </si>
  <si>
    <t>Comune di Ururi : URURI ILLUMINAZIONE PUBBLICA</t>
  </si>
  <si>
    <t>PPP-IPU-D615-01</t>
  </si>
  <si>
    <t>Total PPP-IPU-D615-01</t>
  </si>
  <si>
    <t>Comune di Fisciano : FISCIANO ILLUMINAZIONE PUBBLICA</t>
  </si>
  <si>
    <t>EPC-IPU-F522-01</t>
  </si>
  <si>
    <t>Total EPC-IPU-F522-01</t>
  </si>
  <si>
    <t>Comune di Montegranaro : MontegranaroEXTRA LAVORI</t>
  </si>
  <si>
    <t>PPP-IPU-M367-01</t>
  </si>
  <si>
    <t>Total PPP-IPU-M367-01</t>
  </si>
  <si>
    <t>COMUNE DI POLESINE ZIBELLO : POLESINE ZIBELLO ILLUMINAZIONE PUBBLICA</t>
  </si>
  <si>
    <t>PPP-IPU-E026-01</t>
  </si>
  <si>
    <t>Total PPP-IPU-E026-01</t>
  </si>
  <si>
    <t>COMUNE DI GIFFONI SEI CASALI : GIFFONI SEI CASALI ILLUMINAZIONE PUBBLICA</t>
  </si>
  <si>
    <t>PPP-IPU-E152-01</t>
  </si>
  <si>
    <t>Total PPP-IPU-E152-01</t>
  </si>
  <si>
    <t>Comune di Gravellona Lomellina - Uff_eFatturaPA : GRAVELLONA LOMELLINA ILLUMINAZIONE PUBBLICA</t>
  </si>
  <si>
    <t>PPP-IPU-G751-01</t>
  </si>
  <si>
    <t>Total PPP-IPU-G751-01</t>
  </si>
  <si>
    <t>COMUNE DI POGGIARDO : POGGIARDO ILLUMINAZIONE PUBBLICA</t>
  </si>
  <si>
    <t>PPP-IPU-C638-02</t>
  </si>
  <si>
    <t>Total PPP-IPU-C638-02</t>
  </si>
  <si>
    <t>VERITAS SPA : Monitoraggio Fotovoltaico VeritasILLUMINAZIONE PUBBLICA</t>
  </si>
  <si>
    <t>CL3-IPU-F952-02</t>
  </si>
  <si>
    <t>Total CL3-IPU-F952-02</t>
  </si>
  <si>
    <t>Novara - Manut. Ord. e Str. Videosorveglianza 2023-25ILLUMINAZIONE PUBBLICA</t>
  </si>
  <si>
    <t>CL3-IPU-B162-01</t>
  </si>
  <si>
    <t>Total CL3-IPU-B162-01</t>
  </si>
  <si>
    <t>Comune di Bresso : BressoILLUMINAZIONE PUBBLICA</t>
  </si>
  <si>
    <t>CL3-IPU-A162-01</t>
  </si>
  <si>
    <t>Total CL3-IPU-A162-01</t>
  </si>
  <si>
    <t>Comune di Albinea : AlbineaILLUMINAZIONE PUBBLICA</t>
  </si>
  <si>
    <t>CL3-IPU-H602-01</t>
  </si>
  <si>
    <t>Total CL3-IPU-H602-01</t>
  </si>
  <si>
    <t>Comune di Rovello Porro : Rovello PorroILLUMINAZIONE PUBBLICA</t>
  </si>
  <si>
    <t>CL3-IPU-H601-01</t>
  </si>
  <si>
    <t>Total CL3-IPU-H601-01</t>
  </si>
  <si>
    <t>Comune di Rovellasca : RovellascaILLUMINAZIONE PUBBLICA</t>
  </si>
  <si>
    <t>PPP-IPU-C824-01</t>
  </si>
  <si>
    <t>Total PPP-IPU-C824-01</t>
  </si>
  <si>
    <t>COMUNE DI COGOLLO DEL CENGIO : COGOLLO DEL CENGIO ILLUMINAZIONE PUBBLICA</t>
  </si>
  <si>
    <t>PPP-IPU-C638-01</t>
  </si>
  <si>
    <t>Total PPP-IPU-C638-01</t>
  </si>
  <si>
    <t>VERITAS SPA : CHIOGGIA SERVIZI Chioggia Illuminazione e impianti tecnoILLUMINAZIONE PUBBLICA</t>
  </si>
  <si>
    <t>PPP-IPU-A462-01</t>
  </si>
  <si>
    <t>Total PPP-IPU-A462-01</t>
  </si>
  <si>
    <t>CONSORZIO DI SVILUPPO IND.LE VALLI TRONTO, ASO E TESINO : PICENO CONSID ILLUMINAZIONE PUBBLICA</t>
  </si>
  <si>
    <t>PPP-IPU-L484-01</t>
  </si>
  <si>
    <t>Total PPP-IPU-L484-01</t>
  </si>
  <si>
    <t>COMUNE DI UGENTO : UGENTO ILLUMINAZIONE PUBBLICA</t>
  </si>
  <si>
    <t>PPP-IPU-L009-01</t>
  </si>
  <si>
    <t>Total PPP-IPU-L009-01</t>
  </si>
  <si>
    <t>Comune di Supino - Uff_eFatturaPA : SUPINO ILLUMINAZIONE PUBBLICA</t>
  </si>
  <si>
    <t>PPP-IPU-L736-02</t>
  </si>
  <si>
    <t>Total PPP-IPU-L736-02</t>
  </si>
  <si>
    <t>COMUNE DI VENEZIA : Venezia PLILLUMINAZIONE PUBBLICA</t>
  </si>
  <si>
    <t>STRUTTURA BU NORD</t>
  </si>
  <si>
    <t>Total STRUTTURA BU NORD</t>
  </si>
  <si>
    <t>PPP-IPU-D883-01</t>
  </si>
  <si>
    <t>Total PPP-IPU-D883-01</t>
  </si>
  <si>
    <t>COMUNE DI GALLIPOLI : GALLIPOLI ILLUMINAZIONE PUBBLICA</t>
  </si>
  <si>
    <t>ATI-IPU-H943-01</t>
  </si>
  <si>
    <t>Total ATI-IPU-H943-01</t>
  </si>
  <si>
    <t>COMUNE DI SAN GREGORIO MAGNO : IN ATI SAN GREGORIO MAGNO ILLUMINAZIONE PUBBLICA</t>
  </si>
  <si>
    <t>SEC-IPU-C750-01</t>
  </si>
  <si>
    <t>Total SEC-IPU-C750-01</t>
  </si>
  <si>
    <t>Comune di Citta' Sant'Angelo - Uff_eFatturaPA : Città Sant'Angelo</t>
  </si>
  <si>
    <t>PPP-IPU-G878-01</t>
  </si>
  <si>
    <t>Total PPP-IPU-G878-01</t>
  </si>
  <si>
    <t>COMUNE DI POPOLI : POPOLI ILLUMINAZIONE PUBBLICA</t>
  </si>
  <si>
    <t>PPP-IPU-B181-01</t>
  </si>
  <si>
    <t>Total PPP-IPU-B181-01</t>
  </si>
  <si>
    <t>COMUNE DI BRINDISI DI MONTAGNA : BRINDISI DI MONTAGNA ILLUMINAZIONE PUBBLICA</t>
  </si>
  <si>
    <t>CL3-IPU-B671-01</t>
  </si>
  <si>
    <t>Total CL3-IPU-B671-01</t>
  </si>
  <si>
    <t>Comune di Caponago : CaponagoILLUMINAZIONE PUBBLICA</t>
  </si>
  <si>
    <t>PPP-IPU-F241-01</t>
  </si>
  <si>
    <t>Total PPP-IPU-F241-01</t>
  </si>
  <si>
    <t>Comune di Mirano : IMPIANTI COMUNE DI MIRANO</t>
  </si>
  <si>
    <t>PPP-EEE-C638-02</t>
  </si>
  <si>
    <t>Total PPP-EEE-C638-02</t>
  </si>
  <si>
    <t>COMUNE DI CHIOGGIA : CHIOGGIA SERVIZI Illuminazione e impianti EFFICIENTAMENTO ENERGETICO EDIFICI</t>
  </si>
  <si>
    <t>ATI-IPU-M122-01</t>
  </si>
  <si>
    <t>Total ATI-IPU-M122-01</t>
  </si>
  <si>
    <t>COMUNE DI VOLPIANO : IN ATI VOLPIANO ILLUMINAZIONE PUBBLICA</t>
  </si>
  <si>
    <t>PPP-EEE-B506-04</t>
  </si>
  <si>
    <t>Total PPP-EEE-B506-04</t>
  </si>
  <si>
    <t>COMUNE DI CAMPI SALENTINA : EFFICIENTAMENTO ENERGETICO EDIFICI LOTTO 4 E.L.EN.A.</t>
  </si>
  <si>
    <t>CL3-IPU-D542-01</t>
  </si>
  <si>
    <t>Total CL3-IPU-D542-01</t>
  </si>
  <si>
    <t>Comune di Fermo : FermoILLUMINAZIONE PUBBLICA</t>
  </si>
  <si>
    <t>PPP-IPU-I608-01</t>
  </si>
  <si>
    <t>Total PPP-IPU-I608-01</t>
  </si>
  <si>
    <t>Comune di Senigallia : Senigallia - Project 2031ILLUMINAZIONE PUBBLICA</t>
  </si>
  <si>
    <t>CL3-IPU-A683-01</t>
  </si>
  <si>
    <t>Total CL3-IPU-A683-01</t>
  </si>
  <si>
    <t>Comune di Barzago : BarzagoILLUMINAZIONE PUBBLICA</t>
  </si>
  <si>
    <t>AQ1-IPU-A845-01</t>
  </si>
  <si>
    <t>Total AQ1-IPU-A845-01</t>
  </si>
  <si>
    <t>COMUNE DI BIANDRONNO : BiandronnoILLUMINAZIONE PUBBLICA</t>
  </si>
  <si>
    <t>CL4-IPU-B946-01</t>
  </si>
  <si>
    <t>Total CL4-IPU-B946-01</t>
  </si>
  <si>
    <t>COMUNE DI CASAVATORE : CasavatoreILLUMINAZIONE PUBBLICA</t>
  </si>
  <si>
    <t>ATI-IPU-F481-01</t>
  </si>
  <si>
    <t>Total ATI-IPU-F481-01</t>
  </si>
  <si>
    <t>COMUNE DI MONTECORVINO ROVELLA : IN ATI MONTECORVINO ROVELLA ILLUMINAZIONE PUBBLICA</t>
  </si>
  <si>
    <t>ATI-IPU-G325-01</t>
  </si>
  <si>
    <t>Total ATI-IPU-G325-01</t>
  </si>
  <si>
    <t>COMUNE DI PARABITA : IN ATI PARABITA ILLUMINAZIONE PUBBLICA</t>
  </si>
  <si>
    <t>PPP-IPU-I805-01</t>
  </si>
  <si>
    <t>Total PPP-IPU-I805-01</t>
  </si>
  <si>
    <t>Comune di Solofra : IMPIANTI COMUNE DI SOLOFRA</t>
  </si>
  <si>
    <t>PPP-IPU-A519-01</t>
  </si>
  <si>
    <t>Total PPP-IPU-A519-01</t>
  </si>
  <si>
    <t>Comune di Avigliano : AVIGLIANO ILLUMINAZIONE PUBBLICA</t>
  </si>
  <si>
    <t>PPP-IPU-E882-01</t>
  </si>
  <si>
    <t>Total PPP-IPU-E882-01</t>
  </si>
  <si>
    <t>COMUNE DI MANDURIA : MANDURIA ILLUMINAZIONE PUBBLICA</t>
  </si>
  <si>
    <t>CL3-IPU-E783-01</t>
  </si>
  <si>
    <t>Total CL3-IPU-E783-01</t>
  </si>
  <si>
    <t>Comune di Macerata : MacerataILLUMINAZIONE PUBBLICA</t>
  </si>
  <si>
    <t>PPP-IPU-M060-01</t>
  </si>
  <si>
    <t>Total PPP-IPU-M060-01</t>
  </si>
  <si>
    <t>COMUNE DI VINOVO : VINOVO ILLUMINAZIONE PUBBLICA</t>
  </si>
  <si>
    <t>PPP-IPU-F229-01</t>
  </si>
  <si>
    <t>Total PPP-IPU-F229-01</t>
  </si>
  <si>
    <t>Comune di Mira : IMPIANTI COMUNE DI MIRA</t>
  </si>
  <si>
    <t>PPP-IPU-I895-01</t>
  </si>
  <si>
    <t>Total PPP-IPU-I895-01</t>
  </si>
  <si>
    <t>COMUNE DI SPEZZANO ALBANESE : SPEZZANO ILLUMINAZIONE PUBBLICA</t>
  </si>
  <si>
    <t>PPP-IPU-F201-01</t>
  </si>
  <si>
    <t>Total PPP-IPU-F201-01</t>
  </si>
  <si>
    <t>COMUNE DI MIGLIONICO : MIGLIONICO ILLUMINAZIONE PUBBLICA</t>
  </si>
  <si>
    <t>PPP-IPU-G226-01</t>
  </si>
  <si>
    <t>Total PPP-IPU-G226-01</t>
  </si>
  <si>
    <t>COMUNE DI PADULA : PADULA ILLUMINAZIONE PUBBLICA</t>
  </si>
  <si>
    <t>PPP-IPU-H147-01</t>
  </si>
  <si>
    <t>Total PPP-IPU-H147-01</t>
  </si>
  <si>
    <t>COMUNE DI RACALE : COMUNE DI RACALE ILLUMINAZIONE PUBBLICA</t>
  </si>
  <si>
    <t>PPP-IPU-E630-01</t>
  </si>
  <si>
    <t>Total PPP-IPU-E630-01</t>
  </si>
  <si>
    <t>Comune di Lizzano : LIZZANO ILLUMINAZIONE PUBBLICA</t>
  </si>
  <si>
    <t>SEC-PHV-C978-01</t>
  </si>
  <si>
    <t>Total SEC-PHV-C978-01</t>
  </si>
  <si>
    <t>COMUNE DI COPERTINO : FOTOVOLTAICO COPERTINO 1</t>
  </si>
  <si>
    <t>PPP-IPU-H930-01</t>
  </si>
  <si>
    <t>Total PPP-IPU-H930-01</t>
  </si>
  <si>
    <t>COMUNE DI SAN GIULIANO MILANESE : SAN GIULIANO MILANESE ILLUMINAZIONE PUBBLICA</t>
  </si>
  <si>
    <t>CL3-IPU-I522-01</t>
  </si>
  <si>
    <t>Total CL3-IPU-I522-01</t>
  </si>
  <si>
    <t>Comune di Scheggia e Pascelupo : Scheggia e PascelupoILLUMINAZIONE PUBBLICA</t>
  </si>
  <si>
    <t>PPP-IPU-M426-01</t>
  </si>
  <si>
    <t>Total PPP-IPU-M426-01</t>
  </si>
  <si>
    <t>COMUNE DI COLCERESA : COLCERESA ILLUMINAZIONE PUBBLICA</t>
  </si>
  <si>
    <t>SEC-PHV-B008-01</t>
  </si>
  <si>
    <t>Total SEC-PHV-B008-01</t>
  </si>
  <si>
    <t>COMUNE DI BORGOROSE : FOTOVOLTAICO BORGOROSE</t>
  </si>
  <si>
    <t>PPP-IPU-F916-01</t>
  </si>
  <si>
    <t>Total PPP-IPU-F916-01</t>
  </si>
  <si>
    <t>COMUNE DI NOCIGLIA : Nociglia ILLUMINAZIONE PUBBLICA</t>
  </si>
  <si>
    <t>CL3-IPU-G690-01</t>
  </si>
  <si>
    <t>Total CL3-IPU-G690-01</t>
  </si>
  <si>
    <t>Comune di Pioraco : PioracoILLUMINAZIONE PUBBLICA</t>
  </si>
  <si>
    <t>CL3-IPU-G103-01</t>
  </si>
  <si>
    <t>Total CL3-IPU-G103-01</t>
  </si>
  <si>
    <t>Comune di Origgio : OriggioILLUMINAZIONE PUBBLICA</t>
  </si>
  <si>
    <t>PPP-EEE-C638-03</t>
  </si>
  <si>
    <t>Total PPP-EEE-C638-03</t>
  </si>
  <si>
    <t>CHIOGGIA SERVIZI SOC. CONS. ARL : VERITASEFFICIENTAMENTO ENERGETICO EDIFICI</t>
  </si>
  <si>
    <t>PPP-IPU-G590-01</t>
  </si>
  <si>
    <t>Total PPP-IPU-G590-01</t>
  </si>
  <si>
    <t>Comune di Picerno : PICERNO ILLUMINAZIONE PUBBLICA</t>
  </si>
  <si>
    <t>SEC-PHV-L736-01</t>
  </si>
  <si>
    <t>Total SEC-PHV-L736-01</t>
  </si>
  <si>
    <t>VIER SCARL : VIER - Fotovoltaico Varitas Eco+Eco (Ecoricicli)FOTOVOLTAICO</t>
  </si>
  <si>
    <t>CL4-IPU-G283-01</t>
  </si>
  <si>
    <t>Total CL4-IPU-G283-01</t>
  </si>
  <si>
    <t>COMUNE DI PALMA CAMPANIA : Palma CampaniaILLUMINAZIONE PUBBLICA</t>
  </si>
  <si>
    <t>PPP-IPU-H502-01</t>
  </si>
  <si>
    <t>Total PPP-IPU-H502-01</t>
  </si>
  <si>
    <t>COMUNE DI ROMAGNANO SESIA : ROMAGNANO SESIA ILLUMINAZIONE PUBBLICA</t>
  </si>
  <si>
    <t>CL3-IPU-B754-01</t>
  </si>
  <si>
    <t>Total CL3-IPU-B754-01</t>
  </si>
  <si>
    <t>Comune di Cardano al Campo : Cardano al CampoILLUMINAZIONE PUBBLICA</t>
  </si>
  <si>
    <t>CL4-IPU-E955-01</t>
  </si>
  <si>
    <t>Total CL4-IPU-E955-01</t>
  </si>
  <si>
    <t>COMUNE DI MARIGLIANO : MariglianoILLUMINAZIONE PUBBLICA</t>
  </si>
  <si>
    <t>CL3-IPU-A371-01</t>
  </si>
  <si>
    <t>Total CL3-IPU-A371-01</t>
  </si>
  <si>
    <t>Comune di Arcisate : ArcisateILLUMINAZIONE PUBBLICA</t>
  </si>
  <si>
    <t>EPC-EEE-C638-02</t>
  </si>
  <si>
    <t>Total EPC-EEE-C638-02</t>
  </si>
  <si>
    <t>COMUNE DI CHIOGGIA : CHIOGGIA PALAZZO GRANAIO INFINITY CIG.BC46FCDFF9</t>
  </si>
  <si>
    <t>PPP-IPU-I926-01</t>
  </si>
  <si>
    <t>Total PPP-IPU-I926-01</t>
  </si>
  <si>
    <t>Comune di Spotorno : SPOTORNO ILLUMINAZIONE PUBBLICA</t>
  </si>
  <si>
    <t>PPP-IPU-I362-01</t>
  </si>
  <si>
    <t>Total PPP-IPU-I362-01</t>
  </si>
  <si>
    <t>COMUNE DI SANTO STEFANO LODIGIANO : SANTO STEFANO LODIGIANO ILLUMINAZIONE PUBBLICA</t>
  </si>
  <si>
    <t>PPP-IPU-C638-05</t>
  </si>
  <si>
    <t>Total PPP-IPU-C638-05</t>
  </si>
  <si>
    <t>VERITAS SPA : VERITAS CHIOGGIA</t>
  </si>
  <si>
    <t>PPP-IPU-D184-01</t>
  </si>
  <si>
    <t>Total PPP-IPU-D184-01</t>
  </si>
  <si>
    <t>COMUNE DI CROSIA : CROSIA ILLUMINAZIONE PUBBLICA</t>
  </si>
  <si>
    <t>PPP-IPU-D464-01</t>
  </si>
  <si>
    <t>Total PPP-IPU-D464-01</t>
  </si>
  <si>
    <t>Comune di Fagnano Castello : FAGNANO CASTELLO ILLUMINAZIONE PUBBLICA</t>
  </si>
  <si>
    <t>ATI-IPU-H498-01</t>
  </si>
  <si>
    <t>Total ATI-IPU-H498-01</t>
  </si>
  <si>
    <t>COMUNE DI ROLETTO : IN ATI ROLETTO ILLUMINAZIONE PUBBLICA</t>
  </si>
  <si>
    <t>PPP-IPU-D012-01</t>
  </si>
  <si>
    <t>Total PPP-IPU-D012-01</t>
  </si>
  <si>
    <t>Comune di Courmayeur : COURMAYEUR ILLUMINAZIONE PUBBLICA</t>
  </si>
  <si>
    <t>PPP-IPU-F874-01</t>
  </si>
  <si>
    <t>Total PPP-IPU-F874-01</t>
  </si>
  <si>
    <t>Comune di Nerviano : IMPIANTI COMUNE DI NERVIANO</t>
  </si>
  <si>
    <t>CL3-IPU-F952-01</t>
  </si>
  <si>
    <t>Total CL3-IPU-F952-01</t>
  </si>
  <si>
    <t>Comune di Novara : NovaraILLUMINAZIONE PUBBLICA</t>
  </si>
  <si>
    <t>PPP-EEE-L736-02</t>
  </si>
  <si>
    <t>Total PPP-EEE-L736-02</t>
  </si>
  <si>
    <t>COVEDI SCARL : COVEDI EFFICIENTAMENTO ENERGETICO EDIFICI</t>
  </si>
  <si>
    <t>PPP-IPU-C492-01</t>
  </si>
  <si>
    <t>Total PPP-IPU-C492-01</t>
  </si>
  <si>
    <t>Comune di Cerchio : CERCHIO ILLUMINAZIONE PUBBLICA</t>
  </si>
  <si>
    <t>AQ1-IPU-D541-01</t>
  </si>
  <si>
    <t>Total AQ1-IPU-D541-01</t>
  </si>
  <si>
    <t>COMUNE DI FERMIGNANO : FermignanoILLUMINAZIONE PUBBLICA</t>
  </si>
  <si>
    <t>PPP-IPU-D947-01</t>
  </si>
  <si>
    <t>Total PPP-IPU-D947-01</t>
  </si>
  <si>
    <t>COMUNE DI GAVOI : GAVOI ILLUMINAZIONE PUBBLICA</t>
  </si>
  <si>
    <t>SEC-IPU-F573-01</t>
  </si>
  <si>
    <t>Total SEC-IPU-F573-01</t>
  </si>
  <si>
    <t>Comune di Montemurro : MONTEMURRO</t>
  </si>
  <si>
    <t>PPP-IPU-B506-01</t>
  </si>
  <si>
    <t>Total PPP-IPU-B506-01</t>
  </si>
  <si>
    <t>COMUNE DI CAMPI SALENTINA : CAMPI SALENTINA ILLUMINAZIONE PUBBLICA</t>
  </si>
  <si>
    <t>EPC-VS-C638-01</t>
  </si>
  <si>
    <t>Total EPC-VS-C638-01</t>
  </si>
  <si>
    <t>Chioggia - Bando Sicurezza 2020EXTRA LAVORI</t>
  </si>
  <si>
    <t>CL3-IPU-B352-01</t>
  </si>
  <si>
    <t>Total CL3-IPU-B352-01</t>
  </si>
  <si>
    <t>Comune di Cagli : CagliILLUMINAZIONE PUBBLICA</t>
  </si>
  <si>
    <t>CL4-IPU-I540-01</t>
  </si>
  <si>
    <t>Total CL4-IPU-I540-01</t>
  </si>
  <si>
    <t>COMUNE DI SCISCIANO : SciscianoILLUMINAZIONE PUBBLICA</t>
  </si>
  <si>
    <t>PPP-IPU-G957-01</t>
  </si>
  <si>
    <t>Total PPP-IPU-G957-01</t>
  </si>
  <si>
    <t>Comune di Pozzoleone : POZZOLEONE ILLUMINAZIONE PUBBLICA</t>
  </si>
  <si>
    <t>PPP-IPU-L850-01</t>
  </si>
  <si>
    <t>Total PPP-IPU-L850-01</t>
  </si>
  <si>
    <t>Comune di Vicopisano - Uff_eFatturaPA : VICOPISANO ILLUMINAZIONE PUBBLICA</t>
  </si>
  <si>
    <t>ATI-IPU-D812-01</t>
  </si>
  <si>
    <t>Total ATI-IPU-D812-01</t>
  </si>
  <si>
    <t>COMUNE DI FROSSASCO : IN ATI FROSSASCO ILLUMINAZIONE PUBBLICA</t>
  </si>
  <si>
    <t>PPP-IPU-L074-01</t>
  </si>
  <si>
    <t>Total PPP-IPU-L074-01</t>
  </si>
  <si>
    <t>COMUNE DI TAVIANO : COMUNE DI TAVIANO (SUSSIDIARIA) ILLUMINAZIONE PUBBLICA</t>
  </si>
  <si>
    <t>PPP-IPU-C231-01</t>
  </si>
  <si>
    <t>Total PPP-IPU-C231-01</t>
  </si>
  <si>
    <t>Comune di Castelnuovo Cilento : CASTELNUOVO CILENTO ILLUMINAZIONE PUBBLICA</t>
  </si>
  <si>
    <t>PPP-IPU-E976-01</t>
  </si>
  <si>
    <t>Total PPP-IPU-E976-01</t>
  </si>
  <si>
    <t>Comune di Marsico Nuovo : MARSICO NUOVO ILLUMINAZIONE PUBBLICA</t>
  </si>
  <si>
    <t>PPP-IPU-G867-01</t>
  </si>
  <si>
    <t>Total PPP-IPU-G867-01</t>
  </si>
  <si>
    <t>COMUNE DI PONTIROLO NUOVO : Pontirolo Nuovo ILLUMINAZIONE PUBBLICA</t>
  </si>
  <si>
    <t>SEC-PHV-F415-01</t>
  </si>
  <si>
    <t>Total SEC-PHV-F415-01</t>
  </si>
  <si>
    <t>Comune di Montalto delle Marche : Impianti Fotovoltaici Montalto delle Marche</t>
  </si>
  <si>
    <t>PPP-IPU-F130-01</t>
  </si>
  <si>
    <t>Total PPP-IPU-F130-01</t>
  </si>
  <si>
    <t>COMUNE DI MEOLO : MEOLO ILLUMINAZIONE PUBBLICA</t>
  </si>
  <si>
    <t>CL3-IPU-H240-01</t>
  </si>
  <si>
    <t>Total CL3-IPU-H240-01</t>
  </si>
  <si>
    <t>Comune di Rescaldina : RescaldinaILLUMINAZIONE PUBBLICA</t>
  </si>
  <si>
    <t>PPP-IPU-I441-01</t>
  </si>
  <si>
    <t>Total PPP-IPU-I441-01</t>
  </si>
  <si>
    <t>Comune di Saronno : SARONNO ILLUMINAZIONE PUBBLICA</t>
  </si>
  <si>
    <t>PPP-IPU-D763-01</t>
  </si>
  <si>
    <t>Total PPP-IPU-D763-01</t>
  </si>
  <si>
    <t>COMUNE DI FRANCAVILLA AL MARE : Francavilla al Mare ILLUMINAZIONE PUBBLICA</t>
  </si>
  <si>
    <t>PPP-IPU-D764-01</t>
  </si>
  <si>
    <t>Total PPP-IPU-D764-01</t>
  </si>
  <si>
    <t>Comune di Francavilla Marittima : FRANCAVILLA MARITTIMA ILLUMINAZIONE PUBBLICA</t>
  </si>
  <si>
    <t>PPP-IPU-E693-01</t>
  </si>
  <si>
    <t>Total PPP-IPU-E693-01</t>
  </si>
  <si>
    <t>COMUNE DI LORO CIUFFENNA : LORO CIUFFENNA ILLUMINAZIONE PUBBLICA</t>
  </si>
  <si>
    <t>PPP-IPU-C058-01</t>
  </si>
  <si>
    <t>Total PPP-IPU-C058-01</t>
  </si>
  <si>
    <t>Comune di Castel Baronia : CASTEL BARONIA ILLUMINAZIONE PUBBLICA</t>
  </si>
  <si>
    <t>ATI-IPU-F109-01</t>
  </si>
  <si>
    <t>Total ATI-IPU-F109-01</t>
  </si>
  <si>
    <t>COMUNE DI MELISSANO : IN ATI MELISSANO ILLUMINAZIONE PUBBLICA</t>
  </si>
  <si>
    <t>PPP-IPU-H307-01</t>
  </si>
  <si>
    <t>Total PPP-IPU-H307-01</t>
  </si>
  <si>
    <t>COMUNE DI RIONERO IN VULTURE : RIONERO IN VULTURE ILLUMINAZIONE PUBBLICA</t>
  </si>
  <si>
    <t>PPP-IPU-C888-01</t>
  </si>
  <si>
    <t>Total PPP-IPU-C888-01</t>
  </si>
  <si>
    <t>COMUNE DI COLOBRARO : COLOBRARO ILLUMINAZIONE PUBBLICA</t>
  </si>
  <si>
    <t>PPP-IPU-D740-01</t>
  </si>
  <si>
    <t>Total PPP-IPU-D740-01</t>
  </si>
  <si>
    <t>COMUNE DI FOSSALTA DI PIAVE : FOSSALTA DI PIAVE ILLUMINAZIONE PUBBLICA</t>
  </si>
  <si>
    <t>ATI-IPU-G616-01</t>
  </si>
  <si>
    <t>Total ATI-IPU-G616-01</t>
  </si>
  <si>
    <t>Comune di Pietragalla : IN ATI PIETRAGALLA ILLUMINAZIONE PUBBLICA</t>
  </si>
  <si>
    <t>EPC-IPU-D542-01</t>
  </si>
  <si>
    <t>Total EPC-IPU-D542-01</t>
  </si>
  <si>
    <t>Comune di Fermo : FermoEXTRA LAVORI</t>
  </si>
  <si>
    <t>EPC-IPU-D472-01</t>
  </si>
  <si>
    <t>Total EPC-IPU-D472-01</t>
  </si>
  <si>
    <t>Comune di Falconara Marittima : Falconara MarittimaEXTRA LAVORI</t>
  </si>
  <si>
    <t>EPC-IPU-B731-01</t>
  </si>
  <si>
    <t>Total EPC-IPU-B731-01</t>
  </si>
  <si>
    <t>Comune di Caravaggio : CaravaggioEXTRA LAVORI</t>
  </si>
  <si>
    <t>EPC-IPU-H090-01</t>
  </si>
  <si>
    <t>Total EPC-IPU-H090-01</t>
  </si>
  <si>
    <t>COMUNE DI PULSANO : PULSANO ILLUMINAZIONE PUBBLICA</t>
  </si>
  <si>
    <t>PPP-IPU-C650-01</t>
  </si>
  <si>
    <t>Total PPP-IPU-C650-01</t>
  </si>
  <si>
    <t>COMUNE DI CHIUPPANO : CHIUPPANO ILLUMINAZIONE PUBBLICO</t>
  </si>
  <si>
    <t>SEC-PHV-F690-02</t>
  </si>
  <si>
    <t>Total SEC-PHV-F690-02</t>
  </si>
  <si>
    <t>COMUNE DI MONTORIO AL VOMANO : FOTOVOLTAICO MONTORIO AL VOMANO 3</t>
  </si>
  <si>
    <t>CL4-IPU-A024-01</t>
  </si>
  <si>
    <t>Total CL4-IPU-A024-01</t>
  </si>
  <si>
    <t>COMUNE DI ACERRA : AcerraILLUMINAZIONE PUBBLICA</t>
  </si>
  <si>
    <t>PPP-IPU-I917-01</t>
  </si>
  <si>
    <t>Total PPP-IPU-I917-01</t>
  </si>
  <si>
    <t>COMUNE DI SPINOSO : SPINOSO ILLUMINAZIONE PUBBLICA</t>
  </si>
  <si>
    <t>PPP-IPU-I489-01</t>
  </si>
  <si>
    <t>Total PPP-IPU-I489-01</t>
  </si>
  <si>
    <t>Scalea ILLUMINAZIONE PUBBLICA</t>
  </si>
  <si>
    <t>PPP-EEE-C638-01</t>
  </si>
  <si>
    <t>Total PPP-EEE-C638-01</t>
  </si>
  <si>
    <t>COMUNE DI CHIOGGIA : Chioggia - Bando Efficienza Edifici 2024EFFICIENTAMENTO ENERGETICO EDIFICI</t>
  </si>
  <si>
    <t>PPP-IPU-H580-01</t>
  </si>
  <si>
    <t>Total PPP-IPU-H580-01</t>
  </si>
  <si>
    <t>COMUNE DI ROSSANO VENETO : ROSSANO VENETO ILLUMINAZIONE PUBBLICA</t>
  </si>
  <si>
    <t>PPP-EEE-B506-01</t>
  </si>
  <si>
    <t>Total PPP-EEE-B506-01</t>
  </si>
  <si>
    <t>COMUNE DI CAMPI SALENTINA : EFFICIENTAMENTO ENERGETICO EDIFICI LOTTO 1 E.L.EN.A.</t>
  </si>
  <si>
    <t>PPP-EEE-C638-04</t>
  </si>
  <si>
    <t>Total PPP-EEE-C638-04</t>
  </si>
  <si>
    <t>CHIOGGIA SERVIZI SOC. CONS. ARL : CHIOGGIA SERVIZI EFF.ENERGETICO EDIFICI</t>
  </si>
  <si>
    <t>PPP-IPU-L736-03</t>
  </si>
  <si>
    <t>Total PPP-IPU-L736-03</t>
  </si>
  <si>
    <t>COVEDI SCARL : COVEDI MANUTENZIONE ILLUMINAZIONE PUBBLICA</t>
  </si>
  <si>
    <t>CL4-IPU-L142-01</t>
  </si>
  <si>
    <t>Total CL4-IPU-L142-01</t>
  </si>
  <si>
    <t>COMUNE DI TERZIGNO : TerzignoILLUMINAZIONE PUBBLICA</t>
  </si>
  <si>
    <t>CL3-IPU-D869-01</t>
  </si>
  <si>
    <t>Total CL3-IPU-D869-01</t>
  </si>
  <si>
    <t>Comune di Gallarate : GallarateILLUMINAZIONE PUBBLICA</t>
  </si>
  <si>
    <t>EPC-IPU-L736-01</t>
  </si>
  <si>
    <t>Total EPC-IPU-L736-01</t>
  </si>
  <si>
    <t>COMUNE DI VENEZIA : COVEDI EXTRA LAVORI EFF ENERGETICO ILL PUB</t>
  </si>
  <si>
    <t>PPP-IPU-L835-01</t>
  </si>
  <si>
    <t>Total PPP-IPU-L835-01</t>
  </si>
  <si>
    <t>COMUNE DI VIBONATI : VIBONATI ILLUMINAZIONE PUBBLICA</t>
  </si>
  <si>
    <t>PPP-IPU-I019-01</t>
  </si>
  <si>
    <t>Total PPP-IPU-I019-01</t>
  </si>
  <si>
    <t>COMUNE DI SAN MARZANO SUL SARNO : SAN MARZANO SUL SARNO ILLUMINAZIONE PUBBLICA</t>
  </si>
  <si>
    <t>PPP-IPU-G589-01</t>
  </si>
  <si>
    <t>Total PPP-IPU-G589-01</t>
  </si>
  <si>
    <t>Comune di Picciano - Uff_eFatturaPA : IMPIANTI COMUNE DI PICCIANO</t>
  </si>
  <si>
    <t>PPP-IPU-I145-01</t>
  </si>
  <si>
    <t>Total PPP-IPU-I145-01</t>
  </si>
  <si>
    <t>Comune Di San Salvatore Telesino : SAN SALVATORE TELESINO ILLUMINAZIONE PUBBLICA</t>
  </si>
  <si>
    <t>ATI-IPU-B628-01</t>
  </si>
  <si>
    <t>Total ATI-IPU-B628-01</t>
  </si>
  <si>
    <t>COMUNE DI CANTALUPA : IN ATI CANTALUPA ILLUMINAZIONE PUBBLICA</t>
  </si>
  <si>
    <t>EPC-IPU-F632-06</t>
  </si>
  <si>
    <t>Total EPC-IPU-F632-06</t>
  </si>
  <si>
    <t>Comune di Potenza Picena : POTENZA PICENA EXTRA LAV. DET.04/92 CIG BBA46C821C</t>
  </si>
  <si>
    <t>EPC-IPU-B754-01</t>
  </si>
  <si>
    <t>Total EPC-IPU-B754-01</t>
  </si>
  <si>
    <t>Comune di Cardano al Campo : Cardano al CampoEXTRA LAVORI</t>
  </si>
  <si>
    <t>EPC-IPU-H240-01</t>
  </si>
  <si>
    <t>Total EPC-IPU-H240-01</t>
  </si>
  <si>
    <t>Comune di Rescaldina : RescaldinaEXTRA LAVORI</t>
  </si>
  <si>
    <t>PPP-IPU-D748-01</t>
  </si>
  <si>
    <t>Total PPP-IPU-D748-01</t>
  </si>
  <si>
    <t>Comune di Fosso' : IMPIANTI COMUNE DI FOSSO'</t>
  </si>
  <si>
    <t>PPP-IPU-I799-01</t>
  </si>
  <si>
    <t>Total PPP-IPU-I799-01</t>
  </si>
  <si>
    <t>Comune di Solesino - Uff_eFatturaPA : SOLESINO ILLUMINAZIONE PUBBLICA</t>
  </si>
  <si>
    <t>PPP-IPU-A479-01</t>
  </si>
  <si>
    <t>Total PPP-IPU-A479-01</t>
  </si>
  <si>
    <t>COMUNE DI ASTI : ASTI ILLUMINAZIONE PUBBLICA</t>
  </si>
  <si>
    <t>PPP-EEE-B294-03</t>
  </si>
  <si>
    <t>Total PPP-EEE-B294-03</t>
  </si>
  <si>
    <t>Comune di Bussi sul Tirino - ufficio tecnico : BUSSI SUL TIRINO EFF.TO ENERGETICO EDIFICI</t>
  </si>
  <si>
    <t>EPC-IPU-C638-02</t>
  </si>
  <si>
    <t>Total EPC-IPU-C638-02</t>
  </si>
  <si>
    <t>CHIOGGIA SERVIZI SOC. CONS. ARL : CHIOGGIA - SPESE GESTIONE - CHIOGGIA SERVIZI</t>
  </si>
  <si>
    <t>EPC-IPU-L191-01</t>
  </si>
  <si>
    <t>Total EPC-IPU-L191-01</t>
  </si>
  <si>
    <t>COMUNE DI TOLENTINO : Tolentino - Manutenzione IPEXTRA LAVORI</t>
  </si>
  <si>
    <t>PPP-IPU-F109-01</t>
  </si>
  <si>
    <t>Total PPP-IPU-F109-01</t>
  </si>
  <si>
    <t>COMUNE DI MELISSANO : COMUNE DI MELISSANO CigB295F38818 ILLUMINAZIONE PUBBLICA</t>
  </si>
  <si>
    <t>PPP-IPU-C448-01</t>
  </si>
  <si>
    <t>Total PPP-IPU-C448-01</t>
  </si>
  <si>
    <t>COMUNE DI CELLINO SAN MARCO : CELLINO SAN MARCO ILLUMINAZIONE PUBBLICA</t>
  </si>
  <si>
    <t>EPC-IPU-L415-05</t>
  </si>
  <si>
    <t>Total EPC-IPU-L415-05</t>
  </si>
  <si>
    <t>COMUNE DI TRIBIANO : TRIBIANO EXTRA LAV.DET 152 CIG BABDFC1085 I.P.</t>
  </si>
  <si>
    <t>PPP-IPU-H501-02</t>
  </si>
  <si>
    <t>Total PPP-IPU-H501-02</t>
  </si>
  <si>
    <t>ROMA SERVIZI PER LA MOBILITA' SRL : Roma ServiziILLUMINAZIONE PUBBLICA</t>
  </si>
  <si>
    <t>PPP-IPU-I561-01</t>
  </si>
  <si>
    <t>Total PPP-IPU-I561-01</t>
  </si>
  <si>
    <t>COMUNE DI SECUGNAGO : SECUGNAGO ILLUMINAZIONE PUBBLICA</t>
  </si>
  <si>
    <t>PPP-IPU-H344-01</t>
  </si>
  <si>
    <t>Total PPP-IPU-H344-01</t>
  </si>
  <si>
    <t>COMUNE DI RIVA ROSSA : RIVAROSSA ILLUMINAZIONE PUBBLICA</t>
  </si>
  <si>
    <t>SEC-IPU-B885-01</t>
  </si>
  <si>
    <t>Total SEC-IPU-B885-01</t>
  </si>
  <si>
    <t>SPORT CLUB NUOVA CASALE : Sport Club Nuova Casalea.S.D</t>
  </si>
  <si>
    <t>EPC-IPU-F632-04</t>
  </si>
  <si>
    <t>Total EPC-IPU-F632-04</t>
  </si>
  <si>
    <t>Comune di Potenza Picena : POTENZA PICENA EXTRA LAVORI DET.199</t>
  </si>
  <si>
    <t>EXTRA LAVORI</t>
  </si>
  <si>
    <t>Total EXTRA LAVORI</t>
  </si>
  <si>
    <t>EPC-IPU-M426-02</t>
  </si>
  <si>
    <t>Total EPC-IPU-M426-02</t>
  </si>
  <si>
    <t>COMUNE DI COLCERESA : COLCERESA IP EXTRA LAVORI</t>
  </si>
  <si>
    <t>EPC-IPU-L191-02</t>
  </si>
  <si>
    <t>Total EPC-IPU-L191-02</t>
  </si>
  <si>
    <t>COMUNE DI TOLENTINO : Tolentino - Manutenzione IP (ricostruzione sisma 2016)EXTRA LAVORI</t>
  </si>
  <si>
    <t>EPC-IPU-C638-01</t>
  </si>
  <si>
    <t>Total EPC-IPU-C638-01</t>
  </si>
  <si>
    <t>CHIOGGIA SERVIZI SOC. CONS. ARL : CHIOGGIA_SERVIZI Chioggia Ill. e impianti tecnoEXTRA LAVORI</t>
  </si>
  <si>
    <t>EPC-IPU-F632-02</t>
  </si>
  <si>
    <t>Total EPC-IPU-F632-02</t>
  </si>
  <si>
    <t>Comune di Potenza Picena : Potenza Picena - Nuovi PL Centro Storico e P.zza MatteottiEXTRA LAVORI</t>
  </si>
  <si>
    <t>EPC-IPU-C824-02</t>
  </si>
  <si>
    <t>Total EPC-IPU-C824-02</t>
  </si>
  <si>
    <t>COMUNE DI COGOLLO DEL CENGIO : COGOLLO DEL CENGIO IP EXTRA LAVORI</t>
  </si>
  <si>
    <t>EPC-IPU-L736-02</t>
  </si>
  <si>
    <t>Total EPC-IPU-L736-02</t>
  </si>
  <si>
    <t>Venezia - Lavori diretti per ComuneEXTRA LAVORI</t>
  </si>
  <si>
    <t>EPC-IPU-G762-01</t>
  </si>
  <si>
    <t>Total EPC-IPU-G762-01</t>
  </si>
  <si>
    <t>COMUNE DI POGGIOMARINO : POGGIOMARINO EXTRA LAVORI MAN.STRAORD</t>
  </si>
  <si>
    <t>EPC-IPU-A942-03</t>
  </si>
  <si>
    <t>Total EPC-IPU-A942-03</t>
  </si>
  <si>
    <t>COMUNE DI NOVA SIRI : NOVA SIRI EXTRA LAVORO CIG:BBE70F5824</t>
  </si>
  <si>
    <t>EPC-IPU-I019-02</t>
  </si>
  <si>
    <t>Total EPC-IPU-I019-02</t>
  </si>
  <si>
    <t>COMUNE DI SAN MARZANO SUL SARNO : SAN MARZANO SUL SARNO ILLUMINAZIONE PUBBLICA EXTRA</t>
  </si>
  <si>
    <t>EPC-IPU-L415-02</t>
  </si>
  <si>
    <t>Total EPC-IPU-L415-02</t>
  </si>
  <si>
    <t>COMUNE DI TRIBIANO : Comune di Tribiano - IP Ciclopedonale Canale Addetta</t>
  </si>
  <si>
    <t>EPC-IPU-F704-04</t>
  </si>
  <si>
    <t>Total EPC-IPU-F704-04</t>
  </si>
  <si>
    <t>PROVINCIA DI MONZA E BRIANZA : Provincia di MB - Servizi e Provviste IT e IP (3° Contratto Attuativo)Oneoff Works</t>
  </si>
  <si>
    <t>EPC-IPU-F952-04</t>
  </si>
  <si>
    <t>Total EPC-IPU-F952-04</t>
  </si>
  <si>
    <t>Comune di Novara : NOVARA EXTRA LAVORI DET.143 CIG B8A917D7AF</t>
  </si>
  <si>
    <t>EPC-IPU-L415-01</t>
  </si>
  <si>
    <t>Total EPC-IPU-L415-01</t>
  </si>
  <si>
    <t>COMUNE DI TRIBIANO : TribianoEXTRA LAVORI</t>
  </si>
  <si>
    <t>EPC-IPU-E716-06</t>
  </si>
  <si>
    <t>Total EPC-IPU-E716-06</t>
  </si>
  <si>
    <t>Comune di Lucera : LUCERA EXTRA LAVORI VIDEOSORVEGLIANZA</t>
  </si>
  <si>
    <t>EPC-IPU-L835-02</t>
  </si>
  <si>
    <t>Total EPC-IPU-L835-02</t>
  </si>
  <si>
    <t>COMUNE DI VIBONATI : VIBONATI IP EXTRA LAVORI</t>
  </si>
  <si>
    <t>EPC-IPU-A743-07</t>
  </si>
  <si>
    <t>Total EPC-IPU-A743-07</t>
  </si>
  <si>
    <t>Comune di Bella : BELLA EXTRA LAVORI</t>
  </si>
  <si>
    <t>EPC-IPU-I696-02</t>
  </si>
  <si>
    <t>Total EPC-IPU-I696-02</t>
  </si>
  <si>
    <t>Comune di Settala : Settala - Lavoro Privato 002 - Rotonda viale Delle industrieEXTRA LAVORI</t>
  </si>
  <si>
    <t>EPC-IPU-F348-05</t>
  </si>
  <si>
    <t>Total EPC-IPU-F348-05</t>
  </si>
  <si>
    <t>Comune di Mondolfo : MONDOLFO EXTRA LAVORI CIG: BA1E91D593</t>
  </si>
  <si>
    <t>EPC-IPU-F201-01</t>
  </si>
  <si>
    <t>Total EPC-IPU-F201-01</t>
  </si>
  <si>
    <t>COMUNE DI MIGLIONICO : MIGLIONICO IP EXTRA CANONE</t>
  </si>
  <si>
    <t>EPC-IPU-A271-01</t>
  </si>
  <si>
    <t>Total EPC-IPU-A271-01</t>
  </si>
  <si>
    <t>REGIONE MARCHE GIUNTA REGIONALE : REGIONE MARCHE  - EXTRA LAVORI</t>
  </si>
  <si>
    <t>EPC-IPU-I441-04</t>
  </si>
  <si>
    <t>Total EPC-IPU-I441-04</t>
  </si>
  <si>
    <t>Comune di Saronno : Saronno - Bando ARESTEXTRA LAVORI</t>
  </si>
  <si>
    <t>EPC-IPU-D171-02</t>
  </si>
  <si>
    <t>Total EPC-IPU-D171-02</t>
  </si>
  <si>
    <t>COMUNE DI CRISPIANO : CRISPIANO EXTRA LAVORI CIG: B91930F18F</t>
  </si>
  <si>
    <t>EPC-IPU-C231-02</t>
  </si>
  <si>
    <t>Total EPC-IPU-C231-02</t>
  </si>
  <si>
    <t>Comune di Castelnuovo Cilento : CASTELNUOVO CILENTO IP EXTRA LAVORI</t>
  </si>
  <si>
    <t>EPC-IPU-E951-03</t>
  </si>
  <si>
    <t>Total EPC-IPU-E951-03</t>
  </si>
  <si>
    <t>Comune di Mariano Comense : MARIANO COMENSE EXTRA LAVORI</t>
  </si>
  <si>
    <t>EPC-IPU-F632-05</t>
  </si>
  <si>
    <t>Total EPC-IPU-F632-05</t>
  </si>
  <si>
    <t>Comune di Potenza Picena : POTENZA PICENA EXTRA LAVORI DET.256</t>
  </si>
  <si>
    <t>EPC-IPU-F952-02</t>
  </si>
  <si>
    <t>Total EPC-IPU-F952-02</t>
  </si>
  <si>
    <t>Comune di Novara : NOVARA IP EXTRA LAVORI CIG: B9B66F401D</t>
  </si>
  <si>
    <t>EPC-IPU-H930-03</t>
  </si>
  <si>
    <t>Total EPC-IPU-H930-03</t>
  </si>
  <si>
    <t>COMUNE DI SAN GIULIANO MILANESE : SAN GIULIANO MILANESE-EXTRA LAVORI VIA DELLA PACE</t>
  </si>
  <si>
    <t>EPC-IPU-A413-01</t>
  </si>
  <si>
    <t>Total EPC-IPU-A413-01</t>
  </si>
  <si>
    <t>Comune di Arluno : Arluno - Ripristino impianto rotatoria Via Adua / per TurbigoEXTRA LAVORI</t>
  </si>
  <si>
    <t>EPC-IPU-G616-01</t>
  </si>
  <si>
    <t>Total EPC-IPU-G616-01</t>
  </si>
  <si>
    <t>Comune di Pietragalla : PIETRAGALLA IP EXTRA LAVORI</t>
  </si>
  <si>
    <t>EPC-IPU-F348-07</t>
  </si>
  <si>
    <t>Total EPC-IPU-F348-07</t>
  </si>
  <si>
    <t>Comune di Mondolfo : MONDOLFO EX.LAV.VIA MONTECIAPELLANO E VIA SALVEMINI CIG:BB2B172795</t>
  </si>
  <si>
    <t>EPC-IPU-L415-08</t>
  </si>
  <si>
    <t>Total EPC-IPU-L415-08</t>
  </si>
  <si>
    <t>COMUNE DI TRIBIANO : TRIBIANO EXTRA LAVORI DET 634</t>
  </si>
  <si>
    <t>EPC-IPU-G426-02</t>
  </si>
  <si>
    <t>Total EPC-IPU-G426-02</t>
  </si>
  <si>
    <t>COMUNE DI PELLEZZANO : PELLEZZANO EXTRA LAVORI CIG: A008D7E429</t>
  </si>
  <si>
    <t>EPC-IPU-H930-02</t>
  </si>
  <si>
    <t>Total EPC-IPU-H930-02</t>
  </si>
  <si>
    <t>COMUNE DI SAN GIULIANO MILANESE : SAN GIULIANO-EXTRA LAV-ADEG. TECNICO DEGLI IMPIANTI DI P.I.</t>
  </si>
  <si>
    <t>EPC-IPU-H990-01</t>
  </si>
  <si>
    <t>Total EPC-IPU-H990-01</t>
  </si>
  <si>
    <t>COMUNE DI SAN MARTINO IN PENSILIS : SAN MARTINO IN PENSILIS IP EXTRA LAVORI</t>
  </si>
  <si>
    <t>EPC-IPU-F952-01</t>
  </si>
  <si>
    <t>Total EPC-IPU-F952-01</t>
  </si>
  <si>
    <t>Comune di Novara : Novara - Realizzazione Att. Pedonali per non vedentiEXTRA LAVORI</t>
  </si>
  <si>
    <t>EPC-IPU-F704-01</t>
  </si>
  <si>
    <t>Total EPC-IPU-F704-01</t>
  </si>
  <si>
    <t>PROVINCIA DI MONZA E BRIANZA : Provincia di Monza Brianza - Servizi e Provviste IT e IP</t>
  </si>
  <si>
    <t>EPC-IPU-C888-03</t>
  </si>
  <si>
    <t>Total EPC-IPU-C888-03</t>
  </si>
  <si>
    <t>COMUNE DI COLOBRARO : COLOBRARO IP EXTRA LAVORI CASTELLO E CONVENTO</t>
  </si>
  <si>
    <t>EPC-IPU-F704-05</t>
  </si>
  <si>
    <t>Total EPC-IPU-F704-05</t>
  </si>
  <si>
    <t>PROVINCIA DI MONZA E BRIANZA : PROVINCIA MB EX.LAV RIPRISTINO IMP.ELT. CIG BC1AF535C2</t>
  </si>
  <si>
    <t>EPC-IPU-A413-07</t>
  </si>
  <si>
    <t>Total EPC-IPU-A413-07</t>
  </si>
  <si>
    <t>STEFANO RUBETTI : ARLUNO EXTRA LAVORI - RUBETTI STEFANO</t>
  </si>
  <si>
    <t>EPC-IPU-F632-01</t>
  </si>
  <si>
    <t>Total EPC-IPU-F632-01</t>
  </si>
  <si>
    <t>Comune di Potenza Picena : Potenza PicenaEXTRA LAVORI</t>
  </si>
  <si>
    <t>EPC-IPU-C717-04</t>
  </si>
  <si>
    <t>Total EPC-IPU-C717-04</t>
  </si>
  <si>
    <t>COMUNE DI SANTA MARIA DEL CEDRO : SANTA MARIA DEL CEDRO EXTRA LAVORI CIG: BC329BBB0E</t>
  </si>
  <si>
    <t>EPC-IPU-D869-02</t>
  </si>
  <si>
    <t>Total EPC-IPU-D869-02</t>
  </si>
  <si>
    <t>Comune di Gallarate : Gallarate - DUC Gallarate ShoppingEXTRA LAVORI</t>
  </si>
  <si>
    <t>EPC-IPU-L415-03</t>
  </si>
  <si>
    <t>Total EPC-IPU-L415-03</t>
  </si>
  <si>
    <t>COMUNE DI TRIBIANO : TRIBIANO-EXTRA LAVORI-AMPLIAMENTO RETE</t>
  </si>
  <si>
    <t>EPC-IPU-F348-04</t>
  </si>
  <si>
    <t>Total EPC-IPU-F348-04</t>
  </si>
  <si>
    <t>Comune di Mondolfo : Mondolfo - Ripristino Sostegni IncidentatiEXTRA LAVORI</t>
  </si>
  <si>
    <t>EPC-IPU-F348-01</t>
  </si>
  <si>
    <t>Total EPC-IPU-F348-01</t>
  </si>
  <si>
    <t>Comune di Mondolfo : Mondolfo - Man. straordinaria IP Ciclabile San GervasiEXTRA LAVORI</t>
  </si>
  <si>
    <t>EPC-EEE-C638-01</t>
  </si>
  <si>
    <t>Total EPC-EEE-C638-01</t>
  </si>
  <si>
    <t>COMUNE DI CHIOGGIA : CHIOGGIA SERVIZI Chioggia Illuminazione e impiantiEXTRA LAVORI</t>
  </si>
  <si>
    <t>EPC-IPU-G560-03</t>
  </si>
  <si>
    <t>Total EPC-IPU-G560-03</t>
  </si>
  <si>
    <t>COMUNE DI PIANEZZE : PIANEZZE EXTRA LAVORI CIG: B9D06F6D07</t>
  </si>
  <si>
    <t>EPC-IPU-E919-02</t>
  </si>
  <si>
    <t>Total EPC-IPU-E919-02</t>
  </si>
  <si>
    <t>Comune di Maratea : MARATEA IP EXTRA LAVORI</t>
  </si>
  <si>
    <t>EPC-IPU-A743-04</t>
  </si>
  <si>
    <t>Total EPC-IPU-A743-04</t>
  </si>
  <si>
    <t>Comune di Bella : CigB20B805DCA BELLA IP EXTRA LAVORI</t>
  </si>
  <si>
    <t>EPC-IPU-F632-03</t>
  </si>
  <si>
    <t>Total EPC-IPU-F632-03</t>
  </si>
  <si>
    <t>Comune di Potenza Picena : POTENZA PICENA EXTRA LAVORI - DEFIBRILLATORI</t>
  </si>
  <si>
    <t>EPC-IPU-A519-05</t>
  </si>
  <si>
    <t>Total EPC-IPU-A519-05</t>
  </si>
  <si>
    <t>Comune di Avigliano : AVIGLIANO EXTRA LAVORI</t>
  </si>
  <si>
    <t>EPC-IPU-C888-02</t>
  </si>
  <si>
    <t>Total EPC-IPU-C888-02</t>
  </si>
  <si>
    <t>COMUNE DI COLOBRARO : COLOBRARO IP EXTRA LAVORI</t>
  </si>
  <si>
    <t>EPC-IPU-L415-07</t>
  </si>
  <si>
    <t>Total EPC-IPU-L415-07</t>
  </si>
  <si>
    <t>COMUNE DI TRIBIANO : TRIBIANO EXTRA LAVORI DET.346</t>
  </si>
  <si>
    <t>EPC-IPU-D458-01</t>
  </si>
  <si>
    <t>Total EPC-IPU-D458-01</t>
  </si>
  <si>
    <t>Comune di Faenza : FaenzaEXTRA LAVORI</t>
  </si>
  <si>
    <t>EPC-IPU-I457-05</t>
  </si>
  <si>
    <t>Total EPC-IPU-I457-05</t>
  </si>
  <si>
    <t>Comune di Sasso di Castalda : SASSO DI CASTALDA IP EXTRA LAVORI CIG: BBDF25E10C</t>
  </si>
  <si>
    <t>EPC-IPU-B162-01</t>
  </si>
  <si>
    <t>Total EPC-IPU-B162-01</t>
  </si>
  <si>
    <t>Comune di Bresso : Bresso - Lavoro Privato 003 - Piazza Martiri della LiberazioneEXTRA LAVORI</t>
  </si>
  <si>
    <t>EPC-IPU-E976-01</t>
  </si>
  <si>
    <t>Total EPC-IPU-E976-01</t>
  </si>
  <si>
    <t>Comune di Marsico Nuovo : MARSICO NUOVO IP EXTRA LAVORI</t>
  </si>
  <si>
    <t>EPC-IPU-B162-08</t>
  </si>
  <si>
    <t>Total EPC-IPU-B162-08</t>
  </si>
  <si>
    <t>Comune di Bresso : BRESSO EX.LAV. DET 534 IP P.ZA MARTIRI FOSSE ARDEATINE</t>
  </si>
  <si>
    <t>EPC-IPU-F952-03</t>
  </si>
  <si>
    <t>Total EPC-IPU-F952-03</t>
  </si>
  <si>
    <t>Comune di Novara : NOVARA IP EXTRA LAVORI CIG: B98ADA0C09</t>
  </si>
  <si>
    <t>EPC-IPU-L424-01</t>
  </si>
  <si>
    <t>Total EPC-IPU-L424-01</t>
  </si>
  <si>
    <t>COMUNE DI TRIESTE : Trieste - EPCEXTRA LAVORI</t>
  </si>
  <si>
    <t>EPC-IPU-C717-02</t>
  </si>
  <si>
    <t>Total EPC-IPU-C717-02</t>
  </si>
  <si>
    <t>COMUNE DI SANTA MARIA DEL CEDRO : SANTA MARIA DEL CEDRO IP EXTRA LAVORI</t>
  </si>
  <si>
    <t>EPC-IPU-D869-03</t>
  </si>
  <si>
    <t>Total EPC-IPU-D869-03</t>
  </si>
  <si>
    <t>Comune di Gallarate : GALLARATE EXTRA LAVORI DET.320 VIA ALEARDI</t>
  </si>
  <si>
    <t>EPC-IPU-C767-02</t>
  </si>
  <si>
    <t>Total EPC-IPU-C767-02</t>
  </si>
  <si>
    <t>Comune di Lanuvio - SET.1 Serv.2  PROGRAMMAZIONE, MANUTENZIONE PATRIMONIO, VERDE : LANUVIO EXTRA LAVORI</t>
  </si>
  <si>
    <t>EPC-IPU-G514-01</t>
  </si>
  <si>
    <t>Total EPC-IPU-G514-01</t>
  </si>
  <si>
    <t>Comune di Petriano : Petriano - Manutenzione IP / 01.07.2025 - 30.06.2026EXTRA LAVORI</t>
  </si>
  <si>
    <t>EPC-IPU-I696-01</t>
  </si>
  <si>
    <t>Total EPC-IPU-I696-01</t>
  </si>
  <si>
    <t>Comune di Settala : Città Metropolitana di Milano - Settala - Impianto IP SS 415EXTRA LAVORI</t>
  </si>
  <si>
    <t>EPC-IPU-A413-03</t>
  </si>
  <si>
    <t>Total EPC-IPU-A413-03</t>
  </si>
  <si>
    <t>Comune di Arluno : Arluno - Lavoro Privato 002 - Tigros Pista CiclabileEXTRA LAVORI</t>
  </si>
  <si>
    <t>EPC-IPU-D542-02</t>
  </si>
  <si>
    <t>Total EPC-IPU-D542-02</t>
  </si>
  <si>
    <t>Comune di Fermo : FERMO EXTRA LAV DET.1197 CIG B9D1D0D7B0</t>
  </si>
  <si>
    <t>EPC-IPU-G283-01</t>
  </si>
  <si>
    <t>Total EPC-IPU-G283-01</t>
  </si>
  <si>
    <t>COMUNE DI PALMA CAMPANIA : Palma CampaniaEXTRA LAVORI</t>
  </si>
  <si>
    <t>EPC-IPU-I608-05</t>
  </si>
  <si>
    <t>Total EPC-IPU-I608-05</t>
  </si>
  <si>
    <t>Comune di Senigallia : SENIGALLIA EXTRA LAV DET.531 PALINA SEMAFORICA</t>
  </si>
  <si>
    <t>EPC-IPU-G103-02</t>
  </si>
  <si>
    <t>Total EPC-IPU-G103-02</t>
  </si>
  <si>
    <t>Comune di Origgio : ORIGGIO - EXTRA LAVORI - VIA OTTOLINI RIQUALIFICAZIONE</t>
  </si>
  <si>
    <t>EPC-IPU-A413-05</t>
  </si>
  <si>
    <t>Total EPC-IPU-A413-05</t>
  </si>
  <si>
    <t>Comune di Arluno : ARLUNO EXTRA LAVORI CIG: B95104AF85</t>
  </si>
  <si>
    <t>EPC-IPU-E951-07</t>
  </si>
  <si>
    <t>Total EPC-IPU-E951-07</t>
  </si>
  <si>
    <t>Comune di Mariano Comense : MARIANO COMENSE EXTRA LAVORI MAN.ORD E STR.</t>
  </si>
  <si>
    <t>EPC-IPU-E951-06</t>
  </si>
  <si>
    <t>Total EPC-IPU-E951-06</t>
  </si>
  <si>
    <t>Comune di Mariano Comense : MARIANO COMENSE EXTRA LAVORI PARCHEGGIO E PARCO</t>
  </si>
  <si>
    <t>EPC-IPU-H602-02</t>
  </si>
  <si>
    <t>Total EPC-IPU-H602-02</t>
  </si>
  <si>
    <t>DRV Group Construction S.r.l. : ROVELLO PORRO EX. LAV.PIANO ATTUATIVO VIA VERDI</t>
  </si>
  <si>
    <t>EPC-EEE-L736-01</t>
  </si>
  <si>
    <t>Total EPC-EEE-L736-01</t>
  </si>
  <si>
    <t>VERITAS SPA : Sacca San BiagioOne off Works</t>
  </si>
  <si>
    <t>EPC-IPU-I608-01</t>
  </si>
  <si>
    <t>Total EPC-IPU-I608-01</t>
  </si>
  <si>
    <t>Comune di Senigallia : Senigallia - Nuovi PL zone varieEXTRA LAVORI</t>
  </si>
  <si>
    <t>EPC-IPU-G910-01</t>
  </si>
  <si>
    <t>Total EPC-IPU-G910-01</t>
  </si>
  <si>
    <t>COMUNE DI PORTOCANNONE : PORTOCANNONE IP EXTRA LAVORI</t>
  </si>
  <si>
    <t>EPC-IPU-F348-06</t>
  </si>
  <si>
    <t>Total EPC-IPU-F348-06</t>
  </si>
  <si>
    <t>Comune di Mondolfo : MONDOLFO EXTRA LAVORI CIG B8DFE2BD2C</t>
  </si>
  <si>
    <t>EPC-IPU-G136-01</t>
  </si>
  <si>
    <t>Total EPC-IPU-G136-01</t>
  </si>
  <si>
    <t>COMUNE DI ORTELLE : CigB302BDD4FA ORTELLE IP EXTRA LAVORI</t>
  </si>
  <si>
    <t>EPC-IPU-I457-06</t>
  </si>
  <si>
    <t>Total EPC-IPU-I457-06</t>
  </si>
  <si>
    <t>Comune di Sasso di Castalda : SASSO DI CASTALDA IP EXTRA LAVORI CIG: BC4986D656</t>
  </si>
  <si>
    <t>EPC-IPU-C717-03</t>
  </si>
  <si>
    <t>Total EPC-IPU-C717-03</t>
  </si>
  <si>
    <t>Comune di Calitri : CALITRI IP EXTRA LAVORI</t>
  </si>
  <si>
    <t>EPC-IPU-I305-03</t>
  </si>
  <si>
    <t>Total EPC-IPU-I305-03</t>
  </si>
  <si>
    <t>COMUNE DI SANT'ARCANGELO : SANT'ARCANGELO IP EXTRA LAVORI CIG: BC5208DBCF</t>
  </si>
  <si>
    <t>EPC-IPU-F874-01</t>
  </si>
  <si>
    <t>Total EPC-IPU-F874-01</t>
  </si>
  <si>
    <t>Comune di Nerviano : COMUNE DI NERVIANO EXTRA LAVORI SPOT</t>
  </si>
  <si>
    <t>EPC-IPU-B162-06</t>
  </si>
  <si>
    <t>Total EPC-IPU-B162-06</t>
  </si>
  <si>
    <t>BRESSO EXTRA LAV MANUT IMP ILL DET.344</t>
  </si>
  <si>
    <t>EPC-VS-L736-01</t>
  </si>
  <si>
    <t>Total EPC-VS-L736-01</t>
  </si>
  <si>
    <t>COMUNE DI VENEZIA - VIDEOSORVEGLIANZA</t>
  </si>
  <si>
    <t>EPC-IPU-B162-03</t>
  </si>
  <si>
    <t>Total EPC-IPU-B162-03</t>
  </si>
  <si>
    <t>Comune di Bresso : BRESSO EXTRA LAVORI AFF.DIRETTO SINTEL DET.925</t>
  </si>
  <si>
    <t>EPC-IPU-H090-02</t>
  </si>
  <si>
    <t>Total EPC-IPU-H090-02</t>
  </si>
  <si>
    <t>COMUNE DI PULSANO : PULSANO (SUSSIDIARIA) EXTRA LAVORI</t>
  </si>
  <si>
    <t>EPC-IPU-L415-06</t>
  </si>
  <si>
    <t>Total EPC-IPU-L415-06</t>
  </si>
  <si>
    <t>COMUNE DI TRIBIANO : TRIBIANO EXTRA LAVORI DET.203</t>
  </si>
  <si>
    <t>EPC-IPU-E053-01</t>
  </si>
  <si>
    <t>Total EPC-IPU-E053-01</t>
  </si>
  <si>
    <t>COMUNE DI GIUGGIANELLO : CigB30BEB313B GIUGGIANELLO IP EXTRA LAVORI</t>
  </si>
  <si>
    <t>EPC-IPU-I608-04</t>
  </si>
  <si>
    <t>Total EPC-IPU-I608-04</t>
  </si>
  <si>
    <t>Comune di Senigallia : Senigallia - Varchi VideosorveglianzaEXTRA LAVORI</t>
  </si>
  <si>
    <t>Construction(OLD)</t>
  </si>
  <si>
    <t>Total Construction(OLD)</t>
  </si>
  <si>
    <t>SEC-PHV-E058-01</t>
  </si>
  <si>
    <t>Total SEC-PHV-E058-01</t>
  </si>
  <si>
    <t>COMUNE DI GIULIANOVA : FOTOVOLTAICO GIULIANOVA</t>
  </si>
  <si>
    <t>SEC-PHV-C844-01</t>
  </si>
  <si>
    <t>Total SEC-PHV-C844-01</t>
  </si>
  <si>
    <t>COMUNE DI COLLARMELE : FOTOVOLTAICO COLLARMELE</t>
  </si>
  <si>
    <t>SEC-PHV-F690-01</t>
  </si>
  <si>
    <t>Total SEC-PHV-F690-01</t>
  </si>
  <si>
    <t>COMUNE DI MONTORIO AL VOMANO : FOTOVOLTAICO MONTORIO AL VOMANO 1</t>
  </si>
  <si>
    <t>SEC-PHV-F690-03</t>
  </si>
  <si>
    <t>Total SEC-PHV-F690-03</t>
  </si>
  <si>
    <t>COMUNE DI MONTORIO AL VOMANO : FOTOVOLTAICO MONTORIO AL VOMANO 4</t>
  </si>
  <si>
    <t>SEC-PHV-B792-01</t>
  </si>
  <si>
    <t>Total SEC-PHV-B792-01</t>
  </si>
  <si>
    <t>COMUNE DI CARMIANO : FOTOVOLTAICO CARMIANO</t>
  </si>
  <si>
    <t>SEC-PHV-C978-02</t>
  </si>
  <si>
    <t>Total SEC-PHV-C978-02</t>
  </si>
  <si>
    <t>COMUNE DI COPERTINO : FOTOVOLTAICO COPERTINO 2</t>
  </si>
  <si>
    <t>SEC-PHV-L419-01</t>
  </si>
  <si>
    <t>Total SEC-PHV-L419-01</t>
  </si>
  <si>
    <t>COMUNE DI TRICASE : FOTOVOLTAICO TRICASE</t>
  </si>
  <si>
    <t>SEC-PHV-I553-02</t>
  </si>
  <si>
    <t>Total SEC-PHV-I553-02</t>
  </si>
  <si>
    <t>COMUNE DI SCURCOLA MARSICANA : FOTOVOLTAICO SCURCOLA 1</t>
  </si>
  <si>
    <t>SEC-PHV-C999-01</t>
  </si>
  <si>
    <t>Total SEC-PHV-C999-01</t>
  </si>
  <si>
    <t>COMUNE DI CORFINIO : FOTOVOLTAICO CORFINIO</t>
  </si>
  <si>
    <t>SEC-PHV-B506-05</t>
  </si>
  <si>
    <t>Total SEC-PHV-B506-05</t>
  </si>
  <si>
    <t>COMUNE DI CAMPI SALENTINA : FOTOVOLTAICO CAMPI SALENTINA 1</t>
  </si>
  <si>
    <t>SEC-PHV-A515-01</t>
  </si>
  <si>
    <t>Total SEC-PHV-A515-01</t>
  </si>
  <si>
    <t>COMUNE DI AVEZZANO : FOTOVOLTAICO AVEZZANO 3</t>
  </si>
  <si>
    <t>SEC-PHV-H166-01</t>
  </si>
  <si>
    <t>Total SEC-PHV-H166-01</t>
  </si>
  <si>
    <t>COMUNE DI RAIANO : FOTOVOLTAICO RAIANO 1</t>
  </si>
  <si>
    <t>SEC-PHV-H166-02</t>
  </si>
  <si>
    <t>Total SEC-PHV-H166-02</t>
  </si>
  <si>
    <t>COMUNE DI RAIANO : FOTOVOLTAICO RAIANO 2</t>
  </si>
  <si>
    <t>PPP-EEE-B506-02</t>
  </si>
  <si>
    <t>Total PPP-EEE-B506-02</t>
  </si>
  <si>
    <t>COMUNE DI CAMPI SALENTINA : EFFICIENTAMENTO ENERGETICO EDIFICI LOTTO 2 E.L.EN.A.</t>
  </si>
  <si>
    <t>PPP-EEE-B506-03</t>
  </si>
  <si>
    <t>Total PPP-EEE-B506-03</t>
  </si>
  <si>
    <t>COMUNE DI CAMPI SALENTINA : EFFICIENTAMENTO ENERGETICO EDIFICI LOTTO 3 E.L.EN.A.</t>
  </si>
  <si>
    <t>SEC-PHV-L074-02</t>
  </si>
  <si>
    <t>Total SEC-PHV-L074-02</t>
  </si>
  <si>
    <t>COMUNE DI TAVIANO : FOTOVOLTAICO TAVIANO 2</t>
  </si>
  <si>
    <t>SEC-PHV-A515-03</t>
  </si>
  <si>
    <t>Total SEC-PHV-A515-03</t>
  </si>
  <si>
    <t>COMUNE DI AVEZZANO : FOTOVOLTAICO AVEZZANO 5</t>
  </si>
  <si>
    <t>Operation &amp; Maintenance</t>
  </si>
  <si>
    <t>Total Operation &amp; Maintenance</t>
  </si>
  <si>
    <t>EPC-IPU-I820-01</t>
  </si>
  <si>
    <t>Total EPC-IPU-I820-01</t>
  </si>
  <si>
    <t>COMUNE DI SOMMA VESUVIANA : SOMMA VESUVIANA EXTRA LAVORI</t>
  </si>
  <si>
    <t>EPC-IPU-D869-04</t>
  </si>
  <si>
    <t>Total EPC-IPU-D869-04</t>
  </si>
  <si>
    <t>Comune di Gallarate : GALLARATE EXTRA LAVORI VIA BERTACCHI</t>
  </si>
  <si>
    <t>EPC-IPU-A683-03</t>
  </si>
  <si>
    <t>Total EPC-IPU-A683-03</t>
  </si>
  <si>
    <t>Comune di Barzago : BARZAGO EXTRA LAV. DET. 39 CIG 7190617CDA</t>
  </si>
  <si>
    <t>EPC-IPU-L285-01</t>
  </si>
  <si>
    <t>Total EPC-IPU-L285-01</t>
  </si>
  <si>
    <t>DONDI COSTRUZIONI SRL : EXTRA LAVORO SPOT DONDI COSTRUZIONI SRL</t>
  </si>
  <si>
    <t>PPP-IPU-G230-02</t>
  </si>
  <si>
    <t>Total PPP-IPU-G230-02</t>
  </si>
  <si>
    <t>COMUNE DI PAGANI : PAGANI LAVORI SPOT</t>
  </si>
  <si>
    <t>EPC-IPU-A697-02</t>
  </si>
  <si>
    <t>Total EPC-IPU-A697-02</t>
  </si>
  <si>
    <t>COMUNE DI BASIANO : BASIANO LAVORI SPOT</t>
  </si>
  <si>
    <t>SEC-PHV-A519-01</t>
  </si>
  <si>
    <t>Total SEC-PHV-A519-01</t>
  </si>
  <si>
    <t>Comune di Avigliano : Fotovoltaico Avigliano B02H376389507</t>
  </si>
  <si>
    <t>EPC-IPU-F573-08</t>
  </si>
  <si>
    <t>Total EPC-IPU-F573-08</t>
  </si>
  <si>
    <t>Comune di Montemurro : MONTEMURRO LAVORI SPOT CIG: BC5FBBBB3F</t>
  </si>
  <si>
    <t>PPP-IPU-D578-01</t>
  </si>
  <si>
    <t>Total PPP-IPU-D578-01</t>
  </si>
  <si>
    <t>Comune di Fiesso d'Artico : IMPIANTI COMUNE DI FIESSO</t>
  </si>
  <si>
    <t>EPC-IPU-I307-05</t>
  </si>
  <si>
    <t>Total EPC-IPU-I307-05</t>
  </si>
  <si>
    <t>COMUNE DI SANT'ARSENIO : SANT'ARSENIO EXTRA LAVORI CIG: BC1463DD84</t>
  </si>
  <si>
    <t>EPC-IPU-I305-04</t>
  </si>
  <si>
    <t>Total EPC-IPU-I305-04</t>
  </si>
  <si>
    <t>COMUNE DI SANT'ARCANGELO : SANT'ARCANGELO IP EXTRA LAVORI CIG: BC5213BB66</t>
  </si>
  <si>
    <t>EPC-IPU-A017-02</t>
  </si>
  <si>
    <t>Total EPC-IPU-A017-02</t>
  </si>
  <si>
    <t>NUOVA ATLANTIDE-PICCOLA SOC. COOP.A R.L. : NUOVA ATLANTIDE-PICCOLA SOC. COOP.A R.L. LAVORI SPOT</t>
  </si>
  <si>
    <t>EPC-IPU-I305-05</t>
  </si>
  <si>
    <t>Total EPC-IPU-I305-05</t>
  </si>
  <si>
    <t>COMUNE DI SANT'ARCANGELO : SANT'ARCANGELO IP EXTRA LAVORI CIG: BBDBBCFB1A</t>
  </si>
  <si>
    <t>EPC-IPU-I307-02</t>
  </si>
  <si>
    <t>Total EPC-IPU-I307-02</t>
  </si>
  <si>
    <t>COMUNE DI SANT'ARSENIO : SANT'ARSENIO EXTRA LAVORI CIG: B6CD7C38F5</t>
  </si>
  <si>
    <t>EPC-IPU-M269-04</t>
  </si>
  <si>
    <t>Total EPC-IPU-M269-04</t>
  </si>
  <si>
    <t>Comune di Paterno : PATERNO LAVORI SPOT</t>
  </si>
  <si>
    <t>EPC-IPU-H307-01</t>
  </si>
  <si>
    <t>Total EPC-IPU-H307-01</t>
  </si>
  <si>
    <t>COMUNE DI RIONERO IN VULTURE : IP EXTRA LAVORI RIONERO IN VOLTURE IP EXTRA LAVORI</t>
  </si>
  <si>
    <t>EPC-IPU-F952-05</t>
  </si>
  <si>
    <t>Total EPC-IPU-F952-05</t>
  </si>
  <si>
    <t>Comune di Novara : NOVARA EXTRA LAVORI EX ENEL SOLE</t>
  </si>
  <si>
    <t>PPP-IPU-I242-01</t>
  </si>
  <si>
    <t>Total PPP-IPU-I242-01</t>
  </si>
  <si>
    <t>Comune di Santa Maria di Sala : IMPIANTI COMUNE DI SANTA MARIA DI SALA</t>
  </si>
  <si>
    <t>EPC-IPU-I307-04</t>
  </si>
  <si>
    <t>Total EPC-IPU-I307-04</t>
  </si>
  <si>
    <t>COMUNE DI SANT'ARSENIO : SANT'ARSENIO EXTRA LAVORI CIG: BBF81320A2</t>
  </si>
  <si>
    <t>EPC-IPU-L703-01</t>
  </si>
  <si>
    <t>Total EPC-IPU-L703-01</t>
  </si>
  <si>
    <t>Comune di Vedano Olona : Vedano Olona - Installazione PL per APL Via per VenegonoEXTRA LAVORI</t>
  </si>
  <si>
    <t>EPC-IPU-A162-01</t>
  </si>
  <si>
    <t>Total EPC-IPU-A162-01</t>
  </si>
  <si>
    <t>Comune di Albinea : AlbineaEXTRA LAVORI</t>
  </si>
  <si>
    <t>EPC-PHV-L736-03</t>
  </si>
  <si>
    <t>Total EPC-PHV-L736-03</t>
  </si>
  <si>
    <t>VIER SCARL : Fotovoltaico Prog. Hydrogen ValleyOne off ex alcoa</t>
  </si>
  <si>
    <t>PPP-IPU-D269-02</t>
  </si>
  <si>
    <t>Total PPP-IPU-D269-02</t>
  </si>
  <si>
    <t>SEC-PHV-A519-04</t>
  </si>
  <si>
    <t>Total SEC-PHV-A519-04</t>
  </si>
  <si>
    <t>Comune di Avigliano : Fotovoltaico Avigliano FER006229</t>
  </si>
  <si>
    <t>EPC-PHV-L736-02</t>
  </si>
  <si>
    <t>Total EPC-PHV-L736-02</t>
  </si>
  <si>
    <t>VIER SCARL : Fotovoltaico VIER Cà SolaroOne off Works</t>
  </si>
  <si>
    <t>SEC-PHV-A519-02</t>
  </si>
  <si>
    <t>Total SEC-PHV-A519-02</t>
  </si>
  <si>
    <t>Comune di Avigliano : Fotovoltaico Avigliano SSP00283122</t>
  </si>
  <si>
    <t>PPP-IPU-L269-01</t>
  </si>
  <si>
    <t>Total PPP-IPU-L269-01</t>
  </si>
  <si>
    <t>COMUNE DI TORRE D'ISOLA : TORRE D'ISOLA ILLUMINAZIONE PUBBLICA</t>
  </si>
  <si>
    <t>EPC-IPU-D869-05</t>
  </si>
  <si>
    <t>Total EPC-IPU-D869-05</t>
  </si>
  <si>
    <t>Comune di Gallarate : GALLARATE EXTRA LAVORI VIA PIETRO DA GALLARATE</t>
  </si>
  <si>
    <t>EPC-IPU-L357-02</t>
  </si>
  <si>
    <t>Total EPC-IPU-L357-02</t>
  </si>
  <si>
    <t>COMUNE DI TRECCHINA : TRECCHINA LAVORI SPOT CIG: BCA9953041</t>
  </si>
  <si>
    <t>EPC-IPU-I608-06</t>
  </si>
  <si>
    <t>Total EPC-IPU-I608-06</t>
  </si>
  <si>
    <t>Comune di Senigallia : SENIGALLIA EX.LAVORI DET 292 SS ADRIATICA</t>
  </si>
  <si>
    <t>EPC-IPU-I608-07</t>
  </si>
  <si>
    <t>Total EPC-IPU-I608-07</t>
  </si>
  <si>
    <t>Comune di Senigallia : SENIGALLIA EXTRA LAVORI INCIDENTE VIA LEOPARDI</t>
  </si>
  <si>
    <t>PPP-IPU-G712-01</t>
  </si>
  <si>
    <t>Total PPP-IPU-G712-01</t>
  </si>
  <si>
    <t>Comune di Pisticci : PISTICCI ILLUMINAZIONE PUBBLICA</t>
  </si>
  <si>
    <t>EPC-IPU-G712-01</t>
  </si>
  <si>
    <t>Total EPC-IPU-G712-01</t>
  </si>
  <si>
    <t>Comune di Pisticci : PISTICCI LAVORI SPOT</t>
  </si>
  <si>
    <t>EPC-IPU-L285-02</t>
  </si>
  <si>
    <t>Total EPC-IPU-L285-02</t>
  </si>
  <si>
    <t>Comune di Torrevecchia : TORREVECCHIA PIA EXTRA LAVORI SPOT CIG: B9520157EB</t>
  </si>
  <si>
    <t>SEC-IPU-A087-01</t>
  </si>
  <si>
    <t>Total SEC-IPU-A087-01</t>
  </si>
  <si>
    <t>AGRATE BRIANZA SMART CITY SRL : AGRATE BRIANZA LAVORI SPOT</t>
  </si>
  <si>
    <t>SEC-IPU-I895-01</t>
  </si>
  <si>
    <t>Total SEC-IPU-I895-01</t>
  </si>
  <si>
    <t>SPEZZANO ALBANESE SMART CITY S.R.L. : SPEZZANO ALBANESE LAVORI SPOT</t>
  </si>
  <si>
    <t>PPP-IPU-F028-01</t>
  </si>
  <si>
    <t>Total PPP-IPU-F028-01</t>
  </si>
  <si>
    <t>COMUNE DI MASSALENGO : MASSALENGO ILLUMINAZIONE PUBBLICA</t>
  </si>
  <si>
    <t>EPC-IPU-I608-08</t>
  </si>
  <si>
    <t>Total EPC-IPU-I608-08</t>
  </si>
  <si>
    <t>Comune di Senigallia : SENIGALLIA EXTRA LAVORI INCIDENTE VIA PO</t>
  </si>
  <si>
    <t>PPP-IPU-M269-01</t>
  </si>
  <si>
    <t>Total PPP-IPU-M269-01</t>
  </si>
  <si>
    <t>Comune di Paterno : PATERNO ILLUMINAZIONE PUBBLICA</t>
  </si>
  <si>
    <t>EPC-IPU-M428-01</t>
  </si>
  <si>
    <t>Total EPC-IPU-M428-01</t>
  </si>
  <si>
    <t>COMUNE DI PRESICCE - ACQUARICA : PRESICCE-ACQUARICA ILLUMINAZIONE PUBBLICA</t>
  </si>
  <si>
    <t>EPC-IPU-L074-01</t>
  </si>
  <si>
    <t>Total EPC-IPU-L074-01</t>
  </si>
  <si>
    <t>COMUNE DI TAVIANO : TAVIANO ILLUMINAZIONE PUBBLICA</t>
  </si>
  <si>
    <t>EPC-IPU-E716-03</t>
  </si>
  <si>
    <t>Total EPC-IPU-E716-03</t>
  </si>
  <si>
    <t>F.lli Di Carlo S.r.l. : F.lli di Carlo S.r.l. LAVORI SPOT</t>
  </si>
  <si>
    <t>EPC-IPU-C888-01</t>
  </si>
  <si>
    <t>Total EPC-IPU-C888-01</t>
  </si>
  <si>
    <t>COMUNE DI COLOBRARO : Cig927222849A COLOBRARO IP EXTRA LAVORI</t>
  </si>
  <si>
    <t>EPC-IPU-G942-02</t>
  </si>
  <si>
    <t>Total EPC-IPU-G942-02</t>
  </si>
  <si>
    <t>SILVANO RENATO : SMALTIMENTO SILVANO RENATO POTENZA LAVORI SPOT</t>
  </si>
  <si>
    <t>EPC-IPU-A047-01</t>
  </si>
  <si>
    <t>Total EPC-IPU-A047-01</t>
  </si>
  <si>
    <t>Comune di Acquaviva Picena - UFFICIO TECNICO URBANISTICA : ACQUAVIVA PICENA EXTRA LAVORI</t>
  </si>
  <si>
    <t>EPC-EEE-B294-05</t>
  </si>
  <si>
    <t>Total EPC-EEE-B294-05</t>
  </si>
  <si>
    <t>Comune di Bussi sul Tirino - ufficio tecnico : BUSSI SUL TIRINO EXTRA LAVORI cig BA72B01F91</t>
  </si>
  <si>
    <t>EPC-IPU-D542-04</t>
  </si>
  <si>
    <t>Total EPC-IPU-D542-04</t>
  </si>
  <si>
    <t>Comune di Fermo : FERMO EXTRA LAVORI DET.647 CIG BC4845A580</t>
  </si>
  <si>
    <t>PPP-IPU-B437-01</t>
  </si>
  <si>
    <t>Total PPP-IPU-B437-01</t>
  </si>
  <si>
    <t>COMUNE DI CALVANICO : CALVANICO ILLUMINAZIONE PUBBLICA</t>
  </si>
  <si>
    <t>EPC-IPU-G674-02</t>
  </si>
  <si>
    <t>Total EPC-IPU-G674-02</t>
  </si>
  <si>
    <t>Condominio Pian Fiorito : PINEROLO EX.LAV SPOT CONDOMINIO PIAN FIORITO</t>
  </si>
  <si>
    <t>EPC-IPU-C767-04</t>
  </si>
  <si>
    <t>Total EPC-IPU-C767-04</t>
  </si>
  <si>
    <t>Associazione Culturale LDS Liberi di Suonare : ASSOCIAZIONE CULTURALE LDS LANUVIO</t>
  </si>
  <si>
    <t>EPC-IPU-F229-01</t>
  </si>
  <si>
    <t>Total EPC-IPU-F229-01</t>
  </si>
  <si>
    <t>Comune di Mira : MIRA EXTRA LAVORI SPOT</t>
  </si>
  <si>
    <t>EPC-IPU-H601-02</t>
  </si>
  <si>
    <t>Total EPC-IPU-H601-02</t>
  </si>
  <si>
    <t>GUFFANTI A. SPA : ROVELLASCA EXTRA LAVORI SPOT - GUFFANTI A. SPA</t>
  </si>
  <si>
    <t>EPC-IPU-L357-01</t>
  </si>
  <si>
    <t>Total EPC-IPU-L357-01</t>
  </si>
  <si>
    <t>COMUNE DI TRECCHINA : TRECCHINA LAVORI SPOT</t>
  </si>
  <si>
    <t>EPC-IPU-C767-03</t>
  </si>
  <si>
    <t>Total EPC-IPU-C767-03</t>
  </si>
  <si>
    <t>INNOVA APS : INNOVA APS LANUVIO spot</t>
  </si>
  <si>
    <t>Unknown</t>
  </si>
  <si>
    <t>Total Unknown</t>
  </si>
  <si>
    <t>STRUTTURA BU NORD OVEST</t>
  </si>
  <si>
    <t>Total STRUTTURA BU NORD OVEST</t>
  </si>
  <si>
    <t>SEC-PHV-A519-05</t>
  </si>
  <si>
    <t>Total SEC-PHV-A519-05</t>
  </si>
  <si>
    <t>Comune di Avigliano : Fotovoltaico Avigliano Cimitero</t>
  </si>
  <si>
    <t>SEC-PHV-D593-05</t>
  </si>
  <si>
    <t>Total SEC-PHV-D593-05</t>
  </si>
  <si>
    <t>Comune di Filiano : Fotovoltaico Filiano B02H273756607</t>
  </si>
  <si>
    <t>SEC-PHV-D593-08</t>
  </si>
  <si>
    <t>Total SEC-PHV-D593-08</t>
  </si>
  <si>
    <t>Comune di Filiano : Fotovoltaico Filiano B02H273886307</t>
  </si>
  <si>
    <t>SEC-PHV-D593-01</t>
  </si>
  <si>
    <t>Total SEC-PHV-D593-01</t>
  </si>
  <si>
    <t>Comune di Filiano : Fotovoltaico Filiano</t>
  </si>
  <si>
    <t>PREVENTIVI SELETTRA</t>
  </si>
  <si>
    <t>Total PREVENTIVI SELETTRA</t>
  </si>
  <si>
    <t>EPC-IPU-I457-02</t>
  </si>
  <si>
    <t>Total EPC-IPU-I457-02</t>
  </si>
  <si>
    <t>Comune di Sasso di Castalda : SASSO DI CASTALDA IP EXTRA LAVORI</t>
  </si>
  <si>
    <t>SEC-PHV-I457-01</t>
  </si>
  <si>
    <t>Total SEC-PHV-I457-01</t>
  </si>
  <si>
    <t>Comune di Sasso di Castalda : Fotovoltaico Sasso di Castalda</t>
  </si>
  <si>
    <t>SEC-CIM-D593-01</t>
  </si>
  <si>
    <t>Total SEC-CIM-D593-01</t>
  </si>
  <si>
    <t>Comune di Filiano : Servizi Cimiteriali_Filiano</t>
  </si>
  <si>
    <t>MANUTENZIONE MEZZI AZIENDALI</t>
  </si>
  <si>
    <t>Total MANUTENZIONE MEZZI AZIENDALI</t>
  </si>
  <si>
    <t>Manutenzione Mezzi Aziendali SELETTRA IP</t>
  </si>
  <si>
    <t>SEC-PHV-A519-08</t>
  </si>
  <si>
    <t>Total SEC-PHV-A519-08</t>
  </si>
  <si>
    <t>Comune di Avigliano : Fotovoltaico Asilo Nido Guido Rossa</t>
  </si>
  <si>
    <t>SEC-PHV-D593-02</t>
  </si>
  <si>
    <t>Total SEC-PHV-D593-02</t>
  </si>
  <si>
    <t>Comune di Filiano : Fotovoltaico Filiano B02H273719907</t>
  </si>
  <si>
    <t>SEC-PHV-D593-04</t>
  </si>
  <si>
    <t>Total SEC-PHV-D593-04</t>
  </si>
  <si>
    <t>Comune di Filiano : Fotovoltaico Filiano B02H273751807</t>
  </si>
  <si>
    <t>SEC-CIM-E033-01</t>
  </si>
  <si>
    <t>Total SEC-CIM-E033-01</t>
  </si>
  <si>
    <t>Comune di Ginestra : Servizi Cimiteriali_Ginestra</t>
  </si>
  <si>
    <t>CABLAGGIO MLS</t>
  </si>
  <si>
    <t>Total CABLAGGIO MLS</t>
  </si>
  <si>
    <t>MATERNITA'</t>
  </si>
  <si>
    <t>Total MATERNITA'</t>
  </si>
  <si>
    <t>STRUTTURA BU NORD EST</t>
  </si>
  <si>
    <t>Total STRUTTURA BU NORD EST</t>
  </si>
  <si>
    <t>SEC-CIM-A519-01</t>
  </si>
  <si>
    <t>Total SEC-CIM-A519-01</t>
  </si>
  <si>
    <t>Comune di Avigliano : Servizi Cimiteriali_Avigliano</t>
  </si>
  <si>
    <t>SEC-PHV-M269-03</t>
  </si>
  <si>
    <t>Total SEC-PHV-M269-03</t>
  </si>
  <si>
    <t>Comune di Paterno : Fotovoltaico Paterno B02I275502507</t>
  </si>
  <si>
    <t>CONSUMABILI</t>
  </si>
  <si>
    <t>Total CONSUMABILI</t>
  </si>
  <si>
    <t>SEC-PHV-D593-06</t>
  </si>
  <si>
    <t>Total SEC-PHV-D593-06</t>
  </si>
  <si>
    <t>Comune di Filiano : Fotovoltaico Filiano B02H273755807</t>
  </si>
  <si>
    <t>STRUTTURA</t>
  </si>
  <si>
    <t>Total STRUTTURA</t>
  </si>
  <si>
    <t>NUMERO VERDE</t>
  </si>
  <si>
    <t>Total NUMERO VERDE</t>
  </si>
  <si>
    <t>SINISTRI</t>
  </si>
  <si>
    <t>Total SINISTRI</t>
  </si>
  <si>
    <t>SEC-PHV-A519-06</t>
  </si>
  <si>
    <t>Total SEC-PHV-A519-06</t>
  </si>
  <si>
    <t>Comune di Avigliano : Fotovoltaico Avigliano Deposito Via D. Minzoni</t>
  </si>
  <si>
    <t>SEC-PHV-M269-02</t>
  </si>
  <si>
    <t>Total SEC-PHV-M269-02</t>
  </si>
  <si>
    <t>Comune di Paterno : Fotovoltaico Paterno B02H275501907</t>
  </si>
  <si>
    <t>SEC-PHV-D593-07</t>
  </si>
  <si>
    <t>Total SEC-PHV-D593-07</t>
  </si>
  <si>
    <t>Comune di Filiano : Fotovoltaico Filiano B02H273882507</t>
  </si>
  <si>
    <t>FERIE</t>
  </si>
  <si>
    <t>Total FERIE</t>
  </si>
  <si>
    <t>SEC-PHV-A519-07</t>
  </si>
  <si>
    <t>Total SEC-PHV-A519-07</t>
  </si>
  <si>
    <t>Comune di Avigliano : Fotovoltaico Piano del Conte Deposito Comunale</t>
  </si>
  <si>
    <t>SEC-PHV-M269-01</t>
  </si>
  <si>
    <t>Total SEC-PHV-M269-01</t>
  </si>
  <si>
    <t>Comune di Paterno : Fotovoltaico Paterno</t>
  </si>
  <si>
    <t>L104 PERMESSI</t>
  </si>
  <si>
    <t>Total L104 PERMESSI</t>
  </si>
  <si>
    <t>MALATTIA</t>
  </si>
  <si>
    <t>Total MALATTIA</t>
  </si>
  <si>
    <t>Pipeline</t>
  </si>
  <si>
    <t>Total Pipeline</t>
  </si>
  <si>
    <t>PPP-IPU-L294-01</t>
  </si>
  <si>
    <t>Total PPP-IPU-L294-01</t>
  </si>
  <si>
    <t>COMUNE DI TORRICELLA : TORRICELLA ILLUMINAZIONE PUBBLICA</t>
  </si>
  <si>
    <t>PPP-IPU-B516-01</t>
  </si>
  <si>
    <t>Total PPP-IPU-B516-01</t>
  </si>
  <si>
    <t>COMUNE DI CAMPO CALABRO : CAMPO CALABRO ILLUMINAZIONE PUBBLICA</t>
  </si>
  <si>
    <t>PPP-EEE-H882-02</t>
  </si>
  <si>
    <t>Total PPP-EEE-H882-02</t>
  </si>
  <si>
    <t>COMUNE DI SAN GIORGIO IONICO : SAN GIORGIO IONICO EFFICIENTAMENTO EDIFICI</t>
  </si>
  <si>
    <t>AQ1-IPU-F957-01</t>
  </si>
  <si>
    <t>Total AQ1-IPU-F957-01</t>
  </si>
  <si>
    <t>COMUNE DI NOVE (VI) : NOVE ILLUMINAZIONE PUBBLICA</t>
  </si>
  <si>
    <t>PPP-BUS-C638-01</t>
  </si>
  <si>
    <t>Total PPP-BUS-C638-01</t>
  </si>
  <si>
    <t>COMUNE DI CHIOGGIA : CHIOGGIA TRASPORTO PUBBLICO LOCALE</t>
  </si>
  <si>
    <t>PPP-IPU-G630-01</t>
  </si>
  <si>
    <t>Total PPP-IPU-G630-01</t>
  </si>
  <si>
    <t>COMUNE DI PIETRAVAIRANO : PIETRAVAIRANO ILLUMINAZIONE PUBBLICA</t>
  </si>
  <si>
    <t>PPP-IPU-C616-01</t>
  </si>
  <si>
    <t>Total PPP-IPU-C616-01</t>
  </si>
  <si>
    <t>COMUNE DI CHIARAVALLE CENTRALE : CHIARAVALLE CENTRALE ILLUMINAZIONE PUBBLICA</t>
  </si>
  <si>
    <t>PPP-IPU-L658-01</t>
  </si>
  <si>
    <t>Total PPP-IPU-L658-01</t>
  </si>
  <si>
    <t>COMUNE DI VALVERDE : VALVERDE ILLUMINAZIONE PUBBLICA</t>
  </si>
  <si>
    <t>PPP-IPU-E227-01</t>
  </si>
  <si>
    <t>Total PPP-IPU-E227-01</t>
  </si>
  <si>
    <t>COMUNE DI GUAGNANO : GUAGNANO ILLUMINAZIONE PUBBLICA</t>
  </si>
  <si>
    <t>PPP-IPU-H971-01</t>
  </si>
  <si>
    <t>Total PPP-IPU-H971-01</t>
  </si>
  <si>
    <t>COMUNE DI SAN LUCIDO : SAN LUCIDO ILLUMINAZIONE PUBBLICA</t>
  </si>
  <si>
    <t>PPP-IPU-H480-01</t>
  </si>
  <si>
    <t>Total PPP-IPU-H480-01</t>
  </si>
  <si>
    <t>COMUNE DI RODI GARGANICO : RODI GARGANICO ILLUMINAZIONE PUBBLICA</t>
  </si>
  <si>
    <t>PPP-IPU-L998-01</t>
  </si>
  <si>
    <t>Total PPP-IPU-L998-01</t>
  </si>
  <si>
    <t>COMUNE DI VILLAPUTZU : VILLAPUTZU ILLUMINAZIONE PUBBLICA</t>
  </si>
  <si>
    <t>PPP-EEE-G426-03</t>
  </si>
  <si>
    <t>Total PPP-EEE-G426-03</t>
  </si>
  <si>
    <t>COMUNE DI PELLEZZANO : EFFICIENTAMENTO ENERGETICO EDIFICI PELLEZZANO</t>
  </si>
  <si>
    <t>PPP-EEE-G786-01</t>
  </si>
  <si>
    <t>Total PPP-EEE-G786-01</t>
  </si>
  <si>
    <t>COMUNE DI POLICORO : POLICORO EFFICIENTAMENTO EDIFICI</t>
  </si>
  <si>
    <t>PPP-IPU-D150-01</t>
  </si>
  <si>
    <t>Total PPP-IPU-D150-01</t>
  </si>
  <si>
    <t>COMUNE DI CREMONA : CREMONA ILLUMINAZIONE PUBBLICA</t>
  </si>
  <si>
    <t>PPP-IPU-L357-01</t>
  </si>
  <si>
    <t>Total PPP-IPU-L357-01</t>
  </si>
  <si>
    <t>COMUNE DI TRECCHINA : TRECCHINA ILLUMINAZIONE PUBBLICA</t>
  </si>
  <si>
    <t>PPP-IPU-A482-01</t>
  </si>
  <si>
    <t>Total PPP-IPU-A482-01</t>
  </si>
  <si>
    <t>COMUNE DI ATELLA : ATELLA ILLUMINAZIONE PUBBLICA</t>
  </si>
  <si>
    <t>PPP-IPU-M018-01</t>
  </si>
  <si>
    <t>Total PPP-IPU-M018-01</t>
  </si>
  <si>
    <t>COMUNE VILLA SAN GIOVANNI : VILLA SAN GIOVANNI ILLUMINAZIONE PUBBLICA</t>
  </si>
  <si>
    <t>PPP-IPU-B098-01</t>
  </si>
  <si>
    <t>Total PPP-IPU-B098-01</t>
  </si>
  <si>
    <t>Comune di Bovalino : BOVALINO ILLUMINAZIONE PUBBLICA</t>
  </si>
  <si>
    <t>PPP-IPU-G722-01</t>
  </si>
  <si>
    <t>Total PPP-IPU-G722-01</t>
  </si>
  <si>
    <t>COMUNE DI PIZZO CALABRO : PIZZO CALABRO ILLUMINAZIONE PUBBLICA</t>
  </si>
  <si>
    <t>PPP-IPU-E402-01</t>
  </si>
  <si>
    <t>Total PPP-IPU-E402-01</t>
  </si>
  <si>
    <t>COMUNE DI LAGANADI : LAGANADI ILLUMINAZIONE PUBBLICA</t>
  </si>
  <si>
    <t>PPP-IPU-F740-01</t>
  </si>
  <si>
    <t>Total PPP-IPU-F740-01</t>
  </si>
  <si>
    <t>COMUNE DI MOROLO : MOROLO ILLUMINAZIONE PUBBLICA</t>
  </si>
  <si>
    <t>PPP-IPU-E156-01</t>
  </si>
  <si>
    <t>Total PPP-IPU-E156-01</t>
  </si>
  <si>
    <t>COMUNE DI GRAVINA DI CATANIA : GRAVINA DI CATANIA ILLUMINAZIONE PUBBLICA</t>
  </si>
  <si>
    <t>PPP-IPU-A053-01</t>
  </si>
  <si>
    <t>Total PPP-IPU-A053-01</t>
  </si>
  <si>
    <t>COMUNE DI ACRI : ACRI ILLUMINAZIONE PUBBLICA</t>
  </si>
  <si>
    <t>PREPARATION</t>
  </si>
  <si>
    <t>Total PREPARATION</t>
  </si>
  <si>
    <t>PPP-IPU-L905-01</t>
  </si>
  <si>
    <t>Total PPP-IPU-L905-01</t>
  </si>
  <si>
    <t>COMUNE DI VILLA SANTA LUCIA : VILLA SANTA LUCIA ILLUMINAZIONE PUBBLICA</t>
  </si>
  <si>
    <t>PPP-IPU-E974-01</t>
  </si>
  <si>
    <t>Total PPP-IPU-E974-01</t>
  </si>
  <si>
    <t>COMUNE DI MARSALA : MARSALA ILLUMINAZIONE PUBBLICA</t>
  </si>
  <si>
    <t>PPP-IPU-D228-01</t>
  </si>
  <si>
    <t>Total PPP-IPU-D228-01</t>
  </si>
  <si>
    <t>COMUNE DI CURTI : CURTI ILLUMINAZIONE PUBBLICA</t>
  </si>
  <si>
    <t>PPP-IPU-G813-01</t>
  </si>
  <si>
    <t>Total PPP-IPU-G813-01</t>
  </si>
  <si>
    <t>Comune di Pompei : POMPEI ILLUMINAZIONE PUBBLICA</t>
  </si>
  <si>
    <t>PPP-EEE-G616-02</t>
  </si>
  <si>
    <t>Total PPP-EEE-G616-02</t>
  </si>
  <si>
    <t>Comune di Pietragalla : PIETRAGALLA EFFICIENTAMENTO EDIFICI</t>
  </si>
  <si>
    <t>PPP-IPU-H501-01</t>
  </si>
  <si>
    <t>Total PPP-IPU-H501-01</t>
  </si>
  <si>
    <t>CONSIP S.p.A. : CONSIP ILLUMINAZIONE PUBBLICA</t>
  </si>
  <si>
    <t>PPP-IPU-B758-01</t>
  </si>
  <si>
    <t>Total PPP-IPU-B758-01</t>
  </si>
  <si>
    <t>Comune di Cardinale : CARDINALE ILLUMINAZIONE PUBBLICA</t>
  </si>
  <si>
    <t>PPP-IPU-G518-01</t>
  </si>
  <si>
    <t>Total PPP-IPU-G518-01</t>
  </si>
  <si>
    <t>COMUNE DI PETRONA' : PETRONA' ILLUMINAZIONE PUBBLICA</t>
  </si>
  <si>
    <t>PPP-IPU-A991-01</t>
  </si>
  <si>
    <t>Total PPP-IPU-A991-01</t>
  </si>
  <si>
    <t>COMUNE DI BORGETTO : Borgetto ILLUMINAZIONE PUBBLICA</t>
  </si>
  <si>
    <t>PPP-IPU-A122-01</t>
  </si>
  <si>
    <t>Total PPP-IPU-A122-01</t>
  </si>
  <si>
    <t>COMUNE DI ALASSIO : ALASSIO ILLUMINAZIONE PUBBLICA</t>
  </si>
  <si>
    <t>PPP-IPU-I393-01</t>
  </si>
  <si>
    <t>Total PPP-IPU-I393-01</t>
  </si>
  <si>
    <t>COMUNE DI SAN VITO SULLO IONIO : SAN VITO SULLO IONIO ILLUMINAZIONE PUBBLICA</t>
  </si>
  <si>
    <t>PPP-IPU-B275-01</t>
  </si>
  <si>
    <t>Total PPP-IPU-B275-01</t>
  </si>
  <si>
    <t>COMUNE DI BURGIO : BURGIO ILLUMINAZIONE PUBBLICA</t>
  </si>
  <si>
    <t>PPP-IPU-D234-01</t>
  </si>
  <si>
    <t>Total PPP-IPU-D234-01</t>
  </si>
  <si>
    <t>COMUNE DI CUSTONACI : CUSTONACI ILLUMINAZIONE PUBBLICA</t>
  </si>
  <si>
    <t>PPP-IPU-D859-01</t>
  </si>
  <si>
    <t>Total PPP-IPU-D859-01</t>
  </si>
  <si>
    <t>COMUNE DI GAIRO : GAIRO ILLUMINAZIONE PUBBLICA</t>
  </si>
  <si>
    <t>PPP-IPU-B357-01</t>
  </si>
  <si>
    <t>Total PPP-IPU-B357-01</t>
  </si>
  <si>
    <t>CAGNANO VARANO : CAGNANO VARANO ILLUMINAZIONE PUBBLICA</t>
  </si>
  <si>
    <t>PPP-IPU-B619-01</t>
  </si>
  <si>
    <t>Total PPP-IPU-B619-01</t>
  </si>
  <si>
    <t>COMUNE DI CANOSA DI PUGLIA : CANOSA DI PUGLIA ILLUMINAZIONE PUBBLICA</t>
  </si>
  <si>
    <t>PPP-IPU-A449-01</t>
  </si>
  <si>
    <t>Total PPP-IPU-A449-01</t>
  </si>
  <si>
    <t>COMUNE DI ARTENA : ARTENA ILLUMINAZIONE PUBBLICA</t>
  </si>
  <si>
    <t>PPP-EEE-A208-02</t>
  </si>
  <si>
    <t>Total PPP-EEE-A208-02</t>
  </si>
  <si>
    <t>Comune di Alliste : EFFICIENTAMENTO ENERGETICO ALLISTE</t>
  </si>
  <si>
    <t>PPP-IPU-L492-01</t>
  </si>
  <si>
    <t>Total PPP-IPU-L492-01</t>
  </si>
  <si>
    <t>COMUNE DI UMBRIATICO : UMBRIATICO ILLUMINAZIONE PUBBLICA</t>
  </si>
  <si>
    <t>PPP-IPU-E493-01</t>
  </si>
  <si>
    <t>Total PPP-IPU-E493-01</t>
  </si>
  <si>
    <t>COMUNE DI LAVELLO : LAVELLO ILLUMINAZIONE PUBBLICA</t>
  </si>
  <si>
    <t>PPP-IPU-I549-01</t>
  </si>
  <si>
    <t>Total PPP-IPU-I549-01</t>
  </si>
  <si>
    <t>COMUNE DI SCORRANO : SCORRANO ILLUMINAZIONE PUBBLICA</t>
  </si>
  <si>
    <t>PPP-IPU-L540-01</t>
  </si>
  <si>
    <t>Total PPP-IPU-L540-01</t>
  </si>
  <si>
    <t>COMUNE DI VAIRANO PATENORA : VAIRANO PATENORA ILLUMINAZIONE PUBBLICA</t>
  </si>
  <si>
    <t>PPP-IPU-I288-01</t>
  </si>
  <si>
    <t>Total PPP-IPU-I288-01</t>
  </si>
  <si>
    <t>Comune di Sant'Angelo Le Fratte : SANT'ANGELO LE FRATTE ILLUMINAZIONE PUBBLICA</t>
  </si>
  <si>
    <t>PPP-IPU-C130-01</t>
  </si>
  <si>
    <t>Total PPP-IPU-C130-01</t>
  </si>
  <si>
    <t>COMUNE DI CASTELLAMMARE DEL GOLFO : CASTELLAMMARE DEL GOLFO ILLUMINAZIONE PUBBLICA</t>
  </si>
  <si>
    <t>ATI-IPU-I060-01</t>
  </si>
  <si>
    <t>Total ATI-IPU-I060-01</t>
  </si>
  <si>
    <t>COMUNE DI SAN NICOLA ARCELLA : in ATI San Nicola Arcella ILLUMINAZIONE PUBBLICA</t>
  </si>
  <si>
    <t>PPP-IPU-H488-01</t>
  </si>
  <si>
    <t>Total PPP-IPU-H488-01</t>
  </si>
  <si>
    <t>COMUNE DI ROGGIANO GRAVINA : ROGGIANO GRAVINA ILLUMINAZIONE PUBBLICA</t>
  </si>
  <si>
    <t>PPP-IPU-E397-01</t>
  </si>
  <si>
    <t>Total PPP-IPU-E397-01</t>
  </si>
  <si>
    <t>COMUNE DI LACEDONIA : LACEDONIA ILLUMINAZIONE PUBBLICA</t>
  </si>
  <si>
    <t>PPP-IPU-E242-01</t>
  </si>
  <si>
    <t>Total PPP-IPU-E242-01</t>
  </si>
  <si>
    <t>GUARDIA PIEMONTESE : GUARDIA PIEMONTESE ILLUMINAZIONE PUBBLICA</t>
  </si>
  <si>
    <t>PPP-IPU-E246-01</t>
  </si>
  <si>
    <t>Total PPP-IPU-E246-01</t>
  </si>
  <si>
    <t>COMUNE DI GUARDIA PERTICARA : Guardia Perticara ILLUMINAZIONE PUBBLICA</t>
  </si>
  <si>
    <t>PPP-IPU-G568-01</t>
  </si>
  <si>
    <t>Total PPP-IPU-G568-01</t>
  </si>
  <si>
    <t>COMUNE DI PIANO DI SORRENTO : PIANO DI SORRENTO ILLUMINAZIONE PUBBLICA</t>
  </si>
  <si>
    <t>PPP-IPU-D463-01</t>
  </si>
  <si>
    <t>Total PPP-IPU-D463-01</t>
  </si>
  <si>
    <t>COMUNE DI FAGGIANO : FAGGIANO ILLUMINAZIONE PUBBLICA</t>
  </si>
  <si>
    <t>PPP-IPU-H982-01</t>
  </si>
  <si>
    <t>Total PPP-IPU-H982-01</t>
  </si>
  <si>
    <t>COMUNE DI SAN MARCO D'ALUNZIO : SAN MARCO D'ALUNZIO ILLUMINAZIONE PUBBLICA</t>
  </si>
  <si>
    <t>PPP-IPU-D054-01</t>
  </si>
  <si>
    <t>Total PPP-IPU-D054-01</t>
  </si>
  <si>
    <t>COMUNE DI CORTE BRUGNATELLA : CORTE BRUGNATELLA ILLUMINAZIONE PUBBLICA</t>
  </si>
  <si>
    <t>PPP-IPU-M281-01</t>
  </si>
  <si>
    <t>Total PPP-IPU-M281-01</t>
  </si>
  <si>
    <t>COMUNE DI PETROSINO : PETROSINO ILLUMINAZIONE PUBBLICA</t>
  </si>
  <si>
    <t>PPP-IPU-E407-01</t>
  </si>
  <si>
    <t>Total PPP-IPU-E407-01</t>
  </si>
  <si>
    <t>COMUNE DI LAGO : LAGO ILLUMINAZIONE PUBBLICA</t>
  </si>
  <si>
    <t>PPP-IPU-F257-01</t>
  </si>
  <si>
    <t>Total PPP-IPU-F257-01</t>
  </si>
  <si>
    <t>COMUNE DI MODENA : MODENA ILLUMINAZIONE PUBBLICA</t>
  </si>
  <si>
    <t>PPP-IPU-G663-01</t>
  </si>
  <si>
    <t>Total PPP-IPU-G663-01</t>
  </si>
  <si>
    <t>COMUNE DI PIGNOLA : PIGNOLA ILLUMINAZIONE PUBBLICA</t>
  </si>
  <si>
    <t>PPP-IPU-I480-01</t>
  </si>
  <si>
    <t>Total PPP-IPU-I480-01</t>
  </si>
  <si>
    <t>PROVINCIA DI SAVONA : IMPIANTI PROVINCIA DI SAVONA</t>
  </si>
  <si>
    <t>PPP-IPU-M256-01</t>
  </si>
  <si>
    <t>Total PPP-IPU-M256-01</t>
  </si>
  <si>
    <t>Comune di Scanzano Jonico : SCANZANO JONICO ILLUMINAZIONE PUBBLICA</t>
  </si>
  <si>
    <t>PPP-IPU-B111-01</t>
  </si>
  <si>
    <t>Total PPP-IPU-B111-01</t>
  </si>
  <si>
    <t>COMUNE DI BRA : BRA ILLUMINAZIONE PUBBLICA</t>
  </si>
  <si>
    <t>PPP-IPU-H657-01</t>
  </si>
  <si>
    <t>Total PPP-IPU-H657-01</t>
  </si>
  <si>
    <t>COMUNE DI SACILE : SACILE ILLUMINAZIONE PUBBLICA</t>
  </si>
  <si>
    <t>PPP-IPU-C543-01</t>
  </si>
  <si>
    <t>Total PPP-IPU-C543-01</t>
  </si>
  <si>
    <t>COMUNE DI CERVARA DI ROMA : CERVARA DI ROMA ILLUMINAZIONE PUBBLICA</t>
  </si>
  <si>
    <t>PPP-IPU-E773-01</t>
  </si>
  <si>
    <t>Total PPP-IPU-E773-01</t>
  </si>
  <si>
    <t>Comune di Luzzi : LUZZI ILLUMINAZIONE PUBBLICA</t>
  </si>
  <si>
    <t>PPP-IPU-I329-01</t>
  </si>
  <si>
    <t>Total PPP-IPU-I329-01</t>
  </si>
  <si>
    <t>COMUNE DI SAN TEODORO : SAN TEODORO ILLUMINAZIONE PUBBLICA</t>
  </si>
  <si>
    <t>PPP-IPU-B266-01</t>
  </si>
  <si>
    <t>Total PPP-IPU-B266-01</t>
  </si>
  <si>
    <t>COMUNE DI BUONABITACOLO : BUONABITACOLO ILLUMINAZIONE PUBBLICA</t>
  </si>
  <si>
    <t>BUS-SMC-B157-01</t>
  </si>
  <si>
    <t>Total BUS-SMC-B157-01</t>
  </si>
  <si>
    <t>BRESCIA MOBILITA' S.P.A. : BRESCIA MOBILITA' SPA TRASPORTO ELETTRICO</t>
  </si>
  <si>
    <t>PPP-IPU-E271-01</t>
  </si>
  <si>
    <t>Total PPP-IPU-E271-01</t>
  </si>
  <si>
    <t>COMUNE DI GUSSAGO : GUSSAGO ILLUMINAZIONE PUBBLICA</t>
  </si>
  <si>
    <t>PPP-IPU-F889-01</t>
  </si>
  <si>
    <t>Total PPP-IPU-F889-01</t>
  </si>
  <si>
    <t>COMUNE DI NICHELINO : NICHELINO ILLUMINAZIONE PUBBLICA</t>
  </si>
  <si>
    <t>PPP-IPU-I982-01</t>
  </si>
  <si>
    <t>Total PPP-IPU-I982-01</t>
  </si>
  <si>
    <t>COMUNE DI STRONGOLI : STRONGOLI ILLUMINAZIONE PUBBLICA</t>
  </si>
  <si>
    <t>PPP-IPU-E133-01</t>
  </si>
  <si>
    <t>Total PPP-IPU-E133-01</t>
  </si>
  <si>
    <t>COMUNE DI GRAMMICHELE : GRAMMICHELE ILLUMINAZIONE PUBBLICA</t>
  </si>
  <si>
    <t>PPP-IPU-F158-01</t>
  </si>
  <si>
    <t>Total PPP-IPU-F158-01</t>
  </si>
  <si>
    <t>COMUNE DI MESSINA : MESSINA ILLUMINAZIONE PUBBLICA</t>
  </si>
  <si>
    <t>PPP-IPU-E205-01</t>
  </si>
  <si>
    <t>Total PPP-IPU-E205-01</t>
  </si>
  <si>
    <t>COMUNE DI GROTTAGLIE : GROTTAGLIE ILLUMINAZIONE PUBBLICA</t>
  </si>
  <si>
    <t>PPP-IPU-H221-01</t>
  </si>
  <si>
    <t>Total PPP-IPU-H221-01</t>
  </si>
  <si>
    <t>Comune di Regalbuto : REGALBUTO ILLUMINAZIONE PUBBLICA</t>
  </si>
  <si>
    <t>PPP-IPU-I824-01</t>
  </si>
  <si>
    <t>Total PPP-IPU-I824-01</t>
  </si>
  <si>
    <t>Comune di Sommatino : SOMMATINO ILLUMINAZIONE PUBBLICA</t>
  </si>
  <si>
    <t>PPP-IPU-B521-01</t>
  </si>
  <si>
    <t>Total PPP-IPU-B521-01</t>
  </si>
  <si>
    <t>COMUNE DI CAMPOBELLO DI MAZARA : CAMPOBELLO DI MAZARA ILLUMINAZIONE PUBBLICA</t>
  </si>
  <si>
    <t>PPP-IPU-F206-01</t>
  </si>
  <si>
    <t>Total PPP-IPU-F206-01</t>
  </si>
  <si>
    <t>COMUNE DI MILAZZO : MILAZZO ILLUMINAZIONE PUBBLICA</t>
  </si>
  <si>
    <t>PPP-EEE-H683-01</t>
  </si>
  <si>
    <t>Total PPP-EEE-H683-01</t>
  </si>
  <si>
    <t>COMUNE DI SALA CONSILINA : EFFICIENTAMENTO ENERGETICO EDIFICI SALA CONSILINA</t>
  </si>
  <si>
    <t>PPP-EEE-L868-01</t>
  </si>
  <si>
    <t>Total PPP-EEE-L868-01</t>
  </si>
  <si>
    <t>COMUNE DI VIGARANO MAINARDA : VIGARANO MAINARDA EFFICIENTAMENTO ENERGETICO EDIFICI</t>
  </si>
  <si>
    <t>PPP-IPU-H800-01</t>
  </si>
  <si>
    <t>Total PPP-IPU-H800-01</t>
  </si>
  <si>
    <t>COMUNE DI SAN CIPRIANO PICENTINO : SAN CIPRIANO PICENTINO ILLUMINAZIONE PUBBLICA</t>
  </si>
  <si>
    <t>PPP-IPU-H688-01</t>
  </si>
  <si>
    <t>Total PPP-IPU-H688-01</t>
  </si>
  <si>
    <t>COMUNE DI SALAPARUTA : SALAPARUTA ILLUMINAZIONE PUBBLICA</t>
  </si>
  <si>
    <t>PPP-IPU-A561-01</t>
  </si>
  <si>
    <t>Total PPP-IPU-A561-01</t>
  </si>
  <si>
    <t>COMUNE DI MONTECATINI TERME : MONTECATINI TERME ILLUMINAZIONE PUBBLICA</t>
  </si>
  <si>
    <t>PPP-EEE-A746-02</t>
  </si>
  <si>
    <t>Total PPP-EEE-A746-02</t>
  </si>
  <si>
    <t>Comune di Bellante - Uff_eFatturaPA : COMUNE DI BELLANTE EFFICIENTAMENTO ENERGETICO EDIFICI</t>
  </si>
  <si>
    <t>PPP-IPU-H834-01</t>
  </si>
  <si>
    <t>Total PPP-IPU-H834-01</t>
  </si>
  <si>
    <t>COMUNE DI SAN FELICE A CANCELLO : SAN FELICE A CANCELLO ILLUMINAZIONE PUBBLICA</t>
  </si>
  <si>
    <t>PPP-EEE-F201-03</t>
  </si>
  <si>
    <t>Total PPP-EEE-F201-03</t>
  </si>
  <si>
    <t>COMUNE DI MIGLIONICO : MIGLIONICO EFF.TO ENERGETICO EDIFICI</t>
  </si>
  <si>
    <t>PPP-IPU-I548-01</t>
  </si>
  <si>
    <t>Total PPP-IPU-I548-01</t>
  </si>
  <si>
    <t>Comune di Scordia : SCORDIA ILLUMINAZIONE PUBBLICA</t>
  </si>
  <si>
    <t>PPP-IPU-F541-01</t>
  </si>
  <si>
    <t>Total PPP-IPU-F541-01</t>
  </si>
  <si>
    <t>COMUNE DI MONTELEONE SABINO : MONTELEONE SABINO ILLUMINAZIONE PUBBLICA</t>
  </si>
  <si>
    <t>PPP-IPU-I669-01</t>
  </si>
  <si>
    <t>Total PPP-IPU-I669-01</t>
  </si>
  <si>
    <t>COMUNE DI SERRONE : SERRONE ILLUMINAZIONE PUBBLICA</t>
  </si>
  <si>
    <t>PPP-IPU-D440-01</t>
  </si>
  <si>
    <t>Total PPP-IPU-D440-01</t>
  </si>
  <si>
    <t>COMUNE DI ESPERIA : ESPERIA ILLUMINAZIONE PUBBLICA</t>
  </si>
  <si>
    <t>PPP-IPU-F065-01</t>
  </si>
  <si>
    <t>Total PPP-IPU-F065-01</t>
  </si>
  <si>
    <t>COMUNE DI MAZZARINO : MAZZARINO ILLUMINAZIONE PUBBLICA</t>
  </si>
  <si>
    <t>PPP-IPU-G376-01</t>
  </si>
  <si>
    <t>Total PPP-IPU-G376-01</t>
  </si>
  <si>
    <t>COMUNE DI PATTADA : PATTADA ILLUMINAZIONE PUBBLICA</t>
  </si>
  <si>
    <t>PPP-IPU-H281-01</t>
  </si>
  <si>
    <t>Total PPP-IPU-H281-01</t>
  </si>
  <si>
    <t>Comune di Riesi : RIESI ILLUMINAZIONE PUBBLICA</t>
  </si>
  <si>
    <t>PPP-IPU-E339-01</t>
  </si>
  <si>
    <t>Total PPP-IPU-E339-01</t>
  </si>
  <si>
    <t>COMUNE DI ISOLA DI CAPO RIZZUTO : ISOLA DI CAPO RIZZUTO ILLUMINAZIONE PUBBLICA</t>
  </si>
  <si>
    <t>SEC-PHV-F158-02</t>
  </si>
  <si>
    <t>Total SEC-PHV-F158-02</t>
  </si>
  <si>
    <t>COMUNE DI MESSINA : FOTOVOLTAICO MESSINA</t>
  </si>
  <si>
    <t>PPP-IPU-M273-01</t>
  </si>
  <si>
    <t>Total PPP-IPU-M273-01</t>
  </si>
  <si>
    <t>COMUNE DI SANTA MARIA LA CARITA' : SANTA MARIA LA CARITA' ILLUMINAZIONE PUBBLICA</t>
  </si>
  <si>
    <t>PPP-IPU-F004-01</t>
  </si>
  <si>
    <t>Total PPP-IPU-F004-01</t>
  </si>
  <si>
    <t>COMUNE DI MASCALI : MASCALI ILLUMINAZIONE PUBBLICA</t>
  </si>
  <si>
    <t>PPP-IPU-B429-01</t>
  </si>
  <si>
    <t>Total PPP-IPU-B429-01</t>
  </si>
  <si>
    <t>COMUNE DI CALTANISSETTA : CALTANISSETTA ILLUMINAZIONE PUBBLICA</t>
  </si>
  <si>
    <t>PPP-IPU-E050-01</t>
  </si>
  <si>
    <t>Total PPP-IPU-E050-01</t>
  </si>
  <si>
    <t>COMUNE DI GIRIFALCO : GIRIFALCO ILLUMINAZIONE PUBBLICA</t>
  </si>
  <si>
    <t>PPP-IPU-F913-01</t>
  </si>
  <si>
    <t>Total PPP-IPU-F913-01</t>
  </si>
  <si>
    <t>COMUNE DI NOCERA SUPERIORE : NOCERA SUPERIORE ILLUMINAZIONE PUBBLICA</t>
  </si>
  <si>
    <t>PPP-IPU-I293-01</t>
  </si>
  <si>
    <t>Total PPP-IPU-I293-01</t>
  </si>
  <si>
    <t>COMUNE DI SANT' ANTIMO : SANT'ANTIMO ILLUMINAZIONE PUBBLICA</t>
  </si>
  <si>
    <t>PPP-IPU-I852-01</t>
  </si>
  <si>
    <t>Total PPP-IPU-I852-01</t>
  </si>
  <si>
    <t>COMUNE DI SORI : SORI ILLUMINAZIONE PUBBLICA</t>
  </si>
  <si>
    <t>Construction</t>
  </si>
  <si>
    <t>Total Construction</t>
  </si>
  <si>
    <t>PPP-IPU-D600-01</t>
  </si>
  <si>
    <t>Total PPP-IPU-D600-01</t>
  </si>
  <si>
    <t>Comune di Finale Ligure : FINALE LIGURE ILLUMINAZIONE PUBBLICA</t>
  </si>
  <si>
    <t>SEC-PHV-H882-01</t>
  </si>
  <si>
    <t>Total SEC-PHV-H882-01</t>
  </si>
  <si>
    <t>COMUNE DI SAN GIORGIO IONICO : FOTOVOLTAICO SAN GIORGIO IONICO</t>
  </si>
  <si>
    <t>Construction &amp; Operational</t>
  </si>
  <si>
    <t>Total Construction &amp; Operational</t>
  </si>
  <si>
    <t>PPP-IPU-D415-01</t>
  </si>
  <si>
    <t>Total PPP-IPU-D415-01</t>
  </si>
  <si>
    <t>COMUNE DI ERACLEA : ERACLEA ILLUMINAZIONE PUBBLICA</t>
  </si>
  <si>
    <t>PPP-IPU-C388-01</t>
  </si>
  <si>
    <t>Total PPP-IPU-C388-01</t>
  </si>
  <si>
    <t>COMUNE DI JESOLO : JESOLO ILLUMINAZIONE PUBBLICA</t>
  </si>
  <si>
    <t>EPC-IPU-I332-02</t>
  </si>
  <si>
    <t>Total EPC-IPU-I332-02</t>
  </si>
  <si>
    <t>C.A. GROUP SRL : EXTRA LAVORI SPOT C.A GROUP SRL</t>
  </si>
  <si>
    <t>Spot</t>
  </si>
  <si>
    <t>Total Spot</t>
  </si>
  <si>
    <t>EPC-IPU-A512-01</t>
  </si>
  <si>
    <t>Total EPC-IPU-A512-01</t>
  </si>
  <si>
    <t>LA FENICE GROUP S.R.L. : LA FENICE GROUP SRL - LAVORI SPOT</t>
  </si>
  <si>
    <t>EPC-IPU-F736-03</t>
  </si>
  <si>
    <t>Total EPC-IPU-F736-03</t>
  </si>
  <si>
    <t>BEL GUARDO SRL : BEL GUARDO SRL-EXTRA LAVORI SPOT PISTA CICLO PED.</t>
  </si>
  <si>
    <t>EPC-IPU-A683-02</t>
  </si>
  <si>
    <t>Total EPC-IPU-A683-02</t>
  </si>
  <si>
    <t>REAL ENERGY S.R.L. : BARZAGO EXTRA LAVORI SPOT VIA D.GIACINTO DELL'ACQUA</t>
  </si>
  <si>
    <t>ELETTROSYSTEM S.R.L. : ELETTROSYSTEM SRL-EXTRA LAVORI SPOT</t>
  </si>
  <si>
    <t>EPC-IPU-L219-01</t>
  </si>
  <si>
    <t>Total EPC-IPU-L219-01</t>
  </si>
  <si>
    <t>IREN GREEN GENERATION TECH SRL : IREN GREEN GENERATION TECH SRL EXTRA LAVORI SPOT</t>
  </si>
  <si>
    <t>EPC-IPU-E246-03</t>
  </si>
  <si>
    <t>Total EPC-IPU-E246-03</t>
  </si>
  <si>
    <t>COMUNE DI GUARDIA PERTICARA : GUARDIA PERTICARA IP EXTRA LAVORI SPOT CIG: B748D21257</t>
  </si>
  <si>
    <t>EPC-PHV-L736-04</t>
  </si>
  <si>
    <t>Total EPC-PHV-L736-04</t>
  </si>
  <si>
    <t>VIER SCARL : VIER SCARL - ACCORDO QUADRO</t>
  </si>
  <si>
    <t>EPC-IPU-F205-01</t>
  </si>
  <si>
    <t>Total EPC-IPU-F205-01</t>
  </si>
  <si>
    <t>MENNEKES ELECTRIC ITALIA SRL : MENNEKES ELCTRIC ITALIA SRL LAVORI SPOT</t>
  </si>
  <si>
    <t>EPC-IPU-A519-04</t>
  </si>
  <si>
    <t>Total EPC-IPU-A519-04</t>
  </si>
  <si>
    <t>ASILO INFANTILE E. GIANTURCO : FV ASILO INFANTILE LAVORI SPOT</t>
  </si>
  <si>
    <t>EPC-IPU-F003-01</t>
  </si>
  <si>
    <t>Total EPC-IPU-F003-01</t>
  </si>
  <si>
    <t>COMUNE DI MASATE : MASATE EXTRA LAVORI SPOT CIG: B926209EF9</t>
  </si>
  <si>
    <t>EPC-IPU-A488-02</t>
  </si>
  <si>
    <t>Total EPC-IPU-A488-02</t>
  </si>
  <si>
    <t>COMITATO FESTA SANTA REPARATA : EXTRA LAVORI SPOT COMITATO S.REPARATA</t>
  </si>
  <si>
    <t>EPC-IPU-A413-09</t>
  </si>
  <si>
    <t>Total EPC-IPU-A413-09</t>
  </si>
  <si>
    <t>TIGROS SERVIZI IMMOBILIARI SRL : ARLUNO EXTRA LAVORI SPOT - TIGROS</t>
  </si>
  <si>
    <t>EPC-IPU-I317-02</t>
  </si>
  <si>
    <t>Total EPC-IPU-I317-02</t>
  </si>
  <si>
    <t>Comune di Sant'Egidio del Monte Albino : SANT'EGIDIO DEL MONTE ALBINO LAVORI SPOT</t>
  </si>
  <si>
    <t>EPC-IPU-E906-01</t>
  </si>
  <si>
    <t>Total EPC-IPU-E906-01</t>
  </si>
  <si>
    <t>DELTA IMPIANTI SRL : DELTA IMPIANTI SRL - LAVORI SPOT</t>
  </si>
  <si>
    <t>EPC-IPU-A697-03</t>
  </si>
  <si>
    <t>Total EPC-IPU-A697-03</t>
  </si>
  <si>
    <t>COMUNE DI BASIANO : BASIANO EXTRA LAVORI SPOT CIG:BA23A0CF6C</t>
  </si>
  <si>
    <t>EPC-IPU-G942-10</t>
  </si>
  <si>
    <t>Total EPC-IPU-G942-10</t>
  </si>
  <si>
    <t>AMARCORD SNC DI ARISTIDE E TELESCA : AMARCORD ARISTIDE E TELESCA LAVORI SPOT</t>
  </si>
  <si>
    <t>EPC-IPU-C058-01</t>
  </si>
  <si>
    <t>Total EPC-IPU-C058-01</t>
  </si>
  <si>
    <t>COSTRUZIONI ACOCELLA  S.R.L. : COSTRUZIONI ACOCELLA LAVORI SPOT</t>
  </si>
  <si>
    <t>EPC-IPU-B258-01</t>
  </si>
  <si>
    <t>Total EPC-IPU-B258-01</t>
  </si>
  <si>
    <t>COMUNE DI BUGUGGIATE : Buguggiate LAVORI SPOT</t>
  </si>
  <si>
    <t>EPC-IPU-B162-02</t>
  </si>
  <si>
    <t>Total EPC-IPU-B162-02</t>
  </si>
  <si>
    <t>IMPRESA COSTRUZIONI ING. E. PASQUALUCCI SRL : IMPRESA COSTRUZIONI ING. E.PASQUALUCCI SRL</t>
  </si>
  <si>
    <t>EPC-IPU-B731-02</t>
  </si>
  <si>
    <t>Total EPC-IPU-B731-02</t>
  </si>
  <si>
    <t>DANILO CONSONNI : CONSONNI DANILO - LAVORI SPOT</t>
  </si>
  <si>
    <t>EPC-IPU-E951-05</t>
  </si>
  <si>
    <t>Total EPC-IPU-E951-05</t>
  </si>
  <si>
    <t>IMPRESA FAJO S.R.L. : IMPRESA FAJO SRL - LAVORI SPOT</t>
  </si>
  <si>
    <t>EPC-IPU-D010-01</t>
  </si>
  <si>
    <t>Total EPC-IPU-D010-01</t>
  </si>
  <si>
    <t>LOGIODICE SRL : LOGIODICE SRL EXTRA LAVORI SPOT</t>
  </si>
  <si>
    <t>MARIA AULICINO : AULICINO MARIA LAVORI SPOT</t>
  </si>
  <si>
    <t>EPC-IPU-E976-08</t>
  </si>
  <si>
    <t>Total EPC-IPU-E976-08</t>
  </si>
  <si>
    <t>EDILGIFA DI FABI ANNALISA : EDILGIFA DI FABI ANNALISA EXTRA LAVORI SPOT</t>
  </si>
  <si>
    <t>EPC-IPU-A952-01</t>
  </si>
  <si>
    <t>Total EPC-IPU-A952-01</t>
  </si>
  <si>
    <t>HYPO VORARLBERG IMMO ITALIA S.R.L. : HYPO VORARLBERG IMMO ITALIA S.R.L. LAVORI SPOT</t>
  </si>
  <si>
    <t>EPC-IPU-D748-02</t>
  </si>
  <si>
    <t>Total EPC-IPU-D748-02</t>
  </si>
  <si>
    <t>Comune di Fosso' : FOSSO' LAVORI SPOT CIG: B78D5BF75C</t>
  </si>
  <si>
    <t>EPC-IPU-E716-05</t>
  </si>
  <si>
    <t>Total EPC-IPU-E716-05</t>
  </si>
  <si>
    <t>ICG SRL : ICG SRL LAVORI SPOT</t>
  </si>
  <si>
    <t>EPC-IPU-F704-03</t>
  </si>
  <si>
    <t>Total EPC-IPU-F704-03</t>
  </si>
  <si>
    <t>PROVINCIA DI MONZA E BRIANZA : Provincia di MB - Servizi e Provviste IT e IP (2° Contratto Attuativo)Oneoff Works</t>
  </si>
  <si>
    <t>EPC-IPU-L191-06</t>
  </si>
  <si>
    <t>Total EPC-IPU-L191-06</t>
  </si>
  <si>
    <t>CRUCIANELLI REST EDILE SRL : TOLENTINO EXTRA LAV.SPOT VIA VALPORRO</t>
  </si>
  <si>
    <t>EPC-IPU-E246-04</t>
  </si>
  <si>
    <t>Total EPC-IPU-E246-04</t>
  </si>
  <si>
    <t>COMUNE DI GUARDIA PERTICARA : GUARDIA PERTICARA IP EXTRA LAVORI SPOT CIG: BACF5E149D</t>
  </si>
  <si>
    <t>EPC-IPU-A488-03</t>
  </si>
  <si>
    <t>Total EPC-IPU-A488-03</t>
  </si>
  <si>
    <t>SANTUARIO DIOCESANO DI S. RITA : EXTRA LAVORI SPOT SANTUARIO S.RITA ATRI</t>
  </si>
  <si>
    <t>EPC-IPU-G023-04</t>
  </si>
  <si>
    <t>Total EPC-IPU-G023-04</t>
  </si>
  <si>
    <t>CONSORZIO URBANIZZAZIONE ANNUNZIATA : CONSORZIO URBANIZZAZIONE ANNUNZIATA LAVORI SPOT</t>
  </si>
  <si>
    <t>EPC-IPU-H641-02</t>
  </si>
  <si>
    <t>Total EPC-IPU-H641-02</t>
  </si>
  <si>
    <t>TROIANO S.A.S DI TROIANO FELICIANO &amp; C : TROIANO S.A.S DI TROIANO FELICIANO &amp; C LAVORI SPOT</t>
  </si>
  <si>
    <t>EPC-IPU-A413-08</t>
  </si>
  <si>
    <t>Total EPC-IPU-A413-08</t>
  </si>
  <si>
    <t>EDILGORNATI SRL : ARLUNO EXTRA LAV.SPOT VIA CASTIGLIONI</t>
  </si>
  <si>
    <t>EPC-IPU-L191-07</t>
  </si>
  <si>
    <t>Total EPC-IPU-L191-07</t>
  </si>
  <si>
    <t>CRUCIANELLI REST EDILE SRL : TOLENTINO EXTRA LAV.SPOT VIA MONTECAVALLO</t>
  </si>
  <si>
    <t>EPC-IPU-L124-01</t>
  </si>
  <si>
    <t>Total EPC-IPU-L124-01</t>
  </si>
  <si>
    <t>EDIL CONDOTTE SRL : EDIL CONDOTTE SRL EXTRA LAVORI SPOT</t>
  </si>
  <si>
    <t>EPC-IPU-F573-07</t>
  </si>
  <si>
    <t>Total EPC-IPU-F573-07</t>
  </si>
  <si>
    <t>Comune di Montemurro : CIGB42C05B373 MONTEMURRO LAVORI SPOT</t>
  </si>
  <si>
    <t>EPC-IPU-C793-01</t>
  </si>
  <si>
    <t>Total EPC-IPU-C793-01</t>
  </si>
  <si>
    <t>Comune di Claviere - Uff_eFatturaPA : CLAVIERE EXTRA LAVORI SPOT</t>
  </si>
  <si>
    <t>EPC-IPU-I465-01</t>
  </si>
  <si>
    <t>Total EPC-IPU-I465-01</t>
  </si>
  <si>
    <t>COMUNE DI SAUZE DI CESANA : Comune di Sauze di Cesana EXTRA LAVORI SPOT</t>
  </si>
  <si>
    <t>EPC-IPU-E951-04</t>
  </si>
  <si>
    <t>Total EPC-IPU-E951-04</t>
  </si>
  <si>
    <t>ILLEGNO S.R.L. : ILLEGNO SRL - LAVORI SPOT</t>
  </si>
  <si>
    <t>EPC-IPU-L191-05</t>
  </si>
  <si>
    <t>Total EPC-IPU-L191-05</t>
  </si>
  <si>
    <t>EFFEBI COSTRUZIONI SRL : TOLENTINO EXTRA LAV.SPOT VIA BORGO FORO</t>
  </si>
  <si>
    <t>EPC-IPU-E569-04</t>
  </si>
  <si>
    <t>Total EPC-IPU-E569-04</t>
  </si>
  <si>
    <t>DANIELE POSCA : EXTRA LAVORI SPOT LEZZENO POSCA DANIELE</t>
  </si>
  <si>
    <t>EPC-IPU-G878-02</t>
  </si>
  <si>
    <t>Total EPC-IPU-G878-02</t>
  </si>
  <si>
    <t>DE LUCA AMALIA : EXTRA LAVORI SPOT DE LUCA AMALIA</t>
  </si>
  <si>
    <t>EPC-IPU-E951-08</t>
  </si>
  <si>
    <t>Total EPC-IPU-E951-08</t>
  </si>
  <si>
    <t>EQUIPE S.R.L. : EQUIPE SRL-EXTRA LAVORI SPOT-MARIANO C.</t>
  </si>
  <si>
    <t>EPC-IPU-M367-02</t>
  </si>
  <si>
    <t>Total EPC-IPU-M367-02</t>
  </si>
  <si>
    <t>UBALDI LUCIANA : EXTRA LAVORI SPOT UBALDI LUCIANA</t>
  </si>
  <si>
    <t>EPC-IPU-E246-05</t>
  </si>
  <si>
    <t>Total EPC-IPU-E246-05</t>
  </si>
  <si>
    <t>COMUNE DI GUARDIA PERTICARA : GUARDIA PERTICARA IP LAVORI SPOT CIG: BC5C763938</t>
  </si>
  <si>
    <t>EPC-IPU-F736-02</t>
  </si>
  <si>
    <t>Total EPC-IPU-F736-02</t>
  </si>
  <si>
    <t>AGORA S.R.L. : AGORA SRL-EXTRA LAVORI SPOT PISTA CICLO PED.</t>
  </si>
  <si>
    <t>EPC-IPU-I089-01</t>
  </si>
  <si>
    <t>Total EPC-IPU-I089-01</t>
  </si>
  <si>
    <t>SOREM FORNITURE SRL : SOREM FORNITURE SRL LAVORI SPOT</t>
  </si>
  <si>
    <t>EPC-IPU-I457-01</t>
  </si>
  <si>
    <t>Total EPC-IPU-I457-01</t>
  </si>
  <si>
    <t>METAPLAST GRT SRL : SMALTIMENTO METAPLAST GRT SRL LAVORI SPOT</t>
  </si>
  <si>
    <t>Struttura</t>
  </si>
  <si>
    <t>Total Struttura</t>
  </si>
  <si>
    <t>Scouting</t>
  </si>
  <si>
    <t>Total Scouting</t>
  </si>
  <si>
    <t>Executive Project</t>
  </si>
  <si>
    <t>Total Executive Project</t>
  </si>
  <si>
    <t>Engineering</t>
  </si>
  <si>
    <t>Total Engineering</t>
  </si>
  <si>
    <t>Proposed / Executive Project Consip</t>
  </si>
  <si>
    <t>Total Proposed / Executive Project Consip</t>
  </si>
  <si>
    <t>Nominated</t>
  </si>
  <si>
    <t>Total Nominated</t>
  </si>
  <si>
    <t>Awarded</t>
  </si>
  <si>
    <t>Total Awarded</t>
  </si>
  <si>
    <t>Preparation / RPF</t>
  </si>
  <si>
    <t>Total Preparation / RPF</t>
  </si>
  <si>
    <t>GENERICO</t>
  </si>
  <si>
    <t>Total GENERICO</t>
  </si>
  <si>
    <t>Tender</t>
  </si>
  <si>
    <t>Total Tender</t>
  </si>
  <si>
    <t>NEW Activity Code + Note</t>
  </si>
  <si>
    <t>Operational</t>
  </si>
  <si>
    <t>EXTRA LAVORI : Spot</t>
  </si>
  <si>
    <t>EXTRA LAVORI : Spot 
(sono 3 rapportini di giugno 2026)</t>
  </si>
  <si>
    <t>da verificare</t>
  </si>
  <si>
    <t>no va inserito l'activity code</t>
  </si>
  <si>
    <t>Construction (n.1 rapportino di giugno)</t>
  </si>
  <si>
    <t>Construction (n.2 rapportini di giugno)</t>
  </si>
  <si>
    <t xml:space="preserve">Construction </t>
  </si>
  <si>
    <t>commessa errata - caricare su CL3-IPU-B593-01</t>
  </si>
  <si>
    <t>Lost</t>
  </si>
  <si>
    <t>Note</t>
  </si>
  <si>
    <t>Totale</t>
  </si>
  <si>
    <t>% ATI</t>
  </si>
  <si>
    <t>Capitalizzazioni</t>
  </si>
  <si>
    <t>Capitalizzazione Costi indiretti</t>
  </si>
  <si>
    <t>Società</t>
  </si>
  <si>
    <t>Delta Indiretti</t>
  </si>
  <si>
    <t>% Costi indiretti</t>
  </si>
  <si>
    <t>Etichette di riga</t>
  </si>
  <si>
    <t>Totale complessivo</t>
  </si>
  <si>
    <t>Somma di Capitalizzazioni</t>
  </si>
  <si>
    <t>Somma di Capitalizzazione Costi indiretti</t>
  </si>
  <si>
    <t>Somma di Delta Indiretti</t>
  </si>
  <si>
    <t xml:space="preserve">COMUNE DI MUSILE DI PIAVE </t>
  </si>
  <si>
    <t xml:space="preserve"> MUSILE DI PIAVE ILLUMINAZIONE PUBBLICA</t>
  </si>
  <si>
    <t xml:space="preserve">COMUNE DI PRESICCE - ACQUARICA </t>
  </si>
  <si>
    <t xml:space="preserve"> PRESICCE-ACQUARICA (sussidiaria) ILL. PUBBLICA</t>
  </si>
  <si>
    <t xml:space="preserve">COMUNE DI CAMPI SALENTINA </t>
  </si>
  <si>
    <t xml:space="preserve"> CAMPI SALENTINA ILLUMINAZIONE PUBBLICA</t>
  </si>
  <si>
    <t xml:space="preserve">COMUNE DI PIAZZOLA SUL BRENTA </t>
  </si>
  <si>
    <t xml:space="preserve"> PIAZZOLA SUL BRENTA ILLUMINAZIONE PUBBLICA</t>
  </si>
  <si>
    <t xml:space="preserve">COMUNE DI MANDURIA </t>
  </si>
  <si>
    <t xml:space="preserve"> MANDURIA ILLUMINAZIONE PUBBLICA</t>
  </si>
  <si>
    <t xml:space="preserve">COMUNE DI SAVONA </t>
  </si>
  <si>
    <t xml:space="preserve"> IMPIANTI COMUNE DI SAVONA</t>
  </si>
  <si>
    <t xml:space="preserve">Comune di Mira </t>
  </si>
  <si>
    <t xml:space="preserve"> IMPIANTI COMUNE DI MIRA</t>
  </si>
  <si>
    <t xml:space="preserve">COMUNE DI NOCIGLIA </t>
  </si>
  <si>
    <t xml:space="preserve"> Nociglia ILLUMINAZIONE PUBBLICA</t>
  </si>
  <si>
    <t xml:space="preserve">COMUNE DI CASTRI DI LECCE </t>
  </si>
  <si>
    <t xml:space="preserve"> CASTRI DI LECCE ILLUMINAZIONE PUBBLICA</t>
  </si>
  <si>
    <t xml:space="preserve"> EFFICIENTAMENTO ENERGETICO EDIFICI LOTTO 4 E.L.EN.A.</t>
  </si>
  <si>
    <t xml:space="preserve">COMUNE DI SCURCOLA MARSICANA </t>
  </si>
  <si>
    <t xml:space="preserve">Comune di Gravellona Lomellina - Uff_eFatturaPA </t>
  </si>
  <si>
    <t xml:space="preserve"> GRAVELLONA LOMELLINA ILLUMINAZIONE PUBBLICA</t>
  </si>
  <si>
    <t xml:space="preserve">COMUNE DI CELLINO SAN MARCO </t>
  </si>
  <si>
    <t xml:space="preserve"> CELLINO SAN MARCO ILLUMINAZIONE PUBBLICA</t>
  </si>
  <si>
    <t xml:space="preserve">Comune di Mirano </t>
  </si>
  <si>
    <t xml:space="preserve"> IMPIANTI COMUNE DI MIRANO</t>
  </si>
  <si>
    <t xml:space="preserve">COMUNE DI UGENTO </t>
  </si>
  <si>
    <t xml:space="preserve"> UGENTO ILLUMINAZIONE PUBBLICA</t>
  </si>
  <si>
    <t xml:space="preserve">COMUNE DI GALLIPOLI </t>
  </si>
  <si>
    <t xml:space="preserve"> GALLIPOLI ILLUMINAZIONE PUBBLICA</t>
  </si>
  <si>
    <t xml:space="preserve">Comune di Bussi sul Tirino - ufficio tecnico </t>
  </si>
  <si>
    <t xml:space="preserve"> BUSSI SUL TIRINO EFF.TO ENERGETICO EDIFICI</t>
  </si>
  <si>
    <t xml:space="preserve">Comune di Spotorno </t>
  </si>
  <si>
    <t xml:space="preserve"> SPOTORNO ILLUMINAZIONE PUBBLICA</t>
  </si>
  <si>
    <t xml:space="preserve">COMUNE DI CASELLE IN PITTARI </t>
  </si>
  <si>
    <t xml:space="preserve"> CASELLE IN PITTARI ILLUMINAZIONE PUBBLICA</t>
  </si>
  <si>
    <t xml:space="preserve"> EFFICIENTAMENTO ENERGETICO EDIFICI LOTTO 2 E.L.EN.A.</t>
  </si>
  <si>
    <t xml:space="preserve"> EFFICIENTAMENTO ENERGETICO EDIFICI LOTTO 3 E.L.EN.A.</t>
  </si>
  <si>
    <t xml:space="preserve">COMUNE DI TAVIANO </t>
  </si>
  <si>
    <t xml:space="preserve">COMUNE DI MEZZAGO </t>
  </si>
  <si>
    <t xml:space="preserve"> Mezzago ILLUMINAZIONE PUBBLICA</t>
  </si>
  <si>
    <t xml:space="preserve">COMUNE DI PONTIROLO NUOVO </t>
  </si>
  <si>
    <t xml:space="preserve"> Pontirolo Nuovo ILLUMINAZIONE PUBBLICA</t>
  </si>
  <si>
    <t xml:space="preserve">Comune di Strà </t>
  </si>
  <si>
    <t xml:space="preserve"> IMPIANTI COMUNE DI STRA'</t>
  </si>
  <si>
    <t xml:space="preserve">COMUNE DI COGOLLO DEL CENGIO </t>
  </si>
  <si>
    <t xml:space="preserve"> COGOLLO DEL CENGIO ILLUMINAZIONE PUBBLICA</t>
  </si>
  <si>
    <t xml:space="preserve">Comune di Solofra </t>
  </si>
  <si>
    <t xml:space="preserve"> IMPIANTI COMUNE DI SOLOFRA</t>
  </si>
  <si>
    <t xml:space="preserve"> EFFICIENTAMENTO ENERGETICO EDIFICI LOTTO 1 E.L.EN.A.</t>
  </si>
  <si>
    <t xml:space="preserve">COMUNE DI SAN CESARIO DI LECCE </t>
  </si>
  <si>
    <t xml:space="preserve"> SAN CESARIO DI LECCE ILLUMINAZIONE PUBBLICA</t>
  </si>
  <si>
    <t xml:space="preserve">Comune di Nerviano </t>
  </si>
  <si>
    <t xml:space="preserve"> IMPIANTI COMUNE DI NERVIANO</t>
  </si>
  <si>
    <t xml:space="preserve">COMUNE DI TORRICELLA </t>
  </si>
  <si>
    <t xml:space="preserve"> TORRICELLA ILLUMINAZIONE PUBBLICA</t>
  </si>
  <si>
    <t xml:space="preserve">Comune di Pisticci </t>
  </si>
  <si>
    <t xml:space="preserve"> PISTICCI ILLUMINAZIONE PUBBLICA</t>
  </si>
  <si>
    <t xml:space="preserve">COMUNE DI CAMPO CALABRO </t>
  </si>
  <si>
    <t xml:space="preserve"> CAMPO CALABRO ILLUMINAZIONE PUBBLICA</t>
  </si>
  <si>
    <t xml:space="preserve">COMUNE DI SAN GIORGIO IONICO </t>
  </si>
  <si>
    <t xml:space="preserve"> SAN GIORGIO IONICO EFFICIENTAMENTO EDIFICI</t>
  </si>
  <si>
    <t xml:space="preserve">COMUNE DI NOVE (VI) </t>
  </si>
  <si>
    <t xml:space="preserve"> NOVE ILLUMINAZIONE PUBBLICA</t>
  </si>
  <si>
    <t xml:space="preserve">COMUNE DI CHIOGGIA </t>
  </si>
  <si>
    <t xml:space="preserve"> CHIOGGIA TRASPORTO PUBBLICO LOCALE</t>
  </si>
  <si>
    <t xml:space="preserve">COMUNE DI PIETRAVAIRANO </t>
  </si>
  <si>
    <t xml:space="preserve"> PIETRAVAIRANO ILLUMINAZIONE PUBBLICA</t>
  </si>
  <si>
    <t xml:space="preserve">COMUNE DI CHIARAVALLE CENTRALE </t>
  </si>
  <si>
    <t xml:space="preserve"> CHIARAVALLE CENTRALE ILLUMINAZIONE PUBBLICA</t>
  </si>
  <si>
    <t xml:space="preserve">COMUNE DI VALVERDE </t>
  </si>
  <si>
    <t xml:space="preserve"> VALVERDE ILLUMINAZIONE PUBBLICA</t>
  </si>
  <si>
    <t xml:space="preserve">COMUNE DI GUAGNANO </t>
  </si>
  <si>
    <t xml:space="preserve"> GUAGNANO ILLUMINAZIONE PUBBLICA</t>
  </si>
  <si>
    <t xml:space="preserve">COMUNE DI SAN LUCIDO </t>
  </si>
  <si>
    <t xml:space="preserve"> SAN LUCIDO ILLUMINAZIONE PUBBLICA</t>
  </si>
  <si>
    <t xml:space="preserve">COMUNE DI FRANCAVILLA AL MARE </t>
  </si>
  <si>
    <t xml:space="preserve"> Francavilla al Mare ILLUMINAZIONE PUBBLICA</t>
  </si>
  <si>
    <t xml:space="preserve">COMUNE DI RODI GARGANICO </t>
  </si>
  <si>
    <t xml:space="preserve"> RODI GARGANICO ILLUMINAZIONE PUBBLICA</t>
  </si>
  <si>
    <t xml:space="preserve">COMUNE DI VILLAPUTZU </t>
  </si>
  <si>
    <t xml:space="preserve"> VILLAPUTZU ILLUMINAZIONE PUBBLICA</t>
  </si>
  <si>
    <t xml:space="preserve">COMUNE DI PELLEZZANO </t>
  </si>
  <si>
    <t xml:space="preserve"> EFFICIENTAMENTO ENERGETICO EDIFICI PELLEZZANO</t>
  </si>
  <si>
    <t xml:space="preserve">COMUNE DI POLICORO </t>
  </si>
  <si>
    <t xml:space="preserve"> POLICORO EFFICIENTAMENTO EDIFICI</t>
  </si>
  <si>
    <t xml:space="preserve">COMUNE DI CREMONA </t>
  </si>
  <si>
    <t xml:space="preserve"> CREMONA ILLUMINAZIONE PUBBLICA</t>
  </si>
  <si>
    <t xml:space="preserve">COMUNE DI ONIFAI </t>
  </si>
  <si>
    <t xml:space="preserve"> Onifai ILLUMINAZIONE PUBBLICA</t>
  </si>
  <si>
    <t xml:space="preserve">COMUNE DI TRECCHINA </t>
  </si>
  <si>
    <t xml:space="preserve"> TRECCHINA ILLUMINAZIONE PUBBLICA</t>
  </si>
  <si>
    <t xml:space="preserve">COMUNE DI ATELLA </t>
  </si>
  <si>
    <t xml:space="preserve"> ATELLA ILLUMINAZIONE PUBBLICA</t>
  </si>
  <si>
    <t xml:space="preserve">COMUNE VILLA SAN GIOVANNI </t>
  </si>
  <si>
    <t xml:space="preserve"> VILLA SAN GIOVANNI ILLUMINAZIONE PUBBLICA</t>
  </si>
  <si>
    <t xml:space="preserve">Comune di Bovalino </t>
  </si>
  <si>
    <t xml:space="preserve"> BOVALINO ILLUMINAZIONE PUBBLICA</t>
  </si>
  <si>
    <t xml:space="preserve">COMUNE DI PIZZO CALABRO </t>
  </si>
  <si>
    <t xml:space="preserve"> PIZZO CALABRO ILLUMINAZIONE PUBBLICA</t>
  </si>
  <si>
    <t xml:space="preserve">COMUNE DI LAGANADI </t>
  </si>
  <si>
    <t xml:space="preserve"> LAGANADI ILLUMINAZIONE PUBBLICA</t>
  </si>
  <si>
    <t xml:space="preserve">COMUNE DI MOROLO </t>
  </si>
  <si>
    <t xml:space="preserve"> MOROLO ILLUMINAZIONE PUBBLICA</t>
  </si>
  <si>
    <t xml:space="preserve">COMUNE DI GRAVINA DI CATANIA </t>
  </si>
  <si>
    <t xml:space="preserve"> GRAVINA DI CATANIA ILLUMINAZIONE PUBBLICA</t>
  </si>
  <si>
    <t xml:space="preserve">COMUNE DI ACRI </t>
  </si>
  <si>
    <t xml:space="preserve"> ACRI ILLUMINAZIONE PUBBLICA</t>
  </si>
  <si>
    <t xml:space="preserve">COMUNE DI GAVOI </t>
  </si>
  <si>
    <t xml:space="preserve"> GAVOI ILLUMINAZIONE PUBBLICA</t>
  </si>
  <si>
    <t xml:space="preserve">Comune di Filiano </t>
  </si>
  <si>
    <t xml:space="preserve">COMUNE DI NARDODIPACE </t>
  </si>
  <si>
    <t xml:space="preserve"> NARDODIPACE ILLUMINAZIONE PUBBLICA</t>
  </si>
  <si>
    <t xml:space="preserve">COMUNE DI SAN GIULIANO MILANESE </t>
  </si>
  <si>
    <t xml:space="preserve"> SAN GIULIANO MILANESE ILLUMINAZIONE PUBBLICA</t>
  </si>
  <si>
    <t xml:space="preserve">COMUNE DI VILLA SANTA LUCIA </t>
  </si>
  <si>
    <t xml:space="preserve"> VILLA SANTA LUCIA ILLUMINAZIONE PUBBLICA</t>
  </si>
  <si>
    <t xml:space="preserve">COMUNE DI MARSALA </t>
  </si>
  <si>
    <t xml:space="preserve"> MARSALA ILLUMINAZIONE PUBBLICA</t>
  </si>
  <si>
    <t xml:space="preserve">COMUNE DI CURTI </t>
  </si>
  <si>
    <t xml:space="preserve"> CURTI ILLUMINAZIONE PUBBLICA</t>
  </si>
  <si>
    <t xml:space="preserve">Comune di Pompei </t>
  </si>
  <si>
    <t xml:space="preserve"> POMPEI ILLUMINAZIONE PUBBLICA</t>
  </si>
  <si>
    <t xml:space="preserve">Comune di Pietragalla </t>
  </si>
  <si>
    <t xml:space="preserve"> PIETRAGALLA EFFICIENTAMENTO EDIFICI</t>
  </si>
  <si>
    <t xml:space="preserve">Comune di Cardinale </t>
  </si>
  <si>
    <t xml:space="preserve"> CARDINALE ILLUMINAZIONE PUBBLICA</t>
  </si>
  <si>
    <t xml:space="preserve">COMUNE DI PETRONA' </t>
  </si>
  <si>
    <t xml:space="preserve"> PETRONA' ILLUMINAZIONE PUBBLICA</t>
  </si>
  <si>
    <t xml:space="preserve">COMUNE DI SANT'ARCANGELO </t>
  </si>
  <si>
    <t xml:space="preserve"> SANT'ARCANGELO ILLUMINAZIONE PUBBLICA</t>
  </si>
  <si>
    <t xml:space="preserve">COMUNE DI BORGETTO </t>
  </si>
  <si>
    <t xml:space="preserve"> Borgetto ILLUMINAZIONE PUBBLICA</t>
  </si>
  <si>
    <t xml:space="preserve">COMUNE DI GIFFONI SEI CASALI </t>
  </si>
  <si>
    <t xml:space="preserve"> GIFFONI SEI CASALI ILLUMINAZIONE PUBBLICA</t>
  </si>
  <si>
    <t xml:space="preserve">COMUNE DI ALASSIO </t>
  </si>
  <si>
    <t xml:space="preserve"> ALASSIO ILLUMINAZIONE PUBBLICA</t>
  </si>
  <si>
    <t xml:space="preserve">COMUNE DI SAN VITO SULLO IONIO </t>
  </si>
  <si>
    <t xml:space="preserve"> SAN VITO SULLO IONIO ILLUMINAZIONE PUBBLICA</t>
  </si>
  <si>
    <t xml:space="preserve">COMUNE DI BURGIO </t>
  </si>
  <si>
    <t xml:space="preserve"> BURGIO ILLUMINAZIONE PUBBLICA</t>
  </si>
  <si>
    <t xml:space="preserve">COMUNE DI CUSTONACI </t>
  </si>
  <si>
    <t xml:space="preserve"> CUSTONACI ILLUMINAZIONE PUBBLICA</t>
  </si>
  <si>
    <t xml:space="preserve">Comune di Canegrate </t>
  </si>
  <si>
    <t xml:space="preserve"> CANEGRATE ILLUMINAZIONE PUBBLICA</t>
  </si>
  <si>
    <t xml:space="preserve">COMUNE DI GAIRO </t>
  </si>
  <si>
    <t xml:space="preserve"> GAIRO ILLUMINAZIONE PUBBLICA</t>
  </si>
  <si>
    <t xml:space="preserve">CAGNANO VARANO </t>
  </si>
  <si>
    <t xml:space="preserve"> CAGNANO VARANO ILLUMINAZIONE PUBBLICA</t>
  </si>
  <si>
    <t xml:space="preserve">COMUNE DI CANOSA DI PUGLIA </t>
  </si>
  <si>
    <t xml:space="preserve"> CANOSA DI PUGLIA ILLUMINAZIONE PUBBLICA</t>
  </si>
  <si>
    <t xml:space="preserve">COMUNE DI ARTENA </t>
  </si>
  <si>
    <t xml:space="preserve"> ARTENA ILLUMINAZIONE PUBBLICA</t>
  </si>
  <si>
    <t xml:space="preserve">Comune di Alliste </t>
  </si>
  <si>
    <t xml:space="preserve"> EFFICIENTAMENTO ENERGETICO ALLISTE</t>
  </si>
  <si>
    <t xml:space="preserve">COMUNE DI UMBRIATICO </t>
  </si>
  <si>
    <t xml:space="preserve"> UMBRIATICO ILLUMINAZIONE PUBBLICA</t>
  </si>
  <si>
    <t xml:space="preserve">COMUNE DI LAVELLO </t>
  </si>
  <si>
    <t xml:space="preserve"> LAVELLO ILLUMINAZIONE PUBBLICA</t>
  </si>
  <si>
    <t xml:space="preserve">COMUNE DI SAN MARZANO DI SAN GIUSEPPE </t>
  </si>
  <si>
    <t xml:space="preserve"> SAN MARZANO DI SAN GIUSEPPE ILLUMINAZIONE PUBBLICA</t>
  </si>
  <si>
    <t xml:space="preserve">Comune di Senigallia </t>
  </si>
  <si>
    <t xml:space="preserve"> Senigallia - Project 2031ILLUMINAZIONE PUBBLICA</t>
  </si>
  <si>
    <t xml:space="preserve">COMUNE DI SCORRANO </t>
  </si>
  <si>
    <t xml:space="preserve"> SCORRANO ILLUMINAZIONE PUBBLICA</t>
  </si>
  <si>
    <t xml:space="preserve">COMUNE DI VAIRANO PATENORA </t>
  </si>
  <si>
    <t xml:space="preserve"> VAIRANO PATENORA ILLUMINAZIONE PUBBLICA</t>
  </si>
  <si>
    <t xml:space="preserve">Comune di Sant'Angelo Le Fratte </t>
  </si>
  <si>
    <t xml:space="preserve"> SANT'ANGELO LE FRATTE ILLUMINAZIONE PUBBLICA</t>
  </si>
  <si>
    <t xml:space="preserve">COMUNE DI CASTELLAMMARE DEL GOLFO </t>
  </si>
  <si>
    <t xml:space="preserve"> CASTELLAMMARE DEL GOLFO ILLUMINAZIONE PUBBLICA</t>
  </si>
  <si>
    <t xml:space="preserve">COMUNE DI SAN NICOLA ARCELLA </t>
  </si>
  <si>
    <t xml:space="preserve"> in ATI San Nicola Arcella ILLUMINAZIONE PUBBLICA</t>
  </si>
  <si>
    <t xml:space="preserve">COMUNE DI ROGGIANO GRAVINA </t>
  </si>
  <si>
    <t xml:space="preserve"> ROGGIANO GRAVINA ILLUMINAZIONE PUBBLICA</t>
  </si>
  <si>
    <t xml:space="preserve">COMUNE DI LACEDONIA </t>
  </si>
  <si>
    <t xml:space="preserve"> LACEDONIA ILLUMINAZIONE PUBBLICA</t>
  </si>
  <si>
    <t xml:space="preserve">GUARDIA PIEMONTESE </t>
  </si>
  <si>
    <t xml:space="preserve"> GUARDIA PIEMONTESE ILLUMINAZIONE PUBBLICA</t>
  </si>
  <si>
    <t xml:space="preserve">COMUNE DI GUARDIA PERTICARA </t>
  </si>
  <si>
    <t xml:space="preserve"> Guardia Perticara ILLUMINAZIONE PUBBLICA</t>
  </si>
  <si>
    <t xml:space="preserve">COMUNE DI PIANO DI SORRENTO </t>
  </si>
  <si>
    <t xml:space="preserve"> PIANO DI SORRENTO ILLUMINAZIONE PUBBLICA</t>
  </si>
  <si>
    <t xml:space="preserve">COMUNE DI FAGGIANO </t>
  </si>
  <si>
    <t xml:space="preserve"> FAGGIANO ILLUMINAZIONE PUBBLICA</t>
  </si>
  <si>
    <t xml:space="preserve">COMUNE DI CALVANICO </t>
  </si>
  <si>
    <t xml:space="preserve"> CALVANICO ILLUMINAZIONE PUBBLICA</t>
  </si>
  <si>
    <t xml:space="preserve">COMUNE DI SAN MARCO D'ALUNZIO </t>
  </si>
  <si>
    <t xml:space="preserve"> SAN MARCO D'ALUNZIO ILLUMINAZIONE PUBBLICA</t>
  </si>
  <si>
    <t xml:space="preserve">COMUNE DI CORTE BRUGNATELLA </t>
  </si>
  <si>
    <t xml:space="preserve"> CORTE BRUGNATELLA ILLUMINAZIONE PUBBLICA</t>
  </si>
  <si>
    <t xml:space="preserve">COMUNE DI RIVOLI </t>
  </si>
  <si>
    <t xml:space="preserve"> RIVOLI ILLUMINAZIONE PUBBLICA</t>
  </si>
  <si>
    <t xml:space="preserve">COMUNE DI PETROSINO </t>
  </si>
  <si>
    <t xml:space="preserve"> PETROSINO ILLUMINAZIONE PUBBLICA</t>
  </si>
  <si>
    <t xml:space="preserve">COMUNE DI LAGO </t>
  </si>
  <si>
    <t xml:space="preserve"> LAGO ILLUMINAZIONE PUBBLICA</t>
  </si>
  <si>
    <t xml:space="preserve">COMUNE DI PIGNOLA </t>
  </si>
  <si>
    <t xml:space="preserve"> PIGNOLA ILLUMINAZIONE PUBBLICA</t>
  </si>
  <si>
    <t xml:space="preserve">PROVINCIA DI SAVONA </t>
  </si>
  <si>
    <t xml:space="preserve"> IMPIANTI PROVINCIA DI SAVONA</t>
  </si>
  <si>
    <t xml:space="preserve">COMUNE DI PIEVE FOSCIANA </t>
  </si>
  <si>
    <t xml:space="preserve"> PIEVE FOSCIANA ILLUMINAZIONE PUBBLICA</t>
  </si>
  <si>
    <t xml:space="preserve">COMUNE DI PIANA DEGLI ALBANESI </t>
  </si>
  <si>
    <t xml:space="preserve"> PIANA DEGLI ALBANESI ILLUMINAZIONE PUBBLICA</t>
  </si>
  <si>
    <t xml:space="preserve">Comune di Scanzano Jonico </t>
  </si>
  <si>
    <t xml:space="preserve"> SCANZANO JONICO ILLUMINAZIONE PUBBLICA</t>
  </si>
  <si>
    <t xml:space="preserve">COMUNE DI FERMIGNANO </t>
  </si>
  <si>
    <t xml:space="preserve"> FermignanoILLUMINAZIONE PUBBLICA</t>
  </si>
  <si>
    <t xml:space="preserve">COMUNE DI BRA </t>
  </si>
  <si>
    <t xml:space="preserve"> BRA ILLUMINAZIONE PUBBLICA</t>
  </si>
  <si>
    <t xml:space="preserve">COMUNE DI SACILE </t>
  </si>
  <si>
    <t xml:space="preserve"> SACILE ILLUMINAZIONE PUBBLICA</t>
  </si>
  <si>
    <t xml:space="preserve">COMUNE DI CERVARA DI ROMA </t>
  </si>
  <si>
    <t xml:space="preserve"> CERVARA DI ROMA ILLUMINAZIONE PUBBLICA</t>
  </si>
  <si>
    <t xml:space="preserve">Comune di Luzzi </t>
  </si>
  <si>
    <t xml:space="preserve"> LUZZI ILLUMINAZIONE PUBBLICA</t>
  </si>
  <si>
    <t xml:space="preserve">COMUNE DI SAN TEODORO </t>
  </si>
  <si>
    <t xml:space="preserve"> SAN TEODORO ILLUMINAZIONE PUBBLICA</t>
  </si>
  <si>
    <t xml:space="preserve">COMUNE DI BUONABITACOLO </t>
  </si>
  <si>
    <t xml:space="preserve"> BUONABITACOLO ILLUMINAZIONE PUBBLICA</t>
  </si>
  <si>
    <t xml:space="preserve">BRESCIA MOBILITA' S.P.A. </t>
  </si>
  <si>
    <t xml:space="preserve"> BRESCIA MOBILITA' SPA TRASPORTO ELETTRICO</t>
  </si>
  <si>
    <t xml:space="preserve">COMUNE DI GUSSAGO </t>
  </si>
  <si>
    <t xml:space="preserve"> GUSSAGO ILLUMINAZIONE PUBBLICA</t>
  </si>
  <si>
    <t xml:space="preserve">COMUNE DI NICHELINO </t>
  </si>
  <si>
    <t xml:space="preserve"> NICHELINO ILLUMINAZIONE PUBBLICA</t>
  </si>
  <si>
    <t xml:space="preserve">COMUNE DI STRONGOLI </t>
  </si>
  <si>
    <t xml:space="preserve"> STRONGOLI ILLUMINAZIONE PUBBLICA</t>
  </si>
  <si>
    <t xml:space="preserve">COMUNE DI GRAMMICHELE </t>
  </si>
  <si>
    <t xml:space="preserve"> GRAMMICHELE ILLUMINAZIONE PUBBLICA</t>
  </si>
  <si>
    <t xml:space="preserve">Comune di Avigliano </t>
  </si>
  <si>
    <t xml:space="preserve"> AVIGLIANO ILLUMINAZIONE PUBBLICA</t>
  </si>
  <si>
    <t xml:space="preserve"> PIETRAGALLA ILLUMINAZIONE PUBBLICA</t>
  </si>
  <si>
    <t xml:space="preserve">COMUNE DI MESSINA </t>
  </si>
  <si>
    <t xml:space="preserve"> MESSINA ILLUMINAZIONE PUBBLICA</t>
  </si>
  <si>
    <t xml:space="preserve">COMUNE DI GROTTAGLIE </t>
  </si>
  <si>
    <t xml:space="preserve"> GROTTAGLIE ILLUMINAZIONE PUBBLICA</t>
  </si>
  <si>
    <t xml:space="preserve">Comune di Regalbuto </t>
  </si>
  <si>
    <t xml:space="preserve"> REGALBUTO ILLUMINAZIONE PUBBLICA</t>
  </si>
  <si>
    <t xml:space="preserve">Comune di Sommatino </t>
  </si>
  <si>
    <t xml:space="preserve"> SOMMATINO ILLUMINAZIONE PUBBLICA</t>
  </si>
  <si>
    <t xml:space="preserve">COMUNE DI CAMPOBELLO DI MAZARA </t>
  </si>
  <si>
    <t xml:space="preserve"> CAMPOBELLO DI MAZARA ILLUMINAZIONE PUBBLICA</t>
  </si>
  <si>
    <t xml:space="preserve">COMUNE DI MILAZZO </t>
  </si>
  <si>
    <t xml:space="preserve"> MILAZZO ILLUMINAZIONE PUBBLICA</t>
  </si>
  <si>
    <t xml:space="preserve">COMUNE DI SALA CONSILINA </t>
  </si>
  <si>
    <t xml:space="preserve"> EFFICIENTAMENTO ENERGETICO EDIFICI SALA CONSILINA</t>
  </si>
  <si>
    <t xml:space="preserve">COMUNE DI VIGARANO MAINARDA </t>
  </si>
  <si>
    <t xml:space="preserve"> VIGARANO MAINARDA EFFICIENTAMENTO ENERGETICO EDIFICI</t>
  </si>
  <si>
    <t xml:space="preserve">COMUNE DI SAN CIPRIANO PICENTINO </t>
  </si>
  <si>
    <t xml:space="preserve"> SAN CIPRIANO PICENTINO ILLUMINAZIONE PUBBLICA</t>
  </si>
  <si>
    <t xml:space="preserve">COMUNE DI SALAPARUTA </t>
  </si>
  <si>
    <t xml:space="preserve"> SALAPARUTA ILLUMINAZIONE PUBBLICA</t>
  </si>
  <si>
    <t xml:space="preserve">COMUNE DI MONTECATINI TERME </t>
  </si>
  <si>
    <t xml:space="preserve"> MONTECATINI TERME ILLUMINAZIONE PUBBLICA</t>
  </si>
  <si>
    <t xml:space="preserve">Comune di Bellante - Uff_eFatturaPA </t>
  </si>
  <si>
    <t xml:space="preserve"> COMUNE DI BELLANTE EFFICIENTAMENTO ENERGETICO EDIFICI</t>
  </si>
  <si>
    <t xml:space="preserve">COMUNE DI SAN FELICE A CANCELLO </t>
  </si>
  <si>
    <t xml:space="preserve"> SAN FELICE A CANCELLO ILLUMINAZIONE PUBBLICA</t>
  </si>
  <si>
    <t xml:space="preserve">COMUNE DI MIGLIONICO </t>
  </si>
  <si>
    <t xml:space="preserve"> MIGLIONICO EFF.TO ENERGETICO EDIFICI</t>
  </si>
  <si>
    <t xml:space="preserve">Comune di Scordia </t>
  </si>
  <si>
    <t xml:space="preserve"> SCORDIA ILLUMINAZIONE PUBBLICA</t>
  </si>
  <si>
    <t xml:space="preserve">COMUNE DI MONTELEONE SABINO </t>
  </si>
  <si>
    <t xml:space="preserve"> MONTELEONE SABINO ILLUMINAZIONE PUBBLICA</t>
  </si>
  <si>
    <t xml:space="preserve">COMUNE DI SERRONE </t>
  </si>
  <si>
    <t xml:space="preserve"> SERRONE ILLUMINAZIONE PUBBLICA</t>
  </si>
  <si>
    <t xml:space="preserve">COMUNE DI ESPERIA </t>
  </si>
  <si>
    <t xml:space="preserve"> ESPERIA ILLUMINAZIONE PUBBLICA</t>
  </si>
  <si>
    <t xml:space="preserve">COMUNE DI MAZZARINO </t>
  </si>
  <si>
    <t xml:space="preserve"> MAZZARINO ILLUMINAZIONE PUBBLICA</t>
  </si>
  <si>
    <t xml:space="preserve">COMUNE DI PATTADA </t>
  </si>
  <si>
    <t xml:space="preserve"> PATTADA ILLUMINAZIONE PUBBLICA</t>
  </si>
  <si>
    <t xml:space="preserve">Comune di Riesi </t>
  </si>
  <si>
    <t xml:space="preserve"> RIESI ILLUMINAZIONE PUBBLICA</t>
  </si>
  <si>
    <t xml:space="preserve">Comune di Mondolfo </t>
  </si>
  <si>
    <t xml:space="preserve"> Mondolfo - PPPILLUMINAZIONE PUBBLICA</t>
  </si>
  <si>
    <t xml:space="preserve">COMUNE DI ISOLA DI CAPO RIZZUTO </t>
  </si>
  <si>
    <t xml:space="preserve"> ISOLA DI CAPO RIZZUTO ILLUMINAZIONE PUBBLICA</t>
  </si>
  <si>
    <t xml:space="preserve">COMUNE DI SANTA MARIA LA CARITA' </t>
  </si>
  <si>
    <t xml:space="preserve"> SANTA MARIA LA CARITA' ILLUMINAZIONE PUBBLICA</t>
  </si>
  <si>
    <t xml:space="preserve">COMUNE DI MASCALI </t>
  </si>
  <si>
    <t xml:space="preserve"> MASCALI ILLUMINAZIONE PUBBLICA</t>
  </si>
  <si>
    <t xml:space="preserve">Comune di Montescaglioso </t>
  </si>
  <si>
    <t xml:space="preserve"> MONTESCAGLIOSO ILLUMINAZIONE PUBBLICA</t>
  </si>
  <si>
    <t xml:space="preserve">COMUNE DI CALTANISSETTA </t>
  </si>
  <si>
    <t xml:space="preserve"> CALTANISSETTA ILLUMINAZIONE PUBBLICA</t>
  </si>
  <si>
    <t xml:space="preserve">COMUNE DI GIRIFALCO </t>
  </si>
  <si>
    <t xml:space="preserve"> GIRIFALCO ILLUMINAZIONE PUBBLICA</t>
  </si>
  <si>
    <t xml:space="preserve">Comune di Saronno </t>
  </si>
  <si>
    <t xml:space="preserve"> SARONNO ILLUMINAZIONE PUBBLICA</t>
  </si>
  <si>
    <t xml:space="preserve">COMUNE DI NOCERA SUPERIORE </t>
  </si>
  <si>
    <t xml:space="preserve"> NOCERA SUPERIORE ILLUMINAZIONE PUBBLICA</t>
  </si>
  <si>
    <t xml:space="preserve">COMUNE DI SANT' ANTIMO </t>
  </si>
  <si>
    <t xml:space="preserve"> SANT'ANTIMO ILLUMINAZIONE PUBBLICA</t>
  </si>
  <si>
    <t xml:space="preserve">COMUNE DI SORI </t>
  </si>
  <si>
    <t xml:space="preserve"> SORI ILLUMINAZIONE PUBBLICA</t>
  </si>
  <si>
    <t xml:space="preserve">COMUNE DI SAN VITO CHIETINO </t>
  </si>
  <si>
    <t xml:space="preserve"> SAN VITO CHIETINO ILLUMINAZIONE PUBBLICA</t>
  </si>
  <si>
    <t xml:space="preserve">Comune di Morro D'Oro - Uff_eFatturaPA </t>
  </si>
  <si>
    <t xml:space="preserve"> MORRO D'ORO ILLUMINAZIONE PUBBLICA</t>
  </si>
  <si>
    <t xml:space="preserve">COMUNE DI FROSSASCO </t>
  </si>
  <si>
    <t xml:space="preserve"> IN ATI FROSSASCO ILLUMINAZIONE PUBBLICA</t>
  </si>
  <si>
    <t xml:space="preserve"> PELLEZZANO ILLUMINAZIONE PUBBLICA</t>
  </si>
  <si>
    <t xml:space="preserve">COMUNE DI CURSI </t>
  </si>
  <si>
    <t xml:space="preserve"> CURSI ILLUMINAZIONE PUBBLICA</t>
  </si>
  <si>
    <t xml:space="preserve">COMUNE DI BICCARI </t>
  </si>
  <si>
    <t xml:space="preserve"> BICCARI ILLUMINAZIONE PUBBLICA</t>
  </si>
  <si>
    <t xml:space="preserve">COMUNE DI MONTECORVINO ROVELLA </t>
  </si>
  <si>
    <t xml:space="preserve"> IN ATI MONTECORVINO ROVELLA ILLUMINAZIONE PUBBLICA</t>
  </si>
  <si>
    <t xml:space="preserve">COMUNE DI COLCERESA </t>
  </si>
  <si>
    <t xml:space="preserve"> COLCERESA ILLUMINAZIONE PUBBLICA</t>
  </si>
  <si>
    <t xml:space="preserve">COMUNE DI PIANEZZE </t>
  </si>
  <si>
    <t xml:space="preserve"> PIANEZZE ILLUMINAZIONE PUBBLICA</t>
  </si>
  <si>
    <t xml:space="preserve">COMUNE DI BIANDRONNO </t>
  </si>
  <si>
    <t xml:space="preserve"> BiandronnoILLUMINAZIONE PUBBLICA</t>
  </si>
  <si>
    <t xml:space="preserve">Comune di Ginestra </t>
  </si>
  <si>
    <t xml:space="preserve"> GINESTRA ILLUMINAZIONE PUBBLICA</t>
  </si>
  <si>
    <t xml:space="preserve">Comune di Vicopisano - Uff_eFatturaPA </t>
  </si>
  <si>
    <t xml:space="preserve"> VICOPISANO ILLUMINAZIONE PUBBLICA</t>
  </si>
  <si>
    <t xml:space="preserve">COMUNE DI PORTOCANNONE </t>
  </si>
  <si>
    <t xml:space="preserve"> PORTOCANNONE ILLUMINAZIONE PUBBLICA</t>
  </si>
  <si>
    <t xml:space="preserve"> COMUNE DI TAVIANO (SUSSIDIARIA) ILLUMINAZIONE PUBBLICA</t>
  </si>
  <si>
    <t xml:space="preserve">COMUNE DI PULSANO </t>
  </si>
  <si>
    <t xml:space="preserve"> PULSANO (SUSSIDIARIA) ILLUMINAZIONE PUBBLICA</t>
  </si>
  <si>
    <t xml:space="preserve">Comune di Courmayeur </t>
  </si>
  <si>
    <t xml:space="preserve"> COURMAYEUR ILLUMINAZIONE PUBBLICA</t>
  </si>
  <si>
    <t xml:space="preserve">Comune di Cerchio </t>
  </si>
  <si>
    <t xml:space="preserve"> CERCHIO ILLUMINAZIONE PUBBLICA</t>
  </si>
  <si>
    <t xml:space="preserve">COMUNE DI VENEZIA </t>
  </si>
  <si>
    <t xml:space="preserve"> Venezia PBEFFICIENTAMENTO ENERGETICO EDIFICI</t>
  </si>
  <si>
    <t xml:space="preserve">COMUNE DI RIONERO IN VULTURE </t>
  </si>
  <si>
    <t xml:space="preserve"> RIONERO IN VULTURE ILLUMINAZIONE PUBBLICA</t>
  </si>
  <si>
    <t xml:space="preserve">COMUNE DI BARAGIANO </t>
  </si>
  <si>
    <t xml:space="preserve"> BARAGIANO ILLUMINAZIONE PUBBLICA</t>
  </si>
  <si>
    <t xml:space="preserve">COMUNE DI PINEROLO </t>
  </si>
  <si>
    <t xml:space="preserve"> IN ATI PINEROLO ILLUMINAZIONE PUBBLICA</t>
  </si>
  <si>
    <t xml:space="preserve">COMUNE DI ARADEO </t>
  </si>
  <si>
    <t xml:space="preserve"> ARADEO ILLUMINAZIONE PUBBLICA</t>
  </si>
  <si>
    <t xml:space="preserve"> SCURCOLA MARSICANA ILLUMINAZIONE PUBBLICA</t>
  </si>
  <si>
    <t xml:space="preserve">Comune di Lucera </t>
  </si>
  <si>
    <t xml:space="preserve"> LUCERA ILLUMINAZIONE PUBBLICA</t>
  </si>
  <si>
    <t xml:space="preserve">COMUNE DI POGGIARDO </t>
  </si>
  <si>
    <t xml:space="preserve"> POGGIARDO ILLUMINAZIONE PUBBLICA</t>
  </si>
  <si>
    <t xml:space="preserve">COMUNE DI TRAMUTOLA </t>
  </si>
  <si>
    <t xml:space="preserve"> TRAMUTOLA ILLUMINAZIONE PUBBLICA</t>
  </si>
  <si>
    <t xml:space="preserve">COMUNE DI MONGRASSANO </t>
  </si>
  <si>
    <t xml:space="preserve"> MONGRASSANO ILLUMINAZIONE PUBBLICA</t>
  </si>
  <si>
    <t xml:space="preserve">COMUNE DI SAN MARZANO SUL SARNO </t>
  </si>
  <si>
    <t xml:space="preserve"> SAN MARZANO SUL SARNO ILLUMINAZIONE PUBBLICA</t>
  </si>
  <si>
    <t xml:space="preserve">COMUNE DI NOVA SIRI </t>
  </si>
  <si>
    <t xml:space="preserve"> NOVA SIRI ILLUMINAZIONE PUBBLICA</t>
  </si>
  <si>
    <t xml:space="preserve">COMUNE DI VIBONATI </t>
  </si>
  <si>
    <t xml:space="preserve"> VIBONATI ILLUMINAZIONE PUBBLICA</t>
  </si>
  <si>
    <t xml:space="preserve">COMUNE DI CANTALUPA </t>
  </si>
  <si>
    <t xml:space="preserve"> IN ATI CANTALUPA ILLUMINAZIONE PUBBLICA</t>
  </si>
  <si>
    <t xml:space="preserve">Comune di Finale Ligure </t>
  </si>
  <si>
    <t xml:space="preserve"> FINALE LIGURE ILLUMINAZIONE PUBBLICA</t>
  </si>
  <si>
    <t xml:space="preserve">Comune di Maratea </t>
  </si>
  <si>
    <t xml:space="preserve"> MARATEA ILLUMINAZIONE PUBBLICA</t>
  </si>
  <si>
    <t xml:space="preserve">Comune di Torrevecchia </t>
  </si>
  <si>
    <t xml:space="preserve"> IMPIANTI COMUNE DI TORREVECCHIA PIA</t>
  </si>
  <si>
    <t xml:space="preserve">Comune di Calitri </t>
  </si>
  <si>
    <t xml:space="preserve"> CALITRI ILLUMINAZIONE PUBBLICA</t>
  </si>
  <si>
    <t xml:space="preserve">COMUNE DI ROLETTO </t>
  </si>
  <si>
    <t xml:space="preserve"> IN ATI ROLETTO ILLUMINAZIONE PUBBLICA</t>
  </si>
  <si>
    <t xml:space="preserve">COMUNE DI TOLENTINO </t>
  </si>
  <si>
    <t xml:space="preserve"> TolentinoILLUMINAZIONE PUBBLICA</t>
  </si>
  <si>
    <t xml:space="preserve"> ALLISTE ILLUMINAZIONE PUBBLICA</t>
  </si>
  <si>
    <t xml:space="preserve">Comune di Camerota </t>
  </si>
  <si>
    <t xml:space="preserve"> CAMEROTA ILLUMINAZIONE PUBBLICA</t>
  </si>
  <si>
    <t xml:space="preserve">Comune di Sasso di Castalda </t>
  </si>
  <si>
    <t xml:space="preserve"> SASSO DI CASTALDA ILLUMINAZIONE PUBBLICA</t>
  </si>
  <si>
    <t xml:space="preserve">COMUNE DI SAN DONA' DI PIAVE </t>
  </si>
  <si>
    <t xml:space="preserve"> SAN DONA' DI PIAVE ILLUMINAZIONE PUBBLICA</t>
  </si>
  <si>
    <t xml:space="preserve">Comune di Palombara Sabina - LAVORI PUBBLICI-URBANISTICA </t>
  </si>
  <si>
    <t xml:space="preserve"> PALOMBARA SABINA ILLUMINAZIONE PUBBLICA</t>
  </si>
  <si>
    <t xml:space="preserve">COMUNE DI COLOBRARO </t>
  </si>
  <si>
    <t xml:space="preserve"> COLOBRARO ILLUMINAZIONE PUBBLICA</t>
  </si>
  <si>
    <t xml:space="preserve">Comune di Ruoti </t>
  </si>
  <si>
    <t xml:space="preserve"> RUOTI ILLUMINAZIONE PUBBLICA</t>
  </si>
  <si>
    <t xml:space="preserve">Comune di Lezzeno - Uff_eFatturaPA </t>
  </si>
  <si>
    <t xml:space="preserve"> LEZZENO ILLUMINAZIONE PUBBLICA</t>
  </si>
  <si>
    <t xml:space="preserve">Comune di Ururi </t>
  </si>
  <si>
    <t xml:space="preserve"> URURI ILLUMINAZIONE PUBBLICA</t>
  </si>
  <si>
    <t xml:space="preserve">CONSORZIO ASI BRINDISI </t>
  </si>
  <si>
    <t xml:space="preserve"> ASI BRINDISI ILLUMINAZIONE PUBBLICA</t>
  </si>
  <si>
    <t xml:space="preserve">Comune di Partinico </t>
  </si>
  <si>
    <t xml:space="preserve"> PARTINICO ILLUMINAZIONE PUBBLICA</t>
  </si>
  <si>
    <t xml:space="preserve">COMUNE DI SANT'ARSENIO </t>
  </si>
  <si>
    <t xml:space="preserve"> IN ATI SANT'ARSENIO ILLUMINAZIONE PUBBLICA</t>
  </si>
  <si>
    <t xml:space="preserve">Comune di Trecate - Uff_eFatturaPA </t>
  </si>
  <si>
    <t xml:space="preserve"> TRECATE ILLUMINAZIONE PUBBLICA</t>
  </si>
  <si>
    <t xml:space="preserve">COMUNE DI GAVIRATE </t>
  </si>
  <si>
    <t xml:space="preserve"> GavirateILLUMINAZIONE PUBBLICA</t>
  </si>
  <si>
    <t xml:space="preserve">Comune di Baronissi </t>
  </si>
  <si>
    <t xml:space="preserve"> BARONISSI ILLUMINAZIONE PUBBLICA</t>
  </si>
  <si>
    <t xml:space="preserve">COMUNE DI SANTA MARIA DEL CEDRO </t>
  </si>
  <si>
    <t xml:space="preserve"> SANTA MARIA DEL CEDRO ILLUMINAZIONE PUBBLICA</t>
  </si>
  <si>
    <t xml:space="preserve">COMUNE DI RACALE </t>
  </si>
  <si>
    <t xml:space="preserve"> COMUNE DI RACALE ILLUMINAZIONE PUBBLICA</t>
  </si>
  <si>
    <t xml:space="preserve">COMUNE DI SPINOSO </t>
  </si>
  <si>
    <t xml:space="preserve"> SPINOSO ILLUMINAZIONE PUBBLICA</t>
  </si>
  <si>
    <t xml:space="preserve"> BELLANTE ILLUMINAZIONE PUBBLICA</t>
  </si>
  <si>
    <t xml:space="preserve">Comune di Atri </t>
  </si>
  <si>
    <t xml:space="preserve"> ATRI EDIFICI ILLUMINAZIONE PUBBLICA</t>
  </si>
  <si>
    <t xml:space="preserve">COMUNE DI PARABITA </t>
  </si>
  <si>
    <t xml:space="preserve"> IN ATI PARABITA ILLUMINAZIONE PUBBLICA</t>
  </si>
  <si>
    <t xml:space="preserve">COMUNE DI POPOLI </t>
  </si>
  <si>
    <t xml:space="preserve"> POPOLI ILLUMINAZIONE PUBBLICA</t>
  </si>
  <si>
    <t xml:space="preserve">Comune di Castelnuovo Cilento </t>
  </si>
  <si>
    <t xml:space="preserve"> CASTELNUOVO CILENTO ILLUMINAZIONE PUBBLICA</t>
  </si>
  <si>
    <t xml:space="preserve">Comune di Carpineto Sinello - Uff. eFatturaPA </t>
  </si>
  <si>
    <t xml:space="preserve"> IMPIANTI COMUNE DI CARPINETO SINELLO</t>
  </si>
  <si>
    <t xml:space="preserve">COMUNE DI ERACLEA </t>
  </si>
  <si>
    <t xml:space="preserve"> ERACLEA ILLUMINAZIONE PUBBLICA</t>
  </si>
  <si>
    <t xml:space="preserve">COMUNE DI CROSIA </t>
  </si>
  <si>
    <t xml:space="preserve"> CROSIA ILLUMINAZIONE PUBBLICA</t>
  </si>
  <si>
    <t xml:space="preserve">COMUNE DI TRIESTE </t>
  </si>
  <si>
    <t xml:space="preserve"> Trieste - PPPILLUMINAZIONE PUBBLICA</t>
  </si>
  <si>
    <t xml:space="preserve">Comune di Lettomanoppello - UFFICIO TECNICO </t>
  </si>
  <si>
    <t xml:space="preserve"> LETTOMANOPPELLO ILLUMINAZIONE PUBBLICA</t>
  </si>
  <si>
    <t xml:space="preserve">COMUNE DI CRISPIANO </t>
  </si>
  <si>
    <t xml:space="preserve"> CRISPIANO ILLUMINAZIONE PUBBLICA</t>
  </si>
  <si>
    <t xml:space="preserve"> Venezia PLILLUMINAZIONE PUBBLICA</t>
  </si>
  <si>
    <t xml:space="preserve">CONSORZIO DI SVILUPPO IND.LE VALLI TRONTO, ASO E TESINO </t>
  </si>
  <si>
    <t xml:space="preserve"> PICENO CONSID ILLUMINAZIONE PUBBLICA</t>
  </si>
  <si>
    <t xml:space="preserve">COMUNE DI ROSSANO VENETO </t>
  </si>
  <si>
    <t xml:space="preserve"> ROSSANO VENETO ILLUMINAZIONE PUBBLICA</t>
  </si>
  <si>
    <t xml:space="preserve">Comune di Olevano sul Tusciano </t>
  </si>
  <si>
    <t xml:space="preserve"> OLEVANO SUL TUSCIANO ILLUMINAZIONE PUBBLICA</t>
  </si>
  <si>
    <t xml:space="preserve">Comune di Lanuvio - SET.1 Serv.2  PROGRAMMAZIONE, MANUTENZIONE PATRIMONIO, VERDE </t>
  </si>
  <si>
    <t xml:space="preserve"> LANUVIO ILLUMINAZIONE PUBBLICA</t>
  </si>
  <si>
    <t xml:space="preserve">Comune di Picciano - Uff_eFatturaPA </t>
  </si>
  <si>
    <t xml:space="preserve"> IMPIANTI COMUNE DI PICCIANO</t>
  </si>
  <si>
    <t xml:space="preserve"> BUSSI SUL TIRINO ILLUMINAZIONE PUBBLICA (CIV)</t>
  </si>
  <si>
    <t xml:space="preserve"> FILIANO ILLUMINAZIONE PUBBLICA</t>
  </si>
  <si>
    <t xml:space="preserve">COMUNE DI JESOLO </t>
  </si>
  <si>
    <t xml:space="preserve"> JESOLO ILLUMINAZIONE PUBBLICA</t>
  </si>
  <si>
    <t xml:space="preserve">COMUNE DI SPEZZANO ALBANESE </t>
  </si>
  <si>
    <t xml:space="preserve"> SPEZZANO ILLUMINAZIONE PUBBLICA</t>
  </si>
  <si>
    <t xml:space="preserve">Comune di Sant'Eufemia a Maiella - Uff_eFatturaPA </t>
  </si>
  <si>
    <t xml:space="preserve"> SANT'EUFEMIA A MAIELLA ILLUMINAZIONE PUBBLICA</t>
  </si>
  <si>
    <t>Comune</t>
  </si>
  <si>
    <t>Dettaglio commessa</t>
  </si>
  <si>
    <t>Civismart</t>
  </si>
  <si>
    <t>Selettra</t>
  </si>
  <si>
    <t>Ottima</t>
  </si>
  <si>
    <t>Atlantic</t>
  </si>
  <si>
    <t>Bussi</t>
  </si>
  <si>
    <t>Carollo</t>
  </si>
  <si>
    <t>Crosia</t>
  </si>
  <si>
    <t>CMV II</t>
  </si>
  <si>
    <t>CMV I</t>
  </si>
  <si>
    <t>Nerviano</t>
  </si>
  <si>
    <t>Presicce</t>
  </si>
  <si>
    <t>Pulsano</t>
  </si>
  <si>
    <t>Solofra</t>
  </si>
  <si>
    <t>Spezzano Albanese</t>
  </si>
  <si>
    <t>Taviano</t>
  </si>
  <si>
    <t>Torrevecchia</t>
  </si>
  <si>
    <t>Registro Cespiti</t>
  </si>
  <si>
    <t>in corso</t>
  </si>
  <si>
    <t>note</t>
  </si>
  <si>
    <t>da inserire come cespite 2026</t>
  </si>
  <si>
    <t>ADEGUAMENTO</t>
  </si>
  <si>
    <t xml:space="preserve"> ADEGUAMENTO ACRI ILLUMINAZIONE PUBBLICA 2026</t>
  </si>
  <si>
    <t>ADEGUAMENTO ALASSIO ILLUMINAZIONE PUBBLICA 2026</t>
  </si>
  <si>
    <t xml:space="preserve"> ADEGUAMENTO  ALLISTE ILLUMINAZIONE PUBBLICA 2026</t>
  </si>
  <si>
    <t>ADEGUAMENTO ARADEO ILLUMINAZIONE PUBBLICA 2026</t>
  </si>
  <si>
    <t xml:space="preserve"> ADEGUAMENTO ARTENA ILLUMINAZIONE PUBBLICA 2026</t>
  </si>
  <si>
    <t>ADEGUAMENTO ASI BRINDISI ILLUMINAZIONE PUBBLICA 2026</t>
  </si>
  <si>
    <t xml:space="preserve"> ADEGUAMENTO ATELLA ILLUMINAZIONE PUBBLICA 2026</t>
  </si>
  <si>
    <t>ADEGUAMENTO AVIGLIANO ILLUMINAZIONE PUBBLICA 2026</t>
  </si>
  <si>
    <t>ADEGUAMENTO BARAGIANO ILLUMINAZIONE PUBBLICA 2026</t>
  </si>
  <si>
    <t>ADEGUAMENTO BARONISSI ILLUMINAZIONE PUBBLICA 2026</t>
  </si>
  <si>
    <t>ADEGUAMENTO BELLANTE ILLUMINAZIONE PUBBLICA 2026</t>
  </si>
  <si>
    <t>ADEGUAMENTO BiandronnoILLUMINAZIONE PUBBLICA 2026</t>
  </si>
  <si>
    <t>ADEGUAMENTO Borgetto ILLUMINAZIONE PUBBLICA 2026</t>
  </si>
  <si>
    <t xml:space="preserve"> ADEGUAMENTO  BRA ILLUMINAZIONE PUBBLICA 2026</t>
  </si>
  <si>
    <t xml:space="preserve"> ADEGUAMENTO  BUONABITACOLO ILLUMINAZIONE PUBBLICA 2026</t>
  </si>
  <si>
    <t xml:space="preserve"> ADEGUAMENTO BURGIO ILLUMINAZIONE PUBBLICA 2026</t>
  </si>
  <si>
    <t xml:space="preserve"> ADEGUAMENTO  BUSSI SUL TIRINO ILLUMINAZIONE PUBBLICA (CIV) 2026</t>
  </si>
  <si>
    <t>ADEGUAMENTO CAGNANO VARANO ILLUMINAZIONE PUBBLICA 2026</t>
  </si>
  <si>
    <t xml:space="preserve"> ADEGUAMENTO CALITRI ILLUMINAZIONE PUBBLICA 2026</t>
  </si>
  <si>
    <t>ADEGUAMENTO CALTANISSETTA ILLUMINAZIONE PUBBLICA 2026</t>
  </si>
  <si>
    <t>ADEGUAMENTO CALVANICO ILLUMINAZIONE PUBBLICA 2026</t>
  </si>
  <si>
    <t xml:space="preserve"> ADEGUAMENTO CAMEROTA ILLUMINAZIONE PUBBLICA 2026</t>
  </si>
  <si>
    <t>ADEGUAMENTO CAMPI SALENTINA ILLUMINAZIONE PUBBLICA 2026</t>
  </si>
  <si>
    <t>ADEGUAMENTO CAMPOBELLO DI MAZARA ILLUMINAZIONE PUBBLICA 2026</t>
  </si>
  <si>
    <t>ADEGUAMENTO CANEGRATE ILLUMINAZIONE PUBBLICA 2026</t>
  </si>
  <si>
    <t>ADEGUAMENTO CANOSA DI PUGLIA ILLUMINAZIONE PUBBLICA 2026</t>
  </si>
  <si>
    <t>ADEGUAMENTO CASELLE IN PITTARI ILLUMINAZIONE PUBBLICA 2026</t>
  </si>
  <si>
    <t>ADEGUAMENTO CASTELLAMMARE DEL GOLFO ILLUMINAZIONE PUBBLICA 2026</t>
  </si>
  <si>
    <t xml:space="preserve"> ADEGUAMENTO CASTELNUOVO CILENTO ILLUMINAZIONE PUBBLICA 2026</t>
  </si>
  <si>
    <t>ADEGUAMENTO CASTRI DI LECCE ILLUMINAZIONE PUBBLICA 2026</t>
  </si>
  <si>
    <t>ADEGUAMENTO CELLINO SAN MARCO ILLUMINAZIONE PUBBLICA 2026</t>
  </si>
  <si>
    <t>ADEGUAMENTO CERCHIO ILLUMINAZIONE PUBBLICA 2026</t>
  </si>
  <si>
    <t xml:space="preserve"> ADEGUAMENTO CERVARA DI ROMA ILLUMINAZIONE PUBBLICA 2026</t>
  </si>
  <si>
    <t xml:space="preserve"> ADEGUAMENTO COGOLLO DEL CENGIO ILLUMINAZIONE PUBBLICA 2026</t>
  </si>
  <si>
    <t>ADEGUAMENTO COLCERESA ILLUMINAZIONE PUBBLICA 2026</t>
  </si>
  <si>
    <t xml:space="preserve"> ADEGUAMENTO COMUNE DI BELLANTE EFFICIENTAMENTO ENERGETICO EDIFICI 2026</t>
  </si>
  <si>
    <t>ADEGUAMENTO COMUNE DI RACALE ILLUMINAZIONE PUBBLICA 2026</t>
  </si>
  <si>
    <t xml:space="preserve"> ADEGUAMENTO  CORTE BRUGNATELLA ILLUMINAZIONE PUBBLICA 2026</t>
  </si>
  <si>
    <t>ADEGUAMENTO COURMAYEUR ILLUMINAZIONE PUBBLICA 2026</t>
  </si>
  <si>
    <t xml:space="preserve"> ADEGUAMENTO  CREMONA ILLUMINAZIONE PUBBLICA 2026</t>
  </si>
  <si>
    <t>ADEGUAMENTO CURSI ILLUMINAZIONE PUBBLICA 2026</t>
  </si>
  <si>
    <t xml:space="preserve"> ADEGUAMENTO  CURTI ILLUMINAZIONE PUBBLICA 2026</t>
  </si>
  <si>
    <t>ADEGUAMENTO CUSTONACI ILLUMINAZIONE PUBBLICA 2026</t>
  </si>
  <si>
    <t xml:space="preserve"> ADEGUAMENTO  EFFICIENTAMENTO ENERGETICO ALLISTE 2026</t>
  </si>
  <si>
    <t>ADEGUAMENTO EFFICIENTAMENTO ENERGETICO EDIFICI LOTTO 1 E.L.EN.A. 2026</t>
  </si>
  <si>
    <t>ADEGUAMENTO EFFICIENTAMENTO ENERGETICO EDIFICI LOTTO 2 E.L.EN.A. 2026</t>
  </si>
  <si>
    <t>ADEGUAMENTO EFFICIENTAMENTO ENERGETICO EDIFICI LOTTO 3 E.L.EN.A. 2026</t>
  </si>
  <si>
    <t>ADEGUAMENTO EFFICIENTAMENTO ENERGETICO EDIFICI LOTTO 4 E.L.EN.A. 2026</t>
  </si>
  <si>
    <t>ADEGUAMENTO EFFICIENTAMENTO ENERGETICO EDIFICI PELLEZZANO 2026</t>
  </si>
  <si>
    <t>ADEGUAMENTO EFFICIENTAMENTO ENERGETICO EDIFICI SALA CONSILINA 2026</t>
  </si>
  <si>
    <t>ADEGUAMENTO FAGGIANO ILLUMINAZIONE PUBBLICA 2026</t>
  </si>
  <si>
    <t>ADEGUAMENTO FINALE LIGURE ILLUMINAZIONE PUBBLICA 2026</t>
  </si>
  <si>
    <t xml:space="preserve"> ADEGUAMENTO Francavilla al Mare ILLUMINAZIONE PUBBLICA 2026</t>
  </si>
  <si>
    <t>ADEGUAMENTO GAIRO ILLUMINAZIONE PUBBLICA 2026</t>
  </si>
  <si>
    <t>ADEGUAMENTO GALLIPOLI ILLUMINAZIONE PUBBLICA 2026</t>
  </si>
  <si>
    <t>ADEGUAMENTO GavirateILLUMINAZIONE PUBBLICA 2026</t>
  </si>
  <si>
    <t>ADEGUAMENTO GAVOI ILLUMINAZIONE PUBBLICA 2026</t>
  </si>
  <si>
    <t xml:space="preserve"> ADEGUAMENTO GIFFONI SEI CASALI ILLUMINAZIONE PUBBLICA 2026</t>
  </si>
  <si>
    <t>ADEGUAMENTO GIRIFALCO ILLUMINAZIONE PUBBLICA 2026</t>
  </si>
  <si>
    <t xml:space="preserve"> ADEGUAMENTO GRAMMICHELE ILLUMINAZIONE PUBBLICA 2026</t>
  </si>
  <si>
    <t>ADEGUAMENTO GRAVELLONA LOMELLINA ILLUMINAZIONE PUBBLICA 2026</t>
  </si>
  <si>
    <t>ADEGUAMENTO GROTTAGLIE ILLUMINAZIONE PUBBLICA 2026</t>
  </si>
  <si>
    <t xml:space="preserve"> ADEGUAMENTO  GUAGNANO ILLUMINAZIONE PUBBLICA 2026</t>
  </si>
  <si>
    <t>ADEGUAMENTO Guardia Perticara ILLUMINAZIONE PUBBLICA 2026</t>
  </si>
  <si>
    <t>ADEGUAMENTO GUARDIA PIEMONTESE ILLUMINAZIONE PUBBLICA 2026</t>
  </si>
  <si>
    <t xml:space="preserve"> ADEGUAMENTO GUSSAGO ILLUMINAZIONE PUBBLICA 2026</t>
  </si>
  <si>
    <t>ADEGUAMENTO IMPIANTI COMUNE DI CARPINETO SINELLO 2026</t>
  </si>
  <si>
    <t>ADEGUAMENTO IMPIANTI COMUNE DI PICCIANO 2026</t>
  </si>
  <si>
    <t>ADEGUAMENTO IMPIANTI COMUNE DI SAVONA 2026</t>
  </si>
  <si>
    <t>ADEGUAMENTO IMPIANTI PROVINCIA DI SAVONA 2026</t>
  </si>
  <si>
    <t>ADEGUAMENTO IN ATI CANTALUPA ILLUMINAZIONE PUBBLICA 2026</t>
  </si>
  <si>
    <t>ADEGUAMENTO IN ATI FROSSASCO ILLUMINAZIONE PUBBLICA 2026</t>
  </si>
  <si>
    <t>ADEGUAMENTO IN ATI MONTECORVINO ROVELLA ILLUMINAZIONE PUBBLICA 2026</t>
  </si>
  <si>
    <t>ADEGUAMENTO IN ATI PARABITA ILLUMINAZIONE PUBBLICA 2026</t>
  </si>
  <si>
    <t>ADEGUAMENTO IN ATI PINEROLO ILLUMINAZIONE PUBBLICA 2026</t>
  </si>
  <si>
    <t>ADEGUAMENTO IN ATI ROLETTO ILLUMINAZIONE PUBBLICA 2026</t>
  </si>
  <si>
    <t>ADEGUAMENTO in ATI San Nicola Arcella ILLUMINAZIONE PUBBLICA 2026</t>
  </si>
  <si>
    <t>ADEGUAMENTO IN ATI SANT'ARSENIO ILLUMINAZIONE PUBBLICA 2026</t>
  </si>
  <si>
    <t xml:space="preserve"> ADEGUAMENTO  ISOLA DI CAPO RIZZUTO ILLUMINAZIONE PUBBLICA 2026</t>
  </si>
  <si>
    <t>ADEGUAMENTO LACEDONIA ILLUMINAZIONE PUBBLICA 2026</t>
  </si>
  <si>
    <t>ADEGUAMENTO LANUVIO ILLUMINAZIONE PUBBLICA 2026</t>
  </si>
  <si>
    <t>ADEGUAMENTO LAVELLO ILLUMINAZIONE PUBBLICA 2026</t>
  </si>
  <si>
    <t>ADEGUAMENTO LETTOMANOPPELLO ILLUMINAZIONE PUBBLICA 2026</t>
  </si>
  <si>
    <t>ADEGUAMENTO LUCERA ILLUMINAZIONE PUBBLICA 2026</t>
  </si>
  <si>
    <t>ADEGUAMENTO LUZZI ILLUMINAZIONE PUBBLICA 2026</t>
  </si>
  <si>
    <t>ADEGUAMENTO MANDURIA ILLUMINAZIONE PUBBLICA 2026</t>
  </si>
  <si>
    <t>ADEGUAMENTO MARATEA ILLUMINAZIONE PUBBLICA 2026</t>
  </si>
  <si>
    <t>ADEGUAMENTO MARSALA ILLUMINAZIONE PUBBLICA 2026</t>
  </si>
  <si>
    <t xml:space="preserve"> ADEGUAMENTO MASCALI ILLUMINAZIONE PUBBLICA 2026</t>
  </si>
  <si>
    <t>ADEGUAMENTO MAZZARINO ILLUMINAZIONE PUBBLICA 2026</t>
  </si>
  <si>
    <t>ADEGUAMENTO MESSINA ILLUMINAZIONE PUBBLICA 2026</t>
  </si>
  <si>
    <t>ADEGUAMENTO Mezzago ILLUMINAZIONE PUBBLICA 2026</t>
  </si>
  <si>
    <t>ADEGUAMENTO MIGLIONICO EFF.TO ENERGETICO EDIFICI 2026</t>
  </si>
  <si>
    <t>ADEGUAMENTO Mondolfo - PPPILLUMINAZIONE PUBBLICA 2026</t>
  </si>
  <si>
    <t>ADEGUAMENTO MONGRASSANO ILLUMINAZIONE PUBBLICA 2026</t>
  </si>
  <si>
    <t xml:space="preserve"> ADEGUAMENTO MONTECATINI TERME ILLUMINAZIONE PUBBLICA 2026</t>
  </si>
  <si>
    <t>ADEGUAMENTO MONTESCAGLIOSO ILLUMINAZIONE PUBBLICA 2026</t>
  </si>
  <si>
    <t xml:space="preserve"> ADEGUAMENTO MOROLO ILLUMINAZIONE PUBBLICA 2026</t>
  </si>
  <si>
    <t>ADEGUAMENTO MORRO D'ORO ILLUMINAZIONE PUBBLICA 2026</t>
  </si>
  <si>
    <t>ADEGUAMENTO NARDODIPACE ILLUMINAZIONE PUBBLICA 2026</t>
  </si>
  <si>
    <t xml:space="preserve"> ADEGUAMENTO NICHELINO ILLUMINAZIONE PUBBLICA 2026</t>
  </si>
  <si>
    <t xml:space="preserve"> ADEGUAMENTO NOCERA SUPERIORE ILLUMINAZIONE PUBBLICA 2026</t>
  </si>
  <si>
    <t>ADEGUAMENTO Nociglia ILLUMINAZIONE PUBBLICA 2026</t>
  </si>
  <si>
    <t>ADEGUAMENTO NOVA SIRI ILLUMINAZIONE PUBBLICA 2026</t>
  </si>
  <si>
    <t xml:space="preserve"> ADEGUAMENTO OLEVANO SUL TUSCIANO ILLUMINAZIONE PUBBLICA 2026</t>
  </si>
  <si>
    <t>ADEGUAMENTO Onifai ILLUMINAZIONE PUBBLICA 2026</t>
  </si>
  <si>
    <t>ADEGUAMENTO PALOMBARA SABINA ILLUMINAZIONE PUBBLICA 2026</t>
  </si>
  <si>
    <t>ADEGUAMENTO PARTINICO ILLUMINAZIONE PUBBLICA 2026</t>
  </si>
  <si>
    <t>ADEGUAMENTO PATTADA ILLUMINAZIONE PUBBLICA 2026</t>
  </si>
  <si>
    <t xml:space="preserve"> ADEGUAMENTO PETRONA' ILLUMINAZIONE PUBBLICA 2026</t>
  </si>
  <si>
    <t xml:space="preserve"> ADEGUAMENTO PETROSINO ILLUMINAZIONE PUBBLICA 2026</t>
  </si>
  <si>
    <t>ADEGUAMENTO PIANA DEGLI ALBANESI ILLUMINAZIONE PUBBLICA 2026</t>
  </si>
  <si>
    <t>ADEGUAMENTO PIANO DI SORRENTO ILLUMINAZIONE PUBBLICA 2026</t>
  </si>
  <si>
    <t>ADEGUAMENTO PIAZZOLA SUL BRENTA ILLUMINAZIONE PUBBLICA 2026</t>
  </si>
  <si>
    <t>ADEGUAMENTO PICENO CONSID ILLUMINAZIONE PUBBLICA 2026</t>
  </si>
  <si>
    <t xml:space="preserve"> ADEGUAMENTO PIETRAGALLA EFFICIENTAMENTO EDIFICI 2026</t>
  </si>
  <si>
    <t>ADEGUAMENTO PIETRAGALLA ILLUMINAZIONE PUBBLICA 2026</t>
  </si>
  <si>
    <t>ADEGUAMENTO PIETRAVAIRANO ILLUMINAZIONE PUBBLICA 2026</t>
  </si>
  <si>
    <t>ADEGUAMENTO PIEVE FOSCIANA ILLUMINAZIONE PUBBLICA 2026</t>
  </si>
  <si>
    <t>ADEGUAMENTO PIGNOLA ILLUMINAZIONE PUBBLICA 2026</t>
  </si>
  <si>
    <t xml:space="preserve"> ADEGUAMENTO POLICORO EFFICIENTAMENTO EDIFICI 2026</t>
  </si>
  <si>
    <t xml:space="preserve"> ADEGUAMENTO  POMPEI ILLUMINAZIONE PUBBLICA 2026</t>
  </si>
  <si>
    <t>ADEGUAMENTO Pontirolo Nuovo ILLUMINAZIONE PUBBLICA 2026</t>
  </si>
  <si>
    <t>ADEGUAMENTO POPOLI ILLUMINAZIONE PUBBLICA 2026</t>
  </si>
  <si>
    <t>ADEGUAMENTO PORTOCANNONE ILLUMINAZIONE PUBBLICA 2026</t>
  </si>
  <si>
    <t>ADEGUAMENTO REGALBUTO ILLUMINAZIONE PUBBLICA 2026</t>
  </si>
  <si>
    <t>ADEGUAMENTO RIESI ILLUMINAZIONE PUBBLICA 2026</t>
  </si>
  <si>
    <t xml:space="preserve"> ADEGUAMENTO RIONERO IN VULTURE ILLUMINAZIONE PUBBLICA 2026</t>
  </si>
  <si>
    <t xml:space="preserve"> ADEGUAMENTO  RIVOLI ILLUMINAZIONE PUBBLICA 2026</t>
  </si>
  <si>
    <t xml:space="preserve"> ADEGUAMENTO  RODI GARGANICO ILLUMINAZIONE PUBBLICA 2026</t>
  </si>
  <si>
    <t>ADEGUAMENTO ROGGIANO GRAVINA ILLUMINAZIONE PUBBLICA 2026</t>
  </si>
  <si>
    <t>ADEGUAMENTO ROSSANO VENETO ILLUMINAZIONE PUBBLICA 2026</t>
  </si>
  <si>
    <t>ADEGUAMENTO RUOTI ILLUMINAZIONE PUBBLICA 2026</t>
  </si>
  <si>
    <t xml:space="preserve"> ADEGUAMENTO  SACILE ILLUMINAZIONE PUBBLICA 2026</t>
  </si>
  <si>
    <t xml:space="preserve"> ADEGUAMENTO SALAPARUTA ILLUMINAZIONE PUBBLICA 2026</t>
  </si>
  <si>
    <t>ADEGUAMENTO SAN CESARIO DI LECCE ILLUMINAZIONE PUBBLICA 2026</t>
  </si>
  <si>
    <t xml:space="preserve"> ADEGUAMENTO  SAN CIPRIANO PICENTINO ILLUMINAZIONE PUBBLICA 2026</t>
  </si>
  <si>
    <t>ADEGUAMENTO SAN FELICE A CANCELLO ILLUMINAZIONE PUBBLICA 2026</t>
  </si>
  <si>
    <t xml:space="preserve"> ADEGUAMENTO SAN GIORGIO IONICO EFFICIENTAMENTO EDIFICI 2026</t>
  </si>
  <si>
    <t>ADEGUAMENTO SAN GIULIANO MILANESE ILLUMINAZIONE PUBBLICA 2026</t>
  </si>
  <si>
    <t xml:space="preserve"> ADEGUAMENTO SAN LUCIDO ILLUMINAZIONE PUBBLICA 2026</t>
  </si>
  <si>
    <t>ADEGUAMENTO SAN MARCO D'ALUNZIO ILLUMINAZIONE PUBBLICA 2026</t>
  </si>
  <si>
    <t>ADEGUAMENTO SAN MARZANO DI SAN GIUSEPPE ILLUMINAZIONE PUBBLICA 2026</t>
  </si>
  <si>
    <t>ADEGUAMENTO SAN MARZANO SUL SARNO ILLUMINAZIONE PUBBLICA 2026</t>
  </si>
  <si>
    <t>ADEGUAMENTO SAN TEODORO ILLUMINAZIONE PUBBLICA 2026</t>
  </si>
  <si>
    <t>ADEGUAMENTO SAN VITO CHIETINO ILLUMINAZIONE PUBBLICA 2026</t>
  </si>
  <si>
    <t>ADEGUAMENTO SAN VITO SULLO IONIO ILLUMINAZIONE PUBBLICA 2026</t>
  </si>
  <si>
    <t xml:space="preserve"> ADEGUAMENTO SANTA MARIA DEL CEDRO ILLUMINAZIONE PUBBLICA 2026</t>
  </si>
  <si>
    <t>ADEGUAMENTO SANT'ANGELO LE FRATTE ILLUMINAZIONE PUBBLICA 2026</t>
  </si>
  <si>
    <t>ADEGUAMENTO SANT'ARCANGELO ILLUMINAZIONE PUBBLICA 2026</t>
  </si>
  <si>
    <t>ADEGUAMENTO SANT'EUFEMIA A MAIELLA ILLUMINAZIONE PUBBLICA 2026</t>
  </si>
  <si>
    <t xml:space="preserve"> ADEGUAMENTO  SARONNO ILLUMINAZIONE PUBBLICA 2026</t>
  </si>
  <si>
    <t xml:space="preserve"> ADEGUAMENTO SASSO DI CASTALDA ILLUMINAZIONE PUBBLICA 2026</t>
  </si>
  <si>
    <t>ADEGUAMENTO SCANZANO JONICO ILLUMINAZIONE PUBBLICA 2026</t>
  </si>
  <si>
    <t>ADEGUAMENTO SCORDIA ILLUMINAZIONE PUBBLICA 2026</t>
  </si>
  <si>
    <t xml:space="preserve"> ADEGUAMENTO  SCORRANO ILLUMINAZIONE PUBBLICA 2026</t>
  </si>
  <si>
    <t>ADEGUAMENTO SCURCOLA MARSICANA ILLUMINAZIONE PUBBLICA 2026</t>
  </si>
  <si>
    <t>ADEGUAMENTO Senigallia - Project 2031ILLUMINAZIONE PUBBLICA 2026</t>
  </si>
  <si>
    <t xml:space="preserve"> ADEGUAMENTO SERRONE ILLUMINAZIONE PUBBLICA 2026</t>
  </si>
  <si>
    <t>ADEGUAMENTO SOMMATINO ILLUMINAZIONE PUBBLICA 2026</t>
  </si>
  <si>
    <t xml:space="preserve"> ADEGUAMENTO SORI ILLUMINAZIONE PUBBLICA 2026</t>
  </si>
  <si>
    <t>ADEGUAMENTO SPINOSO ILLUMINAZIONE PUBBLICA 2026</t>
  </si>
  <si>
    <t>ADEGUAMENTO SPOTORNO ILLUMINAZIONE PUBBLICA 2026</t>
  </si>
  <si>
    <t xml:space="preserve"> ADEGUAMENTO STRONGOLI ILLUMINAZIONE PUBBLICA 2026</t>
  </si>
  <si>
    <t xml:space="preserve"> ADEGUAMENTO TolentinoILLUMINAZIONE PUBBLICA 2026</t>
  </si>
  <si>
    <t>ADEGUAMENTO TRAMUTOLA ILLUMINAZIONE PUBBLICA 2026</t>
  </si>
  <si>
    <t xml:space="preserve"> ADEGUAMENTO TRECATE ILLUMINAZIONE PUBBLICA 2026</t>
  </si>
  <si>
    <t>ADEGUAMENTO TRECCHINA ILLUMINAZIONE PUBBLICA 2026</t>
  </si>
  <si>
    <t xml:space="preserve"> ADEGUAMENTO  Trieste - PPPILLUMINAZIONE PUBBLICA 2026</t>
  </si>
  <si>
    <t>ADEGUAMENTO UGENTO ILLUMINAZIONE PUBBLICA 2026</t>
  </si>
  <si>
    <t xml:space="preserve"> ADEGUAMENTO UMBRIATICO ILLUMINAZIONE PUBBLICA 2026</t>
  </si>
  <si>
    <t xml:space="preserve"> ADEGUAMENTO  URURI ILLUMINAZIONE PUBBLICA 2026</t>
  </si>
  <si>
    <t xml:space="preserve"> ADEGUAMENTO  VAIRANO PATENORA ILLUMINAZIONE PUBBLICA 2026</t>
  </si>
  <si>
    <t xml:space="preserve"> ADEGUAMENTO VALVERDE ILLUMINAZIONE PUBBLICA 2026</t>
  </si>
  <si>
    <t xml:space="preserve"> ADEGUAMENTO  Venezia PBEFFICIENTAMENTO ENERGETICO EDIFICI 2026</t>
  </si>
  <si>
    <t xml:space="preserve"> ADEGUAMENTO  Venezia PLILLUMINAZIONE PUBBLICA 2026</t>
  </si>
  <si>
    <t>ADEGUAMENTO VIBONATI ILLUMINAZIONE PUBBLICA 2026</t>
  </si>
  <si>
    <t>ADEGUAMENTO VICOPISANO ILLUMINAZIONE PUBBLICA 2026</t>
  </si>
  <si>
    <t xml:space="preserve"> ADEGUAMENTO  VIGARANO MAINARDA EFFICIENTAMENTO ENERGETICO EDIFICI 2026</t>
  </si>
  <si>
    <t xml:space="preserve"> ADEGUAMENTO VILLAPUTZU ILLUMINAZIONE PUBBLICA 2026</t>
  </si>
  <si>
    <t>ADEGUAMENTO ATRI EDIFICI ILLUMINAZIONE PUBBLICA 2026</t>
  </si>
  <si>
    <t>ADEGUAMENTO BICCARI ILLUMINAZIONE PUBBLICA 2026</t>
  </si>
  <si>
    <t>ADEGUAMENTO BOVALINO ILLUMINAZIONE PUBBLICA 2026</t>
  </si>
  <si>
    <t>ADEGUAMENTO BRESCIA MOBILITA' SPA TRASPORTO ELETTRICO 2026</t>
  </si>
  <si>
    <t>ADEGUAMENTO CAMPO CALABRO ILLUMINAZIONE PUBBLICA 2026</t>
  </si>
  <si>
    <t>ADEGUAMENTO CARDINALE ILLUMINAZIONE PUBBLICA 2026</t>
  </si>
  <si>
    <t>ADEGUAMENTO CHIARAVALLE CENTRALE ILLUMINAZIONE PUBBLICA 2026</t>
  </si>
  <si>
    <t>ADEGUAMENTO CHIOGGIA TRASPORTO PUBBLICO LOCALE 2026</t>
  </si>
  <si>
    <t>ADEGUAMENTO COLOBRARO ILLUMINAZIONE PUBBLICA 2026</t>
  </si>
  <si>
    <t>ADEGUAMENTO CRISPIANO ILLUMINAZIONE PUBBLICA 2026</t>
  </si>
  <si>
    <t>ADEGUAMENTO ESPERIA ILLUMINAZIONE PUBBLICA 2026</t>
  </si>
  <si>
    <t>ADEGUAMENTO FILIANO ILLUMINAZIONE PUBBLICA 2026</t>
  </si>
  <si>
    <t>ADEGUAMENTO GINESTRA ILLUMINAZIONE PUBBLICA 2026</t>
  </si>
  <si>
    <t>ADEGUAMENTO GRAVINA DI CATANIA ILLUMINAZIONE PUBBLICA 2026</t>
  </si>
  <si>
    <t>ADEGUAMENTO LAGANADI ILLUMINAZIONE PUBBLICA 2026</t>
  </si>
  <si>
    <t>ADEGUAMENTO LAGO ILLUMINAZIONE PUBBLICA 2026</t>
  </si>
  <si>
    <t>ADEGUAMENTO LEZZENO ILLUMINAZIONE PUBBLICA 2026</t>
  </si>
  <si>
    <t>ADEGUAMENTO MILAZZO ILLUMINAZIONE PUBBLICA 2026</t>
  </si>
  <si>
    <t>ADEGUAMENTO MONTELEONE SABINO ILLUMINAZIONE PUBBLICA 2026</t>
  </si>
  <si>
    <t>ADEGUAMENTO NOVE ILLUMINAZIONE PUBBLICA 2026</t>
  </si>
  <si>
    <t>ADEGUAMENTO PELLEZZANO ILLUMINAZIONE PUBBLICA 2026</t>
  </si>
  <si>
    <t>ADEGUAMENTO PIANEZZE ILLUMINAZIONE PUBBLICA 2026</t>
  </si>
  <si>
    <t>ADEGUAMENTO PISTICCI ILLUMINAZIONE PUBBLICA 2026</t>
  </si>
  <si>
    <t>ADEGUAMENTO PIZZO CALABRO ILLUMINAZIONE PUBBLICA 2026</t>
  </si>
  <si>
    <t>ADEGUAMENTO POGGIARDO ILLUMINAZIONE PUBBLICA 2026</t>
  </si>
  <si>
    <t>ADEGUAMENTO SANTA MARIA LA CARITA' ILLUMINAZIONE PUBBLICA 2026</t>
  </si>
  <si>
    <t>ADEGUAMENTO SANT'ANTIMO ILLUMINAZIONE PUBBLICA 2026</t>
  </si>
  <si>
    <t>ADEGUAMENTO TORRICELLA ILLUMINAZIONE PUBBLICA 2026</t>
  </si>
  <si>
    <t>ADEGUAMENTO VILLA SAN GIOVANNI ILLUMINAZIONE PUBBLICA 2026</t>
  </si>
  <si>
    <t>ADEGUAMENTO VILLA SANTA LUCIA ILLUMINAZIONE PUBBLICA 2026</t>
  </si>
  <si>
    <t>Bussi Sul Tirino 2026</t>
  </si>
  <si>
    <t>Taviano 2026</t>
  </si>
  <si>
    <t>Crosia 2026</t>
  </si>
  <si>
    <t>Eraclea 2026</t>
  </si>
  <si>
    <t>Mira 2026</t>
  </si>
  <si>
    <t>Mirano 2026</t>
  </si>
  <si>
    <t>Nerviano 2026</t>
  </si>
  <si>
    <t>Solofra 2026</t>
  </si>
  <si>
    <t>Strà 2026</t>
  </si>
  <si>
    <t>Jesolo 2026</t>
  </si>
  <si>
    <t>Musile 2026</t>
  </si>
  <si>
    <t>Presicce Acquarica 2026</t>
  </si>
  <si>
    <t>Pulsano 2026</t>
  </si>
  <si>
    <t>San Donà di Piave 2026</t>
  </si>
  <si>
    <t>Spezzano Albanese 2026</t>
  </si>
  <si>
    <t>Torrevecchia 2026</t>
  </si>
  <si>
    <t>da inserire nei cespiti 2026</t>
  </si>
  <si>
    <t>Presicce Acquarica</t>
  </si>
  <si>
    <t>Totale Servizi</t>
  </si>
  <si>
    <t>Totale Materiali + Oneri</t>
  </si>
  <si>
    <t>Totale Manodopera</t>
  </si>
  <si>
    <t>Somma di 03 - Manodopera</t>
  </si>
  <si>
    <t>Somma di 02 - Servizi</t>
  </si>
  <si>
    <t>Somma di 04 - Materiali</t>
  </si>
  <si>
    <t>Somma di 01 - Oneri</t>
  </si>
  <si>
    <t>ADEGUAMENTOFermignanoILLUMINAZIONE PUBBLICA 2026</t>
  </si>
  <si>
    <t>Costi</t>
  </si>
  <si>
    <t>Somma di 05 - Ricavi</t>
  </si>
  <si>
    <t>Somma di Costi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</si>
</sst>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€#,##0.00"/>
    <numFmt numFmtId="165" formatCode="_-* #,##0.00\ _€_-;\-* #,##0.00\ _€_-;_-* &quot;-&quot;??\ _€_-;_-@_-"/>
    <numFmt numFmtId="166" formatCode="_-* #,##0.0_-;\-* #,##0.0_-;_-* &quot;-&quot;??_-;_-@_-"/>
  </numFmts>
  <fonts count="15">
    <font>
      <sz val="11"/>
      <color indexed="8"/>
      <name val="Aptos Narrow"/>
      <family val="2"/>
      <scheme val="minor"/>
    </font>
    <font>
      <sz val="25"/>
      <name val="Lucida Sans Demibold Roman"/>
    </font>
    <font>
      <b/>
      <sz val="14"/>
      <name val="Lucida Sans Regular"/>
    </font>
    <font>
      <sz val="14"/>
      <name val="Lucida Sans Regular"/>
    </font>
    <font>
      <sz val="10"/>
      <name val="Lucida Sans Demibold Roman"/>
    </font>
    <font>
      <b/>
      <sz val="10"/>
      <name val="Lucida Sans Demibold Roman"/>
    </font>
    <font>
      <b/>
      <sz val="10"/>
      <name val="Lucida Sans Demibold Roman"/>
    </font>
    <font>
      <sz val="10"/>
      <name val="Lucida Sans Regular"/>
    </font>
    <font>
      <sz val="10"/>
      <name val="Lucida Sans Regular"/>
    </font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Lucida Sans Demibold Roman"/>
    </font>
    <font>
      <sz val="10"/>
      <color theme="0"/>
      <name val="Lucida Sans Demibold Roman"/>
    </font>
    <font>
      <b/>
      <sz val="11"/>
      <color indexed="8"/>
      <name val="Aptos Narrow"/>
      <family val="2"/>
      <scheme val="minor"/>
    </font>
    <font>
      <sz val="9"/>
      <color theme="0"/>
      <name val="Lucida Sans Demibold Roman"/>
    </font>
  </fonts>
  <fills count="10">
    <fill>
      <patternFill patternType="none"/>
    </fill>
    <fill>
      <patternFill patternType="gray125"/>
    </fill>
    <fill>
      <patternFill patternType="solid">
        <fgColor rgb="FFF5F4F2"/>
      </patternFill>
    </fill>
    <fill>
      <patternFill patternType="none">
        <fgColor rgb="FFE4E1DD"/>
      </patternFill>
    </fill>
    <fill>
      <patternFill patternType="solid">
        <fgColor rgb="FFE4E1DD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3" borderId="0" applyFont="0" applyFill="0" applyBorder="0" applyAlignment="0" applyProtection="0"/>
  </cellStyleXfs>
  <cellXfs count="76">
    <xf numFmtId="0" fontId="0" fillId="0" borderId="0" xfId="0"/>
    <xf numFmtId="164" fontId="8" fillId="0" borderId="0" xfId="0" applyNumberFormat="1" applyFont="1"/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  <xf numFmtId="164" fontId="6" fillId="0" borderId="0" xfId="0" applyNumberFormat="1" applyFont="1"/>
    <xf numFmtId="0" fontId="7" fillId="0" borderId="0" xfId="0" applyFont="1" applyAlignment="1">
      <alignment horizontal="left" vertical="top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0" borderId="0" xfId="0" applyFont="1" applyAlignment="1">
      <alignment vertical="top"/>
    </xf>
    <xf numFmtId="0" fontId="4" fillId="5" borderId="0" xfId="0" applyFont="1" applyFill="1" applyAlignment="1">
      <alignment horizontal="center" vertical="center"/>
    </xf>
    <xf numFmtId="164" fontId="0" fillId="0" borderId="0" xfId="0" applyNumberFormat="1"/>
    <xf numFmtId="0" fontId="7" fillId="6" borderId="0" xfId="0" applyFont="1" applyFill="1" applyAlignment="1">
      <alignment vertical="top"/>
    </xf>
    <xf numFmtId="0" fontId="7" fillId="6" borderId="0" xfId="0" applyFont="1" applyFill="1" applyAlignment="1">
      <alignment vertical="top" wrapText="1"/>
    </xf>
    <xf numFmtId="0" fontId="0" fillId="6" borderId="0" xfId="0" applyFill="1"/>
    <xf numFmtId="0" fontId="7" fillId="6" borderId="0" xfId="0" applyFont="1" applyFill="1" applyAlignment="1">
      <alignment horizontal="left" vertical="top"/>
    </xf>
    <xf numFmtId="164" fontId="8" fillId="6" borderId="0" xfId="0" applyNumberFormat="1" applyFont="1" applyFill="1"/>
    <xf numFmtId="0" fontId="7" fillId="0" borderId="0" xfId="0" applyFont="1" applyAlignment="1">
      <alignment vertical="top" wrapText="1"/>
    </xf>
    <xf numFmtId="0" fontId="11" fillId="7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9" fontId="12" fillId="7" borderId="0" xfId="2" applyFont="1" applyFill="1" applyAlignment="1">
      <alignment horizontal="center" vertical="center" wrapText="1"/>
    </xf>
    <xf numFmtId="43" fontId="11" fillId="7" borderId="0" xfId="1" applyFont="1" applyFill="1" applyAlignment="1">
      <alignment horizontal="center" vertical="center"/>
    </xf>
    <xf numFmtId="43" fontId="11" fillId="7" borderId="0" xfId="1" applyFont="1" applyFill="1" applyAlignment="1">
      <alignment horizontal="center" vertical="center" wrapText="1"/>
    </xf>
    <xf numFmtId="164" fontId="13" fillId="0" borderId="0" xfId="0" applyNumberFormat="1" applyFont="1"/>
    <xf numFmtId="164" fontId="0" fillId="0" borderId="1" xfId="0" applyNumberFormat="1" applyBorder="1"/>
    <xf numFmtId="0" fontId="0" fillId="0" borderId="1" xfId="0" applyBorder="1"/>
    <xf numFmtId="9" fontId="0" fillId="3" borderId="0" xfId="2" applyFont="1"/>
    <xf numFmtId="43" fontId="0" fillId="0" borderId="0" xfId="1" applyFont="1"/>
    <xf numFmtId="9" fontId="0" fillId="0" borderId="0" xfId="0" applyNumberFormat="1"/>
    <xf numFmtId="43" fontId="0" fillId="0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4" fontId="8" fillId="0" borderId="1" xfId="0" applyNumberFormat="1" applyFont="1" applyBorder="1"/>
    <xf numFmtId="0" fontId="0" fillId="0" borderId="0" xfId="0" applyAlignment="1">
      <alignment wrapText="1"/>
    </xf>
    <xf numFmtId="0" fontId="0" fillId="5" borderId="0" xfId="0" applyFill="1" applyAlignment="1">
      <alignment horizontal="left"/>
    </xf>
    <xf numFmtId="0" fontId="10" fillId="8" borderId="0" xfId="0" applyFont="1" applyFill="1"/>
    <xf numFmtId="0" fontId="10" fillId="8" borderId="0" xfId="0" applyFont="1" applyFill="1" applyAlignment="1">
      <alignment wrapText="1"/>
    </xf>
    <xf numFmtId="43" fontId="13" fillId="0" borderId="0" xfId="0" applyNumberFormat="1" applyFont="1"/>
    <xf numFmtId="0" fontId="0" fillId="5" borderId="0" xfId="0" applyFill="1"/>
    <xf numFmtId="43" fontId="0" fillId="5" borderId="0" xfId="1" applyFont="1" applyFill="1"/>
    <xf numFmtId="0" fontId="11" fillId="0" borderId="0" xfId="0" applyFont="1" applyAlignment="1">
      <alignment horizontal="center" vertical="center" wrapText="1"/>
    </xf>
    <xf numFmtId="9" fontId="14" fillId="7" borderId="0" xfId="2" applyFont="1" applyFill="1" applyAlignment="1">
      <alignment horizontal="center" vertical="center" wrapText="1"/>
    </xf>
    <xf numFmtId="43" fontId="0" fillId="9" borderId="0" xfId="1" applyFont="1" applyFill="1"/>
    <xf numFmtId="43" fontId="0" fillId="0" borderId="1" xfId="1" applyFont="1" applyBorder="1"/>
    <xf numFmtId="43" fontId="0" fillId="0" borderId="0" xfId="1" applyFont="1" applyBorder="1"/>
    <xf numFmtId="43" fontId="13" fillId="0" borderId="0" xfId="1" applyFont="1" applyBorder="1"/>
    <xf numFmtId="0" fontId="7" fillId="0" borderId="1" xfId="0" applyFont="1" applyBorder="1" applyAlignment="1">
      <alignment horizontal="left" vertical="top"/>
    </xf>
    <xf numFmtId="164" fontId="7" fillId="0" borderId="0" xfId="0" applyNumberFormat="1" applyFont="1"/>
    <xf numFmtId="4" fontId="0" fillId="0" borderId="0" xfId="0" applyNumberFormat="1"/>
    <xf numFmtId="164" fontId="13" fillId="0" borderId="1" xfId="0" applyNumberFormat="1" applyFont="1" applyBorder="1"/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43" fontId="0" fillId="0" borderId="0" xfId="1" applyFont="1" applyAlignment="1">
      <alignment wrapText="1"/>
    </xf>
    <xf numFmtId="9" fontId="0" fillId="0" borderId="0" xfId="0" applyNumberForma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13" fillId="0" borderId="0" xfId="0" applyNumberFormat="1" applyFont="1" applyAlignment="1">
      <alignment wrapText="1"/>
    </xf>
    <xf numFmtId="43" fontId="13" fillId="0" borderId="0" xfId="1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0" fillId="0" borderId="1" xfId="0" applyBorder="1" applyAlignment="1">
      <alignment wrapText="1"/>
    </xf>
    <xf numFmtId="164" fontId="8" fillId="0" borderId="0" xfId="0" applyNumberFormat="1" applyFont="1" applyAlignment="1">
      <alignment wrapText="1"/>
    </xf>
    <xf numFmtId="9" fontId="0" fillId="3" borderId="0" xfId="2" applyFont="1" applyAlignment="1">
      <alignment wrapText="1"/>
    </xf>
    <xf numFmtId="43" fontId="0" fillId="0" borderId="0" xfId="1" applyFont="1" applyFill="1" applyAlignment="1">
      <alignment wrapText="1"/>
    </xf>
    <xf numFmtId="164" fontId="8" fillId="0" borderId="1" xfId="0" applyNumberFormat="1" applyFont="1" applyBorder="1" applyAlignment="1">
      <alignment wrapText="1"/>
    </xf>
    <xf numFmtId="3" fontId="0" fillId="0" borderId="0" xfId="0" applyNumberFormat="1" applyAlignment="1">
      <alignment wrapText="1"/>
    </xf>
    <xf numFmtId="0" fontId="1" fillId="2" borderId="0" xfId="0" applyFont="1" applyFill="1"/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165" fontId="0" fillId="0" borderId="0" xfId="0" applyNumberFormat="1" applyAlignment="1">
      <alignment wrapText="1"/>
    </xf>
    <xf numFmtId="166" fontId="0" fillId="0" borderId="0" xfId="1" applyNumberFormat="1" applyFont="1" applyAlignment="1">
      <alignment wrapText="1"/>
    </xf>
  </cellXfs>
  <cellStyles count="3">
    <cellStyle name="Comma" xfId="1" builtinId="3"/>
    <cellStyle name="Normal" xfId="0" builtinId="0"/>
    <cellStyle name="Percentuale 2" xfId="2" xr:uid="{533DDDD2-D833-4B39-980F-09BF2B128DD9}"/>
  </cellStyles>
  <dxfs count="14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ommesse%20Fotovoltaico%20al%2031.08.2026%20v1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a D'Andrea" refreshedDate="46269.722189120374" createdVersion="8" refreshedVersion="8" minRefreshableVersion="3" recordCount="342" xr:uid="{07383F06-5764-4DCC-8072-9B7C9FF037F1}">
  <cacheSource type="worksheet">
    <worksheetSource ref="A5:O347" sheet="capitalizzazioni CVS"/>
  </cacheSource>
  <cacheFields count="15">
    <cacheField name="NEW Activity Code + Note" numFmtId="0">
      <sharedItems count="10">
        <s v="PREPARATION"/>
        <s v="Pipeline"/>
        <s v="Scouting"/>
        <s v="Construction"/>
        <s v="Construction &amp; Operational"/>
        <s v="Construction(OLD)"/>
        <s v="Preparation / RPF"/>
        <s v="Engineering"/>
        <s v="Construction "/>
        <s v="Executive Project"/>
      </sharedItems>
    </cacheField>
    <cacheField name="Project ID" numFmtId="0">
      <sharedItems/>
    </cacheField>
    <cacheField name="Project Name" numFmtId="0">
      <sharedItems/>
    </cacheField>
    <cacheField name="Comune" numFmtId="0">
      <sharedItems/>
    </cacheField>
    <cacheField name="Dettaglio commessa" numFmtId="0">
      <sharedItems count="217">
        <s v=" BRESCIA MOBILITA' SPA TRASPORTO ELETTRICO"/>
        <s v=" CAGNANO VARANO ILLUMINAZIONE PUBBLICA"/>
        <s v=" ACRI ILLUMINAZIONE PUBBLICA"/>
        <s v=" ALASSIO ILLUMINAZIONE PUBBLICA"/>
        <s v=" EFFICIENTAMENTO ENERGETICO ALLISTE"/>
        <s v=" ALLISTE ILLUMINAZIONE PUBBLICA"/>
        <s v=" ARADEO ILLUMINAZIONE PUBBLICA"/>
        <s v=" ARTENA ILLUMINAZIONE PUBBLICA"/>
        <s v=" ATELLA ILLUMINAZIONE PUBBLICA"/>
        <s v=" ATRI EDIFICI ILLUMINAZIONE PUBBLICA"/>
        <s v=" AVIGLIANO ILLUMINAZIONE PUBBLICA"/>
        <s v=" BARAGIANO ILLUMINAZIONE PUBBLICA"/>
        <s v=" BARONISSI ILLUMINAZIONE PUBBLICA"/>
        <s v=" COMUNE DI BELLANTE EFFICIENTAMENTO ENERGETICO EDIFICI"/>
        <s v=" BELLANTE ILLUMINAZIONE PUBBLICA"/>
        <s v=" BiandronnoILLUMINAZIONE PUBBLICA"/>
        <s v=" BICCARI ILLUMINAZIONE PUBBLICA"/>
        <s v=" Borgetto ILLUMINAZIONE PUBBLICA"/>
        <s v=" BOVALINO ILLUMINAZIONE PUBBLICA"/>
        <s v=" BRA ILLUMINAZIONE PUBBLICA"/>
        <s v=" BUONABITACOLO ILLUMINAZIONE PUBBLICA"/>
        <s v=" BURGIO ILLUMINAZIONE PUBBLICA"/>
        <s v=" BUSSI SUL TIRINO ILLUMINAZIONE PUBBLICA (CIV)"/>
        <s v=" CALITRI ILLUMINAZIONE PUBBLICA"/>
        <s v=" CALTANISSETTA ILLUMINAZIONE PUBBLICA"/>
        <s v=" CALVANICO ILLUMINAZIONE PUBBLICA"/>
        <s v=" CAMEROTA ILLUMINAZIONE PUBBLICA"/>
        <s v=" CAMPI SALENTINA ILLUMINAZIONE PUBBLICA"/>
        <s v=" EFFICIENTAMENTO ENERGETICO EDIFICI LOTTO 4 E.L.EN.A."/>
        <s v=" EFFICIENTAMENTO ENERGETICO EDIFICI LOTTO 2 E.L.EN.A."/>
        <s v=" EFFICIENTAMENTO ENERGETICO EDIFICI LOTTO 3 E.L.EN.A."/>
        <s v=" EFFICIENTAMENTO ENERGETICO EDIFICI LOTTO 1 E.L.EN.A."/>
        <s v=" CAMPO CALABRO ILLUMINAZIONE PUBBLICA"/>
        <s v=" CAMPOBELLO DI MAZARA ILLUMINAZIONE PUBBLICA"/>
        <s v=" CANEGRATE ILLUMINAZIONE PUBBLICA"/>
        <s v=" CANOSA DI PUGLIA ILLUMINAZIONE PUBBLICA"/>
        <s v=" IN ATI CANTALUPA ILLUMINAZIONE PUBBLICA"/>
        <s v=" CARDINALE ILLUMINAZIONE PUBBLICA"/>
        <s v=" IMPIANTI COMUNE DI CARPINETO SINELLO"/>
        <s v=" CASELLE IN PITTARI ILLUMINAZIONE PUBBLICA"/>
        <s v=" CASTELLAMMARE DEL GOLFO ILLUMINAZIONE PUBBLICA"/>
        <s v=" CASTELNUOVO CILENTO ILLUMINAZIONE PUBBLICA"/>
        <s v=" CASTRI DI LECCE ILLUMINAZIONE PUBBLICA"/>
        <s v=" CELLINO SAN MARCO ILLUMINAZIONE PUBBLICA"/>
        <s v=" CERCHIO ILLUMINAZIONE PUBBLICA"/>
        <s v=" CERVARA DI ROMA ILLUMINAZIONE PUBBLICA"/>
        <s v=" CHIARAVALLE CENTRALE ILLUMINAZIONE PUBBLICA"/>
        <s v=" CHIOGGIA TRASPORTO PUBBLICO LOCALE"/>
        <s v=" COGOLLO DEL CENGIO ILLUMINAZIONE PUBBLICA"/>
        <s v=" COLCERESA ILLUMINAZIONE PUBBLICA"/>
        <s v=" COLOBRARO ILLUMINAZIONE PUBBLICA"/>
        <s v=" CORTE BRUGNATELLA ILLUMINAZIONE PUBBLICA"/>
        <s v=" COURMAYEUR ILLUMINAZIONE PUBBLICA"/>
        <s v=" CREMONA ILLUMINAZIONE PUBBLICA"/>
        <s v=" CRISPIANO ILLUMINAZIONE PUBBLICA"/>
        <s v=" CURSI ILLUMINAZIONE PUBBLICA"/>
        <s v=" CURTI ILLUMINAZIONE PUBBLICA"/>
        <s v=" CUSTONACI ILLUMINAZIONE PUBBLICA"/>
        <s v=" ESPERIA ILLUMINAZIONE PUBBLICA"/>
        <s v=" FAGGIANO ILLUMINAZIONE PUBBLICA"/>
        <s v=" FermignanoILLUMINAZIONE PUBBLICA"/>
        <s v=" FILIANO ILLUMINAZIONE PUBBLICA"/>
        <s v=" FINALE LIGURE ILLUMINAZIONE PUBBLICA"/>
        <s v=" Francavilla al Mare ILLUMINAZIONE PUBBLICA"/>
        <s v=" IN ATI FROSSASCO ILLUMINAZIONE PUBBLICA"/>
        <s v=" GAIRO ILLUMINAZIONE PUBBLICA"/>
        <s v=" GALLIPOLI ILLUMINAZIONE PUBBLICA"/>
        <s v=" GavirateILLUMINAZIONE PUBBLICA"/>
        <s v=" GAVOI ILLUMINAZIONE PUBBLICA"/>
        <s v=" GIFFONI SEI CASALI ILLUMINAZIONE PUBBLICA"/>
        <s v=" GINESTRA ILLUMINAZIONE PUBBLICA"/>
        <s v=" GIRIFALCO ILLUMINAZIONE PUBBLICA"/>
        <s v=" GRAMMICHELE ILLUMINAZIONE PUBBLICA"/>
        <s v=" GRAVELLONA LOMELLINA ILLUMINAZIONE PUBBLICA"/>
        <s v=" GRAVINA DI CATANIA ILLUMINAZIONE PUBBLICA"/>
        <s v=" GROTTAGLIE ILLUMINAZIONE PUBBLICA"/>
        <s v=" GUAGNANO ILLUMINAZIONE PUBBLICA"/>
        <s v=" Guardia Perticara ILLUMINAZIONE PUBBLICA"/>
        <s v=" GUSSAGO ILLUMINAZIONE PUBBLICA"/>
        <s v=" ISOLA DI CAPO RIZZUTO ILLUMINAZIONE PUBBLICA"/>
        <s v=" LACEDONIA ILLUMINAZIONE PUBBLICA"/>
        <s v=" LAGANADI ILLUMINAZIONE PUBBLICA"/>
        <s v=" LAGO ILLUMINAZIONE PUBBLICA"/>
        <s v=" LANUVIO ILLUMINAZIONE PUBBLICA"/>
        <s v=" LAVELLO ILLUMINAZIONE PUBBLICA"/>
        <s v=" LETTOMANOPPELLO ILLUMINAZIONE PUBBLICA"/>
        <s v=" LEZZENO ILLUMINAZIONE PUBBLICA"/>
        <s v=" LUCERA ILLUMINAZIONE PUBBLICA"/>
        <s v=" LUZZI ILLUMINAZIONE PUBBLICA"/>
        <s v=" MANDURIA ILLUMINAZIONE PUBBLICA"/>
        <s v=" MARATEA ILLUMINAZIONE PUBBLICA"/>
        <s v=" MARSALA ILLUMINAZIONE PUBBLICA"/>
        <s v=" MASCALI ILLUMINAZIONE PUBBLICA"/>
        <s v=" MAZZARINO ILLUMINAZIONE PUBBLICA"/>
        <s v=" MESSINA ILLUMINAZIONE PUBBLICA"/>
        <s v=" Mezzago ILLUMINAZIONE PUBBLICA"/>
        <s v=" MIGLIONICO EFF.TO ENERGETICO EDIFICI"/>
        <s v=" MILAZZO ILLUMINAZIONE PUBBLICA"/>
        <s v=" Mondolfo - PPPILLUMINAZIONE PUBBLICA"/>
        <s v=" MONGRASSANO ILLUMINAZIONE PUBBLICA"/>
        <s v=" MONTECATINI TERME ILLUMINAZIONE PUBBLICA"/>
        <s v=" IN ATI MONTECORVINO ROVELLA ILLUMINAZIONE PUBBLICA"/>
        <s v=" MONTELEONE SABINO ILLUMINAZIONE PUBBLICA"/>
        <s v=" MONTESCAGLIOSO ILLUMINAZIONE PUBBLICA"/>
        <s v=" MOROLO ILLUMINAZIONE PUBBLICA"/>
        <s v=" MORRO D'ORO ILLUMINAZIONE PUBBLICA"/>
        <s v=" NARDODIPACE ILLUMINAZIONE PUBBLICA"/>
        <s v=" NICHELINO ILLUMINAZIONE PUBBLICA"/>
        <s v=" NOCERA SUPERIORE ILLUMINAZIONE PUBBLICA"/>
        <s v=" Nociglia ILLUMINAZIONE PUBBLICA"/>
        <s v=" NOVA SIRI ILLUMINAZIONE PUBBLICA"/>
        <s v=" NOVE ILLUMINAZIONE PUBBLICA"/>
        <s v=" OLEVANO SUL TUSCIANO ILLUMINAZIONE PUBBLICA"/>
        <s v=" Onifai ILLUMINAZIONE PUBBLICA"/>
        <s v=" PALOMBARA SABINA ILLUMINAZIONE PUBBLICA"/>
        <s v=" IN ATI PARABITA ILLUMINAZIONE PUBBLICA"/>
        <s v=" PARTINICO ILLUMINAZIONE PUBBLICA"/>
        <s v=" PATTADA ILLUMINAZIONE PUBBLICA"/>
        <s v=" EFFICIENTAMENTO ENERGETICO EDIFICI PELLEZZANO"/>
        <s v=" PELLEZZANO ILLUMINAZIONE PUBBLICA"/>
        <s v=" PETRONA' ILLUMINAZIONE PUBBLICA"/>
        <s v=" PETROSINO ILLUMINAZIONE PUBBLICA"/>
        <s v=" PIANA DEGLI ALBANESI ILLUMINAZIONE PUBBLICA"/>
        <s v=" PIANEZZE ILLUMINAZIONE PUBBLICA"/>
        <s v=" PIANO DI SORRENTO ILLUMINAZIONE PUBBLICA"/>
        <s v=" PIAZZOLA SUL BRENTA ILLUMINAZIONE PUBBLICA"/>
        <s v=" IMPIANTI COMUNE DI PICCIANO"/>
        <s v=" PIETRAGALLA EFFICIENTAMENTO EDIFICI"/>
        <s v=" PIETRAGALLA ILLUMINAZIONE PUBBLICA"/>
        <s v=" PIETRAVAIRANO ILLUMINAZIONE PUBBLICA"/>
        <s v=" PIEVE FOSCIANA ILLUMINAZIONE PUBBLICA"/>
        <s v=" PIGNOLA ILLUMINAZIONE PUBBLICA"/>
        <s v=" IN ATI PINEROLO ILLUMINAZIONE PUBBLICA"/>
        <s v=" PISTICCI ILLUMINAZIONE PUBBLICA"/>
        <s v=" PIZZO CALABRO ILLUMINAZIONE PUBBLICA"/>
        <s v=" POGGIARDO ILLUMINAZIONE PUBBLICA"/>
        <s v=" POLICORO EFFICIENTAMENTO EDIFICI"/>
        <s v=" POMPEI ILLUMINAZIONE PUBBLICA"/>
        <s v=" Pontirolo Nuovo ILLUMINAZIONE PUBBLICA"/>
        <s v=" POPOLI ILLUMINAZIONE PUBBLICA"/>
        <s v=" PORTOCANNONE ILLUMINAZIONE PUBBLICA"/>
        <s v=" COMUNE DI RACALE ILLUMINAZIONE PUBBLICA"/>
        <s v=" REGALBUTO ILLUMINAZIONE PUBBLICA"/>
        <s v=" RIESI ILLUMINAZIONE PUBBLICA"/>
        <s v=" RIONERO IN VULTURE ILLUMINAZIONE PUBBLICA"/>
        <s v=" RIVOLI ILLUMINAZIONE PUBBLICA"/>
        <s v=" RODI GARGANICO ILLUMINAZIONE PUBBLICA"/>
        <s v=" ROGGIANO GRAVINA ILLUMINAZIONE PUBBLICA"/>
        <s v=" IN ATI ROLETTO ILLUMINAZIONE PUBBLICA"/>
        <s v=" ROSSANO VENETO ILLUMINAZIONE PUBBLICA"/>
        <s v=" RUOTI ILLUMINAZIONE PUBBLICA"/>
        <s v=" SACILE ILLUMINAZIONE PUBBLICA"/>
        <s v=" EFFICIENTAMENTO ENERGETICO EDIFICI SALA CONSILINA"/>
        <s v=" SALAPARUTA ILLUMINAZIONE PUBBLICA"/>
        <s v=" SAN CESARIO DI LECCE ILLUMINAZIONE PUBBLICA"/>
        <s v=" SAN CIPRIANO PICENTINO ILLUMINAZIONE PUBBLICA"/>
        <s v=" SAN FELICE A CANCELLO ILLUMINAZIONE PUBBLICA"/>
        <s v=" SAN GIORGIO IONICO EFFICIENTAMENTO EDIFICI"/>
        <s v=" SAN GIULIANO MILANESE ILLUMINAZIONE PUBBLICA"/>
        <s v=" SAN LUCIDO ILLUMINAZIONE PUBBLICA"/>
        <s v=" SAN MARCO D'ALUNZIO ILLUMINAZIONE PUBBLICA"/>
        <s v=" SAN MARZANO DI SAN GIUSEPPE ILLUMINAZIONE PUBBLICA"/>
        <s v=" SAN MARZANO SUL SARNO ILLUMINAZIONE PUBBLICA"/>
        <s v=" in ATI San Nicola Arcella ILLUMINAZIONE PUBBLICA"/>
        <s v=" SAN TEODORO ILLUMINAZIONE PUBBLICA"/>
        <s v=" SAN VITO CHIETINO ILLUMINAZIONE PUBBLICA"/>
        <s v=" SAN VITO SULLO IONIO ILLUMINAZIONE PUBBLICA"/>
        <s v=" SANT'ANTIMO ILLUMINAZIONE PUBBLICA"/>
        <s v=" SANTA MARIA DEL CEDRO ILLUMINAZIONE PUBBLICA"/>
        <s v=" SANTA MARIA LA CARITA' ILLUMINAZIONE PUBBLICA"/>
        <s v=" SANT'ANGELO LE FRATTE ILLUMINAZIONE PUBBLICA"/>
        <s v=" SANT'ARCANGELO ILLUMINAZIONE PUBBLICA"/>
        <s v=" IN ATI SANT'ARSENIO ILLUMINAZIONE PUBBLICA"/>
        <s v=" SANT'EUFEMIA A MAIELLA ILLUMINAZIONE PUBBLICA"/>
        <s v=" SARONNO ILLUMINAZIONE PUBBLICA"/>
        <s v=" SASSO DI CASTALDA ILLUMINAZIONE PUBBLICA"/>
        <s v=" IMPIANTI COMUNE DI SAVONA"/>
        <s v=" SCANZANO JONICO ILLUMINAZIONE PUBBLICA"/>
        <s v=" SCORDIA ILLUMINAZIONE PUBBLICA"/>
        <s v=" SCORRANO ILLUMINAZIONE PUBBLICA"/>
        <s v=" SCURCOLA MARSICANA ILLUMINAZIONE PUBBLICA"/>
        <s v=" Senigallia - Project 2031ILLUMINAZIONE PUBBLICA"/>
        <s v=" SERRONE ILLUMINAZIONE PUBBLICA"/>
        <s v=" SOMMATINO ILLUMINAZIONE PUBBLICA"/>
        <s v=" SORI ILLUMINAZIONE PUBBLICA"/>
        <s v=" SPINOSO ILLUMINAZIONE PUBBLICA"/>
        <s v=" SPOTORNO ILLUMINAZIONE PUBBLICA"/>
        <s v=" STRONGOLI ILLUMINAZIONE PUBBLICA"/>
        <s v=" TolentinoILLUMINAZIONE PUBBLICA"/>
        <s v=" TORRICELLA ILLUMINAZIONE PUBBLICA"/>
        <s v=" TRAMUTOLA ILLUMINAZIONE PUBBLICA"/>
        <s v=" TRECATE ILLUMINAZIONE PUBBLICA"/>
        <s v=" TRECCHINA ILLUMINAZIONE PUBBLICA"/>
        <s v=" Trieste - PPPILLUMINAZIONE PUBBLICA"/>
        <s v=" UGENTO ILLUMINAZIONE PUBBLICA"/>
        <s v=" UMBRIATICO ILLUMINAZIONE PUBBLICA"/>
        <s v=" URURI ILLUMINAZIONE PUBBLICA"/>
        <s v=" VAIRANO PATENORA ILLUMINAZIONE PUBBLICA"/>
        <s v=" VALVERDE ILLUMINAZIONE PUBBLICA"/>
        <s v=" Venezia PBEFFICIENTAMENTO ENERGETICO EDIFICI"/>
        <s v=" Venezia PLILLUMINAZIONE PUBBLICA"/>
        <s v=" VIBONATI ILLUMINAZIONE PUBBLICA"/>
        <s v=" VICOPISANO ILLUMINAZIONE PUBBLICA"/>
        <s v=" VIGARANO MAINARDA EFFICIENTAMENTO ENERGETICO EDIFICI"/>
        <s v=" VILLA SANTA LUCIA ILLUMINAZIONE PUBBLICA"/>
        <s v=" VILLAPUTZU ILLUMINAZIONE PUBBLICA"/>
        <s v=" VILLA SAN GIOVANNI ILLUMINAZIONE PUBBLICA"/>
        <s v=" ASI BRINDISI ILLUMINAZIONE PUBBLICA"/>
        <s v=" PICENO CONSID ILLUMINAZIONE PUBBLICA"/>
        <s v=" GUARDIA PIEMONTESE ILLUMINAZIONE PUBBLICA"/>
        <s v=" IMPIANTI PROVINCIA DI SAVONA"/>
        <s v=" SenigalliaILLUMINAZIONE PUBBLICA" u="1"/>
        <s v=" Impianti Citta Metropolitana di VeneziaILLUMINAZIONE PUBBLICA" u="1"/>
        <s v=" MODENA ILLUMINAZIONE PUBBLICA" u="1"/>
        <s v=" VALVA ILLUMINAZIONE PUBBLICA" u="1"/>
        <s v=" CONSIP ILLUMINAZIONE PUBBLICA" u="1"/>
        <s v=" Cardano al CampoILLUMINAZIONE PUBBLICA" u="1"/>
      </sharedItems>
    </cacheField>
    <cacheField name="05 - Ricavi" numFmtId="0">
      <sharedItems containsNonDate="0" containsString="0" containsBlank="1"/>
    </cacheField>
    <cacheField name="02 - Servizi" numFmtId="0">
      <sharedItems containsString="0" containsBlank="1" containsNumber="1" minValue="0" maxValue="795004.16"/>
    </cacheField>
    <cacheField name="04 - Materiali" numFmtId="0">
      <sharedItems containsString="0" containsBlank="1" containsNumber="1" minValue="-35476.47" maxValue="626082.14"/>
    </cacheField>
    <cacheField name="03 - Manodopera" numFmtId="0">
      <sharedItems containsString="0" containsBlank="1" containsNumber="1" minValue="6.5149999999999997" maxValue="52014.625"/>
    </cacheField>
    <cacheField name="01 - Oneri" numFmtId="0">
      <sharedItems containsString="0" containsBlank="1" containsNumber="1" minValue="35.75" maxValue="11633.17"/>
    </cacheField>
    <cacheField name="Totale" numFmtId="164">
      <sharedItems containsSemiMixedTypes="0" containsString="0" containsNumber="1" minValue="0" maxValue="1218897.8500000001"/>
    </cacheField>
    <cacheField name="% ATI" numFmtId="9">
      <sharedItems containsSemiMixedTypes="0" containsString="0" containsNumber="1" minValue="0.21" maxValue="1"/>
    </cacheField>
    <cacheField name="Capitalizzazioni" numFmtId="43">
      <sharedItems containsSemiMixedTypes="0" containsString="0" containsNumber="1" minValue="0" maxValue="1218897.8500000001"/>
    </cacheField>
    <cacheField name="Capitalizzazione Costi indiretti" numFmtId="43">
      <sharedItems containsSemiMixedTypes="0" containsString="0" containsNumber="1" minValue="0" maxValue="1401732.5275000001"/>
    </cacheField>
    <cacheField name="Societ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a D'Andrea" refreshedDate="46269.734702430556" createdVersion="8" refreshedVersion="8" minRefreshableVersion="3" recordCount="35" xr:uid="{D7C1EBAD-5229-4CDA-A6C7-6F30026F074C}">
  <cacheSource type="worksheet">
    <worksheetSource ref="A5:N40" sheet="capitalizzazioni SPV"/>
  </cacheSource>
  <cacheFields count="14">
    <cacheField name="NEW Activity Code + Note" numFmtId="0">
      <sharedItems/>
    </cacheField>
    <cacheField name="Project ID" numFmtId="0">
      <sharedItems/>
    </cacheField>
    <cacheField name="Project Name" numFmtId="0">
      <sharedItems/>
    </cacheField>
    <cacheField name="Comune" numFmtId="0">
      <sharedItems/>
    </cacheField>
    <cacheField name="Dettaglio commessa" numFmtId="0">
      <sharedItems count="16">
        <s v=" BUSSI SUL TIRINO EFF.TO ENERGETICO EDIFICI"/>
        <s v=" CROSIA ILLUMINAZIONE PUBBLICA"/>
        <s v=" ERACLEA ILLUMINAZIONE PUBBLICA"/>
        <s v=" JESOLO ILLUMINAZIONE PUBBLICA"/>
        <s v=" IMPIANTI COMUNE DI MIRA"/>
        <s v=" IMPIANTI COMUNE DI MIRANO"/>
        <s v=" MUSILE DI PIAVE ILLUMINAZIONE PUBBLICA"/>
        <s v=" IMPIANTI COMUNE DI NERVIANO"/>
        <s v=" PRESICCE-ACQUARICA (sussidiaria) ILL. PUBBLICA"/>
        <s v=" PULSANO (SUSSIDIARIA) ILLUMINAZIONE PUBBLICA"/>
        <s v=" SAN DONA' DI PIAVE ILLUMINAZIONE PUBBLICA"/>
        <s v=" IMPIANTI COMUNE DI SOLOFRA"/>
        <s v=" SPEZZANO ILLUMINAZIONE PUBBLICA"/>
        <s v=" IMPIANTI COMUNE DI STRA'"/>
        <s v=" COMUNE DI TAVIANO (SUSSIDIARIA) ILLUMINAZIONE PUBBLICA"/>
        <s v=" IMPIANTI COMUNE DI TORREVECCHIA PIA"/>
      </sharedItems>
    </cacheField>
    <cacheField name="05 - Ricavi" numFmtId="0">
      <sharedItems containsNonDate="0" containsString="0" containsBlank="1"/>
    </cacheField>
    <cacheField name="02 - Servizi" numFmtId="0">
      <sharedItems containsString="0" containsBlank="1" containsNumber="1" minValue="10" maxValue="258556.48"/>
    </cacheField>
    <cacheField name="04 - Materiali" numFmtId="0">
      <sharedItems containsString="0" containsBlank="1" containsNumber="1" minValue="598.52" maxValue="273389.64"/>
    </cacheField>
    <cacheField name="03 - Manodopera" numFmtId="0">
      <sharedItems containsNonDate="0" containsString="0" containsBlank="1"/>
    </cacheField>
    <cacheField name="01 - Oneri" numFmtId="0">
      <sharedItems containsNonDate="0" containsString="0" containsBlank="1"/>
    </cacheField>
    <cacheField name="Totale" numFmtId="164">
      <sharedItems containsSemiMixedTypes="0" containsString="0" containsNumber="1" minValue="250" maxValue="394653.75"/>
    </cacheField>
    <cacheField name="% ATI" numFmtId="9">
      <sharedItems containsSemiMixedTypes="0" containsString="0" containsNumber="1" containsInteger="1" minValue="1" maxValue="1"/>
    </cacheField>
    <cacheField name="Capitalizzazioni" numFmtId="43">
      <sharedItems containsSemiMixedTypes="0" containsString="0" containsNumber="1" minValue="250" maxValue="394653.75"/>
    </cacheField>
    <cacheField name="Societ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272.396274537037" createdVersion="8" refreshedVersion="8" minRefreshableVersion="3" recordCount="58" xr:uid="{D9D47F7D-1357-4155-BBC7-71C55E7773F9}">
  <cacheSource type="worksheet">
    <worksheetSource ref="A5:N63" sheet="Elab 2" r:id="rId2"/>
  </cacheSource>
  <cacheFields count="14">
    <cacheField name="Activity Code Tr." numFmtId="0">
      <sharedItems/>
    </cacheField>
    <cacheField name="Project ID" numFmtId="0">
      <sharedItems/>
    </cacheField>
    <cacheField name="Project Name" numFmtId="0">
      <sharedItems count="21">
        <s v="COMUNE DI GIULIANOVA : FOTOVOLTAICO GIULIANOVA"/>
        <s v="COMUNE DI BORGOROSE : FOTOVOLTAICO BORGOROSE"/>
        <s v="COMUNE DI AVEZZANO : FOTOVOLTAICO AVEZZANO 3"/>
        <s v="COMUNE DI CAMPI SALENTINA : FOTOVOLTAICO CAMPI SALENTINA 1"/>
        <s v="COMUNE DI MONTORIO AL VOMANO : FOTOVOLTAICO MONTORIO AL VOMANO 3"/>
        <s v="COMUNE DI COLLARMELE : FOTOVOLTAICO COLLARMELE"/>
        <s v="COMUNE DI CORFINIO : FOTOVOLTAICO CORFINIO"/>
        <s v="COMUNE DI COPERTINO : FOTOVOLTAICO COPERTINO 1"/>
        <s v="COMUNE DI AVEZZANO : FOTOVOLTAICO AVEZZANO 4"/>
        <s v="COMUNE DI MONTORIO AL VOMANO : FOTOVOLTAICO MONTORIO AL VOMANO 4"/>
        <s v="COMUNE DI MONTORIO AL VOMANO : FOTOVOLTAICO MONTORIO AL VOMANO 1"/>
        <s v="COMUNE DI TAVIANO : FOTOVOLTAICO TAVIANO 2"/>
        <s v="COMUNE DI SAN GIORGIO IONICO : FOTOVOLTAICO SAN GIORGIO IONICO"/>
        <s v="COMUNE DI COPERTINO : FOTOVOLTAICO COPERTINO 2"/>
        <s v="COMUNE DI TRICASE : FOTOVOLTAICO TRICASE"/>
        <s v="COMUNE DI CARMIANO : FOTOVOLTAICO CARMIANO"/>
        <s v="COMUNE DI SCURCOLA MARSICANA : FOTOVOLTAICO SCURCOLA 1"/>
        <s v="COMUNE DI RAIANO : FOTOVOLTAICO RAIANO 2"/>
        <s v="COMUNE DI RAIANO : FOTOVOLTAICO RAIANO 1"/>
        <s v="COMUNE DI AVEZZANO : FOTOVOLTAICO AVEZZANO 5"/>
        <s v="COMUNE DI MESSINA : FOTOVOLTAICO MESSINA"/>
      </sharedItems>
    </cacheField>
    <cacheField name="05 - Ricavi" numFmtId="0">
      <sharedItems containsNonDate="0" containsString="0" containsBlank="1"/>
    </cacheField>
    <cacheField name="01 - Oneri" numFmtId="0">
      <sharedItems containsString="0" containsBlank="1" containsNumber="1" minValue="288" maxValue="4873.9399999999996"/>
    </cacheField>
    <cacheField name="03 - Manodopera" numFmtId="0">
      <sharedItems containsString="0" containsBlank="1" containsNumber="1" minValue="145.755" maxValue="16486.375"/>
    </cacheField>
    <cacheField name="04 - Materiali" numFmtId="0">
      <sharedItems containsString="0" containsBlank="1" containsNumber="1" minValue="119.54" maxValue="501773.19"/>
    </cacheField>
    <cacheField name="02 - Servizi" numFmtId="0">
      <sharedItems containsString="0" containsBlank="1" containsNumber="1" minValue="-383191.14" maxValue="651972.81999999995"/>
    </cacheField>
    <cacheField name="Totale" numFmtId="164">
      <sharedItems containsSemiMixedTypes="0" containsString="0" containsNumber="1" minValue="-44.78" maxValue="878063.59"/>
    </cacheField>
    <cacheField name="% ATI" numFmtId="9">
      <sharedItems containsSemiMixedTypes="0" containsString="0" containsNumber="1" containsInteger="1" minValue="1" maxValue="1"/>
    </cacheField>
    <cacheField name="Capitalizzazioni" numFmtId="164">
      <sharedItems containsSemiMixedTypes="0" containsString="0" containsNumber="1" minValue="-44.78" maxValue="878063.59"/>
    </cacheField>
    <cacheField name="Capitalizzazione Costi indiretti" numFmtId="164">
      <sharedItems containsSemiMixedTypes="0" containsString="0" containsNumber="1" minValue="-51.497" maxValue="1009773.1285"/>
    </cacheField>
    <cacheField name="Società" numFmtId="0">
      <sharedItems/>
    </cacheField>
    <cacheField name="Delta Indiretti" numFmtId="4">
      <sharedItems containsSemiMixedTypes="0" containsString="0" containsNumber="1" minValue="-6.7169999999999987" maxValue="131709.5385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272.553411458335" createdVersion="8" refreshedVersion="8" minRefreshableVersion="3" recordCount="266" xr:uid="{5540DEC2-C6C4-497E-8875-1EACC9BCEC86}">
  <cacheSource type="worksheet">
    <worksheetSource ref="A5:I271" sheet="ExtraLav e Spot"/>
  </cacheSource>
  <cacheFields count="9">
    <cacheField name="NEW Activity Code + Note" numFmtId="0">
      <sharedItems/>
    </cacheField>
    <cacheField name="Project ID" numFmtId="0">
      <sharedItems/>
    </cacheField>
    <cacheField name="Project Name" numFmtId="0">
      <sharedItems count="198">
        <s v="AGORA S.R.L. : AGORA SRL-EXTRA LAVORI SPOT PISTA CICLO PED."/>
        <s v="AMARCORD SNC DI ARISTIDE E TELESCA : AMARCORD ARISTIDE E TELESCA LAVORI SPOT"/>
        <s v="ASILO INFANTILE E. GIANTURCO : FV ASILO INFANTILE LAVORI SPOT"/>
        <s v="Associazione Culturale LDS Liberi di Suonare : ASSOCIAZIONE CULTURALE LDS LANUVIO"/>
        <s v="BEL GUARDO SRL : BEL GUARDO SRL-EXTRA LAVORI SPOT PISTA CICLO PED."/>
        <s v="BRESSO EXTRA LAV MANUT IMP ILL DET.344"/>
        <s v="C.A. GROUP SRL : EXTRA LAVORI SPOT C.A GROUP SRL"/>
        <s v="Chioggia - Bando Sicurezza 2020EXTRA LAVORI"/>
        <s v="CHIOGGIA SERVIZI SOC. CONS. ARL : CHIOGGIA - SPESE GESTIONE - CHIOGGIA SERVIZI"/>
        <s v="CHIOGGIA SERVIZI SOC. CONS. ARL : CHIOGGIA_SERVIZI Chioggia Ill. e impianti tecnoEXTRA LAVORI"/>
        <s v="COMITATO FESTA SANTA REPARATA : EXTRA LAVORI SPOT COMITATO S.REPARATA"/>
        <s v="Comune di Acquaviva Picena - UFFICIO TECNICO URBANISTICA : ACQUAVIVA PICENA EXTRA LAVORI"/>
        <s v="Comune di Albinea : AlbineaEXTRA LAVORI"/>
        <s v="Comune di Arluno : Arluno - Lavoro Privato 002 - Tigros Pista CiclabileEXTRA LAVORI"/>
        <s v="Comune di Arluno : Arluno - Ripristino impianto rotatoria Via Adua / per TurbigoEXTRA LAVORI"/>
        <s v="Comune di Arluno : ARLUNO EXTRA LAVORI CIG: B95104AF85"/>
        <s v="Comune di Avigliano : AVIGLIANO EXTRA LAVORI"/>
        <s v="Comune di Barzago : BARZAGO EXTRA LAV. DET. 39 CIG 7190617CDA"/>
        <s v="COMUNE DI BASIANO : BASIANO EXTRA LAVORI SPOT CIG:BA23A0CF6C"/>
        <s v="COMUNE DI BASIANO : BASIANO LAVORI SPOT"/>
        <s v="Comune di Bella : BELLA EXTRA LAVORI"/>
        <s v="Comune di Bella : CigB20B805DCA BELLA IP EXTRA LAVORI"/>
        <s v="Comune di Bresso : Bresso - Lavoro Privato 003 - Piazza Martiri della LiberazioneEXTRA LAVORI"/>
        <s v="Comune di Bresso : BRESSO EX.LAV. DET 534 IP P.ZA MARTIRI FOSSE ARDEATINE"/>
        <s v="Comune di Bresso : BRESSO EXTRA LAVORI AFF.DIRETTO SINTEL DET.925"/>
        <s v="COMUNE DI BUGUGGIATE : Buguggiate LAVORI SPOT"/>
        <s v="Comune di Bussi sul Tirino - ufficio tecnico : BUSSI SUL TIRINO EXTRA LAVORI cig BA72B01F91"/>
        <s v="Comune di Calitri : CALITRI IP EXTRA LAVORI"/>
        <s v="Comune di Caravaggio : CaravaggioEXTRA LAVORI"/>
        <s v="Comune di Cardano al Campo : Cardano al CampoEXTRA LAVORI"/>
        <s v="Comune di Castelnuovo Cilento : CASTELNUOVO CILENTO IP EXTRA LAVORI"/>
        <s v="COMUNE DI CHIOGGIA : CHIOGGIA PALAZZO GRANAIO INFINITY CIG.BC46FCDFF9"/>
        <s v="COMUNE DI CHIOGGIA : CHIOGGIA SERVIZI Chioggia Illuminazione e impiantiEXTRA LAVORI"/>
        <s v="Comune di Claviere - Uff_eFatturaPA : CLAVIERE EXTRA LAVORI SPOT"/>
        <s v="COMUNE DI COGOLLO DEL CENGIO : COGOLLO DEL CENGIO IP EXTRA LAVORI"/>
        <s v="COMUNE DI COLCERESA : COLCERESA IP EXTRA LAVORI"/>
        <s v="COMUNE DI COLOBRARO : Cig927222849A COLOBRARO IP EXTRA LAVORI"/>
        <s v="COMUNE DI COLOBRARO : COLOBRARO IP EXTRA LAVORI"/>
        <s v="COMUNE DI COLOBRARO : COLOBRARO IP EXTRA LAVORI CASTELLO E CONVENTO"/>
        <s v="COMUNE DI CRISPIANO : CRISPIANO EXTRA LAVORI CIG: B91930F18F"/>
        <s v="Comune di Faenza : FaenzaEXTRA LAVORI"/>
        <s v="Comune di Falconara Marittima : Falconara MarittimaEXTRA LAVORI"/>
        <s v="Comune di Fermo : FERMO EXTRA LAV DET.1197 CIG B9D1D0D7B0"/>
        <s v="Comune di Fermo : FERMO EXTRA LAVORI DET.647 CIG BC4845A580"/>
        <s v="Comune di Fermo : FermoEXTRA LAVORI"/>
        <s v="Comune di Fosso' : FOSSO' LAVORI SPOT CIG: B78D5BF75C"/>
        <s v="Comune di Gallarate : Gallarate - DUC Gallarate ShoppingEXTRA LAVORI"/>
        <s v="Comune di Gallarate : GALLARATE EXTRA LAVORI DET.320 VIA ALEARDI"/>
        <s v="Comune di Gallarate : GALLARATE EXTRA LAVORI VIA BERTACCHI"/>
        <s v="Comune di Gallarate : GALLARATE EXTRA LAVORI VIA PIETRO DA GALLARATE"/>
        <s v="COMUNE DI GIUGGIANELLO : CigB30BEB313B GIUGGIANELLO IP EXTRA LAVORI"/>
        <s v="COMUNE DI GUARDIA PERTICARA : GUARDIA PERTICARA IP EXTRA LAVORI SPOT CIG: B748D21257"/>
        <s v="COMUNE DI GUARDIA PERTICARA : GUARDIA PERTICARA IP EXTRA LAVORI SPOT CIG: BACF5E149D"/>
        <s v="COMUNE DI GUARDIA PERTICARA : GUARDIA PERTICARA IP LAVORI SPOT CIG: BC5C763938"/>
        <s v="Comune di Lanuvio - SET.1 Serv.2  PROGRAMMAZIONE, MANUTENZIONE PATRIMONIO, VERDE : LANUVIO EXTRA LAVORI"/>
        <s v="Comune di Lucera : LUCERA EXTRA LAVORI VIDEOSORVEGLIANZA"/>
        <s v="Comune di Maratea : MARATEA IP EXTRA LAVORI"/>
        <s v="Comune di Mariano Comense : MARIANO COMENSE EXTRA LAVORI"/>
        <s v="Comune di Mariano Comense : MARIANO COMENSE EXTRA LAVORI MAN.ORD E STR."/>
        <s v="Comune di Mariano Comense : MARIANO COMENSE EXTRA LAVORI PARCHEGGIO E PARCO"/>
        <s v="Comune di Marsico Nuovo : MARSICO NUOVO IP EXTRA LAVORI"/>
        <s v="COMUNE DI MASATE : MASATE EXTRA LAVORI SPOT CIG: B926209EF9"/>
        <s v="COMUNE DI MIGLIONICO : MIGLIONICO IP EXTRA CANONE"/>
        <s v="Comune di Mira : MIRA EXTRA LAVORI SPOT"/>
        <s v="Comune di Mondolfo : Mondolfo - Man. straordinaria IP Ciclabile San GervasiEXTRA LAVORI"/>
        <s v="Comune di Mondolfo : Mondolfo - Ripristino Sostegni IncidentatiEXTRA LAVORI"/>
        <s v="Comune di Mondolfo : MONDOLFO EX.LAV.VIA MONTECIAPELLANO E VIA SALVEMINI CIG:BB2B172795"/>
        <s v="Comune di Mondolfo : MONDOLFO EXTRA LAVORI CIG B8DFE2BD2C"/>
        <s v="Comune di Mondolfo : MONDOLFO EXTRA LAVORI CIG: BA1E91D593"/>
        <s v="Comune di Montegranaro : MontegranaroEXTRA LAVORI"/>
        <s v="Comune di Montemurro : CIGB42C05B373 MONTEMURRO LAVORI SPOT"/>
        <s v="Comune di Montemurro : MONTEMURRO LAVORI SPOT CIG: BC5FBBBB3F"/>
        <s v="Comune di Nerviano : COMUNE DI NERVIANO EXTRA LAVORI SPOT"/>
        <s v="COMUNE DI NOVA SIRI : NOVA SIRI EXTRA LAVORO CIG:BBE70F5824"/>
        <s v="Comune di Novara : Novara - Realizzazione Att. Pedonali per non vedentiEXTRA LAVORI"/>
        <s v="Comune di Novara : NOVARA EXTRA LAVORI DET.143 CIG B8A917D7AF"/>
        <s v="Comune di Novara : NOVARA EXTRA LAVORI EX ENEL SOLE"/>
        <s v="Comune di Novara : NOVARA IP EXTRA LAVORI CIG: B98ADA0C09"/>
        <s v="Comune di Novara : NOVARA IP EXTRA LAVORI CIG: B9B66F401D"/>
        <s v="Comune di Origgio : ORIGGIO - EXTRA LAVORI - VIA OTTOLINI RIQUALIFICAZIONE"/>
        <s v="COMUNE DI ORTELLE : CigB302BDD4FA ORTELLE IP EXTRA LAVORI"/>
        <s v="COMUNE DI PALMA CAMPANIA : Palma CampaniaEXTRA LAVORI"/>
        <s v="Comune di Paterno : PATERNO LAVORI SPOT"/>
        <s v="COMUNE DI PELLEZZANO : PELLEZZANO EXTRA LAVORI CIG: A008D7E429"/>
        <s v="Comune di Petriano : Petriano - Manutenzione IP / 01.07.2025 - 30.06.2026EXTRA LAVORI"/>
        <s v="COMUNE DI PIANEZZE : PIANEZZE EXTRA LAVORI CIG: B9D06F6D07"/>
        <s v="Comune di Pietragalla : PIETRAGALLA IP EXTRA LAVORI"/>
        <s v="Comune di Pisticci : PISTICCI LAVORI SPOT"/>
        <s v="COMUNE DI POGGIOMARINO : POGGIOMARINO EXTRA LAVORI MAN.STRAORD"/>
        <s v="COMUNE DI PORTOCANNONE : PORTOCANNONE IP EXTRA LAVORI"/>
        <s v="Comune di Potenza Picena : Potenza Picena - Nuovi PL Centro Storico e P.zza MatteottiEXTRA LAVORI"/>
        <s v="Comune di Potenza Picena : POTENZA PICENA EXTRA LAV. DET.04/92 CIG BBA46C821C"/>
        <s v="Comune di Potenza Picena : POTENZA PICENA EXTRA LAVORI - DEFIBRILLATORI"/>
        <s v="Comune di Potenza Picena : POTENZA PICENA EXTRA LAVORI DET.199"/>
        <s v="Comune di Potenza Picena : POTENZA PICENA EXTRA LAVORI DET.256"/>
        <s v="Comune di Potenza Picena : Potenza PicenaEXTRA LAVORI"/>
        <s v="COMUNE DI PRESICCE - ACQUARICA : PRESICCE-ACQUARICA ILLUMINAZIONE PUBBLICA"/>
        <s v="COMUNE DI PULSANO : PULSANO (SUSSIDIARIA) EXTRA LAVORI"/>
        <s v="COMUNE DI PULSANO : PULSANO ILLUMINAZIONE PUBBLICA"/>
        <s v="Comune di Rescaldina : RescaldinaEXTRA LAVORI"/>
        <s v="COMUNE DI RIONERO IN VULTURE : IP EXTRA LAVORI RIONERO IN VOLTURE IP EXTRA LAVORI"/>
        <s v="COMUNE DI SAN GIULIANO MILANESE : SAN GIULIANO MILANESE-EXTRA LAVORI VIA DELLA PACE"/>
        <s v="COMUNE DI SAN GIULIANO MILANESE : SAN GIULIANO-EXTRA LAV-ADEG. TECNICO DEGLI IMPIANTI DI P.I."/>
        <s v="COMUNE DI SAN MARTINO IN PENSILIS : SAN MARTINO IN PENSILIS IP EXTRA LAVORI"/>
        <s v="COMUNE DI SAN MARZANO SUL SARNO : SAN MARZANO SUL SARNO ILLUMINAZIONE PUBBLICA EXTRA"/>
        <s v="COMUNE DI SANTA MARIA DEL CEDRO : SANTA MARIA DEL CEDRO EXTRA LAVORI CIG: BC329BBB0E"/>
        <s v="COMUNE DI SANTA MARIA DEL CEDRO : SANTA MARIA DEL CEDRO IP EXTRA LAVORI"/>
        <s v="COMUNE DI SANT'ARCANGELO : SANT'ARCANGELO IP EXTRA LAVORI CIG: BBDBBCFB1A"/>
        <s v="COMUNE DI SANT'ARCANGELO : SANT'ARCANGELO IP EXTRA LAVORI CIG: BC5208DBCF"/>
        <s v="COMUNE DI SANT'ARCANGELO : SANT'ARCANGELO IP EXTRA LAVORI CIG: BC5213BB66"/>
        <s v="COMUNE DI SANT'ARSENIO : SANT'ARSENIO EXTRA LAVORI CIG: B6CD7C38F5"/>
        <s v="COMUNE DI SANT'ARSENIO : SANT'ARSENIO EXTRA LAVORI CIG: BBF81320A2"/>
        <s v="COMUNE DI SANT'ARSENIO : SANT'ARSENIO EXTRA LAVORI CIG: BC1463DD84"/>
        <s v="Comune di Sant'Egidio del Monte Albino : SANT'EGIDIO DEL MONTE ALBINO LAVORI SPOT"/>
        <s v="Comune di Saronno : Saronno - Bando ARESTEXTRA LAVORI"/>
        <s v="Comune di Sasso di Castalda : SASSO DI CASTALDA IP EXTRA LAVORI"/>
        <s v="Comune di Sasso di Castalda : SASSO DI CASTALDA IP EXTRA LAVORI CIG: BBDF25E10C"/>
        <s v="Comune di Sasso di Castalda : SASSO DI CASTALDA IP EXTRA LAVORI CIG: BC4986D656"/>
        <s v="COMUNE DI SAUZE DI CESANA : Comune di Sauze di Cesana EXTRA LAVORI SPOT"/>
        <s v="Comune di Senigallia : Senigallia - Nuovi PL zone varieEXTRA LAVORI"/>
        <s v="Comune di Senigallia : Senigallia - Varchi VideosorveglianzaEXTRA LAVORI"/>
        <s v="Comune di Senigallia : SENIGALLIA EX.LAVORI DET 292 SS ADRIATICA"/>
        <s v="Comune di Senigallia : SENIGALLIA EXTRA LAV DET.531 PALINA SEMAFORICA"/>
        <s v="Comune di Senigallia : SENIGALLIA EXTRA LAVORI INCIDENTE VIA LEOPARDI"/>
        <s v="Comune di Senigallia : SENIGALLIA EXTRA LAVORI INCIDENTE VIA PO"/>
        <s v="Comune di Settala : Città Metropolitana di Milano - Settala - Impianto IP SS 415EXTRA LAVORI"/>
        <s v="Comune di Settala : Settala - Lavoro Privato 002 - Rotonda viale Delle industrieEXTRA LAVORI"/>
        <s v="COMUNE DI SOMMA VESUVIANA : SOMMA VESUVIANA EXTRA LAVORI"/>
        <s v="COMUNE DI TAVIANO : TAVIANO ILLUMINAZIONE PUBBLICA"/>
        <s v="COMUNE DI TOLENTINO : Tolentino - Manutenzione IP (ricostruzione sisma 2016)EXTRA LAVORI"/>
        <s v="COMUNE DI TOLENTINO : Tolentino - Manutenzione IPEXTRA LAVORI"/>
        <s v="Comune di Torrevecchia : TORREVECCHIA PIA EXTRA LAVORI SPOT CIG: B9520157EB"/>
        <s v="COMUNE DI TRECCHINA : TRECCHINA LAVORI SPOT"/>
        <s v="COMUNE DI TRECCHINA : TRECCHINA LAVORI SPOT CIG: BCA9953041"/>
        <s v="COMUNE DI TRIBIANO : Comune di Tribiano - IP Ciclopedonale Canale Addetta"/>
        <s v="COMUNE DI TRIBIANO : TRIBIANO EXTRA LAV.DET 152 CIG BABDFC1085 I.P."/>
        <s v="COMUNE DI TRIBIANO : TRIBIANO EXTRA LAV.-VIA PAPA GIOVANNO XXIII"/>
        <s v="COMUNE DI TRIBIANO : TRIBIANO EXTRA LAVORI DET 634"/>
        <s v="COMUNE DI TRIBIANO : TRIBIANO EXTRA LAVORI DET.203"/>
        <s v="COMUNE DI TRIBIANO : TRIBIANO EXTRA LAVORI DET.346"/>
        <s v="COMUNE DI TRIBIANO : TribianoEXTRA LAVORI"/>
        <s v="COMUNE DI TRIBIANO : TRIBIANO-EXTRA LAVORI-AMPLIAMENTO RETE"/>
        <s v="COMUNE DI TRIESTE : Trieste - EPCEXTRA LAVORI"/>
        <s v="Comune di Vedano Olona : Vedano Olona - Installazione PL per APL Via per VenegonoEXTRA LAVORI"/>
        <s v="COMUNE DI VENEZIA - VIDEOSORVEGLIANZA"/>
        <s v="COMUNE DI VENEZIA : COVEDI EXTRA LAVORI EFF ENERGETICO ILL PUB"/>
        <s v="COMUNE DI VIBONATI : VIBONATI IP EXTRA LAVORI"/>
        <s v="Condominio Pian Fiorito : PINEROLO EX.LAV SPOT CONDOMINIO PIAN FIORITO"/>
        <s v="CONSORZIO URBANIZZAZIONE ANNUNZIATA : CONSORZIO URBANIZZAZIONE ANNUNZIATA LAVORI SPOT"/>
        <s v="COSTRUZIONI ACOCELLA  S.R.L. : COSTRUZIONI ACOCELLA LAVORI SPOT"/>
        <s v="COVEDI SCARL : COVEDI EXTRA LAVORI EFF ENERGETICO EDIFICI"/>
        <s v="CRUCIANELLI REST EDILE SRL : TOLENTINO EXTRA LAV.SPOT VIA MONTECAVALLO"/>
        <s v="CRUCIANELLI REST EDILE SRL : TOLENTINO EXTRA LAV.SPOT VIA VALPORRO"/>
        <s v="DANIELE POSCA : EXTRA LAVORI SPOT LEZZENO POSCA DANIELE"/>
        <s v="DANILO CONSONNI : CONSONNI DANILO - LAVORI SPOT"/>
        <s v="DE LUCA AMALIA : EXTRA LAVORI SPOT DE LUCA AMALIA"/>
        <s v="DELTA IMPIANTI SRL : DELTA IMPIANTI SRL - LAVORI SPOT"/>
        <s v="DONDI COSTRUZIONI SRL : EXTRA LAVORO SPOT DONDI COSTRUZIONI SRL"/>
        <s v="DRV Group Construction S.r.l. : ROVELLO PORRO EX. LAV.PIANO ATTUATIVO VIA VERDI"/>
        <s v="EDIL CONDOTTE SRL : EDIL CONDOTTE SRL EXTRA LAVORI SPOT"/>
        <s v="EDILGIFA DI FABI ANNALISA : EDILGIFA DI FABI ANNALISA EXTRA LAVORI SPOT"/>
        <s v="EDILGORNATI SRL : ARLUNO EXTRA LAV.SPOT VIA CASTIGLIONI"/>
        <s v="EFFEBI COSTRUZIONI SRL : TOLENTINO EXTRA LAV.SPOT VIA BORGO FORO"/>
        <s v="ELETTROSYSTEM S.R.L. : ELETTROSYSTEM SRL-EXTRA LAVORI SPOT"/>
        <s v="EQUIPE S.R.L. : EQUIPE SRL-EXTRA LAVORI SPOT-MARIANO C."/>
        <s v="F.lli Di Carlo S.r.l. : F.lli di Carlo S.r.l. LAVORI SPOT"/>
        <s v="GUFFANTI A. SPA : ROVELLASCA EXTRA LAVORI SPOT - GUFFANTI A. SPA"/>
        <s v="HYPO VORARLBERG IMMO ITALIA S.R.L. : HYPO VORARLBERG IMMO ITALIA S.R.L. LAVORI SPOT"/>
        <s v="ICG SRL : ICG SRL LAVORI SPOT"/>
        <s v="ILLEGNO S.R.L. : ILLEGNO SRL - LAVORI SPOT"/>
        <s v="IMPRESA COSTRUZIONI ING. E. PASQUALUCCI SRL : IMPRESA COSTRUZIONI ING. E.PASQUALUCCI SRL"/>
        <s v="IMPRESA FAJO S.R.L. : IMPRESA FAJO SRL - LAVORI SPOT"/>
        <s v="INNOVA APS : INNOVA APS LANUVIO spot"/>
        <s v="IREN GREEN GENERATION TECH SRL : IREN GREEN GENERATION TECH SRL EXTRA LAVORI SPOT"/>
        <s v="LA FENICE GROUP S.R.L. : LA FENICE GROUP SRL - LAVORI SPOT"/>
        <s v="LOGIODICE SRL : LOGIODICE SRL EXTRA LAVORI SPOT"/>
        <s v="MARIA AULICINO : AULICINO MARIA LAVORI SPOT"/>
        <s v="MENNEKES ELECTRIC ITALIA SRL : MENNEKES ELCTRIC ITALIA SRL LAVORI SPOT"/>
        <s v="METAPLAST GRT SRL : SMALTIMENTO METAPLAST GRT SRL LAVORI SPOT"/>
        <s v="NUOVA ATLANTIDE-PICCOLA SOC. COOP.A R.L. : NUOVA ATLANTIDE-PICCOLA SOC. COOP.A R.L. LAVORI SPOT"/>
        <s v="PROVINCIA DI MONZA E BRIANZA : Provincia di MB - Servizi e Provviste IT e IP (2° Contratto Attuativo)Oneoff Works"/>
        <s v="PROVINCIA DI MONZA E BRIANZA : Provincia di MB - Servizi e Provviste IT e IP (3° Contratto Attuativo)Oneoff Works"/>
        <s v="PROVINCIA DI MONZA E BRIANZA : Provincia di Monza Brianza - Servizi e Provviste IT e IP"/>
        <s v="PROVINCIA DI MONZA E BRIANZA : PROVINCIA MB EX.LAV RIPRISTINO IMP.ELT. CIG BC1AF535C2"/>
        <s v="REAL ENERGY S.R.L. : BARZAGO EXTRA LAVORI SPOT VIA D.GIACINTO DELL'ACQUA"/>
        <s v="REGIONE MARCHE GIUNTA REGIONALE : REGIONE MARCHE  - EXTRA LAVORI"/>
        <s v="SANTUARIO DIOCESANO DI S. RITA : EXTRA LAVORI SPOT SANTUARIO S.RITA ATRI"/>
        <s v="SILVANO RENATO : SMALTIMENTO SILVANO RENATO POTENZA LAVORI SPOT"/>
        <s v="SOREM FORNITURE SRL : SOREM FORNITURE SRL LAVORI SPOT"/>
        <s v="STEFANO RUBETTI : ARLUNO EXTRA LAVORI - RUBETTI STEFANO"/>
        <s v="TIGROS SERVIZI IMMOBILIARI SRL : ARLUNO EXTRA LAVORI SPOT - TIGROS"/>
        <s v="TROIANO S.A.S DI TROIANO FELICIANO &amp; C : TROIANO S.A.S DI TROIANO FELICIANO &amp; C LAVORI SPOT"/>
        <s v="UBALDI LUCIANA : EXTRA LAVORI SPOT UBALDI LUCIANA"/>
        <s v="Venezia - Lavori diretti per ComuneEXTRA LAVORI"/>
        <s v="VERITAS SPA : Sacca San BiagioOne off Works"/>
        <s v="VIER SCARL : Fotovoltaico Prog. Hydrogen ValleyOne off ex alcoa"/>
        <s v="VIER SCARL : Fotovoltaico VIER Cà SolaroOne off Works"/>
        <s v="VIER SCARL : VIER SCARL - ACCORDO QUADRO"/>
      </sharedItems>
    </cacheField>
    <cacheField name="05 - Ricavi" numFmtId="0">
      <sharedItems containsString="0" containsBlank="1" containsNumber="1" minValue="-1319.51" maxValue="414231.28"/>
    </cacheField>
    <cacheField name="Costi" numFmtId="164">
      <sharedItems containsSemiMixedTypes="0" containsString="0" containsNumber="1" minValue="0" maxValue="582125.35"/>
    </cacheField>
    <cacheField name="02 - Servizi" numFmtId="0">
      <sharedItems containsString="0" containsBlank="1" containsNumber="1" minValue="0" maxValue="311736.90999999997"/>
    </cacheField>
    <cacheField name="04 - Materiali" numFmtId="0">
      <sharedItems containsString="0" containsBlank="1" containsNumber="1" minValue="14.41" maxValue="398221.38"/>
    </cacheField>
    <cacheField name="03 - Manodopera" numFmtId="0">
      <sharedItems containsString="0" containsBlank="1" containsNumber="1" minValue="6.85" maxValue="37220.129999999997"/>
    </cacheField>
    <cacheField name="01 - Oneri" numFmtId="0">
      <sharedItems containsString="0" containsBlank="1" containsNumber="1" minValue="39.33" maxValue="4000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s v="BUS-SMC-B157-01"/>
    <s v="BRESCIA MOBILITA' S.P.A. : BRESCIA MOBILITA' SPA TRASPORTO ELETTRICO"/>
    <s v="BRESCIA MOBILITA' S.P.A. "/>
    <x v="0"/>
    <m/>
    <n v="1485"/>
    <m/>
    <m/>
    <m/>
    <n v="1485"/>
    <n v="1"/>
    <n v="1485"/>
    <n v="1707.75"/>
    <s v="Civismart"/>
  </r>
  <r>
    <x v="0"/>
    <s v="PPP-IPU-B357-01"/>
    <s v="CAGNANO VARANO : CAGNANO VARANO ILLUMINAZIONE PUBBLICA"/>
    <s v="CAGNANO VARANO "/>
    <x v="1"/>
    <m/>
    <n v="760"/>
    <m/>
    <n v="1008.475"/>
    <m/>
    <n v="1768.4749999999999"/>
    <n v="1"/>
    <n v="1768.4749999999999"/>
    <n v="2033.7462499999999"/>
    <s v="Civismart"/>
  </r>
  <r>
    <x v="1"/>
    <s v="PPP-IPU-A053-01"/>
    <s v="COMUNE DI ACRI : ACRI ILLUMINAZIONE PUBBLICA"/>
    <s v="COMUNE DI ACRI "/>
    <x v="2"/>
    <m/>
    <n v="220"/>
    <m/>
    <m/>
    <m/>
    <n v="220"/>
    <n v="1"/>
    <n v="220"/>
    <n v="253"/>
    <s v="Civismart"/>
  </r>
  <r>
    <x v="0"/>
    <s v="PPP-IPU-A053-01"/>
    <s v="COMUNE DI ACRI : ACRI ILLUMINAZIONE PUBBLICA"/>
    <s v="COMUNE DI ACRI "/>
    <x v="2"/>
    <m/>
    <n v="15000"/>
    <m/>
    <n v="1127.095"/>
    <m/>
    <n v="16127.094999999999"/>
    <n v="1"/>
    <n v="16127.094999999999"/>
    <n v="18546.159250000001"/>
    <s v="Civismart"/>
  </r>
  <r>
    <x v="2"/>
    <s v="PPP-IPU-A053-01"/>
    <s v="COMUNE DI ACRI : ACRI ILLUMINAZIONE PUBBLICA"/>
    <s v="COMUNE DI ACRI "/>
    <x v="2"/>
    <m/>
    <m/>
    <m/>
    <n v="6811.83"/>
    <m/>
    <n v="6811.83"/>
    <n v="1"/>
    <n v="6811.83"/>
    <n v="7833.6044999999995"/>
    <s v="Civismart"/>
  </r>
  <r>
    <x v="0"/>
    <s v="PPP-IPU-A122-01"/>
    <s v="COMUNE DI ALASSIO : ALASSIO ILLUMINAZIONE PUBBLICA"/>
    <s v="COMUNE DI ALASSIO "/>
    <x v="3"/>
    <m/>
    <n v="7589.77"/>
    <m/>
    <n v="797.78"/>
    <m/>
    <n v="8387.5500000000011"/>
    <n v="1"/>
    <n v="8387.5500000000011"/>
    <n v="9645.6825000000008"/>
    <s v="Civismart"/>
  </r>
  <r>
    <x v="0"/>
    <s v="PPP-EEE-A208-02"/>
    <s v="Comune di Alliste : EFFICIENTAMENTO ENERGETICO ALLISTE"/>
    <s v="Comune di Alliste "/>
    <x v="4"/>
    <m/>
    <n v="4800"/>
    <m/>
    <m/>
    <m/>
    <n v="4800"/>
    <n v="1"/>
    <n v="4800"/>
    <n v="5520"/>
    <s v="Civismart"/>
  </r>
  <r>
    <x v="3"/>
    <s v="PPP-IPU-A208-01"/>
    <s v="Comune di Alliste : ALLISTE ILLUMINAZIONE PUBBLICA"/>
    <s v="Comune di Alliste "/>
    <x v="5"/>
    <m/>
    <m/>
    <m/>
    <n v="1292.43"/>
    <n v="346.32"/>
    <n v="1638.75"/>
    <n v="1"/>
    <n v="1638.75"/>
    <n v="1884.5625"/>
    <s v="Civismart"/>
  </r>
  <r>
    <x v="4"/>
    <s v="PPP-IPU-A208-01"/>
    <s v="Comune di Alliste : ALLISTE ILLUMINAZIONE PUBBLICA"/>
    <s v="Comune di Alliste "/>
    <x v="5"/>
    <m/>
    <n v="18200"/>
    <m/>
    <m/>
    <m/>
    <n v="18200"/>
    <n v="1"/>
    <n v="18200"/>
    <n v="20930"/>
    <s v="Civismart"/>
  </r>
  <r>
    <x v="3"/>
    <s v="PPP-IPU-A350-01"/>
    <s v="COMUNE DI ARADEO : ARADEO ILLUMINAZIONE PUBBLICA"/>
    <s v="COMUNE DI ARADEO "/>
    <x v="6"/>
    <m/>
    <m/>
    <m/>
    <n v="1270.8599999999999"/>
    <m/>
    <n v="1270.8599999999999"/>
    <n v="1"/>
    <n v="1270.8599999999999"/>
    <n v="1461.4889999999998"/>
    <s v="Selettra"/>
  </r>
  <r>
    <x v="4"/>
    <s v="PPP-IPU-A350-01"/>
    <s v="COMUNE DI ARADEO : ARADEO ILLUMINAZIONE PUBBLICA"/>
    <s v="COMUNE DI ARADEO "/>
    <x v="6"/>
    <m/>
    <n v="15600"/>
    <m/>
    <m/>
    <m/>
    <n v="15600"/>
    <n v="1"/>
    <n v="15600"/>
    <n v="17940"/>
    <s v="Selettra"/>
  </r>
  <r>
    <x v="0"/>
    <s v="PPP-IPU-A449-01"/>
    <s v="COMUNE DI ARTENA : ARTENA ILLUMINAZIONE PUBBLICA"/>
    <s v="COMUNE DI ARTENA "/>
    <x v="7"/>
    <m/>
    <n v="3424.5"/>
    <m/>
    <m/>
    <m/>
    <n v="3424.5"/>
    <n v="1"/>
    <n v="3424.5"/>
    <n v="3938.1750000000002"/>
    <s v="Civismart"/>
  </r>
  <r>
    <x v="1"/>
    <s v="PPP-IPU-A482-01"/>
    <s v="COMUNE DI ATELLA : ATELLA ILLUMINAZIONE PUBBLICA"/>
    <s v="COMUNE DI ATELLA "/>
    <x v="8"/>
    <m/>
    <m/>
    <m/>
    <n v="2196.1799999999998"/>
    <m/>
    <n v="2196.1799999999998"/>
    <n v="1"/>
    <n v="2196.1799999999998"/>
    <n v="2525.607"/>
    <s v="Civismart"/>
  </r>
  <r>
    <x v="0"/>
    <s v="PPP-IPU-A482-01"/>
    <s v="COMUNE DI ATELLA : ATELLA ILLUMINAZIONE PUBBLICA"/>
    <s v="COMUNE DI ATELLA "/>
    <x v="8"/>
    <m/>
    <n v="800"/>
    <m/>
    <n v="2117.5700000000002"/>
    <m/>
    <n v="2917.57"/>
    <n v="1"/>
    <n v="2917.57"/>
    <n v="3355.2055"/>
    <s v="Civismart"/>
  </r>
  <r>
    <x v="3"/>
    <s v="PPP-IPU-A488-01"/>
    <s v="Comune di Atri : ATRI EDIFICI ILLUMINAZIONE PUBBLICA"/>
    <s v="Comune di Atri "/>
    <x v="9"/>
    <m/>
    <n v="2951.75"/>
    <m/>
    <m/>
    <m/>
    <n v="2951.75"/>
    <n v="1"/>
    <n v="2951.75"/>
    <n v="3394.5124999999998"/>
    <s v="Civismart"/>
  </r>
  <r>
    <x v="3"/>
    <s v="PPP-IPU-A519-01"/>
    <s v="Comune di Avigliano : AVIGLIANO ILLUMINAZIONE PUBBLICA"/>
    <s v="Comune di Avigliano "/>
    <x v="10"/>
    <m/>
    <m/>
    <m/>
    <n v="143.33000000000001"/>
    <m/>
    <n v="143.33000000000001"/>
    <n v="1"/>
    <n v="143.33000000000001"/>
    <n v="164.82950000000002"/>
    <s v="Selettra"/>
  </r>
  <r>
    <x v="3"/>
    <s v="PPP-IPU-A519-01"/>
    <s v="Comune di Avigliano : AVIGLIANO ILLUMINAZIONE PUBBLICA"/>
    <s v="Comune di Avigliano "/>
    <x v="10"/>
    <m/>
    <n v="500"/>
    <n v="-3376.6"/>
    <n v="21677.505000000001"/>
    <n v="1628.11"/>
    <n v="20429.015000000003"/>
    <n v="1"/>
    <n v="20429.015000000003"/>
    <n v="23493.367250000003"/>
    <s v="Selettra"/>
  </r>
  <r>
    <x v="4"/>
    <s v="PPP-IPU-A519-01"/>
    <s v="Comune di Avigliano : AVIGLIANO ILLUMINAZIONE PUBBLICA"/>
    <s v="Comune di Avigliano "/>
    <x v="10"/>
    <m/>
    <n v="2144"/>
    <n v="24940.89"/>
    <m/>
    <m/>
    <n v="27084.89"/>
    <n v="1"/>
    <n v="27084.89"/>
    <n v="31147.623499999998"/>
    <s v="Selettra"/>
  </r>
  <r>
    <x v="3"/>
    <s v="PPP-IPU-A615-01"/>
    <s v="COMUNE DI BARAGIANO : BARAGIANO ILLUMINAZIONE PUBBLICA"/>
    <s v="COMUNE DI BARAGIANO "/>
    <x v="11"/>
    <m/>
    <n v="6416.35"/>
    <n v="6225.49"/>
    <n v="21836.305"/>
    <n v="827.57"/>
    <n v="35305.715000000004"/>
    <n v="1"/>
    <n v="35305.715000000004"/>
    <n v="40601.572250000005"/>
    <s v="Civismart"/>
  </r>
  <r>
    <x v="4"/>
    <s v="PPP-IPU-A615-01"/>
    <s v="COMUNE DI BARAGIANO : BARAGIANO ILLUMINAZIONE PUBBLICA"/>
    <s v="COMUNE DI BARAGIANO "/>
    <x v="11"/>
    <m/>
    <n v="16365"/>
    <n v="7584.95"/>
    <m/>
    <m/>
    <n v="23949.95"/>
    <n v="1"/>
    <n v="23949.95"/>
    <n v="27542.442500000001"/>
    <s v="Civismart"/>
  </r>
  <r>
    <x v="3"/>
    <s v="PPP-IPU-A674-01"/>
    <s v="Comune di Baronissi : BARONISSI ILLUMINAZIONE PUBBLICA"/>
    <s v="Comune di Baronissi "/>
    <x v="12"/>
    <m/>
    <n v="715.42"/>
    <m/>
    <m/>
    <m/>
    <n v="715.42"/>
    <n v="1"/>
    <n v="715.42"/>
    <n v="822.73299999999995"/>
    <s v="Selettra"/>
  </r>
  <r>
    <x v="4"/>
    <s v="PPP-IPU-A674-01"/>
    <s v="Comune di Baronissi : BARONISSI ILLUMINAZIONE PUBBLICA"/>
    <s v="Comune di Baronissi "/>
    <x v="12"/>
    <m/>
    <n v="5007.9399999999996"/>
    <n v="12774"/>
    <m/>
    <m/>
    <n v="17781.939999999999"/>
    <n v="1"/>
    <n v="17781.939999999999"/>
    <n v="20449.231"/>
    <s v="Selettra"/>
  </r>
  <r>
    <x v="0"/>
    <s v="PPP-EEE-A746-02"/>
    <s v="Comune di Bellante - Uff_eFatturaPA : COMUNE DI BELLANTE EFFICIENTAMENTO ENERGETICO EDIFICI"/>
    <s v="Comune di Bellante - Uff_eFatturaPA "/>
    <x v="13"/>
    <m/>
    <n v="1300"/>
    <m/>
    <m/>
    <m/>
    <n v="1300"/>
    <n v="1"/>
    <n v="1300"/>
    <n v="1495"/>
    <s v="Civismart"/>
  </r>
  <r>
    <x v="3"/>
    <s v="PPP-IPU-A746-01"/>
    <s v="Comune di Bellante - Uff_eFatturaPA : BELLANTE ILLUMINAZIONE PUBBLICA"/>
    <s v="Comune di Bellante - Uff_eFatturaPA "/>
    <x v="14"/>
    <m/>
    <n v="5541.5"/>
    <m/>
    <n v="268.66000000000003"/>
    <m/>
    <n v="5810.16"/>
    <n v="1"/>
    <n v="5810.16"/>
    <n v="6681.6840000000002"/>
    <s v="Ottima"/>
  </r>
  <r>
    <x v="4"/>
    <s v="PPP-IPU-A746-01"/>
    <s v="Comune di Bellante - Uff_eFatturaPA : BELLANTE ILLUMINAZIONE PUBBLICA"/>
    <s v="Comune di Bellante - Uff_eFatturaPA "/>
    <x v="14"/>
    <m/>
    <n v="22155.75"/>
    <n v="13364.16"/>
    <m/>
    <m/>
    <n v="35519.910000000003"/>
    <n v="1"/>
    <n v="35519.910000000003"/>
    <n v="40847.896500000003"/>
    <s v="Ottima"/>
  </r>
  <r>
    <x v="3"/>
    <s v="AQ1-IPU-A845-01"/>
    <s v="COMUNE DI BIANDRONNO : BiandronnoILLUMINAZIONE PUBBLICA"/>
    <s v="COMUNE DI BIANDRONNO "/>
    <x v="15"/>
    <m/>
    <m/>
    <m/>
    <n v="2682.68"/>
    <m/>
    <n v="2682.68"/>
    <n v="1"/>
    <n v="2682.68"/>
    <n v="3085.0819999999999"/>
    <s v="Atlantic"/>
  </r>
  <r>
    <x v="4"/>
    <s v="AQ1-IPU-A845-01"/>
    <s v="COMUNE DI BIANDRONNO : BiandronnoILLUMINAZIONE PUBBLICA"/>
    <s v="COMUNE DI BIANDRONNO "/>
    <x v="15"/>
    <m/>
    <n v="5335.68"/>
    <m/>
    <m/>
    <m/>
    <n v="5335.68"/>
    <n v="1"/>
    <n v="5335.68"/>
    <n v="6136.0320000000002"/>
    <s v="Atlantic"/>
  </r>
  <r>
    <x v="3"/>
    <s v="PPP-IPU-A854-01"/>
    <s v="COMUNE DI BICCARI : BICCARI ILLUMINAZIONE PUBBLICA"/>
    <s v="COMUNE DI BICCARI "/>
    <x v="16"/>
    <m/>
    <m/>
    <n v="11379.78"/>
    <n v="75.349999999999994"/>
    <m/>
    <n v="11455.130000000001"/>
    <n v="1"/>
    <n v="11455.130000000001"/>
    <n v="13173.399500000001"/>
    <s v="Civismart"/>
  </r>
  <r>
    <x v="0"/>
    <s v="PPP-IPU-A991-01"/>
    <s v="COMUNE DI BORGETTO : Borgetto ILLUMINAZIONE PUBBLICA"/>
    <s v="COMUNE DI BORGETTO "/>
    <x v="17"/>
    <m/>
    <n v="13674.63"/>
    <m/>
    <n v="807.875"/>
    <m/>
    <n v="14482.504999999999"/>
    <n v="1"/>
    <n v="14482.504999999999"/>
    <n v="16654.88075"/>
    <s v="Civismart"/>
  </r>
  <r>
    <x v="1"/>
    <s v="PPP-IPU-B098-01"/>
    <s v="Comune di Bovalino : BOVALINO ILLUMINAZIONE PUBBLICA"/>
    <s v="Comune di Bovalino "/>
    <x v="18"/>
    <m/>
    <m/>
    <m/>
    <n v="290.27999999999997"/>
    <m/>
    <n v="290.27999999999997"/>
    <n v="1"/>
    <n v="290.27999999999997"/>
    <n v="333.82199999999995"/>
    <s v="Civismart"/>
  </r>
  <r>
    <x v="0"/>
    <s v="PPP-IPU-B111-01"/>
    <s v="COMUNE DI BRA : BRA ILLUMINAZIONE PUBBLICA"/>
    <s v="COMUNE DI BRA "/>
    <x v="19"/>
    <m/>
    <m/>
    <m/>
    <n v="530.16"/>
    <m/>
    <n v="530.16"/>
    <n v="1"/>
    <n v="530.16"/>
    <n v="609.68399999999997"/>
    <s v="Civismart"/>
  </r>
  <r>
    <x v="0"/>
    <s v="PPP-IPU-B266-01"/>
    <s v="COMUNE DI BUONABITACOLO : BUONABITACOLO ILLUMINAZIONE PUBBLICA"/>
    <s v="COMUNE DI BUONABITACOLO "/>
    <x v="20"/>
    <m/>
    <n v="760"/>
    <m/>
    <n v="1661.46"/>
    <m/>
    <n v="2421.46"/>
    <n v="1"/>
    <n v="2421.46"/>
    <n v="2784.6790000000001"/>
    <s v="Civismart"/>
  </r>
  <r>
    <x v="0"/>
    <s v="PPP-IPU-B275-01"/>
    <s v="COMUNE DI BURGIO : BURGIO ILLUMINAZIONE PUBBLICA"/>
    <s v="COMUNE DI BURGIO "/>
    <x v="21"/>
    <m/>
    <n v="9342.4"/>
    <m/>
    <n v="240.23"/>
    <m/>
    <n v="9582.6299999999992"/>
    <n v="1"/>
    <n v="9582.6299999999992"/>
    <n v="11020.0245"/>
    <s v="Civismart"/>
  </r>
  <r>
    <x v="4"/>
    <s v="PPP-IPU-B294-01"/>
    <s v="Comune di Bussi sul Tirino - ufficio tecnico : BUSSI SUL TIRINO ILLUMINAZIONE PUBBLICA (CIV)"/>
    <s v="Comune di Bussi sul Tirino - ufficio tecnico "/>
    <x v="22"/>
    <m/>
    <n v="800"/>
    <m/>
    <m/>
    <m/>
    <n v="800"/>
    <n v="1"/>
    <n v="800"/>
    <n v="920"/>
    <s v="Civismart"/>
  </r>
  <r>
    <x v="3"/>
    <s v="PPP-IPU-B415-01"/>
    <s v="Comune di Calitri : CALITRI ILLUMINAZIONE PUBBLICA"/>
    <s v="Comune di Calitri "/>
    <x v="23"/>
    <m/>
    <m/>
    <n v="1578.49"/>
    <n v="223.28"/>
    <m/>
    <n v="1801.77"/>
    <n v="1"/>
    <n v="1801.77"/>
    <n v="2072.0355"/>
    <s v="Civismart"/>
  </r>
  <r>
    <x v="4"/>
    <s v="PPP-IPU-B415-01"/>
    <s v="Comune di Calitri : CALITRI ILLUMINAZIONE PUBBLICA"/>
    <s v="Comune di Calitri "/>
    <x v="23"/>
    <m/>
    <n v="12000"/>
    <m/>
    <m/>
    <m/>
    <n v="12000"/>
    <n v="1"/>
    <n v="12000"/>
    <n v="13800"/>
    <s v="Civismart"/>
  </r>
  <r>
    <x v="0"/>
    <s v="PPP-IPU-B429-01"/>
    <s v="COMUNE DI CALTANISSETTA : CALTANISSETTA ILLUMINAZIONE PUBBLICA"/>
    <s v="COMUNE DI CALTANISSETTA "/>
    <x v="24"/>
    <m/>
    <n v="10400"/>
    <m/>
    <m/>
    <m/>
    <n v="10400"/>
    <n v="1"/>
    <n v="10400"/>
    <n v="11960"/>
    <s v="Civismart"/>
  </r>
  <r>
    <x v="0"/>
    <s v="PPP-IPU-B437-01"/>
    <s v="COMUNE DI CALVANICO : CALVANICO ILLUMINAZIONE PUBBLICA"/>
    <s v="COMUNE DI CALVANICO "/>
    <x v="25"/>
    <m/>
    <n v="1267"/>
    <m/>
    <n v="3451.77"/>
    <m/>
    <n v="4718.7700000000004"/>
    <n v="1"/>
    <n v="4718.7700000000004"/>
    <n v="5426.5855000000001"/>
    <s v="Civismart"/>
  </r>
  <r>
    <x v="3"/>
    <s v="PPP-IPU-B437-01"/>
    <s v="COMUNE DI CALVANICO : CALVANICO ILLUMINAZIONE PUBBLICA"/>
    <s v="COMUNE DI CALVANICO "/>
    <x v="25"/>
    <m/>
    <n v="61823.88"/>
    <m/>
    <m/>
    <m/>
    <n v="61823.88"/>
    <n v="1"/>
    <n v="61823.88"/>
    <n v="71097.462"/>
    <s v="Civismart"/>
  </r>
  <r>
    <x v="3"/>
    <s v="PPP-IPU-B476-01"/>
    <s v="Comune di Camerota : CAMEROTA ILLUMINAZIONE PUBBLICA"/>
    <s v="Comune di Camerota "/>
    <x v="26"/>
    <m/>
    <m/>
    <m/>
    <n v="1616.4649999999999"/>
    <n v="709.59"/>
    <n v="2326.0549999999998"/>
    <n v="1"/>
    <n v="2326.0549999999998"/>
    <n v="2674.9632499999998"/>
    <s v="Civismart"/>
  </r>
  <r>
    <x v="4"/>
    <s v="PPP-IPU-B476-01"/>
    <s v="Comune di Camerota : CAMEROTA ILLUMINAZIONE PUBBLICA"/>
    <s v="Comune di Camerota "/>
    <x v="26"/>
    <m/>
    <n v="1478.75"/>
    <m/>
    <m/>
    <m/>
    <n v="1478.75"/>
    <n v="1"/>
    <n v="1478.75"/>
    <n v="1700.5625"/>
    <s v="Civismart"/>
  </r>
  <r>
    <x v="5"/>
    <s v="PPP-IPU-B506-01"/>
    <s v="COMUNE DI CAMPI SALENTINA : CAMPI SALENTINA ILLUMINAZIONE PUBBLICA"/>
    <s v="COMUNE DI CAMPI SALENTINA "/>
    <x v="27"/>
    <m/>
    <n v="39258.92"/>
    <n v="25703.59"/>
    <m/>
    <m/>
    <n v="64962.509999999995"/>
    <n v="1"/>
    <n v="64962.509999999995"/>
    <n v="74706.886499999993"/>
    <s v="Selettra"/>
  </r>
  <r>
    <x v="5"/>
    <s v="PPP-EEE-B506-04"/>
    <s v="COMUNE DI CAMPI SALENTINA : EFFICIENTAMENTO ENERGETICO EDIFICI LOTTO 4 E.L.EN.A."/>
    <s v="COMUNE DI CAMPI SALENTINA "/>
    <x v="28"/>
    <m/>
    <n v="109209.91"/>
    <m/>
    <m/>
    <m/>
    <n v="109209.91"/>
    <n v="1"/>
    <n v="109209.91"/>
    <n v="125591.3965"/>
    <s v="Selettra"/>
  </r>
  <r>
    <x v="5"/>
    <s v="PPP-EEE-B506-02"/>
    <s v="COMUNE DI CAMPI SALENTINA : EFFICIENTAMENTO ENERGETICO EDIFICI LOTTO 2 E.L.EN.A."/>
    <s v="COMUNE DI CAMPI SALENTINA "/>
    <x v="29"/>
    <m/>
    <n v="205501.81"/>
    <m/>
    <m/>
    <m/>
    <n v="205501.81"/>
    <n v="1"/>
    <n v="205501.81"/>
    <n v="236327.0815"/>
    <s v="Selettra"/>
  </r>
  <r>
    <x v="5"/>
    <s v="PPP-EEE-B506-03"/>
    <s v="COMUNE DI CAMPI SALENTINA : EFFICIENTAMENTO ENERGETICO EDIFICI LOTTO 3 E.L.EN.A."/>
    <s v="COMUNE DI CAMPI SALENTINA "/>
    <x v="30"/>
    <m/>
    <n v="166791.60999999999"/>
    <m/>
    <m/>
    <m/>
    <n v="166791.60999999999"/>
    <n v="1"/>
    <n v="166791.60999999999"/>
    <n v="191810.35149999999"/>
    <s v="Selettra"/>
  </r>
  <r>
    <x v="5"/>
    <s v="PPP-EEE-B506-01"/>
    <s v="COMUNE DI CAMPI SALENTINA : EFFICIENTAMENTO ENERGETICO EDIFICI LOTTO 1 E.L.EN.A."/>
    <s v="COMUNE DI CAMPI SALENTINA "/>
    <x v="31"/>
    <m/>
    <n v="231696.82"/>
    <m/>
    <m/>
    <m/>
    <n v="231696.82"/>
    <n v="1"/>
    <n v="231696.82"/>
    <n v="266451.34299999999"/>
    <s v="Selettra"/>
  </r>
  <r>
    <x v="3"/>
    <s v="PPP-IPU-B506-01"/>
    <s v="COMUNE DI CAMPI SALENTINA : CAMPI SALENTINA ILLUMINAZIONE PUBBLICA"/>
    <s v="COMUNE DI CAMPI SALENTINA "/>
    <x v="27"/>
    <m/>
    <n v="14052.8"/>
    <m/>
    <n v="6365.61"/>
    <n v="840"/>
    <n v="21258.41"/>
    <n v="1"/>
    <n v="21258.41"/>
    <n v="24447.1715"/>
    <s v="Selettra"/>
  </r>
  <r>
    <x v="3"/>
    <s v="PPP-IPU-B506-01"/>
    <s v="COMUNE DI CAMPI SALENTINA : CAMPI SALENTINA ILLUMINAZIONE PUBBLICA"/>
    <s v="COMUNE DI CAMPI SALENTINA "/>
    <x v="27"/>
    <m/>
    <m/>
    <m/>
    <n v="95.44"/>
    <m/>
    <n v="95.44"/>
    <n v="1"/>
    <n v="95.44"/>
    <n v="109.756"/>
    <s v="Selettra"/>
  </r>
  <r>
    <x v="1"/>
    <s v="PPP-IPU-B516-01"/>
    <s v="COMUNE DI CAMPO CALABRO : CAMPO CALABRO ILLUMINAZIONE PUBBLICA"/>
    <s v="COMUNE DI CAMPO CALABRO "/>
    <x v="32"/>
    <m/>
    <m/>
    <m/>
    <n v="973.83"/>
    <m/>
    <n v="973.83"/>
    <n v="1"/>
    <n v="973.83"/>
    <n v="1119.9045000000001"/>
    <s v="Civismart"/>
  </r>
  <r>
    <x v="0"/>
    <s v="PPP-IPU-B521-01"/>
    <s v="COMUNE DI CAMPOBELLO DI MAZARA : CAMPOBELLO DI MAZARA ILLUMINAZIONE PUBBLICA"/>
    <s v="COMUNE DI CAMPOBELLO DI MAZARA "/>
    <x v="33"/>
    <m/>
    <n v="1546"/>
    <m/>
    <n v="5156.915"/>
    <m/>
    <n v="6702.915"/>
    <n v="1"/>
    <n v="6702.915"/>
    <n v="7708.3522499999999"/>
    <s v="Civismart"/>
  </r>
  <r>
    <x v="0"/>
    <s v="PPP-IPU-B593-01"/>
    <s v="Comune di Canegrate : CANEGRATE ILLUMINAZIONE PUBBLICA"/>
    <s v="Comune di Canegrate "/>
    <x v="34"/>
    <m/>
    <n v="16800"/>
    <m/>
    <m/>
    <m/>
    <n v="16800"/>
    <n v="1"/>
    <n v="16800"/>
    <n v="19320"/>
    <s v="Civismart"/>
  </r>
  <r>
    <x v="0"/>
    <s v="PPP-IPU-B619-01"/>
    <s v="COMUNE DI CANOSA DI PUGLIA : CANOSA DI PUGLIA ILLUMINAZIONE PUBBLICA"/>
    <s v="COMUNE DI CANOSA DI PUGLIA "/>
    <x v="35"/>
    <m/>
    <n v="45276.9"/>
    <m/>
    <n v="769.36500000000001"/>
    <m/>
    <n v="46046.264999999999"/>
    <n v="1"/>
    <n v="46046.264999999999"/>
    <n v="52953.204749999997"/>
    <s v="Civismart"/>
  </r>
  <r>
    <x v="3"/>
    <s v="ATI-IPU-B628-01"/>
    <s v="COMUNE DI CANTALUPA : IN ATI CANTALUPA ILLUMINAZIONE PUBBLICA"/>
    <s v="COMUNE DI CANTALUPA "/>
    <x v="36"/>
    <m/>
    <n v="150"/>
    <m/>
    <n v="1462.645"/>
    <n v="155.76"/>
    <n v="1768.405"/>
    <n v="0.9"/>
    <n v="1591.5645"/>
    <n v="1830.2991749999999"/>
    <s v="Selettra"/>
  </r>
  <r>
    <x v="4"/>
    <s v="ATI-IPU-B628-01"/>
    <s v="COMUNE DI CANTALUPA : IN ATI CANTALUPA ILLUMINAZIONE PUBBLICA"/>
    <s v="COMUNE DI CANTALUPA "/>
    <x v="36"/>
    <m/>
    <m/>
    <n v="8423.0499999999993"/>
    <m/>
    <m/>
    <n v="8423.0499999999993"/>
    <n v="0.9"/>
    <n v="7580.7449999999999"/>
    <n v="8717.856749999999"/>
    <s v="Selettra"/>
  </r>
  <r>
    <x v="0"/>
    <s v="PPP-IPU-B758-01"/>
    <s v="Comune di Cardinale : CARDINALE ILLUMINAZIONE PUBBLICA"/>
    <s v="Comune di Cardinale "/>
    <x v="37"/>
    <m/>
    <n v="50"/>
    <m/>
    <n v="1490.925"/>
    <n v="236.53"/>
    <n v="1777.4549999999999"/>
    <n v="1"/>
    <n v="1777.4549999999999"/>
    <n v="2044.0732499999999"/>
    <s v="Civismart"/>
  </r>
  <r>
    <x v="4"/>
    <s v="PPP-IPU-B826-01"/>
    <s v="Comune di Carpineto Sinello - Uff. eFatturaPA : IMPIANTI COMUNE DI CARPINETO SINELLO"/>
    <s v="Comune di Carpineto Sinello - Uff. eFatturaPA "/>
    <x v="38"/>
    <m/>
    <n v="600"/>
    <m/>
    <m/>
    <m/>
    <n v="600"/>
    <n v="1"/>
    <n v="600"/>
    <n v="690"/>
    <s v="Ottima"/>
  </r>
  <r>
    <x v="5"/>
    <s v="PPP-IPU-B959-01"/>
    <s v="COMUNE DI CASELLE IN PITTARI : CASELLE IN PITTARI ILLUMINAZIONE PUBBLICA"/>
    <s v="COMUNE DI CASELLE IN PITTARI "/>
    <x v="39"/>
    <m/>
    <n v="0"/>
    <m/>
    <m/>
    <m/>
    <n v="0"/>
    <n v="1"/>
    <n v="0"/>
    <n v="0"/>
    <s v="Selettra"/>
  </r>
  <r>
    <x v="3"/>
    <s v="PPP-IPU-B959-01"/>
    <s v="COMUNE DI CASELLE IN PITTARI : CASELLE IN PITTARI ILLUMINAZIONE PUBBLICA"/>
    <s v="COMUNE DI CASELLE IN PITTARI "/>
    <x v="39"/>
    <m/>
    <m/>
    <m/>
    <n v="772.8"/>
    <m/>
    <n v="772.8"/>
    <n v="1"/>
    <n v="772.8"/>
    <n v="888.71999999999991"/>
    <s v="Selettra"/>
  </r>
  <r>
    <x v="3"/>
    <s v="PPP-IPU-B959-01"/>
    <s v="COMUNE DI CASELLE IN PITTARI : CASELLE IN PITTARI ILLUMINAZIONE PUBBLICA"/>
    <s v="COMUNE DI CASELLE IN PITTARI "/>
    <x v="39"/>
    <m/>
    <n v="3028.95"/>
    <n v="61.58"/>
    <n v="3727.7350000000001"/>
    <n v="409.82"/>
    <n v="7228.0849999999991"/>
    <n v="1"/>
    <n v="7228.0849999999991"/>
    <n v="8312.2977499999997"/>
    <s v="Selettra"/>
  </r>
  <r>
    <x v="4"/>
    <s v="PPP-IPU-B959-01"/>
    <s v="COMUNE DI CASELLE IN PITTARI : CASELLE IN PITTARI ILLUMINAZIONE PUBBLICA"/>
    <s v="COMUNE DI CASELLE IN PITTARI "/>
    <x v="39"/>
    <m/>
    <n v="28514.32"/>
    <n v="-1399.01"/>
    <m/>
    <m/>
    <n v="27115.31"/>
    <n v="1"/>
    <n v="27115.31"/>
    <n v="31182.606500000002"/>
    <s v="Selettra"/>
  </r>
  <r>
    <x v="0"/>
    <s v="PPP-IPU-C130-01"/>
    <s v="COMUNE DI CASTELLAMMARE DEL GOLFO : CASTELLAMMARE DEL GOLFO ILLUMINAZIONE PUBBLICA"/>
    <s v="COMUNE DI CASTELLAMMARE DEL GOLFO "/>
    <x v="40"/>
    <m/>
    <n v="500"/>
    <m/>
    <m/>
    <m/>
    <n v="500"/>
    <n v="1"/>
    <n v="500"/>
    <n v="575"/>
    <s v="Civismart"/>
  </r>
  <r>
    <x v="4"/>
    <s v="PPP-IPU-C231-01"/>
    <s v="Comune di Castelnuovo Cilento : CASTELNUOVO CILENTO ILLUMINAZIONE PUBBLICA"/>
    <s v="Comune di Castelnuovo Cilento "/>
    <x v="41"/>
    <m/>
    <n v="1500"/>
    <m/>
    <m/>
    <m/>
    <n v="1500"/>
    <n v="1"/>
    <n v="1500"/>
    <n v="1725"/>
    <s v="Civismart"/>
  </r>
  <r>
    <x v="5"/>
    <s v="PPP-IPU-C334-01"/>
    <s v="COMUNE DI CASTRI DI LECCE : CASTRI DI LECCE ILLUMINAZIONE PUBBLICA"/>
    <s v="COMUNE DI CASTRI DI LECCE "/>
    <x v="42"/>
    <m/>
    <n v="4061.97"/>
    <n v="8.9"/>
    <m/>
    <m/>
    <n v="4070.87"/>
    <n v="1"/>
    <n v="4070.87"/>
    <n v="4681.5005000000001"/>
    <s v="Selettra"/>
  </r>
  <r>
    <x v="3"/>
    <s v="PPP-IPU-C334-01"/>
    <s v="COMUNE DI CASTRI DI LECCE : CASTRI DI LECCE ILLUMINAZIONE PUBBLICA"/>
    <s v="COMUNE DI CASTRI DI LECCE "/>
    <x v="42"/>
    <m/>
    <n v="1056.01"/>
    <m/>
    <m/>
    <m/>
    <n v="1056.01"/>
    <n v="1"/>
    <n v="1056.01"/>
    <n v="1214.4114999999999"/>
    <s v="Selettra"/>
  </r>
  <r>
    <x v="3"/>
    <s v="PPP-IPU-C334-01"/>
    <s v="COMUNE DI CASTRI DI LECCE : CASTRI DI LECCE ILLUMINAZIONE PUBBLICA"/>
    <s v="COMUNE DI CASTRI DI LECCE "/>
    <x v="42"/>
    <m/>
    <n v="7800"/>
    <m/>
    <n v="1901.0050000000001"/>
    <n v="64.05"/>
    <n v="9765.0550000000003"/>
    <n v="1"/>
    <n v="9765.0550000000003"/>
    <n v="11229.813250000001"/>
    <s v="Selettra"/>
  </r>
  <r>
    <x v="4"/>
    <s v="PPP-IPU-C334-01"/>
    <s v="COMUNE DI CASTRI DI LECCE : CASTRI DI LECCE ILLUMINAZIONE PUBBLICA"/>
    <s v="COMUNE DI CASTRI DI LECCE "/>
    <x v="42"/>
    <m/>
    <n v="1163.6400000000001"/>
    <m/>
    <m/>
    <m/>
    <n v="1163.6400000000001"/>
    <n v="1"/>
    <n v="1163.6400000000001"/>
    <n v="1338.1860000000001"/>
    <s v="Selettra"/>
  </r>
  <r>
    <x v="5"/>
    <s v="PPP-IPU-C448-01"/>
    <s v="COMUNE DI CELLINO SAN MARCO : CELLINO SAN MARCO ILLUMINAZIONE PUBBLICA"/>
    <s v="COMUNE DI CELLINO SAN MARCO "/>
    <x v="43"/>
    <m/>
    <n v="45689.22"/>
    <n v="-1478.08"/>
    <m/>
    <m/>
    <n v="44211.14"/>
    <n v="1"/>
    <n v="44211.14"/>
    <n v="50842.811000000002"/>
    <s v="Selettra"/>
  </r>
  <r>
    <x v="3"/>
    <s v="PPP-IPU-C448-01"/>
    <s v="COMUNE DI CELLINO SAN MARCO : CELLINO SAN MARCO ILLUMINAZIONE PUBBLICA"/>
    <s v="COMUNE DI CELLINO SAN MARCO "/>
    <x v="43"/>
    <m/>
    <n v="3500"/>
    <n v="272"/>
    <n v="3523.8850000000002"/>
    <n v="100.1"/>
    <n v="7395.9850000000006"/>
    <n v="1"/>
    <n v="7395.9850000000006"/>
    <n v="8505.3827500000007"/>
    <s v="Selettra"/>
  </r>
  <r>
    <x v="3"/>
    <s v="PPP-IPU-C492-01"/>
    <s v="Comune di Cerchio : CERCHIO ILLUMINAZIONE PUBBLICA"/>
    <s v="Comune di Cerchio "/>
    <x v="44"/>
    <m/>
    <n v="10000"/>
    <m/>
    <n v="7116.9"/>
    <n v="2576.4499999999998"/>
    <n v="19693.350000000002"/>
    <n v="1"/>
    <n v="19693.350000000002"/>
    <n v="22647.352500000001"/>
    <s v="Ottima"/>
  </r>
  <r>
    <x v="4"/>
    <s v="PPP-IPU-C492-01"/>
    <s v="Comune di Cerchio : CERCHIO ILLUMINAZIONE PUBBLICA"/>
    <s v="Comune di Cerchio "/>
    <x v="44"/>
    <m/>
    <n v="4185"/>
    <n v="4154.3999999999996"/>
    <m/>
    <m/>
    <n v="8339.4"/>
    <n v="1"/>
    <n v="8339.4"/>
    <n v="9590.31"/>
    <s v="Ottima"/>
  </r>
  <r>
    <x v="0"/>
    <s v="PPP-IPU-C543-01"/>
    <s v="COMUNE DI CERVARA DI ROMA : CERVARA DI ROMA ILLUMINAZIONE PUBBLICA"/>
    <s v="COMUNE DI CERVARA DI ROMA "/>
    <x v="45"/>
    <m/>
    <n v="2777.04"/>
    <m/>
    <m/>
    <m/>
    <n v="2777.04"/>
    <n v="1"/>
    <n v="2777.04"/>
    <n v="3193.596"/>
    <s v="Civismart"/>
  </r>
  <r>
    <x v="1"/>
    <s v="PPP-IPU-C616-01"/>
    <s v="COMUNE DI CHIARAVALLE CENTRALE : CHIARAVALLE CENTRALE ILLUMINAZIONE PUBBLICA"/>
    <s v="COMUNE DI CHIARAVALLE CENTRALE "/>
    <x v="46"/>
    <m/>
    <n v="18"/>
    <m/>
    <n v="933.86"/>
    <m/>
    <n v="951.86"/>
    <n v="1"/>
    <n v="951.86"/>
    <n v="1094.6390000000001"/>
    <s v="Civismart"/>
  </r>
  <r>
    <x v="1"/>
    <s v="PPP-BUS-C638-01"/>
    <s v="COMUNE DI CHIOGGIA : CHIOGGIA TRASPORTO PUBBLICO LOCALE"/>
    <s v="COMUNE DI CHIOGGIA "/>
    <x v="47"/>
    <m/>
    <n v="2500"/>
    <m/>
    <m/>
    <m/>
    <n v="2500"/>
    <n v="1"/>
    <n v="2500"/>
    <n v="2875"/>
    <s v="Civismart"/>
  </r>
  <r>
    <x v="5"/>
    <s v="PPP-IPU-C824-01"/>
    <s v="COMUNE DI COGOLLO DEL CENGIO : COGOLLO DEL CENGIO ILLUMINAZIONE PUBBLICA"/>
    <s v="COMUNE DI COGOLLO DEL CENGIO "/>
    <x v="48"/>
    <m/>
    <m/>
    <n v="670"/>
    <m/>
    <m/>
    <n v="670"/>
    <n v="1"/>
    <n v="670"/>
    <n v="770.5"/>
    <s v="Civismart"/>
  </r>
  <r>
    <x v="3"/>
    <s v="PPP-IPU-M426-01"/>
    <s v="COMUNE DI COLCERESA : COLCERESA ILLUMINAZIONE PUBBLICA"/>
    <s v="COMUNE DI COLCERESA "/>
    <x v="49"/>
    <m/>
    <m/>
    <m/>
    <n v="1083.5999999999999"/>
    <m/>
    <n v="1083.5999999999999"/>
    <n v="1"/>
    <n v="1083.5999999999999"/>
    <n v="1246.1399999999999"/>
    <s v="Carollo"/>
  </r>
  <r>
    <x v="4"/>
    <s v="PPP-IPU-M426-01"/>
    <s v="COMUNE DI COLCERESA : COLCERESA ILLUMINAZIONE PUBBLICA"/>
    <s v="COMUNE DI COLCERESA "/>
    <x v="49"/>
    <m/>
    <n v="2250"/>
    <n v="4839.8500000000004"/>
    <m/>
    <m/>
    <n v="7089.85"/>
    <n v="1"/>
    <n v="7089.85"/>
    <n v="8153.3275000000003"/>
    <s v="Carollo"/>
  </r>
  <r>
    <x v="3"/>
    <s v="PPP-IPU-C888-01"/>
    <s v="COMUNE DI COLOBRARO : COLOBRARO ILLUMINAZIONE PUBBLICA"/>
    <s v="COMUNE DI COLOBRARO "/>
    <x v="50"/>
    <m/>
    <m/>
    <m/>
    <n v="750.72500000000002"/>
    <m/>
    <n v="750.72500000000002"/>
    <n v="1"/>
    <n v="750.72500000000002"/>
    <n v="863.33375000000001"/>
    <s v="Civismart"/>
  </r>
  <r>
    <x v="0"/>
    <s v="PPP-IPU-D054-01"/>
    <s v="COMUNE DI CORTE BRUGNATELLA : CORTE BRUGNATELLA ILLUMINAZIONE PUBBLICA"/>
    <s v="COMUNE DI CORTE BRUGNATELLA "/>
    <x v="51"/>
    <m/>
    <n v="3411.9"/>
    <m/>
    <m/>
    <m/>
    <n v="3411.9"/>
    <n v="1"/>
    <n v="3411.9"/>
    <n v="3923.6849999999999"/>
    <s v="Civismart"/>
  </r>
  <r>
    <x v="3"/>
    <s v="PPP-IPU-D012-01"/>
    <s v="Comune di Courmayeur : COURMAYEUR ILLUMINAZIONE PUBBLICA"/>
    <s v="Comune di Courmayeur "/>
    <x v="52"/>
    <m/>
    <n v="0"/>
    <m/>
    <m/>
    <m/>
    <n v="0"/>
    <n v="1"/>
    <n v="0"/>
    <n v="0"/>
    <s v="Civismart"/>
  </r>
  <r>
    <x v="4"/>
    <s v="PPP-IPU-D012-01"/>
    <s v="Comune di Courmayeur : COURMAYEUR ILLUMINAZIONE PUBBLICA"/>
    <s v="Comune di Courmayeur "/>
    <x v="52"/>
    <m/>
    <n v="2000"/>
    <m/>
    <m/>
    <m/>
    <n v="2000"/>
    <n v="1"/>
    <n v="2000"/>
    <n v="2300"/>
    <s v="Civismart"/>
  </r>
  <r>
    <x v="1"/>
    <s v="PPP-IPU-D150-01"/>
    <s v="COMUNE DI CREMONA : CREMONA ILLUMINAZIONE PUBBLICA"/>
    <s v="COMUNE DI CREMONA "/>
    <x v="53"/>
    <m/>
    <n v="95992"/>
    <m/>
    <n v="74.959999999999994"/>
    <m/>
    <n v="96066.96"/>
    <n v="1"/>
    <n v="96066.96"/>
    <n v="110477.004"/>
    <s v="Civismart"/>
  </r>
  <r>
    <x v="0"/>
    <s v="PPP-IPU-D150-01"/>
    <s v="COMUNE DI CREMONA : CREMONA ILLUMINAZIONE PUBBLICA"/>
    <s v="COMUNE DI CREMONA "/>
    <x v="53"/>
    <m/>
    <n v="7670"/>
    <m/>
    <n v="1911.2"/>
    <m/>
    <n v="9581.2000000000007"/>
    <n v="1"/>
    <n v="9581.2000000000007"/>
    <n v="11018.380000000001"/>
    <s v="Civismart"/>
  </r>
  <r>
    <x v="4"/>
    <s v="PPP-IPU-D171-01"/>
    <s v="COMUNE DI CRISPIANO : CRISPIANO ILLUMINAZIONE PUBBLICA"/>
    <s v="COMUNE DI CRISPIANO "/>
    <x v="54"/>
    <m/>
    <n v="19500"/>
    <m/>
    <m/>
    <m/>
    <n v="19500"/>
    <n v="1"/>
    <n v="19500"/>
    <n v="22425"/>
    <s v="Civismart"/>
  </r>
  <r>
    <x v="3"/>
    <s v="PPP-IPU-D223-01"/>
    <s v="COMUNE DI CURSI : CURSI ILLUMINAZIONE PUBBLICA"/>
    <s v="COMUNE DI CURSI "/>
    <x v="55"/>
    <m/>
    <n v="250"/>
    <m/>
    <n v="739.89"/>
    <n v="137.02000000000001"/>
    <n v="1126.9100000000001"/>
    <n v="1"/>
    <n v="1126.9100000000001"/>
    <n v="1295.9465"/>
    <s v="Selettra"/>
  </r>
  <r>
    <x v="4"/>
    <s v="PPP-IPU-D223-01"/>
    <s v="COMUNE DI CURSI : CURSI ILLUMINAZIONE PUBBLICA"/>
    <s v="COMUNE DI CURSI "/>
    <x v="55"/>
    <m/>
    <n v="8320"/>
    <m/>
    <m/>
    <m/>
    <n v="8320"/>
    <n v="1"/>
    <n v="8320"/>
    <n v="9568"/>
    <s v="Selettra"/>
  </r>
  <r>
    <x v="0"/>
    <s v="PPP-IPU-D228-01"/>
    <s v="COMUNE DI CURTI : CURTI ILLUMINAZIONE PUBBLICA"/>
    <s v="COMUNE DI CURTI "/>
    <x v="56"/>
    <m/>
    <n v="8583.7000000000007"/>
    <m/>
    <n v="467.005"/>
    <m/>
    <n v="9050.7049999999999"/>
    <n v="1"/>
    <n v="9050.7049999999999"/>
    <n v="10408.310750000001"/>
    <s v="Civismart"/>
  </r>
  <r>
    <x v="0"/>
    <s v="PPP-IPU-D234-01"/>
    <s v="COMUNE DI CUSTONACI : CUSTONACI ILLUMINAZIONE PUBBLICA"/>
    <s v="COMUNE DI CUSTONACI "/>
    <x v="57"/>
    <m/>
    <n v="800"/>
    <m/>
    <m/>
    <m/>
    <n v="800"/>
    <n v="1"/>
    <n v="800"/>
    <n v="920"/>
    <s v="Civismart"/>
  </r>
  <r>
    <x v="0"/>
    <s v="PPP-IPU-D440-01"/>
    <s v="COMUNE DI ESPERIA : ESPERIA ILLUMINAZIONE PUBBLICA"/>
    <s v="COMUNE DI ESPERIA "/>
    <x v="58"/>
    <m/>
    <n v="4173.84"/>
    <m/>
    <m/>
    <m/>
    <n v="4173.84"/>
    <n v="1"/>
    <n v="4173.84"/>
    <n v="4799.9160000000002"/>
    <s v="Civismart"/>
  </r>
  <r>
    <x v="0"/>
    <s v="PPP-IPU-D463-01"/>
    <s v="COMUNE DI FAGGIANO : FAGGIANO ILLUMINAZIONE PUBBLICA"/>
    <s v="COMUNE DI FAGGIANO "/>
    <x v="59"/>
    <m/>
    <n v="19239.400000000001"/>
    <m/>
    <n v="961.29"/>
    <m/>
    <n v="20200.690000000002"/>
    <n v="1"/>
    <n v="20200.690000000002"/>
    <n v="23230.793500000003"/>
    <s v="Civismart"/>
  </r>
  <r>
    <x v="0"/>
    <s v="AQ1-IPU-D541-01"/>
    <s v="COMUNE DI FERMIGNANO : FermignanoILLUMINAZIONE PUBBLICA"/>
    <s v="COMUNE DI FERMIGNANO "/>
    <x v="60"/>
    <m/>
    <m/>
    <m/>
    <n v="144.55000000000001"/>
    <m/>
    <n v="144.55000000000001"/>
    <n v="1"/>
    <n v="144.55000000000001"/>
    <n v="166.23250000000002"/>
    <s v="Civismart"/>
  </r>
  <r>
    <x v="3"/>
    <s v="AQ1-IPU-D541-01"/>
    <s v="COMUNE DI FERMIGNANO : FermignanoILLUMINAZIONE PUBBLICA"/>
    <s v="COMUNE DI FERMIGNANO "/>
    <x v="60"/>
    <m/>
    <m/>
    <n v="1894.91"/>
    <n v="4756.3999999999996"/>
    <m/>
    <n v="6651.3099999999995"/>
    <n v="1"/>
    <n v="6651.3099999999995"/>
    <n v="7649.0064999999995"/>
    <s v="Civismart"/>
  </r>
  <r>
    <x v="4"/>
    <s v="AQ1-IPU-D541-01"/>
    <s v="COMUNE DI FERMIGNANO : FermignanoILLUMINAZIONE PUBBLICA"/>
    <s v="COMUNE DI FERMIGNANO "/>
    <x v="60"/>
    <m/>
    <m/>
    <n v="3498.75"/>
    <m/>
    <m/>
    <n v="3498.75"/>
    <n v="1"/>
    <n v="3498.75"/>
    <n v="4023.5625"/>
    <s v="Civismart"/>
  </r>
  <r>
    <x v="4"/>
    <s v="PPP-IPU-D593-01"/>
    <s v="Comune di Filiano : FILIANO ILLUMINAZIONE PUBBLICA"/>
    <s v="Comune di Filiano "/>
    <x v="61"/>
    <m/>
    <n v="9000"/>
    <m/>
    <m/>
    <m/>
    <n v="9000"/>
    <n v="1"/>
    <n v="9000"/>
    <n v="10350"/>
    <s v="Civismart"/>
  </r>
  <r>
    <x v="3"/>
    <s v="PPP-IPU-D600-01"/>
    <s v="Comune di Finale Ligure : FINALE LIGURE ILLUMINAZIONE PUBBLICA"/>
    <s v="Comune di Finale Ligure "/>
    <x v="62"/>
    <m/>
    <m/>
    <m/>
    <n v="60.96"/>
    <m/>
    <n v="60.96"/>
    <n v="1"/>
    <n v="60.96"/>
    <n v="70.103999999999999"/>
    <s v="Ottima"/>
  </r>
  <r>
    <x v="1"/>
    <s v="PPP-IPU-D763-01"/>
    <s v="COMUNE DI FRANCAVILLA AL MARE : Francavilla al Mare ILLUMINAZIONE PUBBLICA"/>
    <s v="COMUNE DI FRANCAVILLA AL MARE "/>
    <x v="63"/>
    <m/>
    <m/>
    <m/>
    <n v="1551.7049999999999"/>
    <m/>
    <n v="1551.7049999999999"/>
    <n v="1"/>
    <n v="1551.7049999999999"/>
    <n v="1784.46075"/>
    <s v="Civismart"/>
  </r>
  <r>
    <x v="0"/>
    <s v="PPP-IPU-D763-01"/>
    <s v="COMUNE DI FRANCAVILLA AL MARE : Francavilla al Mare ILLUMINAZIONE PUBBLICA"/>
    <s v="COMUNE DI FRANCAVILLA AL MARE "/>
    <x v="63"/>
    <m/>
    <n v="10857.08"/>
    <m/>
    <n v="423.69"/>
    <m/>
    <n v="11280.77"/>
    <n v="1"/>
    <n v="11280.77"/>
    <n v="12972.8855"/>
    <s v="Civismart"/>
  </r>
  <r>
    <x v="3"/>
    <s v="PPP-IPU-D763-01"/>
    <s v="COMUNE DI FRANCAVILLA AL MARE : Francavilla al Mare ILLUMINAZIONE PUBBLICA"/>
    <s v="COMUNE DI FRANCAVILLA AL MARE "/>
    <x v="63"/>
    <m/>
    <m/>
    <n v="5210.9399999999996"/>
    <n v="396.18"/>
    <m/>
    <n v="5607.12"/>
    <n v="1"/>
    <n v="5607.12"/>
    <n v="6448.1880000000001"/>
    <s v="Civismart"/>
  </r>
  <r>
    <x v="4"/>
    <s v="PPP-IPU-D763-01"/>
    <s v="COMUNE DI FRANCAVILLA AL MARE : Francavilla al Mare ILLUMINAZIONE PUBBLICA"/>
    <s v="COMUNE DI FRANCAVILLA AL MARE "/>
    <x v="63"/>
    <m/>
    <m/>
    <n v="536.4"/>
    <m/>
    <m/>
    <n v="536.4"/>
    <n v="1"/>
    <n v="536.4"/>
    <n v="616.86"/>
    <s v="Civismart"/>
  </r>
  <r>
    <x v="3"/>
    <s v="ATI-IPU-D812-01"/>
    <s v="COMUNE DI FROSSASCO : IN ATI FROSSASCO ILLUMINAZIONE PUBBLICA"/>
    <s v="COMUNE DI FROSSASCO "/>
    <x v="64"/>
    <m/>
    <m/>
    <n v="3036.72"/>
    <n v="5398.085"/>
    <m/>
    <n v="8434.8050000000003"/>
    <n v="0.9"/>
    <n v="7591.3245000000006"/>
    <n v="8730.0231750000003"/>
    <s v="Selettra"/>
  </r>
  <r>
    <x v="4"/>
    <s v="ATI-IPU-D812-01"/>
    <s v="COMUNE DI FROSSASCO : IN ATI FROSSASCO ILLUMINAZIONE PUBBLICA"/>
    <s v="COMUNE DI FROSSASCO "/>
    <x v="64"/>
    <m/>
    <n v="20868.97"/>
    <n v="10662.92"/>
    <m/>
    <m/>
    <n v="31531.89"/>
    <n v="0.9"/>
    <n v="28378.701000000001"/>
    <n v="32635.506150000001"/>
    <s v="Selettra"/>
  </r>
  <r>
    <x v="0"/>
    <s v="PPP-IPU-D859-01"/>
    <s v="COMUNE DI GAIRO : GAIRO ILLUMINAZIONE PUBBLICA"/>
    <s v="COMUNE DI GAIRO "/>
    <x v="65"/>
    <m/>
    <n v="500"/>
    <m/>
    <m/>
    <m/>
    <n v="500"/>
    <n v="1"/>
    <n v="500"/>
    <n v="575"/>
    <s v="Civismart"/>
  </r>
  <r>
    <x v="5"/>
    <s v="PPP-IPU-D883-01"/>
    <s v="COMUNE DI GALLIPOLI : GALLIPOLI ILLUMINAZIONE PUBBLICA"/>
    <s v="COMUNE DI GALLIPOLI "/>
    <x v="66"/>
    <m/>
    <n v="77130.23"/>
    <n v="-35476.47"/>
    <m/>
    <m/>
    <n v="41653.759999999995"/>
    <n v="1"/>
    <n v="41653.759999999995"/>
    <n v="47901.823999999993"/>
    <s v="Selettra"/>
  </r>
  <r>
    <x v="3"/>
    <s v="PPP-IPU-D883-01"/>
    <s v="COMUNE DI GALLIPOLI : GALLIPOLI ILLUMINAZIONE PUBBLICA"/>
    <s v="COMUNE DI GALLIPOLI "/>
    <x v="66"/>
    <m/>
    <n v="34147.78"/>
    <n v="3497.7"/>
    <n v="9075.1350000000002"/>
    <n v="336.66"/>
    <n v="47057.275000000001"/>
    <n v="1"/>
    <n v="47057.275000000001"/>
    <n v="54115.866249999999"/>
    <s v="Selettra"/>
  </r>
  <r>
    <x v="4"/>
    <s v="PPP-IPU-D883-01"/>
    <s v="COMUNE DI GALLIPOLI : GALLIPOLI ILLUMINAZIONE PUBBLICA"/>
    <s v="COMUNE DI GALLIPOLI "/>
    <x v="66"/>
    <m/>
    <n v="20383.64"/>
    <n v="554.66999999999996"/>
    <m/>
    <m/>
    <n v="20938.309999999998"/>
    <n v="1"/>
    <n v="20938.309999999998"/>
    <n v="24079.056499999999"/>
    <s v="Selettra"/>
  </r>
  <r>
    <x v="3"/>
    <s v="AQ1-IPU-D946-01"/>
    <s v="COMUNE DI GAVIRATE : GavirateILLUMINAZIONE PUBBLICA"/>
    <s v="COMUNE DI GAVIRATE "/>
    <x v="67"/>
    <m/>
    <m/>
    <m/>
    <n v="7969.34"/>
    <m/>
    <n v="7969.34"/>
    <n v="1"/>
    <n v="7969.34"/>
    <n v="9164.741"/>
    <s v="Atlantic"/>
  </r>
  <r>
    <x v="4"/>
    <s v="AQ1-IPU-D946-01"/>
    <s v="COMUNE DI GAVIRATE : GavirateILLUMINAZIONE PUBBLICA"/>
    <s v="COMUNE DI GAVIRATE "/>
    <x v="67"/>
    <m/>
    <n v="2355.4"/>
    <n v="4108"/>
    <m/>
    <m/>
    <n v="6463.4"/>
    <n v="1"/>
    <n v="6463.4"/>
    <n v="7432.91"/>
    <s v="Atlantic"/>
  </r>
  <r>
    <x v="3"/>
    <s v="PPP-IPU-D947-01"/>
    <s v="COMUNE DI GAVOI : GAVOI ILLUMINAZIONE PUBBLICA"/>
    <s v="COMUNE DI GAVOI "/>
    <x v="68"/>
    <m/>
    <m/>
    <m/>
    <n v="216.72"/>
    <m/>
    <n v="216.72"/>
    <n v="1"/>
    <n v="216.72"/>
    <n v="249.22800000000001"/>
    <s v="Ottima"/>
  </r>
  <r>
    <x v="3"/>
    <s v="PPP-IPU-D947-01"/>
    <s v="COMUNE DI GAVOI : GAVOI ILLUMINAZIONE PUBBLICA"/>
    <s v="COMUNE DI GAVOI "/>
    <x v="68"/>
    <m/>
    <n v="372.17"/>
    <m/>
    <n v="67.72"/>
    <m/>
    <n v="439.89"/>
    <n v="1"/>
    <n v="439.89"/>
    <n v="505.87349999999998"/>
    <s v="Ottima"/>
  </r>
  <r>
    <x v="4"/>
    <s v="PPP-IPU-D947-01"/>
    <s v="COMUNE DI GAVOI : GAVOI ILLUMINAZIONE PUBBLICA"/>
    <s v="COMUNE DI GAVOI "/>
    <x v="68"/>
    <m/>
    <n v="21233.26"/>
    <n v="16384.240000000002"/>
    <m/>
    <m/>
    <n v="37617.5"/>
    <n v="1"/>
    <n v="37617.5"/>
    <n v="43260.125"/>
    <s v="Ottima"/>
  </r>
  <r>
    <x v="3"/>
    <s v="PPP-IPU-E026-01"/>
    <s v="COMUNE DI GIFFONI SEI CASALI : GIFFONI SEI CASALI ILLUMINAZIONE PUBBLICA"/>
    <s v="COMUNE DI GIFFONI SEI CASALI "/>
    <x v="69"/>
    <m/>
    <m/>
    <m/>
    <n v="78.180000000000007"/>
    <m/>
    <n v="78.180000000000007"/>
    <n v="1"/>
    <n v="78.180000000000007"/>
    <n v="89.907000000000011"/>
    <s v="Civismart"/>
  </r>
  <r>
    <x v="3"/>
    <s v="PPP-IPU-E026-01"/>
    <s v="COMUNE DI GIFFONI SEI CASALI : GIFFONI SEI CASALI ILLUMINAZIONE PUBBLICA"/>
    <s v="COMUNE DI GIFFONI SEI CASALI "/>
    <x v="69"/>
    <m/>
    <m/>
    <m/>
    <n v="215.87"/>
    <m/>
    <n v="215.87"/>
    <n v="1"/>
    <n v="215.87"/>
    <n v="248.25049999999999"/>
    <s v="Civismart"/>
  </r>
  <r>
    <x v="3"/>
    <s v="PPP-IPU-E033-01"/>
    <s v="Comune di Ginestra : GINESTRA ILLUMINAZIONE PUBBLICA"/>
    <s v="Comune di Ginestra "/>
    <x v="70"/>
    <m/>
    <m/>
    <m/>
    <n v="142.02000000000001"/>
    <n v="68.5"/>
    <n v="210.52"/>
    <n v="1"/>
    <n v="210.52"/>
    <n v="242.09800000000001"/>
    <s v="Civismart"/>
  </r>
  <r>
    <x v="4"/>
    <s v="PPP-IPU-E033-01"/>
    <s v="Comune di Ginestra : GINESTRA ILLUMINAZIONE PUBBLICA"/>
    <s v="Comune di Ginestra "/>
    <x v="70"/>
    <m/>
    <n v="3000"/>
    <m/>
    <m/>
    <m/>
    <n v="3000"/>
    <n v="1"/>
    <n v="3000"/>
    <n v="3450"/>
    <s v="Civismart"/>
  </r>
  <r>
    <x v="0"/>
    <s v="PPP-IPU-E050-01"/>
    <s v="COMUNE DI GIRIFALCO : GIRIFALCO ILLUMINAZIONE PUBBLICA"/>
    <s v="COMUNE DI GIRIFALCO "/>
    <x v="71"/>
    <m/>
    <n v="18241.3"/>
    <m/>
    <m/>
    <m/>
    <n v="18241.3"/>
    <n v="1"/>
    <n v="18241.3"/>
    <n v="20977.494999999999"/>
    <s v="Civismart"/>
  </r>
  <r>
    <x v="0"/>
    <s v="PPP-IPU-E133-01"/>
    <s v="COMUNE DI GRAMMICHELE : GRAMMICHELE ILLUMINAZIONE PUBBLICA"/>
    <s v="COMUNE DI GRAMMICHELE "/>
    <x v="72"/>
    <m/>
    <n v="2126.25"/>
    <m/>
    <m/>
    <m/>
    <n v="2126.25"/>
    <n v="1"/>
    <n v="2126.25"/>
    <n v="2445.1875"/>
    <s v="Civismart"/>
  </r>
  <r>
    <x v="5"/>
    <s v="PPP-IPU-E152-01"/>
    <s v="Comune di Gravellona Lomellina - Uff_eFatturaPA : GRAVELLONA LOMELLINA ILLUMINAZIONE PUBBLICA"/>
    <s v="Comune di Gravellona Lomellina - Uff_eFatturaPA "/>
    <x v="73"/>
    <m/>
    <n v="0"/>
    <m/>
    <m/>
    <m/>
    <n v="0"/>
    <n v="1"/>
    <n v="0"/>
    <n v="0"/>
    <s v="Ottima"/>
  </r>
  <r>
    <x v="3"/>
    <s v="PPP-IPU-E152-01"/>
    <s v="Comune di Gravellona Lomellina - Uff_eFatturaPA : GRAVELLONA LOMELLINA ILLUMINAZIONE PUBBLICA"/>
    <s v="Comune di Gravellona Lomellina - Uff_eFatturaPA "/>
    <x v="73"/>
    <m/>
    <m/>
    <m/>
    <n v="6221.33"/>
    <m/>
    <n v="6221.33"/>
    <n v="1"/>
    <n v="6221.33"/>
    <n v="7154.5294999999996"/>
    <s v="Ottima"/>
  </r>
  <r>
    <x v="4"/>
    <s v="PPP-IPU-E152-01"/>
    <s v="Comune di Gravellona Lomellina - Uff_eFatturaPA : GRAVELLONA LOMELLINA ILLUMINAZIONE PUBBLICA"/>
    <s v="Comune di Gravellona Lomellina - Uff_eFatturaPA "/>
    <x v="73"/>
    <m/>
    <n v="13193.3"/>
    <m/>
    <m/>
    <m/>
    <n v="13193.3"/>
    <n v="1"/>
    <n v="13193.3"/>
    <n v="15172.294999999998"/>
    <s v="Ottima"/>
  </r>
  <r>
    <x v="1"/>
    <s v="PPP-IPU-E156-01"/>
    <s v="COMUNE DI GRAVINA DI CATANIA : GRAVINA DI CATANIA ILLUMINAZIONE PUBBLICA"/>
    <s v="COMUNE DI GRAVINA DI CATANIA "/>
    <x v="74"/>
    <m/>
    <n v="2643.9"/>
    <m/>
    <m/>
    <m/>
    <n v="2643.9"/>
    <n v="1"/>
    <n v="2643.9"/>
    <n v="3040.4850000000001"/>
    <s v="Civismart"/>
  </r>
  <r>
    <x v="0"/>
    <s v="PPP-IPU-E205-01"/>
    <s v="COMUNE DI GROTTAGLIE : GROTTAGLIE ILLUMINAZIONE PUBBLICA"/>
    <s v="COMUNE DI GROTTAGLIE "/>
    <x v="75"/>
    <m/>
    <n v="800"/>
    <m/>
    <n v="408.05500000000001"/>
    <m/>
    <n v="1208.0550000000001"/>
    <n v="1"/>
    <n v="1208.0550000000001"/>
    <n v="1389.26325"/>
    <s v="Civismart"/>
  </r>
  <r>
    <x v="1"/>
    <s v="PPP-IPU-E227-01"/>
    <s v="COMUNE DI GUAGNANO : GUAGNANO ILLUMINAZIONE PUBBLICA"/>
    <s v="COMUNE DI GUAGNANO "/>
    <x v="76"/>
    <m/>
    <n v="290"/>
    <m/>
    <n v="1482.37"/>
    <m/>
    <n v="1772.37"/>
    <n v="1"/>
    <n v="1772.37"/>
    <n v="2038.2254999999998"/>
    <s v="Civismart"/>
  </r>
  <r>
    <x v="0"/>
    <s v="PPP-IPU-E227-01"/>
    <s v="COMUNE DI GUAGNANO : GUAGNANO ILLUMINAZIONE PUBBLICA"/>
    <s v="COMUNE DI GUAGNANO "/>
    <x v="76"/>
    <m/>
    <n v="517"/>
    <m/>
    <n v="2478.59"/>
    <m/>
    <n v="2995.59"/>
    <n v="1"/>
    <n v="2995.59"/>
    <n v="3444.9285"/>
    <s v="Civismart"/>
  </r>
  <r>
    <x v="6"/>
    <s v="PPP-IPU-E227-01"/>
    <s v="COMUNE DI GUAGNANO : GUAGNANO ILLUMINAZIONE PUBBLICA"/>
    <s v="COMUNE DI GUAGNANO "/>
    <x v="76"/>
    <m/>
    <n v="800"/>
    <m/>
    <m/>
    <m/>
    <n v="800"/>
    <n v="1"/>
    <n v="800"/>
    <n v="920"/>
    <s v="Civismart"/>
  </r>
  <r>
    <x v="0"/>
    <s v="PPP-IPU-E246-01"/>
    <s v="COMUNE DI GUARDIA PERTICARA : Guardia Perticara ILLUMINAZIONE PUBBLICA"/>
    <s v="COMUNE DI GUARDIA PERTICARA "/>
    <x v="77"/>
    <m/>
    <m/>
    <m/>
    <n v="431.04"/>
    <m/>
    <n v="431.04"/>
    <n v="1"/>
    <n v="431.04"/>
    <n v="495.69600000000003"/>
    <s v="Civismart"/>
  </r>
  <r>
    <x v="0"/>
    <s v="PPP-IPU-E271-01"/>
    <s v="COMUNE DI GUSSAGO : GUSSAGO ILLUMINAZIONE PUBBLICA"/>
    <s v="COMUNE DI GUSSAGO "/>
    <x v="78"/>
    <m/>
    <n v="20000"/>
    <m/>
    <m/>
    <m/>
    <n v="20000"/>
    <n v="1"/>
    <n v="20000"/>
    <n v="23000"/>
    <s v="Civismart"/>
  </r>
  <r>
    <x v="0"/>
    <s v="PPP-IPU-E339-01"/>
    <s v="COMUNE DI ISOLA DI CAPO RIZZUTO : ISOLA DI CAPO RIZZUTO ILLUMINAZIONE PUBBLICA"/>
    <s v="COMUNE DI ISOLA DI CAPO RIZZUTO "/>
    <x v="79"/>
    <m/>
    <n v="38199.699999999997"/>
    <m/>
    <m/>
    <m/>
    <n v="38199.699999999997"/>
    <n v="1"/>
    <n v="38199.699999999997"/>
    <n v="43929.654999999999"/>
    <s v="Civismart"/>
  </r>
  <r>
    <x v="0"/>
    <s v="PPP-IPU-E397-01"/>
    <s v="COMUNE DI LACEDONIA : LACEDONIA ILLUMINAZIONE PUBBLICA"/>
    <s v="COMUNE DI LACEDONIA "/>
    <x v="80"/>
    <m/>
    <n v="6669.6"/>
    <m/>
    <n v="247.065"/>
    <m/>
    <n v="6916.665"/>
    <n v="1"/>
    <n v="6916.665"/>
    <n v="7954.1647499999999"/>
    <s v="Civismart"/>
  </r>
  <r>
    <x v="1"/>
    <s v="PPP-IPU-E402-01"/>
    <s v="COMUNE DI LAGANADI : LAGANADI ILLUMINAZIONE PUBBLICA"/>
    <s v="COMUNE DI LAGANADI "/>
    <x v="81"/>
    <m/>
    <m/>
    <m/>
    <n v="119.92"/>
    <m/>
    <n v="119.92"/>
    <n v="1"/>
    <n v="119.92"/>
    <n v="137.90800000000002"/>
    <s v="Civismart"/>
  </r>
  <r>
    <x v="0"/>
    <s v="PPP-IPU-E407-01"/>
    <s v="COMUNE DI LAGO : LAGO ILLUMINAZIONE PUBBLICA"/>
    <s v="COMUNE DI LAGO "/>
    <x v="82"/>
    <m/>
    <n v="833"/>
    <m/>
    <m/>
    <m/>
    <n v="833"/>
    <n v="1"/>
    <n v="833"/>
    <n v="957.95"/>
    <s v="Civismart"/>
  </r>
  <r>
    <x v="2"/>
    <s v="PPP-IPU-E407-01"/>
    <s v="COMUNE DI LAGO : LAGO ILLUMINAZIONE PUBBLICA"/>
    <s v="COMUNE DI LAGO "/>
    <x v="82"/>
    <m/>
    <m/>
    <m/>
    <n v="1468.22"/>
    <m/>
    <n v="1468.22"/>
    <n v="1"/>
    <n v="1468.22"/>
    <n v="1688.453"/>
    <s v="Civismart"/>
  </r>
  <r>
    <x v="4"/>
    <s v="PPP-IPU-C767-01"/>
    <s v="Comune di Lanuvio - SET.1 Serv.2  PROGRAMMAZIONE, MANUTENZIONE PATRIMONIO, VERDE : LANUVIO ILLUMINAZIONE PUBBLICA"/>
    <s v="Comune di Lanuvio - SET.1 Serv.2  PROGRAMMAZIONE, MANUTENZIONE PATRIMONIO, VERDE "/>
    <x v="83"/>
    <m/>
    <n v="17125.490000000002"/>
    <m/>
    <m/>
    <m/>
    <n v="17125.490000000002"/>
    <n v="1"/>
    <n v="17125.490000000002"/>
    <n v="19694.3135"/>
    <s v="Ottima"/>
  </r>
  <r>
    <x v="0"/>
    <s v="PPP-IPU-E493-01"/>
    <s v="COMUNE DI LAVELLO : LAVELLO ILLUMINAZIONE PUBBLICA"/>
    <s v="COMUNE DI LAVELLO "/>
    <x v="84"/>
    <m/>
    <m/>
    <m/>
    <n v="302.93"/>
    <m/>
    <n v="302.93"/>
    <n v="1"/>
    <n v="302.93"/>
    <n v="348.36950000000002"/>
    <s v="Civismart"/>
  </r>
  <r>
    <x v="2"/>
    <s v="PPP-IPU-E493-01"/>
    <s v="COMUNE DI LAVELLO : LAVELLO ILLUMINAZIONE PUBBLICA"/>
    <s v="COMUNE DI LAVELLO "/>
    <x v="84"/>
    <m/>
    <m/>
    <m/>
    <n v="398.72"/>
    <m/>
    <n v="398.72"/>
    <n v="1"/>
    <n v="398.72"/>
    <n v="458.52800000000002"/>
    <s v="Civismart"/>
  </r>
  <r>
    <x v="4"/>
    <s v="PPP-IPU-E558-01"/>
    <s v="Comune di Lettomanoppello - UFFICIO TECNICO : LETTOMANOPPELLO ILLUMINAZIONE PUBBLICA"/>
    <s v="Comune di Lettomanoppello - UFFICIO TECNICO "/>
    <x v="85"/>
    <m/>
    <n v="3172.12"/>
    <m/>
    <m/>
    <m/>
    <n v="3172.12"/>
    <n v="1"/>
    <n v="3172.12"/>
    <n v="3647.9380000000001"/>
    <s v="Civismart"/>
  </r>
  <r>
    <x v="3"/>
    <s v="PPP-IPU-E569-01"/>
    <s v="Comune di Lezzeno - Uff_eFatturaPA : LEZZENO ILLUMINAZIONE PUBBLICA"/>
    <s v="Comune di Lezzeno - Uff_eFatturaPA "/>
    <x v="86"/>
    <m/>
    <n v="0"/>
    <m/>
    <m/>
    <m/>
    <n v="0"/>
    <n v="1"/>
    <n v="0"/>
    <n v="0"/>
    <s v="Civismart"/>
  </r>
  <r>
    <x v="4"/>
    <s v="PPP-IPU-E569-01"/>
    <s v="Comune di Lezzeno - Uff_eFatturaPA : LEZZENO ILLUMINAZIONE PUBBLICA"/>
    <s v="Comune di Lezzeno - Uff_eFatturaPA "/>
    <x v="86"/>
    <m/>
    <n v="1700"/>
    <m/>
    <m/>
    <m/>
    <n v="1700"/>
    <n v="1"/>
    <n v="1700"/>
    <n v="1955"/>
    <s v="Civismart"/>
  </r>
  <r>
    <x v="3"/>
    <s v="PPP-IPU-E716-01"/>
    <s v="Comune di Lucera : LUCERA ILLUMINAZIONE PUBBLICA"/>
    <s v="Comune di Lucera "/>
    <x v="87"/>
    <m/>
    <m/>
    <n v="1252.93"/>
    <n v="52014.625"/>
    <n v="11633.17"/>
    <n v="64900.724999999999"/>
    <n v="1"/>
    <n v="64900.724999999999"/>
    <n v="74635.833749999991"/>
    <s v="Selettra"/>
  </r>
  <r>
    <x v="4"/>
    <s v="PPP-IPU-E716-01"/>
    <s v="Comune di Lucera : LUCERA ILLUMINAZIONE PUBBLICA"/>
    <s v="Comune di Lucera "/>
    <x v="87"/>
    <m/>
    <m/>
    <n v="5283.82"/>
    <m/>
    <m/>
    <n v="5283.82"/>
    <n v="1"/>
    <n v="5283.82"/>
    <n v="6076.393"/>
    <s v="Selettra"/>
  </r>
  <r>
    <x v="0"/>
    <s v="PPP-IPU-E773-01"/>
    <s v="Comune di Luzzi : LUZZI ILLUMINAZIONE PUBBLICA"/>
    <s v="Comune di Luzzi "/>
    <x v="88"/>
    <m/>
    <n v="18811.099999999999"/>
    <m/>
    <m/>
    <m/>
    <n v="18811.099999999999"/>
    <n v="1"/>
    <n v="18811.099999999999"/>
    <n v="21632.764999999999"/>
    <s v="Civismart"/>
  </r>
  <r>
    <x v="5"/>
    <s v="PPP-IPU-E882-01"/>
    <s v="COMUNE DI MANDURIA : MANDURIA ILLUMINAZIONE PUBBLICA"/>
    <s v="COMUNE DI MANDURIA "/>
    <x v="89"/>
    <m/>
    <n v="93431.89"/>
    <n v="6355.77"/>
    <m/>
    <m/>
    <n v="99787.66"/>
    <n v="1"/>
    <n v="99787.66"/>
    <n v="114755.80900000001"/>
    <s v="Civismart"/>
  </r>
  <r>
    <x v="3"/>
    <s v="PPP-IPU-E882-01"/>
    <s v="COMUNE DI MANDURIA : MANDURIA ILLUMINAZIONE PUBBLICA"/>
    <s v="COMUNE DI MANDURIA "/>
    <x v="89"/>
    <m/>
    <n v="4035.51"/>
    <n v="782.17"/>
    <n v="25298.28"/>
    <n v="8026.88"/>
    <n v="38142.839999999997"/>
    <n v="1"/>
    <n v="38142.839999999997"/>
    <n v="43864.265999999996"/>
    <s v="Civismart"/>
  </r>
  <r>
    <x v="3"/>
    <s v="PPP-IPU-E919-01"/>
    <s v="Comune di Maratea : MARATEA ILLUMINAZIONE PUBBLICA"/>
    <s v="Comune di Maratea "/>
    <x v="90"/>
    <m/>
    <m/>
    <m/>
    <n v="4490.79"/>
    <n v="1122.72"/>
    <n v="5613.51"/>
    <n v="1"/>
    <n v="5613.51"/>
    <n v="6455.5365000000002"/>
    <s v="Selettra"/>
  </r>
  <r>
    <x v="4"/>
    <s v="PPP-IPU-E919-01"/>
    <s v="Comune di Maratea : MARATEA ILLUMINAZIONE PUBBLICA"/>
    <s v="Comune di Maratea "/>
    <x v="90"/>
    <m/>
    <n v="564"/>
    <n v="3383.08"/>
    <m/>
    <m/>
    <n v="3947.08"/>
    <n v="1"/>
    <n v="3947.08"/>
    <n v="4539.1419999999998"/>
    <s v="Selettra"/>
  </r>
  <r>
    <x v="0"/>
    <s v="PPP-IPU-E974-01"/>
    <s v="COMUNE DI MARSALA : MARSALA ILLUMINAZIONE PUBBLICA"/>
    <s v="COMUNE DI MARSALA "/>
    <x v="91"/>
    <m/>
    <n v="11940"/>
    <m/>
    <m/>
    <m/>
    <n v="11940"/>
    <n v="1"/>
    <n v="11940"/>
    <n v="13731"/>
    <s v="Civismart"/>
  </r>
  <r>
    <x v="0"/>
    <s v="PPP-IPU-F004-01"/>
    <s v="COMUNE DI MASCALI : MASCALI ILLUMINAZIONE PUBBLICA"/>
    <s v="COMUNE DI MASCALI "/>
    <x v="92"/>
    <m/>
    <n v="7029.38"/>
    <m/>
    <m/>
    <m/>
    <n v="7029.38"/>
    <n v="1"/>
    <n v="7029.38"/>
    <n v="8083.7870000000003"/>
    <s v="Civismart"/>
  </r>
  <r>
    <x v="0"/>
    <s v="PPP-IPU-F065-01"/>
    <s v="COMUNE DI MAZZARINO : MAZZARINO ILLUMINAZIONE PUBBLICA"/>
    <s v="COMUNE DI MAZZARINO "/>
    <x v="93"/>
    <m/>
    <n v="500"/>
    <m/>
    <m/>
    <m/>
    <n v="500"/>
    <n v="1"/>
    <n v="500"/>
    <n v="575"/>
    <s v="Civismart"/>
  </r>
  <r>
    <x v="0"/>
    <s v="PPP-IPU-F158-01"/>
    <s v="COMUNE DI MESSINA : MESSINA ILLUMINAZIONE PUBBLICA"/>
    <s v="COMUNE DI MESSINA "/>
    <x v="94"/>
    <m/>
    <n v="1520"/>
    <m/>
    <n v="61.38"/>
    <m/>
    <n v="1581.38"/>
    <n v="1"/>
    <n v="1581.38"/>
    <n v="1818.587"/>
    <s v="Civismart"/>
  </r>
  <r>
    <x v="5"/>
    <s v="PPP-IPU-F165-01"/>
    <s v="COMUNE DI MEZZAGO : Mezzago ILLUMINAZIONE PUBBLICA"/>
    <s v="COMUNE DI MEZZAGO "/>
    <x v="95"/>
    <m/>
    <n v="9787.6200000000008"/>
    <n v="2036.65"/>
    <m/>
    <m/>
    <n v="11824.27"/>
    <n v="1"/>
    <n v="11824.27"/>
    <n v="13597.9105"/>
    <s v="Ottima"/>
  </r>
  <r>
    <x v="3"/>
    <s v="PPP-IPU-F165-01"/>
    <s v="COMUNE DI MEZZAGO : Mezzago ILLUMINAZIONE PUBBLICA"/>
    <s v="COMUNE DI MEZZAGO "/>
    <x v="95"/>
    <m/>
    <n v="146300"/>
    <n v="730.4"/>
    <n v="10702.08"/>
    <m/>
    <n v="157732.47999999998"/>
    <n v="1"/>
    <n v="157732.47999999998"/>
    <n v="181392.35199999998"/>
    <s v="Ottima"/>
  </r>
  <r>
    <x v="4"/>
    <s v="PPP-IPU-F165-01"/>
    <s v="COMUNE DI MEZZAGO : Mezzago ILLUMINAZIONE PUBBLICA"/>
    <s v="COMUNE DI MEZZAGO "/>
    <x v="95"/>
    <m/>
    <n v="85"/>
    <m/>
    <m/>
    <m/>
    <n v="85"/>
    <n v="1"/>
    <n v="85"/>
    <n v="97.75"/>
    <s v="Ottima"/>
  </r>
  <r>
    <x v="3"/>
    <s v="PPP-IPU-F165-01"/>
    <s v="COMUNE DI MEZZAGO : Mezzago ILLUMINAZIONE PUBBLICA"/>
    <s v="COMUNE DI MEZZAGO "/>
    <x v="95"/>
    <m/>
    <m/>
    <n v="57650.86"/>
    <m/>
    <m/>
    <n v="57650.86"/>
    <n v="1"/>
    <n v="57650.86"/>
    <n v="66298.489000000001"/>
    <s v="Ottima"/>
  </r>
  <r>
    <x v="0"/>
    <s v="PPP-EEE-F201-03"/>
    <s v="COMUNE DI MIGLIONICO : MIGLIONICO EFF.TO ENERGETICO EDIFICI"/>
    <s v="COMUNE DI MIGLIONICO "/>
    <x v="96"/>
    <m/>
    <n v="760"/>
    <m/>
    <n v="254.095"/>
    <m/>
    <n v="1014.095"/>
    <n v="1"/>
    <n v="1014.095"/>
    <n v="1166.2092500000001"/>
    <s v="Civismart"/>
  </r>
  <r>
    <x v="0"/>
    <s v="PPP-IPU-F206-01"/>
    <s v="COMUNE DI MILAZZO : MILAZZO ILLUMINAZIONE PUBBLICA"/>
    <s v="COMUNE DI MILAZZO "/>
    <x v="97"/>
    <m/>
    <n v="16959"/>
    <m/>
    <n v="622.46"/>
    <m/>
    <n v="17581.46"/>
    <n v="1"/>
    <n v="17581.46"/>
    <n v="20218.679"/>
    <s v="Civismart"/>
  </r>
  <r>
    <x v="0"/>
    <s v="PPP-IPU-F348-01"/>
    <s v="Comune di Mondolfo : Mondolfo - PPPILLUMINAZIONE PUBBLICA"/>
    <s v="Comune di Mondolfo "/>
    <x v="98"/>
    <m/>
    <n v="500"/>
    <m/>
    <n v="780.67499999999995"/>
    <m/>
    <n v="1280.675"/>
    <n v="1"/>
    <n v="1280.675"/>
    <n v="1472.7762499999999"/>
    <s v="Civismart"/>
  </r>
  <r>
    <x v="3"/>
    <s v="PPP-IPU-F370-01"/>
    <s v="COMUNE DI MONGRASSANO : MONGRASSANO ILLUMINAZIONE PUBBLICA"/>
    <s v="COMUNE DI MONGRASSANO "/>
    <x v="99"/>
    <m/>
    <n v="0"/>
    <m/>
    <n v="4726.76"/>
    <n v="373.1"/>
    <n v="5099.8600000000006"/>
    <n v="1"/>
    <n v="5099.8600000000006"/>
    <n v="5864.8390000000009"/>
    <s v="Selettra"/>
  </r>
  <r>
    <x v="4"/>
    <s v="PPP-IPU-F370-01"/>
    <s v="COMUNE DI MONGRASSANO : MONGRASSANO ILLUMINAZIONE PUBBLICA"/>
    <s v="COMUNE DI MONGRASSANO "/>
    <x v="99"/>
    <m/>
    <n v="24980.36"/>
    <n v="10565.54"/>
    <m/>
    <m/>
    <n v="35545.9"/>
    <n v="1"/>
    <n v="35545.9"/>
    <n v="40877.785000000003"/>
    <s v="Selettra"/>
  </r>
  <r>
    <x v="7"/>
    <s v="PPP-IPU-F370-01"/>
    <s v="COMUNE DI MONGRASSANO : MONGRASSANO ILLUMINAZIONE PUBBLICA"/>
    <s v="COMUNE DI MONGRASSANO "/>
    <x v="99"/>
    <m/>
    <m/>
    <m/>
    <n v="786.25"/>
    <n v="441.91"/>
    <n v="1228.1600000000001"/>
    <n v="1"/>
    <n v="1228.1600000000001"/>
    <n v="1412.384"/>
    <s v="Selettra"/>
  </r>
  <r>
    <x v="0"/>
    <s v="PPP-IPU-A561-01"/>
    <s v="COMUNE DI MONTECATINI TERME : MONTECATINI TERME ILLUMINAZIONE PUBBLICA"/>
    <s v="COMUNE DI MONTECATINI TERME "/>
    <x v="100"/>
    <m/>
    <n v="34144"/>
    <m/>
    <n v="319.36"/>
    <m/>
    <n v="34463.360000000001"/>
    <n v="1"/>
    <n v="34463.360000000001"/>
    <n v="39632.864000000001"/>
    <s v="Civismart"/>
  </r>
  <r>
    <x v="3"/>
    <s v="ATI-IPU-F481-01"/>
    <s v="COMUNE DI MONTECORVINO ROVELLA : IN ATI MONTECORVINO ROVELLA ILLUMINAZIONE PUBBLICA"/>
    <s v="COMUNE DI MONTECORVINO ROVELLA "/>
    <x v="101"/>
    <m/>
    <n v="1500"/>
    <m/>
    <n v="3040.4650000000001"/>
    <m/>
    <n v="4540.4650000000001"/>
    <n v="0.21"/>
    <n v="953.49765000000002"/>
    <n v="1096.5222974999999"/>
    <s v="Selettra"/>
  </r>
  <r>
    <x v="4"/>
    <s v="ATI-IPU-F481-01"/>
    <s v="COMUNE DI MONTECORVINO ROVELLA : IN ATI MONTECORVINO ROVELLA ILLUMINAZIONE PUBBLICA"/>
    <s v="COMUNE DI MONTECORVINO ROVELLA "/>
    <x v="101"/>
    <m/>
    <n v="22250.99"/>
    <n v="21714.82"/>
    <m/>
    <m/>
    <n v="43965.81"/>
    <n v="0.21"/>
    <n v="9232.820099999999"/>
    <n v="10617.743114999999"/>
    <s v="Selettra"/>
  </r>
  <r>
    <x v="0"/>
    <s v="PPP-IPU-F541-01"/>
    <s v="COMUNE DI MONTELEONE SABINO : MONTELEONE SABINO ILLUMINAZIONE PUBBLICA"/>
    <s v="COMUNE DI MONTELEONE SABINO "/>
    <x v="102"/>
    <m/>
    <n v="2183.64"/>
    <m/>
    <m/>
    <m/>
    <n v="2183.64"/>
    <n v="1"/>
    <n v="2183.64"/>
    <n v="2511.1859999999997"/>
    <s v="Civismart"/>
  </r>
  <r>
    <x v="8"/>
    <s v="PPP-IPU-F637-01"/>
    <s v="Comune di Montescaglioso : MONTESCAGLIOSO ILLUMINAZIONE PUBBLICA"/>
    <s v="Comune di Montescaglioso "/>
    <x v="103"/>
    <m/>
    <m/>
    <m/>
    <n v="276.48"/>
    <m/>
    <n v="276.48"/>
    <n v="1"/>
    <n v="276.48"/>
    <n v="317.952"/>
    <s v="Civismart"/>
  </r>
  <r>
    <x v="3"/>
    <s v="PPP-IPU-F637-01"/>
    <s v="Comune di Montescaglioso : MONTESCAGLIOSO ILLUMINAZIONE PUBBLICA"/>
    <s v="Comune di Montescaglioso "/>
    <x v="103"/>
    <m/>
    <m/>
    <m/>
    <n v="14755.004999999999"/>
    <n v="1941.03"/>
    <n v="16696.035"/>
    <n v="1"/>
    <n v="16696.035"/>
    <n v="19200.44025"/>
    <s v="Civismart"/>
  </r>
  <r>
    <x v="4"/>
    <s v="PPP-IPU-F637-01"/>
    <s v="Comune di Montescaglioso : MONTESCAGLIOSO ILLUMINAZIONE PUBBLICA"/>
    <s v="Comune di Montescaglioso "/>
    <x v="103"/>
    <m/>
    <n v="22500"/>
    <n v="35237.32"/>
    <m/>
    <m/>
    <n v="57737.32"/>
    <n v="1"/>
    <n v="57737.32"/>
    <n v="66397.918000000005"/>
    <s v="Civismart"/>
  </r>
  <r>
    <x v="1"/>
    <s v="PPP-IPU-F740-01"/>
    <s v="COMUNE DI MOROLO : MOROLO ILLUMINAZIONE PUBBLICA"/>
    <s v="COMUNE DI MOROLO "/>
    <x v="104"/>
    <m/>
    <n v="0"/>
    <m/>
    <m/>
    <m/>
    <n v="0"/>
    <n v="1"/>
    <n v="0"/>
    <n v="0"/>
    <s v="Civismart"/>
  </r>
  <r>
    <x v="0"/>
    <s v="PPP-IPU-F740-01"/>
    <s v="COMUNE DI MOROLO : MOROLO ILLUMINAZIONE PUBBLICA"/>
    <s v="COMUNE DI MOROLO "/>
    <x v="104"/>
    <m/>
    <n v="1551"/>
    <m/>
    <m/>
    <m/>
    <n v="1551"/>
    <n v="1"/>
    <n v="1551"/>
    <n v="1783.65"/>
    <s v="Civismart"/>
  </r>
  <r>
    <x v="3"/>
    <s v="PPP-IPU-F747-01"/>
    <s v="Comune di Morro D'Oro - Uff_eFatturaPA : MORRO D'ORO ILLUMINAZIONE PUBBLICA"/>
    <s v="Comune di Morro D'Oro - Uff_eFatturaPA "/>
    <x v="105"/>
    <m/>
    <n v="3770.08"/>
    <m/>
    <n v="132.06"/>
    <m/>
    <n v="3902.14"/>
    <n v="1"/>
    <n v="3902.14"/>
    <n v="4487.4609999999993"/>
    <s v="Ottima"/>
  </r>
  <r>
    <x v="4"/>
    <s v="PPP-IPU-F747-01"/>
    <s v="Comune di Morro D'Oro - Uff_eFatturaPA : MORRO D'ORO ILLUMINAZIONE PUBBLICA"/>
    <s v="Comune di Morro D'Oro - Uff_eFatturaPA "/>
    <x v="105"/>
    <m/>
    <n v="9204"/>
    <n v="1155.2"/>
    <m/>
    <m/>
    <n v="10359.200000000001"/>
    <n v="1"/>
    <n v="10359.200000000001"/>
    <n v="11913.080000000002"/>
    <s v="Ottima"/>
  </r>
  <r>
    <x v="3"/>
    <s v="PPP-IPU-F843-01"/>
    <s v="COMUNE DI NARDODIPACE : NARDODIPACE ILLUMINAZIONE PUBBLICA"/>
    <s v="COMUNE DI NARDODIPACE "/>
    <x v="106"/>
    <m/>
    <m/>
    <m/>
    <n v="552"/>
    <m/>
    <n v="552"/>
    <n v="1"/>
    <n v="552"/>
    <n v="634.79999999999995"/>
    <s v="Selettra"/>
  </r>
  <r>
    <x v="3"/>
    <s v="PPP-IPU-F843-01"/>
    <s v="COMUNE DI NARDODIPACE : NARDODIPACE ILLUMINAZIONE PUBBLICA"/>
    <s v="COMUNE DI NARDODIPACE "/>
    <x v="106"/>
    <m/>
    <n v="10516.34"/>
    <n v="420"/>
    <n v="214.9"/>
    <m/>
    <n v="11151.24"/>
    <n v="1"/>
    <n v="11151.24"/>
    <n v="12823.925999999999"/>
    <s v="Selettra"/>
  </r>
  <r>
    <x v="4"/>
    <s v="PPP-IPU-F843-01"/>
    <s v="COMUNE DI NARDODIPACE : NARDODIPACE ILLUMINAZIONE PUBBLICA"/>
    <s v="COMUNE DI NARDODIPACE "/>
    <x v="106"/>
    <m/>
    <n v="2129.19"/>
    <n v="16916.310000000001"/>
    <m/>
    <m/>
    <n v="19045.5"/>
    <n v="1"/>
    <n v="19045.5"/>
    <n v="21902.325000000001"/>
    <s v="Selettra"/>
  </r>
  <r>
    <x v="0"/>
    <s v="PPP-IPU-F889-01"/>
    <s v="COMUNE DI NICHELINO : NICHELINO ILLUMINAZIONE PUBBLICA"/>
    <s v="COMUNE DI NICHELINO "/>
    <x v="107"/>
    <m/>
    <n v="9828"/>
    <m/>
    <m/>
    <m/>
    <n v="9828"/>
    <n v="1"/>
    <n v="9828"/>
    <n v="11302.2"/>
    <s v="Civismart"/>
  </r>
  <r>
    <x v="2"/>
    <s v="PPP-IPU-F889-01"/>
    <s v="COMUNE DI NICHELINO : NICHELINO ILLUMINAZIONE PUBBLICA"/>
    <s v="COMUNE DI NICHELINO "/>
    <x v="107"/>
    <m/>
    <n v="9280"/>
    <m/>
    <m/>
    <m/>
    <n v="9280"/>
    <n v="1"/>
    <n v="9280"/>
    <n v="10672"/>
    <s v="Civismart"/>
  </r>
  <r>
    <x v="0"/>
    <s v="PPP-IPU-F913-01"/>
    <s v="COMUNE DI NOCERA SUPERIORE : NOCERA SUPERIORE ILLUMINAZIONE PUBBLICA"/>
    <s v="COMUNE DI NOCERA SUPERIORE "/>
    <x v="108"/>
    <m/>
    <n v="27495.58"/>
    <m/>
    <m/>
    <m/>
    <n v="27495.58"/>
    <n v="1"/>
    <n v="27495.58"/>
    <n v="31619.917000000001"/>
    <s v="Civismart"/>
  </r>
  <r>
    <x v="5"/>
    <s v="PPP-IPU-F916-01"/>
    <s v="COMUNE DI NOCIGLIA : Nociglia ILLUMINAZIONE PUBBLICA"/>
    <s v="COMUNE DI NOCIGLIA "/>
    <x v="109"/>
    <m/>
    <n v="0"/>
    <m/>
    <m/>
    <m/>
    <n v="0"/>
    <n v="1"/>
    <n v="0"/>
    <n v="0"/>
    <s v="Civismart"/>
  </r>
  <r>
    <x v="0"/>
    <s v="PPP-IPU-F916-01"/>
    <s v="COMUNE DI NOCIGLIA : Nociglia ILLUMINAZIONE PUBBLICA"/>
    <s v="COMUNE DI NOCIGLIA "/>
    <x v="109"/>
    <m/>
    <m/>
    <m/>
    <n v="6.5149999999999997"/>
    <m/>
    <n v="6.5149999999999997"/>
    <n v="1"/>
    <n v="6.5149999999999997"/>
    <n v="7.4922499999999994"/>
    <s v="Civismart"/>
  </r>
  <r>
    <x v="3"/>
    <s v="PPP-IPU-F916-01"/>
    <s v="COMUNE DI NOCIGLIA : Nociglia ILLUMINAZIONE PUBBLICA"/>
    <s v="COMUNE DI NOCIGLIA "/>
    <x v="109"/>
    <m/>
    <m/>
    <m/>
    <n v="16705.345000000001"/>
    <m/>
    <n v="16705.345000000001"/>
    <n v="1"/>
    <n v="16705.345000000001"/>
    <n v="19211.14675"/>
    <s v="Civismart"/>
  </r>
  <r>
    <x v="4"/>
    <s v="PPP-IPU-F916-01"/>
    <s v="COMUNE DI NOCIGLIA : Nociglia ILLUMINAZIONE PUBBLICA"/>
    <s v="COMUNE DI NOCIGLIA "/>
    <x v="109"/>
    <m/>
    <n v="26237.279999999999"/>
    <n v="-1191.49"/>
    <m/>
    <m/>
    <n v="25045.789999999997"/>
    <n v="1"/>
    <n v="25045.789999999997"/>
    <n v="28802.658499999998"/>
    <s v="Civismart"/>
  </r>
  <r>
    <x v="3"/>
    <s v="PPP-IPU-F916-01"/>
    <s v="COMUNE DI NOCIGLIA : Nociglia ILLUMINAZIONE PUBBLICA"/>
    <s v="COMUNE DI NOCIGLIA "/>
    <x v="109"/>
    <m/>
    <m/>
    <m/>
    <n v="211.92"/>
    <m/>
    <n v="211.92"/>
    <n v="1"/>
    <n v="211.92"/>
    <n v="243.70799999999997"/>
    <s v="Civismart"/>
  </r>
  <r>
    <x v="3"/>
    <s v="PPP-IPU-A942-01"/>
    <s v="COMUNE DI NOVA SIRI : NOVA SIRI ILLUMINAZIONE PUBBLICA"/>
    <s v="COMUNE DI NOVA SIRI "/>
    <x v="110"/>
    <m/>
    <m/>
    <n v="794.71"/>
    <n v="24121.96"/>
    <n v="9257.52"/>
    <n v="34174.19"/>
    <n v="1"/>
    <n v="34174.19"/>
    <n v="39300.318500000001"/>
    <s v="Selettra"/>
  </r>
  <r>
    <x v="4"/>
    <s v="PPP-IPU-A942-01"/>
    <s v="COMUNE DI NOVA SIRI : NOVA SIRI ILLUMINAZIONE PUBBLICA"/>
    <s v="COMUNE DI NOVA SIRI "/>
    <x v="110"/>
    <m/>
    <n v="59281.47"/>
    <n v="18437.669999999998"/>
    <m/>
    <m/>
    <n v="77719.14"/>
    <n v="1"/>
    <n v="77719.14"/>
    <n v="89377.010999999999"/>
    <s v="Selettra"/>
  </r>
  <r>
    <x v="1"/>
    <s v="AQ1-IPU-F957-01"/>
    <s v="COMUNE DI NOVE (VI) : NOVE ILLUMINAZIONE PUBBLICA"/>
    <s v="COMUNE DI NOVE (VI) "/>
    <x v="111"/>
    <m/>
    <n v="9413.7999999999993"/>
    <m/>
    <m/>
    <m/>
    <n v="9413.7999999999993"/>
    <n v="1"/>
    <n v="9413.7999999999993"/>
    <n v="10825.869999999999"/>
    <s v="Civismart"/>
  </r>
  <r>
    <x v="4"/>
    <s v="PPP-IPU-G023-01"/>
    <s v="Comune di Olevano sul Tusciano : OLEVANO SUL TUSCIANO ILLUMINAZIONE PUBBLICA"/>
    <s v="Comune di Olevano sul Tusciano "/>
    <x v="112"/>
    <m/>
    <n v="620.20000000000005"/>
    <m/>
    <m/>
    <m/>
    <n v="620.20000000000005"/>
    <n v="1"/>
    <n v="620.20000000000005"/>
    <n v="713.23"/>
    <s v="Civismart"/>
  </r>
  <r>
    <x v="3"/>
    <s v="PPP-IPU-G070-01"/>
    <s v="COMUNE DI ONIFAI : Onifai ILLUMINAZIONE PUBBLICA"/>
    <s v="COMUNE DI ONIFAI "/>
    <x v="113"/>
    <m/>
    <m/>
    <m/>
    <n v="60.95"/>
    <m/>
    <n v="60.95"/>
    <n v="1"/>
    <n v="60.95"/>
    <n v="70.092500000000001"/>
    <s v="Civismart"/>
  </r>
  <r>
    <x v="3"/>
    <s v="PPP-IPU-G070-01"/>
    <s v="COMUNE DI ONIFAI : Onifai ILLUMINAZIONE PUBBLICA"/>
    <s v="COMUNE DI ONIFAI "/>
    <x v="113"/>
    <m/>
    <m/>
    <m/>
    <n v="67.72"/>
    <m/>
    <n v="67.72"/>
    <n v="1"/>
    <n v="67.72"/>
    <n v="77.878"/>
    <s v="Civismart"/>
  </r>
  <r>
    <x v="4"/>
    <s v="PPP-IPU-G070-01"/>
    <s v="COMUNE DI ONIFAI : Onifai ILLUMINAZIONE PUBBLICA"/>
    <s v="COMUNE DI ONIFAI "/>
    <x v="113"/>
    <m/>
    <n v="9860"/>
    <n v="20310.5"/>
    <m/>
    <m/>
    <n v="30170.5"/>
    <n v="1"/>
    <n v="30170.5"/>
    <n v="34696.074999999997"/>
    <s v="Civismart"/>
  </r>
  <r>
    <x v="3"/>
    <s v="PPP-IPU-G293-01"/>
    <s v="Comune di Palombara Sabina - LAVORI PUBBLICI-URBANISTICA : PALOMBARA SABINA ILLUMINAZIONE PUBBLICA"/>
    <s v="Comune di Palombara Sabina - LAVORI PUBBLICI-URBANISTICA "/>
    <x v="114"/>
    <m/>
    <m/>
    <n v="22631.119999999999"/>
    <m/>
    <m/>
    <n v="22631.119999999999"/>
    <n v="1"/>
    <n v="22631.119999999999"/>
    <n v="26025.788"/>
    <s v="Civismart"/>
  </r>
  <r>
    <x v="4"/>
    <s v="PPP-IPU-G293-01"/>
    <s v="Comune di Palombara Sabina - LAVORI PUBBLICI-URBANISTICA : PALOMBARA SABINA ILLUMINAZIONE PUBBLICA"/>
    <s v="Comune di Palombara Sabina - LAVORI PUBBLICI-URBANISTICA "/>
    <x v="114"/>
    <m/>
    <n v="71939.990000000005"/>
    <n v="1132.8699999999999"/>
    <m/>
    <m/>
    <n v="73072.86"/>
    <n v="1"/>
    <n v="73072.86"/>
    <n v="84033.789000000004"/>
    <s v="Civismart"/>
  </r>
  <r>
    <x v="3"/>
    <s v="ATI-IPU-G325-01"/>
    <s v="COMUNE DI PARABITA : IN ATI PARABITA ILLUMINAZIONE PUBBLICA"/>
    <s v="COMUNE DI PARABITA "/>
    <x v="115"/>
    <m/>
    <m/>
    <m/>
    <n v="4065.94"/>
    <m/>
    <n v="4065.94"/>
    <n v="0.21"/>
    <n v="853.84739999999999"/>
    <n v="981.92451000000005"/>
    <s v="Selettra"/>
  </r>
  <r>
    <x v="4"/>
    <s v="ATI-IPU-G325-01"/>
    <s v="COMUNE DI PARABITA : IN ATI PARABITA ILLUMINAZIONE PUBBLICA"/>
    <s v="COMUNE DI PARABITA "/>
    <x v="115"/>
    <m/>
    <n v="3389.82"/>
    <n v="2252.33"/>
    <m/>
    <m/>
    <n v="5642.15"/>
    <n v="0.21"/>
    <n v="1184.8515"/>
    <n v="1362.579225"/>
    <s v="Selettra"/>
  </r>
  <r>
    <x v="3"/>
    <s v="PPP-IPU-G348-01"/>
    <s v="Comune di Partinico : PARTINICO ILLUMINAZIONE PUBBLICA"/>
    <s v="Comune di Partinico "/>
    <x v="116"/>
    <m/>
    <m/>
    <m/>
    <n v="115.12"/>
    <m/>
    <n v="115.12"/>
    <n v="1"/>
    <n v="115.12"/>
    <n v="132.38800000000001"/>
    <s v="Ottima"/>
  </r>
  <r>
    <x v="4"/>
    <s v="PPP-IPU-G348-01"/>
    <s v="Comune di Partinico : PARTINICO ILLUMINAZIONE PUBBLICA"/>
    <s v="Comune di Partinico "/>
    <x v="116"/>
    <m/>
    <n v="6050"/>
    <m/>
    <m/>
    <m/>
    <n v="6050"/>
    <n v="1"/>
    <n v="6050"/>
    <n v="6957.5"/>
    <s v="Ottima"/>
  </r>
  <r>
    <x v="0"/>
    <s v="PPP-IPU-G376-01"/>
    <s v="COMUNE DI PATTADA : PATTADA ILLUMINAZIONE PUBBLICA"/>
    <s v="COMUNE DI PATTADA "/>
    <x v="117"/>
    <m/>
    <n v="500"/>
    <m/>
    <m/>
    <m/>
    <n v="500"/>
    <n v="1"/>
    <n v="500"/>
    <n v="575"/>
    <s v="Civismart"/>
  </r>
  <r>
    <x v="1"/>
    <s v="PPP-EEE-G426-03"/>
    <s v="COMUNE DI PELLEZZANO : EFFICIENTAMENTO ENERGETICO EDIFICI PELLEZZANO"/>
    <s v="COMUNE DI PELLEZZANO "/>
    <x v="118"/>
    <m/>
    <n v="7280"/>
    <m/>
    <m/>
    <m/>
    <n v="7280"/>
    <n v="1"/>
    <n v="7280"/>
    <n v="8372"/>
    <s v="Civismart"/>
  </r>
  <r>
    <x v="0"/>
    <s v="PPP-EEE-G426-03"/>
    <s v="COMUNE DI PELLEZZANO : EFFICIENTAMENTO ENERGETICO EDIFICI PELLEZZANO"/>
    <s v="COMUNE DI PELLEZZANO "/>
    <x v="118"/>
    <m/>
    <n v="3000"/>
    <m/>
    <m/>
    <m/>
    <n v="3000"/>
    <n v="1"/>
    <n v="3000"/>
    <n v="3450"/>
    <s v="Civismart"/>
  </r>
  <r>
    <x v="3"/>
    <s v="PPP-IPU-G426-01"/>
    <s v="COMUNE DI PELLEZZANO : PELLEZZANO ILLUMINAZIONE PUBBLICA"/>
    <s v="COMUNE DI PELLEZZANO "/>
    <x v="119"/>
    <m/>
    <m/>
    <m/>
    <n v="3284.71"/>
    <n v="1819.52"/>
    <n v="5104.2299999999996"/>
    <n v="1"/>
    <n v="5104.2299999999996"/>
    <n v="5869.8644999999997"/>
    <s v="Civismart"/>
  </r>
  <r>
    <x v="4"/>
    <s v="PPP-IPU-G426-01"/>
    <s v="COMUNE DI PELLEZZANO : PELLEZZANO ILLUMINAZIONE PUBBLICA"/>
    <s v="COMUNE DI PELLEZZANO "/>
    <x v="119"/>
    <m/>
    <n v="0"/>
    <n v="450"/>
    <m/>
    <m/>
    <n v="450"/>
    <n v="1"/>
    <n v="450"/>
    <n v="517.5"/>
    <s v="Civismart"/>
  </r>
  <r>
    <x v="0"/>
    <s v="PPP-IPU-G518-01"/>
    <s v="COMUNE DI PETRONA' : PETRONA' ILLUMINAZIONE PUBBLICA"/>
    <s v="COMUNE DI PETRONA' "/>
    <x v="120"/>
    <m/>
    <n v="7622.89"/>
    <m/>
    <m/>
    <m/>
    <n v="7622.89"/>
    <n v="1"/>
    <n v="7622.89"/>
    <n v="8766.3235000000004"/>
    <s v="Civismart"/>
  </r>
  <r>
    <x v="0"/>
    <s v="PPP-IPU-M281-01"/>
    <s v="COMUNE DI PETROSINO : PETROSINO ILLUMINAZIONE PUBBLICA"/>
    <s v="COMUNE DI PETROSINO "/>
    <x v="121"/>
    <m/>
    <n v="19333.64"/>
    <m/>
    <m/>
    <m/>
    <n v="19333.64"/>
    <n v="1"/>
    <n v="19333.64"/>
    <n v="22233.685999999998"/>
    <s v="Civismart"/>
  </r>
  <r>
    <x v="0"/>
    <s v="PPP-IPU-G543-01"/>
    <s v="COMUNE DI PIANA DEGLI ALBANESI : PIANA DEGLI ALBANESI ILLUMINAZIONE PUBBLICA"/>
    <s v="COMUNE DI PIANA DEGLI ALBANESI "/>
    <x v="122"/>
    <m/>
    <n v="760"/>
    <m/>
    <n v="151.82"/>
    <m/>
    <n v="911.81999999999994"/>
    <n v="1"/>
    <n v="911.81999999999994"/>
    <n v="1048.5929999999998"/>
    <s v="Civismart"/>
  </r>
  <r>
    <x v="3"/>
    <s v="PPP-IPU-G560-01"/>
    <s v="COMUNE DI PIANEZZE : PIANEZZE ILLUMINAZIONE PUBBLICA"/>
    <s v="COMUNE DI PIANEZZE "/>
    <x v="123"/>
    <m/>
    <m/>
    <m/>
    <n v="963.2"/>
    <m/>
    <n v="963.2"/>
    <n v="1"/>
    <n v="963.2"/>
    <n v="1107.68"/>
    <s v="Civismart"/>
  </r>
  <r>
    <x v="0"/>
    <s v="PPP-IPU-G568-01"/>
    <s v="COMUNE DI PIANO DI SORRENTO : PIANO DI SORRENTO ILLUMINAZIONE PUBBLICA"/>
    <s v="COMUNE DI PIANO DI SORRENTO "/>
    <x v="124"/>
    <m/>
    <m/>
    <m/>
    <n v="2272.1950000000002"/>
    <m/>
    <n v="2272.1950000000002"/>
    <n v="1"/>
    <n v="2272.1950000000002"/>
    <n v="2613.0242500000004"/>
    <s v="Civismart"/>
  </r>
  <r>
    <x v="5"/>
    <s v="PPP-IPU-G587-01"/>
    <s v="COMUNE DI PIAZZOLA SUL BRENTA : PIAZZOLA SUL BRENTA ILLUMINAZIONE PUBBLICA"/>
    <s v="COMUNE DI PIAZZOLA SUL BRENTA "/>
    <x v="125"/>
    <m/>
    <n v="0"/>
    <m/>
    <m/>
    <m/>
    <n v="0"/>
    <n v="1"/>
    <n v="0"/>
    <n v="0"/>
    <s v="Civismart"/>
  </r>
  <r>
    <x v="3"/>
    <s v="PPP-IPU-G587-01"/>
    <s v="COMUNE DI PIAZZOLA SUL BRENTA : PIAZZOLA SUL BRENTA ILLUMINAZIONE PUBBLICA"/>
    <s v="COMUNE DI PIAZZOLA SUL BRENTA "/>
    <x v="125"/>
    <m/>
    <n v="525"/>
    <m/>
    <n v="1083.5999999999999"/>
    <m/>
    <n v="1608.6"/>
    <n v="1"/>
    <n v="1608.6"/>
    <n v="1849.8899999999999"/>
    <s v="Civismart"/>
  </r>
  <r>
    <x v="4"/>
    <s v="PPP-IPU-G587-01"/>
    <s v="COMUNE DI PIAZZOLA SUL BRENTA : PIAZZOLA SUL BRENTA ILLUMINAZIONE PUBBLICA"/>
    <s v="COMUNE DI PIAZZOLA SUL BRENTA "/>
    <x v="125"/>
    <m/>
    <n v="1298"/>
    <n v="1042.52"/>
    <m/>
    <m/>
    <n v="2340.52"/>
    <n v="1"/>
    <n v="2340.52"/>
    <n v="2691.598"/>
    <s v="Civismart"/>
  </r>
  <r>
    <x v="4"/>
    <s v="PPP-IPU-G589-01"/>
    <s v="Comune di Picciano - Uff_eFatturaPA : IMPIANTI COMUNE DI PICCIANO"/>
    <s v="Comune di Picciano - Uff_eFatturaPA "/>
    <x v="126"/>
    <m/>
    <n v="1396"/>
    <n v="951.81"/>
    <m/>
    <m/>
    <n v="2347.81"/>
    <n v="1"/>
    <n v="2347.81"/>
    <n v="2699.9814999999999"/>
    <s v="Civismart"/>
  </r>
  <r>
    <x v="0"/>
    <s v="PPP-EEE-G616-02"/>
    <s v="Comune di Pietragalla : PIETRAGALLA EFFICIENTAMENTO EDIFICI"/>
    <s v="Comune di Pietragalla "/>
    <x v="127"/>
    <m/>
    <n v="2600"/>
    <m/>
    <m/>
    <m/>
    <n v="2600"/>
    <n v="1"/>
    <n v="2600"/>
    <n v="2990"/>
    <s v="Civismart"/>
  </r>
  <r>
    <x v="0"/>
    <s v="PPP-IPU-G616-01"/>
    <s v="Comune di Pietragalla : PIETRAGALLA ILLUMINAZIONE PUBBLICA"/>
    <s v="Comune di Pietragalla "/>
    <x v="128"/>
    <m/>
    <m/>
    <m/>
    <n v="1234.585"/>
    <m/>
    <n v="1234.585"/>
    <n v="1"/>
    <n v="1234.585"/>
    <n v="1419.7727500000001"/>
    <s v="Civismart"/>
  </r>
  <r>
    <x v="1"/>
    <s v="PPP-IPU-G630-01"/>
    <s v="COMUNE DI PIETRAVAIRANO : PIETRAVAIRANO ILLUMINAZIONE PUBBLICA"/>
    <s v="COMUNE DI PIETRAVAIRANO "/>
    <x v="129"/>
    <m/>
    <m/>
    <m/>
    <n v="239.84"/>
    <m/>
    <n v="239.84"/>
    <n v="1"/>
    <n v="239.84"/>
    <n v="275.81600000000003"/>
    <s v="Civismart"/>
  </r>
  <r>
    <x v="0"/>
    <s v="PPP-IPU-G630-01"/>
    <s v="COMUNE DI PIETRAVAIRANO : PIETRAVAIRANO ILLUMINAZIONE PUBBLICA"/>
    <s v="COMUNE DI PIETRAVAIRANO "/>
    <x v="129"/>
    <m/>
    <n v="10315.700000000001"/>
    <m/>
    <n v="431.815"/>
    <m/>
    <n v="10747.515000000001"/>
    <n v="1"/>
    <n v="10747.515000000001"/>
    <n v="12359.642250000001"/>
    <s v="Civismart"/>
  </r>
  <r>
    <x v="3"/>
    <s v="PPP-IPU-G648-01"/>
    <s v="COMUNE DI PIEVE FOSCIANA : PIEVE FOSCIANA ILLUMINAZIONE PUBBLICA"/>
    <s v="COMUNE DI PIEVE FOSCIANA "/>
    <x v="130"/>
    <m/>
    <m/>
    <m/>
    <n v="44.02"/>
    <m/>
    <n v="44.02"/>
    <n v="1"/>
    <n v="44.02"/>
    <n v="50.623000000000005"/>
    <s v="Selettra"/>
  </r>
  <r>
    <x v="3"/>
    <s v="PPP-IPU-G648-01"/>
    <s v="COMUNE DI PIEVE FOSCIANA : PIEVE FOSCIANA ILLUMINAZIONE PUBBLICA"/>
    <s v="COMUNE DI PIEVE FOSCIANA "/>
    <x v="130"/>
    <m/>
    <n v="0"/>
    <n v="22402.5"/>
    <n v="89.625"/>
    <m/>
    <n v="22492.125"/>
    <n v="1"/>
    <n v="22492.125"/>
    <n v="25865.943749999999"/>
    <s v="Selettra"/>
  </r>
  <r>
    <x v="4"/>
    <s v="PPP-IPU-G648-01"/>
    <s v="COMUNE DI PIEVE FOSCIANA : PIEVE FOSCIANA ILLUMINAZIONE PUBBLICA"/>
    <s v="COMUNE DI PIEVE FOSCIANA "/>
    <x v="130"/>
    <m/>
    <n v="5275"/>
    <m/>
    <m/>
    <m/>
    <n v="5275"/>
    <n v="1"/>
    <n v="5275"/>
    <n v="6066.25"/>
    <s v="Selettra"/>
  </r>
  <r>
    <x v="0"/>
    <s v="PPP-IPU-G663-01"/>
    <s v="COMUNE DI PIGNOLA : PIGNOLA ILLUMINAZIONE PUBBLICA"/>
    <s v="COMUNE DI PIGNOLA "/>
    <x v="131"/>
    <m/>
    <n v="455"/>
    <m/>
    <n v="200.42"/>
    <m/>
    <n v="655.42"/>
    <n v="1"/>
    <n v="655.42"/>
    <n v="753.73299999999995"/>
    <s v="Civismart"/>
  </r>
  <r>
    <x v="3"/>
    <s v="ATI-IPU-G674-01"/>
    <s v="COMUNE DI PINEROLO : IN ATI PINEROLO ILLUMINAZIONE PUBBLICA"/>
    <s v="COMUNE DI PINEROLO "/>
    <x v="132"/>
    <m/>
    <n v="111561.7"/>
    <n v="28731.16"/>
    <n v="15976.76"/>
    <m/>
    <n v="156269.62"/>
    <n v="0.9"/>
    <n v="140642.658"/>
    <n v="161739.05669999999"/>
    <s v="Selettra"/>
  </r>
  <r>
    <x v="4"/>
    <s v="ATI-IPU-G674-01"/>
    <s v="COMUNE DI PINEROLO : IN ATI PINEROLO ILLUMINAZIONE PUBBLICA"/>
    <s v="COMUNE DI PINEROLO "/>
    <x v="132"/>
    <m/>
    <n v="291392.86"/>
    <n v="81643.72"/>
    <m/>
    <m/>
    <n v="373036.57999999996"/>
    <n v="0.9"/>
    <n v="335732.92199999996"/>
    <n v="386092.86029999994"/>
    <s v="Selettra"/>
  </r>
  <r>
    <x v="1"/>
    <s v="PPP-IPU-G712-01"/>
    <s v="Comune di Pisticci : PISTICCI ILLUMINAZIONE PUBBLICA"/>
    <s v="Comune di Pisticci "/>
    <x v="133"/>
    <m/>
    <m/>
    <m/>
    <n v="337.13"/>
    <n v="227.23"/>
    <n v="564.36"/>
    <n v="1"/>
    <n v="564.36"/>
    <n v="649.01400000000001"/>
    <s v="Civismart"/>
  </r>
  <r>
    <x v="1"/>
    <s v="PPP-IPU-G722-01"/>
    <s v="COMUNE DI PIZZO CALABRO : PIZZO CALABRO ILLUMINAZIONE PUBBLICA"/>
    <s v="COMUNE DI PIZZO CALABRO "/>
    <x v="134"/>
    <m/>
    <m/>
    <m/>
    <n v="694.24"/>
    <m/>
    <n v="694.24"/>
    <n v="1"/>
    <n v="694.24"/>
    <n v="798.37599999999998"/>
    <s v="Civismart"/>
  </r>
  <r>
    <x v="0"/>
    <s v="PPP-IPU-G722-01"/>
    <s v="COMUNE DI PIZZO CALABRO : PIZZO CALABRO ILLUMINAZIONE PUBBLICA"/>
    <s v="COMUNE DI PIZZO CALABRO "/>
    <x v="134"/>
    <m/>
    <n v="83"/>
    <m/>
    <m/>
    <m/>
    <n v="83"/>
    <n v="1"/>
    <n v="83"/>
    <n v="95.45"/>
    <s v="Civismart"/>
  </r>
  <r>
    <x v="3"/>
    <s v="PPP-IPU-G751-01"/>
    <s v="COMUNE DI POGGIARDO : POGGIARDO ILLUMINAZIONE PUBBLICA"/>
    <s v="COMUNE DI POGGIARDO "/>
    <x v="135"/>
    <m/>
    <n v="450"/>
    <m/>
    <n v="211.92"/>
    <m/>
    <n v="661.92"/>
    <n v="1"/>
    <n v="661.92"/>
    <n v="761.20799999999997"/>
    <s v="Civismart"/>
  </r>
  <r>
    <x v="4"/>
    <s v="PPP-IPU-G751-01"/>
    <s v="COMUNE DI POGGIARDO : POGGIARDO ILLUMINAZIONE PUBBLICA"/>
    <s v="COMUNE DI POGGIARDO "/>
    <x v="135"/>
    <m/>
    <n v="0"/>
    <m/>
    <m/>
    <m/>
    <n v="0"/>
    <n v="1"/>
    <n v="0"/>
    <n v="0"/>
    <s v="Civismart"/>
  </r>
  <r>
    <x v="1"/>
    <s v="PPP-EEE-G786-01"/>
    <s v="COMUNE DI POLICORO : POLICORO EFFICIENTAMENTO EDIFICI"/>
    <s v="COMUNE DI POLICORO "/>
    <x v="136"/>
    <m/>
    <n v="16640"/>
    <m/>
    <m/>
    <m/>
    <n v="16640"/>
    <n v="1"/>
    <n v="16640"/>
    <n v="19136"/>
    <s v="Civismart"/>
  </r>
  <r>
    <x v="0"/>
    <s v="PPP-EEE-G786-01"/>
    <s v="COMUNE DI POLICORO : POLICORO EFFICIENTAMENTO EDIFICI"/>
    <s v="COMUNE DI POLICORO "/>
    <x v="136"/>
    <m/>
    <n v="16640"/>
    <m/>
    <m/>
    <m/>
    <n v="16640"/>
    <n v="1"/>
    <n v="16640"/>
    <n v="19136"/>
    <s v="Civismart"/>
  </r>
  <r>
    <x v="0"/>
    <s v="PPP-IPU-G813-01"/>
    <s v="Comune di Pompei : POMPEI ILLUMINAZIONE PUBBLICA"/>
    <s v="Comune di Pompei "/>
    <x v="137"/>
    <m/>
    <n v="19735"/>
    <m/>
    <n v="671.66"/>
    <m/>
    <n v="20406.66"/>
    <n v="1"/>
    <n v="20406.66"/>
    <n v="23467.659"/>
    <s v="Civismart"/>
  </r>
  <r>
    <x v="5"/>
    <s v="PPP-IPU-G867-01"/>
    <s v="COMUNE DI PONTIROLO NUOVO : Pontirolo Nuovo ILLUMINAZIONE PUBBLICA"/>
    <s v="COMUNE DI PONTIROLO NUOVO "/>
    <x v="138"/>
    <m/>
    <n v="0"/>
    <m/>
    <m/>
    <m/>
    <n v="0"/>
    <n v="1"/>
    <n v="0"/>
    <n v="0"/>
    <s v="Ottima"/>
  </r>
  <r>
    <x v="3"/>
    <s v="PPP-IPU-G867-01"/>
    <s v="COMUNE DI PONTIROLO NUOVO : Pontirolo Nuovo ILLUMINAZIONE PUBBLICA"/>
    <s v="COMUNE DI PONTIROLO NUOVO "/>
    <x v="138"/>
    <m/>
    <m/>
    <m/>
    <n v="14252.4"/>
    <m/>
    <n v="14252.4"/>
    <n v="1"/>
    <n v="14252.4"/>
    <n v="16390.259999999998"/>
    <s v="Ottima"/>
  </r>
  <r>
    <x v="4"/>
    <s v="PPP-IPU-G867-01"/>
    <s v="COMUNE DI PONTIROLO NUOVO : Pontirolo Nuovo ILLUMINAZIONE PUBBLICA"/>
    <s v="COMUNE DI PONTIROLO NUOVO "/>
    <x v="138"/>
    <m/>
    <n v="76887.16"/>
    <n v="51827.72"/>
    <m/>
    <m/>
    <n v="128714.88"/>
    <n v="1"/>
    <n v="128714.88"/>
    <n v="148022.11199999999"/>
    <s v="Ottima"/>
  </r>
  <r>
    <x v="3"/>
    <s v="PPP-IPU-G867-01"/>
    <s v="COMUNE DI PONTIROLO NUOVO : Pontirolo Nuovo ILLUMINAZIONE PUBBLICA"/>
    <s v="COMUNE DI PONTIROLO NUOVO "/>
    <x v="138"/>
    <m/>
    <m/>
    <n v="18197.89"/>
    <m/>
    <m/>
    <n v="18197.89"/>
    <n v="1"/>
    <n v="18197.89"/>
    <n v="20927.573499999999"/>
    <s v="Ottima"/>
  </r>
  <r>
    <x v="3"/>
    <s v="PPP-IPU-G878-01"/>
    <s v="COMUNE DI POPOLI : POPOLI ILLUMINAZIONE PUBBLICA"/>
    <s v="COMUNE DI POPOLI "/>
    <x v="139"/>
    <m/>
    <m/>
    <m/>
    <n v="500.58"/>
    <n v="811.72"/>
    <n v="1312.3"/>
    <n v="1"/>
    <n v="1312.3"/>
    <n v="1509.145"/>
    <s v="Ottima"/>
  </r>
  <r>
    <x v="4"/>
    <s v="PPP-IPU-G878-01"/>
    <s v="COMUNE DI POPOLI : POPOLI ILLUMINAZIONE PUBBLICA"/>
    <s v="COMUNE DI POPOLI "/>
    <x v="139"/>
    <m/>
    <n v="10740"/>
    <n v="19723.3"/>
    <m/>
    <m/>
    <n v="30463.3"/>
    <n v="1"/>
    <n v="30463.3"/>
    <n v="35032.794999999998"/>
    <s v="Ottima"/>
  </r>
  <r>
    <x v="3"/>
    <s v="PPP-IPU-G910-01"/>
    <s v="COMUNE DI PORTOCANNONE : PORTOCANNONE ILLUMINAZIONE PUBBLICA"/>
    <s v="COMUNE DI PORTOCANNONE "/>
    <x v="140"/>
    <m/>
    <n v="2800"/>
    <m/>
    <m/>
    <m/>
    <n v="2800"/>
    <n v="1"/>
    <n v="2800"/>
    <n v="3220"/>
    <s v="Civismart"/>
  </r>
  <r>
    <x v="4"/>
    <s v="PPP-IPU-G910-01"/>
    <s v="COMUNE DI PORTOCANNONE : PORTOCANNONE ILLUMINAZIONE PUBBLICA"/>
    <s v="COMUNE DI PORTOCANNONE "/>
    <x v="140"/>
    <m/>
    <n v="1571.66"/>
    <m/>
    <m/>
    <m/>
    <n v="1571.66"/>
    <n v="1"/>
    <n v="1571.66"/>
    <n v="1807.4090000000001"/>
    <s v="Civismart"/>
  </r>
  <r>
    <x v="3"/>
    <s v="PPP-IPU-H147-01"/>
    <s v="COMUNE DI RACALE : COMUNE DI RACALE ILLUMINAZIONE PUBBLICA"/>
    <s v="COMUNE DI RACALE "/>
    <x v="141"/>
    <m/>
    <n v="0"/>
    <m/>
    <n v="211.92"/>
    <m/>
    <n v="211.92"/>
    <n v="1"/>
    <n v="211.92"/>
    <n v="243.70799999999997"/>
    <s v="Selettra"/>
  </r>
  <r>
    <x v="4"/>
    <s v="PPP-IPU-H147-01"/>
    <s v="COMUNE DI RACALE : COMUNE DI RACALE ILLUMINAZIONE PUBBLICA"/>
    <s v="COMUNE DI RACALE "/>
    <x v="141"/>
    <m/>
    <n v="54374.99"/>
    <n v="2954.3"/>
    <m/>
    <m/>
    <n v="57329.29"/>
    <n v="1"/>
    <n v="57329.29"/>
    <n v="65928.683499999999"/>
    <s v="Selettra"/>
  </r>
  <r>
    <x v="0"/>
    <s v="PPP-IPU-H221-01"/>
    <s v="Comune di Regalbuto : REGALBUTO ILLUMINAZIONE PUBBLICA"/>
    <s v="Comune di Regalbuto "/>
    <x v="142"/>
    <m/>
    <n v="4342.6000000000004"/>
    <m/>
    <n v="837.07"/>
    <m/>
    <n v="5179.67"/>
    <n v="1"/>
    <n v="5179.67"/>
    <n v="5956.6205"/>
    <s v="Civismart"/>
  </r>
  <r>
    <x v="0"/>
    <s v="PPP-IPU-H281-01"/>
    <s v="Comune di Riesi : RIESI ILLUMINAZIONE PUBBLICA"/>
    <s v="Comune di Riesi "/>
    <x v="143"/>
    <m/>
    <n v="1144"/>
    <m/>
    <m/>
    <m/>
    <n v="1144"/>
    <n v="1"/>
    <n v="1144"/>
    <n v="1315.6"/>
    <s v="Civismart"/>
  </r>
  <r>
    <x v="3"/>
    <s v="PPP-IPU-H307-01"/>
    <s v="COMUNE DI RIONERO IN VULTURE : RIONERO IN VULTURE ILLUMINAZIONE PUBBLICA"/>
    <s v="COMUNE DI RIONERO IN VULTURE "/>
    <x v="144"/>
    <m/>
    <m/>
    <n v="7439.25"/>
    <n v="14438.13"/>
    <n v="712.63"/>
    <n v="22590.01"/>
    <n v="1"/>
    <n v="22590.01"/>
    <n v="25978.511499999997"/>
    <s v="Civismart"/>
  </r>
  <r>
    <x v="4"/>
    <s v="PPP-IPU-H307-01"/>
    <s v="COMUNE DI RIONERO IN VULTURE : RIONERO IN VULTURE ILLUMINAZIONE PUBBLICA"/>
    <s v="COMUNE DI RIONERO IN VULTURE "/>
    <x v="144"/>
    <m/>
    <n v="34920.67"/>
    <n v="-27117.77"/>
    <m/>
    <m/>
    <n v="7802.8999999999978"/>
    <n v="1"/>
    <n v="7802.8999999999978"/>
    <n v="8973.3349999999973"/>
    <s v="Civismart"/>
  </r>
  <r>
    <x v="0"/>
    <s v="PPP-IPU-H355-01"/>
    <s v="COMUNE DI RIVOLI : RIVOLI ILLUMINAZIONE PUBBLICA"/>
    <s v="COMUNE DI RIVOLI "/>
    <x v="145"/>
    <m/>
    <n v="61360"/>
    <m/>
    <n v="1263.6600000000001"/>
    <m/>
    <n v="62623.66"/>
    <n v="1"/>
    <n v="62623.66"/>
    <n v="72017.209000000003"/>
    <s v="Civismart"/>
  </r>
  <r>
    <x v="1"/>
    <s v="PPP-IPU-H480-01"/>
    <s v="COMUNE DI RODI GARGANICO : RODI GARGANICO ILLUMINAZIONE PUBBLICA"/>
    <s v="COMUNE DI RODI GARGANICO "/>
    <x v="146"/>
    <m/>
    <m/>
    <m/>
    <n v="627.20000000000005"/>
    <m/>
    <n v="627.20000000000005"/>
    <n v="1"/>
    <n v="627.20000000000005"/>
    <n v="721.28000000000009"/>
    <s v="Civismart"/>
  </r>
  <r>
    <x v="0"/>
    <s v="PPP-IPU-H480-01"/>
    <s v="COMUNE DI RODI GARGANICO : RODI GARGANICO ILLUMINAZIONE PUBBLICA"/>
    <s v="COMUNE DI RODI GARGANICO "/>
    <x v="146"/>
    <m/>
    <n v="12961.9"/>
    <m/>
    <n v="489.76"/>
    <m/>
    <n v="13451.66"/>
    <n v="1"/>
    <n v="13451.66"/>
    <n v="15469.409"/>
    <s v="Civismart"/>
  </r>
  <r>
    <x v="0"/>
    <s v="PPP-IPU-H488-01"/>
    <s v="COMUNE DI ROGGIANO GRAVINA : ROGGIANO GRAVINA ILLUMINAZIONE PUBBLICA"/>
    <s v="COMUNE DI ROGGIANO GRAVINA "/>
    <x v="147"/>
    <m/>
    <n v="15667.2"/>
    <m/>
    <n v="288.04000000000002"/>
    <m/>
    <n v="15955.240000000002"/>
    <n v="1"/>
    <n v="15955.240000000002"/>
    <n v="18348.526000000002"/>
    <s v="Civismart"/>
  </r>
  <r>
    <x v="3"/>
    <s v="ATI-IPU-H498-01"/>
    <s v="COMUNE DI ROLETTO : IN ATI ROLETTO ILLUMINAZIONE PUBBLICA"/>
    <s v="COMUNE DI ROLETTO "/>
    <x v="148"/>
    <m/>
    <m/>
    <n v="420"/>
    <n v="3164.29"/>
    <m/>
    <n v="3584.29"/>
    <n v="0.9"/>
    <n v="3225.8609999999999"/>
    <n v="3709.7401499999996"/>
    <s v="Selettra"/>
  </r>
  <r>
    <x v="4"/>
    <s v="ATI-IPU-H498-01"/>
    <s v="COMUNE DI ROLETTO : IN ATI ROLETTO ILLUMINAZIONE PUBBLICA"/>
    <s v="COMUNE DI ROLETTO "/>
    <x v="148"/>
    <m/>
    <n v="12625.14"/>
    <n v="10388.44"/>
    <m/>
    <m/>
    <n v="23013.58"/>
    <n v="0.9"/>
    <n v="20712.222000000002"/>
    <n v="23819.0553"/>
    <s v="Selettra"/>
  </r>
  <r>
    <x v="4"/>
    <s v="PPP-IPU-H580-01"/>
    <s v="COMUNE DI ROSSANO VENETO : ROSSANO VENETO ILLUMINAZIONE PUBBLICA"/>
    <s v="COMUNE DI ROSSANO VENETO "/>
    <x v="149"/>
    <m/>
    <n v="10184.11"/>
    <m/>
    <m/>
    <m/>
    <n v="10184.11"/>
    <n v="1"/>
    <n v="10184.11"/>
    <n v="11711.726500000001"/>
    <s v="Selettra"/>
  </r>
  <r>
    <x v="3"/>
    <s v="PPP-IPU-H641-01"/>
    <s v="Comune di Ruoti : RUOTI ILLUMINAZIONE PUBBLICA"/>
    <s v="Comune di Ruoti "/>
    <x v="150"/>
    <m/>
    <m/>
    <m/>
    <n v="772.26499999999999"/>
    <n v="79.89"/>
    <n v="852.15499999999997"/>
    <n v="1"/>
    <n v="852.15499999999997"/>
    <n v="979.97825"/>
    <s v="Selettra"/>
  </r>
  <r>
    <x v="4"/>
    <s v="PPP-IPU-H641-01"/>
    <s v="Comune di Ruoti : RUOTI ILLUMINAZIONE PUBBLICA"/>
    <s v="Comune di Ruoti "/>
    <x v="150"/>
    <m/>
    <n v="6580"/>
    <n v="1055.44"/>
    <m/>
    <m/>
    <n v="7635.4400000000005"/>
    <n v="1"/>
    <n v="7635.4400000000005"/>
    <n v="8780.7560000000012"/>
    <s v="Selettra"/>
  </r>
  <r>
    <x v="0"/>
    <s v="PPP-IPU-H657-01"/>
    <s v="COMUNE DI SACILE : SACILE ILLUMINAZIONE PUBBLICA"/>
    <s v="COMUNE DI SACILE "/>
    <x v="151"/>
    <m/>
    <n v="34720"/>
    <m/>
    <n v="347.12"/>
    <m/>
    <n v="35067.120000000003"/>
    <n v="1"/>
    <n v="35067.120000000003"/>
    <n v="40327.188000000002"/>
    <s v="Civismart"/>
  </r>
  <r>
    <x v="0"/>
    <s v="PPP-EEE-H683-01"/>
    <s v="COMUNE DI SALA CONSILINA : EFFICIENTAMENTO ENERGETICO EDIFICI SALA CONSILINA"/>
    <s v="COMUNE DI SALA CONSILINA "/>
    <x v="152"/>
    <m/>
    <n v="15000"/>
    <m/>
    <m/>
    <m/>
    <n v="15000"/>
    <n v="1"/>
    <n v="15000"/>
    <n v="17250"/>
    <s v="Civismart"/>
  </r>
  <r>
    <x v="0"/>
    <s v="PPP-IPU-H688-01"/>
    <s v="COMUNE DI SALAPARUTA : SALAPARUTA ILLUMINAZIONE PUBBLICA"/>
    <s v="COMUNE DI SALAPARUTA "/>
    <x v="153"/>
    <m/>
    <n v="10096.89"/>
    <m/>
    <n v="240.23"/>
    <m/>
    <n v="10337.119999999999"/>
    <n v="1"/>
    <n v="10337.119999999999"/>
    <n v="11887.687999999998"/>
    <s v="Civismart"/>
  </r>
  <r>
    <x v="5"/>
    <s v="PPP-IPU-H793-01"/>
    <s v="COMUNE DI SAN CESARIO DI LECCE : SAN CESARIO DI LECCE ILLUMINAZIONE PUBBLICA"/>
    <s v="COMUNE DI SAN CESARIO DI LECCE "/>
    <x v="154"/>
    <m/>
    <n v="38004.949999999997"/>
    <n v="-2774.17"/>
    <m/>
    <m/>
    <n v="35230.78"/>
    <n v="1"/>
    <n v="35230.78"/>
    <n v="40515.396999999997"/>
    <s v="Selettra"/>
  </r>
  <r>
    <x v="3"/>
    <s v="PPP-IPU-H793-01"/>
    <s v="COMUNE DI SAN CESARIO DI LECCE : SAN CESARIO DI LECCE ILLUMINAZIONE PUBBLICA"/>
    <s v="COMUNE DI SAN CESARIO DI LECCE "/>
    <x v="154"/>
    <m/>
    <n v="300"/>
    <m/>
    <m/>
    <m/>
    <n v="300"/>
    <n v="1"/>
    <n v="300"/>
    <n v="345"/>
    <s v="Selettra"/>
  </r>
  <r>
    <x v="3"/>
    <s v="PPP-IPU-H793-01"/>
    <s v="COMUNE DI SAN CESARIO DI LECCE : SAN CESARIO DI LECCE ILLUMINAZIONE PUBBLICA"/>
    <s v="COMUNE DI SAN CESARIO DI LECCE "/>
    <x v="154"/>
    <m/>
    <n v="15257.55"/>
    <m/>
    <n v="1877.59"/>
    <n v="224.76"/>
    <n v="17359.899999999998"/>
    <n v="1"/>
    <n v="17359.899999999998"/>
    <n v="19963.884999999998"/>
    <s v="Selettra"/>
  </r>
  <r>
    <x v="0"/>
    <s v="PPP-IPU-H800-01"/>
    <s v="COMUNE DI SAN CIPRIANO PICENTINO : SAN CIPRIANO PICENTINO ILLUMINAZIONE PUBBLICA"/>
    <s v="COMUNE DI SAN CIPRIANO PICENTINO "/>
    <x v="155"/>
    <m/>
    <n v="4407.8999999999996"/>
    <m/>
    <m/>
    <m/>
    <n v="4407.8999999999996"/>
    <n v="1"/>
    <n v="4407.8999999999996"/>
    <n v="5069.0849999999991"/>
    <s v="Civismart"/>
  </r>
  <r>
    <x v="0"/>
    <s v="PPP-IPU-H834-01"/>
    <s v="COMUNE DI SAN FELICE A CANCELLO : SAN FELICE A CANCELLO ILLUMINAZIONE PUBBLICA"/>
    <s v="COMUNE DI SAN FELICE A CANCELLO "/>
    <x v="156"/>
    <m/>
    <n v="1527"/>
    <m/>
    <n v="1212.57"/>
    <m/>
    <n v="2739.5699999999997"/>
    <n v="1"/>
    <n v="2739.5699999999997"/>
    <n v="3150.5054999999998"/>
    <s v="Civismart"/>
  </r>
  <r>
    <x v="1"/>
    <s v="PPP-EEE-H882-02"/>
    <s v="COMUNE DI SAN GIORGIO IONICO : SAN GIORGIO IONICO EFFICIENTAMENTO EDIFICI"/>
    <s v="COMUNE DI SAN GIORGIO IONICO "/>
    <x v="157"/>
    <m/>
    <m/>
    <m/>
    <n v="454.4"/>
    <m/>
    <n v="454.4"/>
    <n v="1"/>
    <n v="454.4"/>
    <n v="522.55999999999995"/>
    <s v="Civismart"/>
  </r>
  <r>
    <x v="0"/>
    <s v="PPP-EEE-H882-02"/>
    <s v="COMUNE DI SAN GIORGIO IONICO : SAN GIORGIO IONICO EFFICIENTAMENTO EDIFICI"/>
    <s v="COMUNE DI SAN GIORGIO IONICO "/>
    <x v="157"/>
    <m/>
    <n v="13526.07"/>
    <m/>
    <m/>
    <m/>
    <n v="13526.07"/>
    <n v="1"/>
    <n v="13526.07"/>
    <n v="15554.9805"/>
    <s v="Civismart"/>
  </r>
  <r>
    <x v="1"/>
    <s v="PPP-IPU-H930-01"/>
    <s v="COMUNE DI SAN GIULIANO MILANESE : SAN GIULIANO MILANESE ILLUMINAZIONE PUBBLICA"/>
    <s v="COMUNE DI SAN GIULIANO MILANESE "/>
    <x v="158"/>
    <m/>
    <m/>
    <m/>
    <n v="240.8"/>
    <m/>
    <n v="240.8"/>
    <n v="1"/>
    <n v="240.8"/>
    <n v="276.92"/>
    <s v="Civismart"/>
  </r>
  <r>
    <x v="0"/>
    <s v="PPP-IPU-H930-01"/>
    <s v="COMUNE DI SAN GIULIANO MILANESE : SAN GIULIANO MILANESE ILLUMINAZIONE PUBBLICA"/>
    <s v="COMUNE DI SAN GIULIANO MILANESE "/>
    <x v="158"/>
    <m/>
    <n v="1575"/>
    <m/>
    <m/>
    <m/>
    <n v="1575"/>
    <n v="1"/>
    <n v="1575"/>
    <n v="1811.25"/>
    <s v="Civismart"/>
  </r>
  <r>
    <x v="1"/>
    <s v="PPP-IPU-H971-01"/>
    <s v="COMUNE DI SAN LUCIDO : SAN LUCIDO ILLUMINAZIONE PUBBLICA"/>
    <s v="COMUNE DI SAN LUCIDO "/>
    <x v="159"/>
    <m/>
    <m/>
    <m/>
    <n v="573.6"/>
    <n v="178.56"/>
    <n v="752.16000000000008"/>
    <n v="1"/>
    <n v="752.16000000000008"/>
    <n v="864.98400000000015"/>
    <s v="Civismart"/>
  </r>
  <r>
    <x v="0"/>
    <s v="PPP-IPU-H971-01"/>
    <s v="COMUNE DI SAN LUCIDO : SAN LUCIDO ILLUMINAZIONE PUBBLICA"/>
    <s v="COMUNE DI SAN LUCIDO "/>
    <x v="159"/>
    <m/>
    <n v="1388"/>
    <m/>
    <n v="1931.67"/>
    <m/>
    <n v="3319.67"/>
    <n v="1"/>
    <n v="3319.67"/>
    <n v="3817.6205"/>
    <s v="Civismart"/>
  </r>
  <r>
    <x v="0"/>
    <s v="PPP-IPU-H982-01"/>
    <s v="COMUNE DI SAN MARCO D'ALUNZIO : SAN MARCO D'ALUNZIO ILLUMINAZIONE PUBBLICA"/>
    <s v="COMUNE DI SAN MARCO D'ALUNZIO "/>
    <x v="160"/>
    <m/>
    <n v="936"/>
    <m/>
    <m/>
    <m/>
    <n v="936"/>
    <n v="1"/>
    <n v="936"/>
    <n v="1076.4000000000001"/>
    <s v="Civismart"/>
  </r>
  <r>
    <x v="0"/>
    <s v="PPP-IPU-I018-01"/>
    <s v="COMUNE DI SAN MARZANO DI SAN GIUSEPPE : SAN MARZANO DI SAN GIUSEPPE ILLUMINAZIONE PUBBLICA"/>
    <s v="COMUNE DI SAN MARZANO DI SAN GIUSEPPE "/>
    <x v="161"/>
    <m/>
    <n v="622.5"/>
    <m/>
    <n v="36.96"/>
    <m/>
    <n v="659.46"/>
    <n v="1"/>
    <n v="659.46"/>
    <n v="758.37900000000002"/>
    <s v="Civismart"/>
  </r>
  <r>
    <x v="3"/>
    <s v="PPP-IPU-I019-01"/>
    <s v="COMUNE DI SAN MARZANO SUL SARNO : SAN MARZANO SUL SARNO ILLUMINAZIONE PUBBLICA"/>
    <s v="COMUNE DI SAN MARZANO SUL SARNO "/>
    <x v="162"/>
    <m/>
    <n v="305"/>
    <n v="-60.92"/>
    <n v="199.65"/>
    <m/>
    <n v="443.73"/>
    <n v="1"/>
    <n v="443.73"/>
    <n v="510.28950000000003"/>
    <s v="Selettra"/>
  </r>
  <r>
    <x v="4"/>
    <s v="PPP-IPU-I019-01"/>
    <s v="COMUNE DI SAN MARZANO SUL SARNO : SAN MARZANO SUL SARNO ILLUMINAZIONE PUBBLICA"/>
    <s v="COMUNE DI SAN MARZANO SUL SARNO "/>
    <x v="162"/>
    <m/>
    <n v="7792.56"/>
    <n v="14941.95"/>
    <m/>
    <m/>
    <n v="22734.510000000002"/>
    <n v="1"/>
    <n v="22734.510000000002"/>
    <n v="26144.686500000003"/>
    <s v="Selettra"/>
  </r>
  <r>
    <x v="0"/>
    <s v="ATI-IPU-I060-01"/>
    <s v="COMUNE DI SAN NICOLA ARCELLA : in ATI San Nicola Arcella ILLUMINAZIONE PUBBLICA"/>
    <s v="COMUNE DI SAN NICOLA ARCELLA "/>
    <x v="163"/>
    <m/>
    <n v="260"/>
    <m/>
    <n v="424.82"/>
    <m/>
    <n v="684.81999999999994"/>
    <n v="1"/>
    <n v="684.81999999999994"/>
    <n v="787.54299999999989"/>
    <s v="Civismart"/>
  </r>
  <r>
    <x v="0"/>
    <s v="PPP-IPU-I329-01"/>
    <s v="COMUNE DI SAN TEODORO : SAN TEODORO ILLUMINAZIONE PUBBLICA"/>
    <s v="COMUNE DI SAN TEODORO "/>
    <x v="164"/>
    <m/>
    <n v="36771.019999999997"/>
    <m/>
    <m/>
    <m/>
    <n v="36771.019999999997"/>
    <n v="1"/>
    <n v="36771.019999999997"/>
    <n v="42286.672999999995"/>
    <s v="Civismart"/>
  </r>
  <r>
    <x v="3"/>
    <s v="PPP-IPU-I394-01"/>
    <s v="COMUNE DI SAN VITO CHIETINO : SAN VITO CHIETINO ILLUMINAZIONE PUBBLICA"/>
    <s v="COMUNE DI SAN VITO CHIETINO "/>
    <x v="165"/>
    <m/>
    <n v="400"/>
    <m/>
    <m/>
    <m/>
    <n v="400"/>
    <n v="1"/>
    <n v="400"/>
    <n v="460"/>
    <s v="Civismart"/>
  </r>
  <r>
    <x v="4"/>
    <s v="PPP-IPU-I394-01"/>
    <s v="COMUNE DI SAN VITO CHIETINO : SAN VITO CHIETINO ILLUMINAZIONE PUBBLICA"/>
    <s v="COMUNE DI SAN VITO CHIETINO "/>
    <x v="165"/>
    <m/>
    <n v="252"/>
    <n v="30900"/>
    <m/>
    <m/>
    <n v="31152"/>
    <n v="1"/>
    <n v="31152"/>
    <n v="35824.800000000003"/>
    <s v="Civismart"/>
  </r>
  <r>
    <x v="0"/>
    <s v="PPP-IPU-I393-01"/>
    <s v="COMUNE DI SAN VITO SULLO IONIO : SAN VITO SULLO IONIO ILLUMINAZIONE PUBBLICA"/>
    <s v="COMUNE DI SAN VITO SULLO IONIO "/>
    <x v="166"/>
    <m/>
    <n v="13622.5"/>
    <m/>
    <n v="682.245"/>
    <m/>
    <n v="14304.745000000001"/>
    <n v="1"/>
    <n v="14304.745000000001"/>
    <n v="16450.456750000001"/>
    <s v="Civismart"/>
  </r>
  <r>
    <x v="0"/>
    <s v="PPP-IPU-I293-01"/>
    <s v="COMUNE DI SANT' ANTIMO : SANT'ANTIMO ILLUMINAZIONE PUBBLICA"/>
    <s v="COMUNE DI SANT' ANTIMO "/>
    <x v="167"/>
    <m/>
    <n v="27583.439999999999"/>
    <m/>
    <m/>
    <m/>
    <n v="27583.439999999999"/>
    <n v="1"/>
    <n v="27583.439999999999"/>
    <n v="31720.955999999998"/>
    <s v="Civismart"/>
  </r>
  <r>
    <x v="3"/>
    <s v="PPP-IPU-C717-01"/>
    <s v="COMUNE DI SANTA MARIA DEL CEDRO : SANTA MARIA DEL CEDRO ILLUMINAZIONE PUBBLICA"/>
    <s v="COMUNE DI SANTA MARIA DEL CEDRO "/>
    <x v="168"/>
    <m/>
    <m/>
    <n v="1000.67"/>
    <m/>
    <m/>
    <n v="1000.67"/>
    <n v="1"/>
    <n v="1000.67"/>
    <n v="1150.7704999999999"/>
    <s v="Civismart"/>
  </r>
  <r>
    <x v="4"/>
    <s v="PPP-IPU-C717-01"/>
    <s v="COMUNE DI SANTA MARIA DEL CEDRO : SANTA MARIA DEL CEDRO ILLUMINAZIONE PUBBLICA"/>
    <s v="COMUNE DI SANTA MARIA DEL CEDRO "/>
    <x v="168"/>
    <m/>
    <m/>
    <n v="6498.79"/>
    <m/>
    <m/>
    <n v="6498.79"/>
    <n v="1"/>
    <n v="6498.79"/>
    <n v="7473.6085000000003"/>
    <s v="Civismart"/>
  </r>
  <r>
    <x v="0"/>
    <s v="PPP-IPU-M273-01"/>
    <s v="COMUNE DI SANTA MARIA LA CARITA' : SANTA MARIA LA CARITA' ILLUMINAZIONE PUBBLICA"/>
    <s v="COMUNE DI SANTA MARIA LA CARITA' "/>
    <x v="169"/>
    <m/>
    <n v="8407.36"/>
    <m/>
    <m/>
    <m/>
    <n v="8407.36"/>
    <n v="1"/>
    <n v="8407.36"/>
    <n v="9668.4639999999999"/>
    <s v="Civismart"/>
  </r>
  <r>
    <x v="0"/>
    <s v="PPP-IPU-I288-01"/>
    <s v="Comune di Sant'Angelo Le Fratte : SANT'ANGELO LE FRATTE ILLUMINAZIONE PUBBLICA"/>
    <s v="Comune di Sant'Angelo Le Fratte "/>
    <x v="170"/>
    <m/>
    <n v="760"/>
    <m/>
    <n v="467.09500000000003"/>
    <m/>
    <n v="1227.095"/>
    <n v="1"/>
    <n v="1227.095"/>
    <n v="1411.1592499999999"/>
    <s v="Civismart"/>
  </r>
  <r>
    <x v="0"/>
    <s v="PPP-IPU-I305-01"/>
    <s v="COMUNE DI SANT'ARCANGELO : SANT'ARCANGELO ILLUMINAZIONE PUBBLICA"/>
    <s v="COMUNE DI SANT'ARCANGELO "/>
    <x v="171"/>
    <m/>
    <m/>
    <m/>
    <n v="211.76"/>
    <m/>
    <n v="211.76"/>
    <n v="1"/>
    <n v="211.76"/>
    <n v="243.524"/>
    <s v="Selettra"/>
  </r>
  <r>
    <x v="3"/>
    <s v="PPP-IPU-I305-01"/>
    <s v="COMUNE DI SANT'ARCANGELO : SANT'ARCANGELO ILLUMINAZIONE PUBBLICA"/>
    <s v="COMUNE DI SANT'ARCANGELO "/>
    <x v="171"/>
    <m/>
    <n v="520"/>
    <n v="382.13"/>
    <n v="3143.0749999999998"/>
    <n v="1196.6600000000001"/>
    <n v="5241.8649999999998"/>
    <n v="1"/>
    <n v="5241.8649999999998"/>
    <n v="6028.1447499999995"/>
    <s v="Selettra"/>
  </r>
  <r>
    <x v="4"/>
    <s v="PPP-IPU-I305-01"/>
    <s v="COMUNE DI SANT'ARCANGELO : SANT'ARCANGELO ILLUMINAZIONE PUBBLICA"/>
    <s v="COMUNE DI SANT'ARCANGELO "/>
    <x v="171"/>
    <m/>
    <n v="200"/>
    <n v="1437.67"/>
    <m/>
    <m/>
    <n v="1637.67"/>
    <n v="1"/>
    <n v="1637.67"/>
    <n v="1883.3205"/>
    <s v="Selettra"/>
  </r>
  <r>
    <x v="3"/>
    <s v="ATI-IPU-I307-01"/>
    <s v="COMUNE DI SANT'ARSENIO : IN ATI SANT'ARSENIO ILLUMINAZIONE PUBBLICA"/>
    <s v="COMUNE DI SANT'ARSENIO "/>
    <x v="172"/>
    <m/>
    <m/>
    <m/>
    <n v="53.22"/>
    <m/>
    <n v="53.22"/>
    <n v="0.22"/>
    <n v="11.708399999999999"/>
    <n v="13.464659999999999"/>
    <s v="Civismart"/>
  </r>
  <r>
    <x v="4"/>
    <s v="ATI-IPU-I307-01"/>
    <s v="COMUNE DI SANT'ARSENIO : IN ATI SANT'ARSENIO ILLUMINAZIONE PUBBLICA"/>
    <s v="COMUNE DI SANT'ARSENIO "/>
    <x v="172"/>
    <m/>
    <n v="538.35"/>
    <m/>
    <m/>
    <m/>
    <n v="538.35"/>
    <n v="0.22"/>
    <n v="118.43700000000001"/>
    <n v="136.20255"/>
    <s v="Civismart"/>
  </r>
  <r>
    <x v="4"/>
    <s v="PPP-IPU-I332-01"/>
    <s v="Comune di Sant'Eufemia a Maiella - Uff_eFatturaPA : SANT'EUFEMIA A MAIELLA ILLUMINAZIONE PUBBLICA"/>
    <s v="Comune di Sant'Eufemia a Maiella - Uff_eFatturaPA "/>
    <x v="173"/>
    <m/>
    <m/>
    <n v="600"/>
    <m/>
    <m/>
    <n v="600"/>
    <n v="1"/>
    <n v="600"/>
    <n v="690"/>
    <s v="Ottima"/>
  </r>
  <r>
    <x v="0"/>
    <s v="PPP-IPU-I441-01"/>
    <s v="Comune di Saronno : SARONNO ILLUMINAZIONE PUBBLICA"/>
    <s v="Comune di Saronno "/>
    <x v="174"/>
    <m/>
    <n v="3150"/>
    <m/>
    <m/>
    <m/>
    <n v="3150"/>
    <n v="1"/>
    <n v="3150"/>
    <n v="3622.5"/>
    <s v="Civismart"/>
  </r>
  <r>
    <x v="3"/>
    <s v="PPP-IPU-I457-01"/>
    <s v="Comune di Sasso di Castalda : SASSO DI CASTALDA ILLUMINAZIONE PUBBLICA"/>
    <s v="Comune di Sasso di Castalda "/>
    <x v="175"/>
    <m/>
    <m/>
    <m/>
    <n v="1198.8900000000001"/>
    <n v="273.73"/>
    <n v="1472.6200000000001"/>
    <n v="1"/>
    <n v="1472.6200000000001"/>
    <n v="1693.5130000000001"/>
    <s v="Civismart"/>
  </r>
  <r>
    <x v="5"/>
    <s v="PPP-IPU-I480-02"/>
    <s v="COMUNE DI SAVONA : IMPIANTI COMUNE DI SAVONA"/>
    <s v="COMUNE DI SAVONA "/>
    <x v="176"/>
    <m/>
    <n v="69501.22"/>
    <n v="88269.95"/>
    <m/>
    <m/>
    <n v="157771.16999999998"/>
    <n v="1"/>
    <n v="157771.16999999998"/>
    <n v="181436.8455"/>
    <s v="Ottima"/>
  </r>
  <r>
    <x v="3"/>
    <s v="PPP-IPU-I480-02"/>
    <s v="COMUNE DI SAVONA : IMPIANTI COMUNE DI SAVONA"/>
    <s v="COMUNE DI SAVONA "/>
    <x v="176"/>
    <m/>
    <n v="45550.93"/>
    <m/>
    <n v="35179.885000000002"/>
    <m/>
    <n v="80730.815000000002"/>
    <n v="1"/>
    <n v="80730.815000000002"/>
    <n v="92840.437250000003"/>
    <s v="Ottima"/>
  </r>
  <r>
    <x v="4"/>
    <s v="PPP-IPU-I480-02"/>
    <s v="COMUNE DI SAVONA : IMPIANTI COMUNE DI SAVONA"/>
    <s v="COMUNE DI SAVONA "/>
    <x v="176"/>
    <m/>
    <n v="795004.16"/>
    <n v="423893.69"/>
    <m/>
    <m/>
    <n v="1218897.8500000001"/>
    <n v="1"/>
    <n v="1218897.8500000001"/>
    <n v="1401732.5275000001"/>
    <s v="Ottima"/>
  </r>
  <r>
    <x v="9"/>
    <s v="PPP-IPU-I480-02"/>
    <s v="COMUNE DI SAVONA : IMPIANTI COMUNE DI SAVONA"/>
    <s v="COMUNE DI SAVONA "/>
    <x v="176"/>
    <m/>
    <n v="66847.47"/>
    <n v="626082.14"/>
    <m/>
    <m/>
    <n v="692929.61"/>
    <n v="1"/>
    <n v="692929.61"/>
    <n v="796869.05149999994"/>
    <s v="Ottima"/>
  </r>
  <r>
    <x v="7"/>
    <s v="PPP-IPU-I480-02"/>
    <s v="COMUNE DI SAVONA : IMPIANTI COMUNE DI SAVONA"/>
    <s v="COMUNE DI SAVONA "/>
    <x v="176"/>
    <m/>
    <m/>
    <m/>
    <n v="4161.6000000000004"/>
    <m/>
    <n v="4161.6000000000004"/>
    <n v="1"/>
    <n v="4161.6000000000004"/>
    <n v="4785.84"/>
    <s v="Ottima"/>
  </r>
  <r>
    <x v="0"/>
    <s v="PPP-IPU-M256-01"/>
    <s v="Comune di Scanzano Jonico : SCANZANO JONICO ILLUMINAZIONE PUBBLICA"/>
    <s v="Comune di Scanzano Jonico "/>
    <x v="177"/>
    <m/>
    <m/>
    <m/>
    <n v="556.79999999999995"/>
    <m/>
    <n v="556.79999999999995"/>
    <n v="1"/>
    <n v="556.79999999999995"/>
    <n v="640.31999999999994"/>
    <s v="Civismart"/>
  </r>
  <r>
    <x v="0"/>
    <s v="PPP-IPU-I548-01"/>
    <s v="Comune di Scordia : SCORDIA ILLUMINAZIONE PUBBLICA"/>
    <s v="Comune di Scordia "/>
    <x v="178"/>
    <m/>
    <m/>
    <m/>
    <n v="439.17"/>
    <m/>
    <n v="439.17"/>
    <n v="1"/>
    <n v="439.17"/>
    <n v="505.0455"/>
    <s v="Civismart"/>
  </r>
  <r>
    <x v="0"/>
    <s v="PPP-IPU-I549-01"/>
    <s v="COMUNE DI SCORRANO : SCORRANO ILLUMINAZIONE PUBBLICA"/>
    <s v="COMUNE DI SCORRANO "/>
    <x v="179"/>
    <m/>
    <n v="11049.5"/>
    <m/>
    <n v="374.70499999999998"/>
    <m/>
    <n v="11424.205"/>
    <n v="1"/>
    <n v="11424.205"/>
    <n v="13137.83575"/>
    <s v="Civismart"/>
  </r>
  <r>
    <x v="3"/>
    <s v="PPP-IPU-I553-01"/>
    <s v="COMUNE DI SCURCOLA MARSICANA : SCURCOLA MARSICANA ILLUMINAZIONE PUBBLICA"/>
    <s v="COMUNE DI SCURCOLA MARSICANA "/>
    <x v="180"/>
    <m/>
    <n v="0"/>
    <m/>
    <n v="9741.56"/>
    <n v="2431.0500000000002"/>
    <n v="12172.61"/>
    <n v="1"/>
    <n v="12172.61"/>
    <n v="13998.5015"/>
    <s v="Selettra"/>
  </r>
  <r>
    <x v="4"/>
    <s v="PPP-IPU-I553-01"/>
    <s v="COMUNE DI SCURCOLA MARSICANA : SCURCOLA MARSICANA ILLUMINAZIONE PUBBLICA"/>
    <s v="COMUNE DI SCURCOLA MARSICANA "/>
    <x v="180"/>
    <m/>
    <n v="9813.09"/>
    <n v="10239.23"/>
    <m/>
    <m/>
    <n v="20052.32"/>
    <n v="1"/>
    <n v="20052.32"/>
    <n v="23060.167999999998"/>
    <s v="Selettra"/>
  </r>
  <r>
    <x v="0"/>
    <s v="PPP-IPU-I608-01"/>
    <s v="Comune di Senigallia : Senigallia - Project 2031ILLUMINAZIONE PUBBLICA"/>
    <s v="Comune di Senigallia "/>
    <x v="181"/>
    <m/>
    <m/>
    <m/>
    <n v="385.28"/>
    <m/>
    <n v="385.28"/>
    <n v="1"/>
    <n v="385.28"/>
    <n v="443.07199999999995"/>
    <s v="Atlantic"/>
  </r>
  <r>
    <x v="3"/>
    <s v="PPP-IPU-I608-01"/>
    <s v="Comune di Senigallia : Senigallia - Project 2031ILLUMINAZIONE PUBBLICA"/>
    <s v="Comune di Senigallia "/>
    <x v="181"/>
    <m/>
    <n v="262"/>
    <n v="8621.39"/>
    <n v="23718.33"/>
    <m/>
    <n v="32601.72"/>
    <n v="1"/>
    <n v="32601.72"/>
    <n v="37491.978000000003"/>
    <s v="Atlantic"/>
  </r>
  <r>
    <x v="4"/>
    <s v="PPP-IPU-I608-01"/>
    <s v="Comune di Senigallia : Senigallia - Project 2031ILLUMINAZIONE PUBBLICA"/>
    <s v="Comune di Senigallia "/>
    <x v="181"/>
    <m/>
    <n v="237.55"/>
    <n v="69741.820000000007"/>
    <m/>
    <m/>
    <n v="69979.37000000001"/>
    <n v="1"/>
    <n v="69979.37000000001"/>
    <n v="80476.275500000018"/>
    <s v="Atlantic"/>
  </r>
  <r>
    <x v="0"/>
    <s v="PPP-IPU-I669-01"/>
    <s v="COMUNE DI SERRONE : SERRONE ILLUMINAZIONE PUBBLICA"/>
    <s v="COMUNE DI SERRONE "/>
    <x v="182"/>
    <m/>
    <n v="5089.5"/>
    <m/>
    <m/>
    <m/>
    <n v="5089.5"/>
    <n v="1"/>
    <n v="5089.5"/>
    <n v="5852.9250000000002"/>
    <s v="Civismart"/>
  </r>
  <r>
    <x v="0"/>
    <s v="PPP-IPU-I824-01"/>
    <s v="Comune di Sommatino : SOMMATINO ILLUMINAZIONE PUBBLICA"/>
    <s v="Comune di Sommatino "/>
    <x v="183"/>
    <m/>
    <n v="1060"/>
    <m/>
    <n v="1767.655"/>
    <m/>
    <n v="2827.6549999999997"/>
    <n v="1"/>
    <n v="2827.6549999999997"/>
    <n v="3251.8032499999999"/>
    <s v="Civismart"/>
  </r>
  <r>
    <x v="0"/>
    <s v="PPP-IPU-I852-01"/>
    <s v="COMUNE DI SORI : SORI ILLUMINAZIONE PUBBLICA"/>
    <s v="COMUNE DI SORI "/>
    <x v="184"/>
    <m/>
    <m/>
    <m/>
    <n v="732.94"/>
    <m/>
    <n v="732.94"/>
    <n v="1"/>
    <n v="732.94"/>
    <n v="842.88100000000009"/>
    <s v="Civismart"/>
  </r>
  <r>
    <x v="3"/>
    <s v="PPP-IPU-I917-01"/>
    <s v="COMUNE DI SPINOSO : SPINOSO ILLUMINAZIONE PUBBLICA"/>
    <s v="COMUNE DI SPINOSO "/>
    <x v="185"/>
    <m/>
    <m/>
    <m/>
    <n v="1152.78"/>
    <m/>
    <n v="1152.78"/>
    <n v="1"/>
    <n v="1152.78"/>
    <n v="1325.6969999999999"/>
    <s v="Selettra"/>
  </r>
  <r>
    <x v="4"/>
    <s v="PPP-IPU-I917-01"/>
    <s v="COMUNE DI SPINOSO : SPINOSO ILLUMINAZIONE PUBBLICA"/>
    <s v="COMUNE DI SPINOSO "/>
    <x v="185"/>
    <m/>
    <n v="0"/>
    <n v="1953.59"/>
    <m/>
    <m/>
    <n v="1953.59"/>
    <n v="1"/>
    <n v="1953.59"/>
    <n v="2246.6284999999998"/>
    <s v="Selettra"/>
  </r>
  <r>
    <x v="5"/>
    <s v="PPP-IPU-I926-01"/>
    <s v="Comune di Spotorno : SPOTORNO ILLUMINAZIONE PUBBLICA"/>
    <s v="Comune di Spotorno "/>
    <x v="186"/>
    <m/>
    <n v="139884.32"/>
    <m/>
    <m/>
    <m/>
    <n v="139884.32"/>
    <n v="1"/>
    <n v="139884.32"/>
    <n v="160866.96799999999"/>
    <s v="Ottima"/>
  </r>
  <r>
    <x v="3"/>
    <s v="PPP-IPU-I926-01"/>
    <s v="Comune di Spotorno : SPOTORNO ILLUMINAZIONE PUBBLICA"/>
    <s v="Comune di Spotorno "/>
    <x v="186"/>
    <m/>
    <m/>
    <m/>
    <n v="353.12"/>
    <m/>
    <n v="353.12"/>
    <n v="1"/>
    <n v="353.12"/>
    <n v="406.08800000000002"/>
    <s v="Ottima"/>
  </r>
  <r>
    <x v="0"/>
    <s v="PPP-IPU-I982-01"/>
    <s v="COMUNE DI STRONGOLI : STRONGOLI ILLUMINAZIONE PUBBLICA"/>
    <s v="COMUNE DI STRONGOLI "/>
    <x v="187"/>
    <m/>
    <n v="19738.68"/>
    <m/>
    <m/>
    <m/>
    <n v="19738.68"/>
    <n v="1"/>
    <n v="19738.68"/>
    <n v="22699.482"/>
    <s v="Civismart"/>
  </r>
  <r>
    <x v="3"/>
    <s v="AQ1-IPU-L191-01"/>
    <s v="COMUNE DI TOLENTINO : TolentinoILLUMINAZIONE PUBBLICA"/>
    <s v="COMUNE DI TOLENTINO "/>
    <x v="188"/>
    <m/>
    <m/>
    <m/>
    <n v="3881.05"/>
    <m/>
    <n v="3881.05"/>
    <n v="1"/>
    <n v="3881.05"/>
    <n v="4463.2075000000004"/>
    <s v="Civismart"/>
  </r>
  <r>
    <x v="4"/>
    <s v="AQ1-IPU-L191-01"/>
    <s v="COMUNE DI TOLENTINO : TolentinoILLUMINAZIONE PUBBLICA"/>
    <s v="COMUNE DI TOLENTINO "/>
    <x v="188"/>
    <m/>
    <n v="2496"/>
    <n v="5433.98"/>
    <m/>
    <m/>
    <n v="7929.98"/>
    <n v="1"/>
    <n v="7929.98"/>
    <n v="9119.476999999999"/>
    <s v="Civismart"/>
  </r>
  <r>
    <x v="1"/>
    <s v="PPP-IPU-L294-01"/>
    <s v="COMUNE DI TORRICELLA : TORRICELLA ILLUMINAZIONE PUBBLICA"/>
    <s v="COMUNE DI TORRICELLA "/>
    <x v="189"/>
    <m/>
    <n v="14734.72"/>
    <m/>
    <m/>
    <m/>
    <n v="14734.72"/>
    <n v="1"/>
    <n v="14734.72"/>
    <n v="16944.928"/>
    <s v="Civismart"/>
  </r>
  <r>
    <x v="3"/>
    <s v="PPP-IPU-L326-01"/>
    <s v="COMUNE DI TRAMUTOLA : TRAMUTOLA ILLUMINAZIONE PUBBLICA"/>
    <s v="COMUNE DI TRAMUTOLA "/>
    <x v="190"/>
    <m/>
    <m/>
    <n v="1940.64"/>
    <n v="31327.73"/>
    <n v="4778.6400000000003"/>
    <n v="38047.01"/>
    <n v="1"/>
    <n v="38047.01"/>
    <n v="43754.061500000003"/>
    <s v="Selettra"/>
  </r>
  <r>
    <x v="4"/>
    <s v="PPP-IPU-L326-01"/>
    <s v="COMUNE DI TRAMUTOLA : TRAMUTOLA ILLUMINAZIONE PUBBLICA"/>
    <s v="COMUNE DI TRAMUTOLA "/>
    <x v="190"/>
    <m/>
    <n v="20323.86"/>
    <n v="7902.55"/>
    <m/>
    <m/>
    <n v="28226.41"/>
    <n v="1"/>
    <n v="28226.41"/>
    <n v="32460.371500000001"/>
    <s v="Selettra"/>
  </r>
  <r>
    <x v="3"/>
    <s v="PPP-IPU-L326-01"/>
    <s v="COMUNE DI TRAMUTOLA : TRAMUTOLA ILLUMINAZIONE PUBBLICA"/>
    <s v="COMUNE DI TRAMUTOLA "/>
    <x v="190"/>
    <m/>
    <m/>
    <m/>
    <n v="227.8"/>
    <m/>
    <n v="227.8"/>
    <n v="1"/>
    <n v="227.8"/>
    <n v="261.97000000000003"/>
    <s v="Selettra"/>
  </r>
  <r>
    <x v="3"/>
    <s v="PPP-IPU-L356-01"/>
    <s v="Comune di Trecate - Uff_eFatturaPA : TRECATE ILLUMINAZIONE PUBBLICA"/>
    <s v="Comune di Trecate - Uff_eFatturaPA "/>
    <x v="191"/>
    <m/>
    <m/>
    <m/>
    <n v="140.96"/>
    <m/>
    <n v="140.96"/>
    <n v="1"/>
    <n v="140.96"/>
    <n v="162.10400000000001"/>
    <s v="Civismart"/>
  </r>
  <r>
    <x v="3"/>
    <s v="PPP-IPU-L357-01"/>
    <s v="COMUNE DI TRECCHINA : TRECCHINA ILLUMINAZIONE PUBBLICA"/>
    <s v="COMUNE DI TRECCHINA "/>
    <x v="192"/>
    <m/>
    <m/>
    <m/>
    <n v="425.97"/>
    <n v="35.75"/>
    <n v="461.72"/>
    <n v="1"/>
    <n v="461.72"/>
    <n v="530.97800000000007"/>
    <s v="Civismart"/>
  </r>
  <r>
    <x v="0"/>
    <s v="PPP-IPU-L357-01"/>
    <s v="COMUNE DI TRECCHINA : TRECCHINA ILLUMINAZIONE PUBBLICA"/>
    <s v="COMUNE DI TRECCHINA "/>
    <x v="192"/>
    <m/>
    <n v="760"/>
    <m/>
    <m/>
    <m/>
    <n v="760"/>
    <n v="1"/>
    <n v="760"/>
    <n v="874"/>
    <s v="Civismart"/>
  </r>
  <r>
    <x v="3"/>
    <s v="PPP-IPU-L357-01"/>
    <s v="COMUNE DI TRECCHINA : TRECCHINA ILLUMINAZIONE PUBBLICA"/>
    <s v="COMUNE DI TRECCHINA "/>
    <x v="192"/>
    <m/>
    <m/>
    <m/>
    <n v="728.1"/>
    <n v="83.05"/>
    <n v="811.15"/>
    <n v="1"/>
    <n v="811.15"/>
    <n v="932.82249999999999"/>
    <s v="Civismart"/>
  </r>
  <r>
    <x v="4"/>
    <s v="PPP-IPU-L424-01"/>
    <s v="COMUNE DI TRIESTE : Trieste - PPPILLUMINAZIONE PUBBLICA"/>
    <s v="COMUNE DI TRIESTE "/>
    <x v="193"/>
    <m/>
    <n v="103333.33"/>
    <m/>
    <m/>
    <m/>
    <n v="103333.33"/>
    <n v="1"/>
    <n v="103333.33"/>
    <n v="118833.32950000001"/>
    <s v="Civismart"/>
  </r>
  <r>
    <x v="5"/>
    <s v="PPP-IPU-L484-01"/>
    <s v="COMUNE DI UGENTO : UGENTO ILLUMINAZIONE PUBBLICA"/>
    <s v="COMUNE DI UGENTO "/>
    <x v="194"/>
    <m/>
    <n v="33292.410000000003"/>
    <n v="42058.42"/>
    <m/>
    <m/>
    <n v="75350.83"/>
    <n v="1"/>
    <n v="75350.83"/>
    <n v="86653.454500000007"/>
    <s v="Selettra"/>
  </r>
  <r>
    <x v="3"/>
    <s v="PPP-IPU-L484-01"/>
    <s v="COMUNE DI UGENTO : UGENTO ILLUMINAZIONE PUBBLICA"/>
    <s v="COMUNE DI UGENTO "/>
    <x v="194"/>
    <m/>
    <n v="38063.980000000003"/>
    <n v="6112.61"/>
    <n v="8089.4849999999997"/>
    <n v="807.2"/>
    <n v="53073.275000000001"/>
    <n v="1"/>
    <n v="53073.275000000001"/>
    <n v="61034.266250000001"/>
    <s v="Selettra"/>
  </r>
  <r>
    <x v="4"/>
    <s v="PPP-IPU-L484-01"/>
    <s v="COMUNE DI UGENTO : UGENTO ILLUMINAZIONE PUBBLICA"/>
    <s v="COMUNE DI UGENTO "/>
    <x v="194"/>
    <m/>
    <n v="27598.35"/>
    <m/>
    <m/>
    <m/>
    <n v="27598.35"/>
    <n v="1"/>
    <n v="27598.35"/>
    <n v="31738.102499999997"/>
    <s v="Selettra"/>
  </r>
  <r>
    <x v="0"/>
    <s v="PPP-IPU-L492-01"/>
    <s v="COMUNE DI UMBRIATICO : UMBRIATICO ILLUMINAZIONE PUBBLICA"/>
    <s v="COMUNE DI UMBRIATICO "/>
    <x v="195"/>
    <m/>
    <n v="5681.51"/>
    <m/>
    <m/>
    <m/>
    <n v="5681.51"/>
    <n v="1"/>
    <n v="5681.51"/>
    <n v="6533.7365"/>
    <s v="Civismart"/>
  </r>
  <r>
    <x v="3"/>
    <s v="PPP-IPU-L505-01"/>
    <s v="Comune di Ururi : URURI ILLUMINAZIONE PUBBLICA"/>
    <s v="Comune di Ururi "/>
    <x v="196"/>
    <m/>
    <n v="5000"/>
    <m/>
    <m/>
    <m/>
    <n v="5000"/>
    <n v="1"/>
    <n v="5000"/>
    <n v="5750"/>
    <s v="Civismart"/>
  </r>
  <r>
    <x v="0"/>
    <s v="PPP-IPU-L540-01"/>
    <s v="COMUNE DI VAIRANO PATENORA : VAIRANO PATENORA ILLUMINAZIONE PUBBLICA"/>
    <s v="COMUNE DI VAIRANO PATENORA "/>
    <x v="197"/>
    <m/>
    <n v="15537.3"/>
    <m/>
    <n v="545.91999999999996"/>
    <m/>
    <n v="16083.22"/>
    <n v="1"/>
    <n v="16083.22"/>
    <n v="18495.702999999998"/>
    <s v="Civismart"/>
  </r>
  <r>
    <x v="1"/>
    <s v="PPP-IPU-L658-01"/>
    <s v="COMUNE DI VALVERDE : VALVERDE ILLUMINAZIONE PUBBLICA"/>
    <s v="COMUNE DI VALVERDE "/>
    <x v="198"/>
    <m/>
    <m/>
    <m/>
    <n v="71"/>
    <m/>
    <n v="71"/>
    <n v="1"/>
    <n v="71"/>
    <n v="81.650000000000006"/>
    <s v="Civismart"/>
  </r>
  <r>
    <x v="0"/>
    <s v="PPP-IPU-L658-01"/>
    <s v="COMUNE DI VALVERDE : VALVERDE ILLUMINAZIONE PUBBLICA"/>
    <s v="COMUNE DI VALVERDE "/>
    <x v="198"/>
    <m/>
    <n v="14892.3"/>
    <m/>
    <n v="662.88"/>
    <m/>
    <n v="15555.179999999998"/>
    <n v="1"/>
    <n v="15555.179999999998"/>
    <n v="17888.456999999999"/>
    <s v="Civismart"/>
  </r>
  <r>
    <x v="3"/>
    <s v="PPP-EEE-L736-01"/>
    <s v="COMUNE DI VENEZIA : Venezia PBEFFICIENTAMENTO ENERGETICO EDIFICI"/>
    <s v="COMUNE DI VENEZIA "/>
    <x v="199"/>
    <m/>
    <m/>
    <n v="2158.46"/>
    <m/>
    <m/>
    <n v="2158.46"/>
    <n v="1"/>
    <n v="2158.46"/>
    <n v="2482.2290000000003"/>
    <s v="Civismart"/>
  </r>
  <r>
    <x v="4"/>
    <s v="PPP-EEE-L736-01"/>
    <s v="COMUNE DI VENEZIA : Venezia PBEFFICIENTAMENTO ENERGETICO EDIFICI"/>
    <s v="COMUNE DI VENEZIA "/>
    <x v="199"/>
    <m/>
    <n v="263806.83"/>
    <n v="15610.26"/>
    <m/>
    <m/>
    <n v="279417.09000000003"/>
    <n v="1"/>
    <n v="279417.09000000003"/>
    <n v="321329.65350000001"/>
    <s v="Civismart"/>
  </r>
  <r>
    <x v="4"/>
    <s v="PPP-IPU-L736-02"/>
    <s v="COMUNE DI VENEZIA : Venezia PLILLUMINAZIONE PUBBLICA"/>
    <s v="COMUNE DI VENEZIA "/>
    <x v="200"/>
    <m/>
    <n v="80076.039999999994"/>
    <n v="9139.2900000000009"/>
    <m/>
    <m/>
    <n v="89215.329999999987"/>
    <n v="1"/>
    <n v="89215.329999999987"/>
    <n v="102597.62949999998"/>
    <s v="Civismart"/>
  </r>
  <r>
    <x v="3"/>
    <s v="PPP-IPU-L835-01"/>
    <s v="COMUNE DI VIBONATI : VIBONATI ILLUMINAZIONE PUBBLICA"/>
    <s v="COMUNE DI VIBONATI "/>
    <x v="201"/>
    <m/>
    <n v="313.75"/>
    <n v="2781.42"/>
    <n v="12524.575000000001"/>
    <n v="979.83"/>
    <n v="16599.575000000001"/>
    <n v="1"/>
    <n v="16599.575000000001"/>
    <n v="19089.51125"/>
    <s v="Selettra"/>
  </r>
  <r>
    <x v="4"/>
    <s v="PPP-IPU-L835-01"/>
    <s v="COMUNE DI VIBONATI : VIBONATI ILLUMINAZIONE PUBBLICA"/>
    <s v="COMUNE DI VIBONATI "/>
    <x v="201"/>
    <m/>
    <n v="10671.37"/>
    <n v="21944.639999999999"/>
    <m/>
    <m/>
    <n v="32616.010000000002"/>
    <n v="1"/>
    <n v="32616.010000000002"/>
    <n v="37508.411500000002"/>
    <s v="Selettra"/>
  </r>
  <r>
    <x v="3"/>
    <s v="PPP-IPU-L835-01"/>
    <s v="COMUNE DI VIBONATI : VIBONATI ILLUMINAZIONE PUBBLICA"/>
    <s v="COMUNE DI VIBONATI "/>
    <x v="201"/>
    <m/>
    <m/>
    <m/>
    <n v="22.78"/>
    <m/>
    <n v="22.78"/>
    <n v="1"/>
    <n v="22.78"/>
    <n v="26.197000000000003"/>
    <s v="Selettra"/>
  </r>
  <r>
    <x v="7"/>
    <s v="PPP-IPU-L835-01"/>
    <s v="COMUNE DI VIBONATI : VIBONATI ILLUMINAZIONE PUBBLICA"/>
    <s v="COMUNE DI VIBONATI "/>
    <x v="201"/>
    <m/>
    <m/>
    <m/>
    <m/>
    <n v="217"/>
    <n v="217"/>
    <n v="1"/>
    <n v="217"/>
    <n v="249.55"/>
    <s v="Selettra"/>
  </r>
  <r>
    <x v="3"/>
    <s v="PPP-IPU-L850-01"/>
    <s v="Comune di Vicopisano - Uff_eFatturaPA : VICOPISANO ILLUMINAZIONE PUBBLICA"/>
    <s v="Comune di Vicopisano - Uff_eFatturaPA "/>
    <x v="202"/>
    <m/>
    <n v="1118.8"/>
    <m/>
    <m/>
    <m/>
    <n v="1118.8"/>
    <n v="1"/>
    <n v="1118.8"/>
    <n v="1286.6199999999999"/>
    <s v="Ottima"/>
  </r>
  <r>
    <x v="4"/>
    <s v="PPP-IPU-L850-01"/>
    <s v="Comune di Vicopisano - Uff_eFatturaPA : VICOPISANO ILLUMINAZIONE PUBBLICA"/>
    <s v="Comune di Vicopisano - Uff_eFatturaPA "/>
    <x v="202"/>
    <m/>
    <n v="14503.3"/>
    <n v="3140.15"/>
    <m/>
    <m/>
    <n v="17643.45"/>
    <n v="1"/>
    <n v="17643.45"/>
    <n v="20289.967499999999"/>
    <s v="Ottima"/>
  </r>
  <r>
    <x v="0"/>
    <s v="PPP-EEE-L868-01"/>
    <s v="COMUNE DI VIGARANO MAINARDA : VIGARANO MAINARDA EFFICIENTAMENTO ENERGETICO EDIFICI"/>
    <s v="COMUNE DI VIGARANO MAINARDA "/>
    <x v="203"/>
    <m/>
    <n v="500"/>
    <m/>
    <m/>
    <m/>
    <n v="500"/>
    <n v="1"/>
    <n v="500"/>
    <n v="575"/>
    <s v="Civismart"/>
  </r>
  <r>
    <x v="0"/>
    <s v="PPP-IPU-L905-01"/>
    <s v="COMUNE DI VILLA SANTA LUCIA : VILLA SANTA LUCIA ILLUMINAZIONE PUBBLICA"/>
    <s v="COMUNE DI VILLA SANTA LUCIA "/>
    <x v="204"/>
    <m/>
    <n v="5632.08"/>
    <m/>
    <m/>
    <m/>
    <n v="5632.08"/>
    <n v="1"/>
    <n v="5632.08"/>
    <n v="6476.8919999999998"/>
    <s v="Civismart"/>
  </r>
  <r>
    <x v="1"/>
    <s v="PPP-IPU-L998-01"/>
    <s v="COMUNE DI VILLAPUTZU : VILLAPUTZU ILLUMINAZIONE PUBBLICA"/>
    <s v="COMUNE DI VILLAPUTZU "/>
    <x v="205"/>
    <m/>
    <n v="6367.45"/>
    <m/>
    <m/>
    <m/>
    <n v="6367.45"/>
    <n v="1"/>
    <n v="6367.45"/>
    <n v="7322.5675000000001"/>
    <s v="Civismart"/>
  </r>
  <r>
    <x v="0"/>
    <s v="PPP-IPU-L998-01"/>
    <s v="COMUNE DI VILLAPUTZU : VILLAPUTZU ILLUMINAZIONE PUBBLICA"/>
    <s v="COMUNE DI VILLAPUTZU "/>
    <x v="205"/>
    <m/>
    <n v="6876.97"/>
    <m/>
    <m/>
    <m/>
    <n v="6876.97"/>
    <n v="1"/>
    <n v="6876.97"/>
    <n v="7908.5155000000004"/>
    <s v="Civismart"/>
  </r>
  <r>
    <x v="1"/>
    <s v="PPP-IPU-M018-01"/>
    <s v="COMUNE VILLA SAN GIOVANNI : VILLA SAN GIOVANNI ILLUMINAZIONE PUBBLICA"/>
    <s v="COMUNE VILLA SAN GIOVANNI "/>
    <x v="206"/>
    <m/>
    <m/>
    <m/>
    <n v="1347.44"/>
    <m/>
    <n v="1347.44"/>
    <n v="1"/>
    <n v="1347.44"/>
    <n v="1549.556"/>
    <s v="Civismart"/>
  </r>
  <r>
    <x v="3"/>
    <s v="PPP-IPU-B180-01"/>
    <s v="CONSORZIO ASI BRINDISI : ASI BRINDISI ILLUMINAZIONE PUBBLICA"/>
    <s v="CONSORZIO ASI BRINDISI "/>
    <x v="207"/>
    <m/>
    <m/>
    <m/>
    <n v="211.92"/>
    <m/>
    <n v="211.92"/>
    <n v="1"/>
    <n v="211.92"/>
    <n v="243.70799999999997"/>
    <s v="Selettra"/>
  </r>
  <r>
    <x v="4"/>
    <s v="PPP-IPU-B180-01"/>
    <s v="CONSORZIO ASI BRINDISI : ASI BRINDISI ILLUMINAZIONE PUBBLICA"/>
    <s v="CONSORZIO ASI BRINDISI "/>
    <x v="207"/>
    <m/>
    <n v="0"/>
    <m/>
    <m/>
    <m/>
    <n v="0"/>
    <n v="1"/>
    <n v="0"/>
    <n v="0"/>
    <s v="Selettra"/>
  </r>
  <r>
    <x v="4"/>
    <s v="PPP-IPU-A462-01"/>
    <s v="CONSORZIO DI SVILUPPO IND.LE VALLI TRONTO, ASO E TESINO : PICENO CONSID ILLUMINAZIONE PUBBLICA"/>
    <s v="CONSORZIO DI SVILUPPO IND.LE VALLI TRONTO, ASO E TESINO "/>
    <x v="208"/>
    <m/>
    <n v="5389.73"/>
    <m/>
    <m/>
    <m/>
    <n v="5389.73"/>
    <n v="1"/>
    <n v="5389.73"/>
    <n v="6198.1894999999995"/>
    <s v="Civismart"/>
  </r>
  <r>
    <x v="0"/>
    <s v="PPP-IPU-E242-01"/>
    <s v="GUARDIA PIEMONTESE : GUARDIA PIEMONTESE ILLUMINAZIONE PUBBLICA"/>
    <s v="GUARDIA PIEMONTESE "/>
    <x v="209"/>
    <m/>
    <n v="4939.2"/>
    <m/>
    <m/>
    <m/>
    <n v="4939.2"/>
    <n v="1"/>
    <n v="4939.2"/>
    <n v="5680.08"/>
    <s v="Civismart"/>
  </r>
  <r>
    <x v="0"/>
    <s v="PPP-IPU-I480-01"/>
    <s v="PROVINCIA DI SAVONA : IMPIANTI PROVINCIA DI SAVONA"/>
    <s v="PROVINCIA DI SAVONA "/>
    <x v="210"/>
    <m/>
    <m/>
    <m/>
    <n v="495.55"/>
    <m/>
    <n v="495.55"/>
    <n v="1"/>
    <n v="495.55"/>
    <n v="569.88250000000005"/>
    <s v="Ottim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onstruction(OLD)"/>
    <s v="PPP-EEE-B294-03"/>
    <s v="Comune di Bussi sul Tirino - ufficio tecnico : BUSSI SUL TIRINO EFF.TO ENERGETICO EDIFICI"/>
    <s v="Comune di Bussi sul Tirino - ufficio tecnico "/>
    <x v="0"/>
    <m/>
    <n v="20847.810000000001"/>
    <m/>
    <m/>
    <m/>
    <n v="20847.810000000001"/>
    <n v="1"/>
    <n v="20847.810000000001"/>
    <s v="Bussi"/>
  </r>
  <r>
    <s v="Construction"/>
    <s v="PPP-EEE-B294-03"/>
    <s v="Comune di Bussi sul Tirino - ufficio tecnico : BUSSI SUL TIRINO EFF.TO ENERGETICO EDIFICI"/>
    <s v="Comune di Bussi sul Tirino - ufficio tecnico "/>
    <x v="0"/>
    <m/>
    <n v="5000"/>
    <n v="17583.27"/>
    <m/>
    <m/>
    <n v="22583.27"/>
    <n v="1"/>
    <n v="22583.27"/>
    <s v="Bussi"/>
  </r>
  <r>
    <s v="Construction &amp; Operational"/>
    <s v="PPP-EEE-B294-03"/>
    <s v="Comune di Bussi sul Tirino - ufficio tecnico : BUSSI SUL TIRINO EFF.TO ENERGETICO EDIFICI"/>
    <s v="Comune di Bussi sul Tirino - ufficio tecnico "/>
    <x v="0"/>
    <m/>
    <m/>
    <n v="10137.299999999999"/>
    <m/>
    <m/>
    <n v="10137.299999999999"/>
    <n v="1"/>
    <n v="10137.299999999999"/>
    <s v="Bussi"/>
  </r>
  <r>
    <s v="Construction &amp; Operational"/>
    <s v="PPP-IPU-D184-01"/>
    <s v="COMUNE DI CROSIA : CROSIA ILLUMINAZIONE PUBBLICA"/>
    <s v="COMUNE DI CROSIA "/>
    <x v="1"/>
    <m/>
    <m/>
    <n v="6784.95"/>
    <m/>
    <m/>
    <n v="6784.95"/>
    <n v="1"/>
    <n v="6784.95"/>
    <s v="Crosia"/>
  </r>
  <r>
    <s v="Construction &amp; Operational"/>
    <s v="PPP-IPU-D415-01"/>
    <s v="COMUNE DI ERACLEA : ERACLEA ILLUMINAZIONE PUBBLICA"/>
    <s v="COMUNE DI ERACLEA "/>
    <x v="2"/>
    <m/>
    <n v="303"/>
    <m/>
    <m/>
    <m/>
    <n v="303"/>
    <n v="1"/>
    <n v="303"/>
    <s v="CMV II"/>
  </r>
  <r>
    <s v="Construction &amp; Operational"/>
    <s v="PPP-IPU-C388-01"/>
    <s v="COMUNE DI JESOLO : JESOLO ILLUMINAZIONE PUBBLICA"/>
    <s v="COMUNE DI JESOLO "/>
    <x v="3"/>
    <m/>
    <n v="33626.03"/>
    <m/>
    <m/>
    <m/>
    <n v="33626.03"/>
    <n v="1"/>
    <n v="33626.03"/>
    <s v="CMV II"/>
  </r>
  <r>
    <s v="Construction(OLD)"/>
    <s v="PPP-IPU-F229-01"/>
    <s v="Comune di Mira : IMPIANTI COMUNE DI MIRA"/>
    <s v="Comune di Mira "/>
    <x v="4"/>
    <m/>
    <n v="245954.22"/>
    <m/>
    <m/>
    <m/>
    <n v="245954.22"/>
    <n v="1"/>
    <n v="245954.22"/>
    <s v="CMV I"/>
  </r>
  <r>
    <s v="Construction"/>
    <s v="PPP-IPU-F229-01"/>
    <s v="Comune di Mira : IMPIANTI COMUNE DI MIRA"/>
    <s v="Comune di Mira "/>
    <x v="4"/>
    <m/>
    <n v="50000"/>
    <m/>
    <m/>
    <m/>
    <n v="50000"/>
    <n v="1"/>
    <n v="50000"/>
    <s v="CMV I"/>
  </r>
  <r>
    <s v="Construction &amp; Operational"/>
    <s v="PPP-IPU-F229-01"/>
    <s v="Comune di Mira : IMPIANTI COMUNE DI MIRA"/>
    <s v="Comune di Mira "/>
    <x v="4"/>
    <m/>
    <n v="7968"/>
    <n v="897.96"/>
    <m/>
    <m/>
    <n v="8865.9599999999991"/>
    <n v="1"/>
    <n v="8865.9599999999991"/>
    <s v="CMV I"/>
  </r>
  <r>
    <s v="Executive Project"/>
    <s v="PPP-IPU-F229-01"/>
    <s v="Comune di Mira : IMPIANTI COMUNE DI MIRA"/>
    <s v="Comune di Mira "/>
    <x v="4"/>
    <m/>
    <n v="10"/>
    <n v="36467.29"/>
    <m/>
    <m/>
    <n v="36477.29"/>
    <n v="1"/>
    <n v="36477.29"/>
    <s v="CMV I"/>
  </r>
  <r>
    <s v="Construction(OLD)"/>
    <s v="PPP-IPU-F241-01"/>
    <s v="Comune di Mirano : IMPIANTI COMUNE DI MIRANO"/>
    <s v="Comune di Mirano "/>
    <x v="5"/>
    <m/>
    <n v="110903.36"/>
    <n v="81303.66"/>
    <m/>
    <m/>
    <n v="192207.02000000002"/>
    <n v="1"/>
    <n v="192207.02000000002"/>
    <s v="CMV I"/>
  </r>
  <r>
    <s v="Executive Project"/>
    <s v="PPP-IPU-F241-01"/>
    <s v="Comune di Mirano : IMPIANTI COMUNE DI MIRANO"/>
    <s v="Comune di Mirano "/>
    <x v="5"/>
    <m/>
    <n v="725"/>
    <n v="98760.46"/>
    <m/>
    <m/>
    <n v="99485.46"/>
    <n v="1"/>
    <n v="99485.46"/>
    <s v="CMV I"/>
  </r>
  <r>
    <s v="Engineering"/>
    <s v="PPP-IPU-F241-01"/>
    <s v="Comune di Mirano : IMPIANTI COMUNE DI MIRANO"/>
    <s v="Comune di Mirano "/>
    <x v="5"/>
    <m/>
    <m/>
    <n v="4190.6499999999996"/>
    <m/>
    <m/>
    <n v="4190.6499999999996"/>
    <n v="1"/>
    <n v="4190.6499999999996"/>
    <s v="CMV I"/>
  </r>
  <r>
    <s v="Construction(OLD)"/>
    <s v="PPP-IPU-F826-01"/>
    <s v="COMUNE DI MUSILE DI PIAVE : MUSILE DI PIAVE ILLUMINAZIONE PUBBLICA"/>
    <s v="COMUNE DI MUSILE DI PIAVE "/>
    <x v="6"/>
    <m/>
    <n v="4600.08"/>
    <n v="140414.72"/>
    <m/>
    <m/>
    <n v="145014.79999999999"/>
    <n v="1"/>
    <n v="145014.79999999999"/>
    <s v="CMV II"/>
  </r>
  <r>
    <s v="Construction"/>
    <s v="PPP-IPU-F826-01"/>
    <s v="COMUNE DI MUSILE DI PIAVE : MUSILE DI PIAVE ILLUMINAZIONE PUBBLICA"/>
    <s v="COMUNE DI MUSILE DI PIAVE "/>
    <x v="6"/>
    <m/>
    <m/>
    <n v="52895.199999999997"/>
    <m/>
    <m/>
    <n v="52895.199999999997"/>
    <n v="1"/>
    <n v="52895.199999999997"/>
    <s v="CMV II"/>
  </r>
  <r>
    <s v="Construction(OLD)"/>
    <s v="PPP-IPU-F874-01"/>
    <s v="Comune di Nerviano : IMPIANTI COMUNE DI NERVIANO"/>
    <s v="Comune di Nerviano "/>
    <x v="7"/>
    <m/>
    <n v="258556.48"/>
    <m/>
    <m/>
    <m/>
    <n v="258556.48"/>
    <n v="1"/>
    <n v="258556.48"/>
    <s v="Nerviano"/>
  </r>
  <r>
    <s v="Construction"/>
    <s v="PPP-IPU-F874-01"/>
    <s v="Comune di Nerviano : IMPIANTI COMUNE DI NERVIANO"/>
    <s v="Comune di Nerviano "/>
    <x v="7"/>
    <m/>
    <n v="66190.399999999994"/>
    <m/>
    <m/>
    <m/>
    <n v="66190.399999999994"/>
    <n v="1"/>
    <n v="66190.399999999994"/>
    <s v="Nerviano"/>
  </r>
  <r>
    <s v="Construction &amp; Operational"/>
    <s v="PPP-IPU-F874-01"/>
    <s v="Comune di Nerviano : IMPIANTI COMUNE DI NERVIANO"/>
    <s v="Comune di Nerviano "/>
    <x v="7"/>
    <m/>
    <m/>
    <n v="598.52"/>
    <m/>
    <m/>
    <n v="598.52"/>
    <n v="1"/>
    <n v="598.52"/>
    <s v="Nerviano"/>
  </r>
  <r>
    <s v="Executive Project"/>
    <s v="PPP-IPU-F874-01"/>
    <s v="Comune di Nerviano : IMPIANTI COMUNE DI NERVIANO"/>
    <s v="Comune di Nerviano "/>
    <x v="7"/>
    <m/>
    <n v="1850"/>
    <n v="39987.94"/>
    <m/>
    <m/>
    <n v="41837.94"/>
    <n v="1"/>
    <n v="41837.94"/>
    <s v="Nerviano"/>
  </r>
  <r>
    <s v="Construction(OLD)"/>
    <s v="PPP-IPU-M428-02"/>
    <s v="COMUNE DI PRESICCE - ACQUARICA : PRESICCE-ACQUARICA (sussidiaria) ILL. PUBBLICA"/>
    <s v="COMUNE DI PRESICCE - ACQUARICA "/>
    <x v="8"/>
    <m/>
    <n v="216782.36"/>
    <n v="177871.39"/>
    <m/>
    <m/>
    <n v="394653.75"/>
    <n v="1"/>
    <n v="394653.75"/>
    <s v="Presicce"/>
  </r>
  <r>
    <s v="PREPARATION"/>
    <s v="PPP-IPU-M428-02"/>
    <s v="COMUNE DI PRESICCE - ACQUARICA : PRESICCE-ACQUARICA (sussidiaria) ILL. PUBBLICA"/>
    <s v="COMUNE DI PRESICCE - ACQUARICA "/>
    <x v="8"/>
    <m/>
    <n v="250"/>
    <m/>
    <m/>
    <m/>
    <n v="250"/>
    <n v="1"/>
    <n v="250"/>
    <s v="Presicce"/>
  </r>
  <r>
    <s v="Construction"/>
    <s v="PPP-IPU-M428-02"/>
    <s v="COMUNE DI PRESICCE - ACQUARICA : PRESICCE-ACQUARICA (sussidiaria) ILL. PUBBLICA"/>
    <s v="COMUNE DI PRESICCE - ACQUARICA "/>
    <x v="8"/>
    <m/>
    <n v="26793.43"/>
    <m/>
    <m/>
    <m/>
    <n v="26793.43"/>
    <n v="1"/>
    <n v="26793.43"/>
    <s v="Presicce"/>
  </r>
  <r>
    <s v="Construction &amp; Operational"/>
    <s v="PPP-IPU-M428-02"/>
    <s v="COMUNE DI PRESICCE - ACQUARICA : PRESICCE-ACQUARICA (sussidiaria) ILL. PUBBLICA"/>
    <s v="COMUNE DI PRESICCE - ACQUARICA "/>
    <x v="8"/>
    <m/>
    <n v="87118.51"/>
    <n v="273389.64"/>
    <m/>
    <m/>
    <n v="360508.15"/>
    <n v="1"/>
    <n v="360508.15"/>
    <s v="Presicce"/>
  </r>
  <r>
    <s v="Construction"/>
    <s v="PPP-IPU-H090-01"/>
    <s v="COMUNE DI PULSANO : PULSANO (SUSSIDIARIA) ILLUMINAZIONE PUBBLICA"/>
    <s v="COMUNE DI PULSANO "/>
    <x v="9"/>
    <m/>
    <n v="12086.83"/>
    <n v="1407.6"/>
    <m/>
    <m/>
    <n v="13494.43"/>
    <n v="1"/>
    <n v="13494.43"/>
    <s v="Pulsano"/>
  </r>
  <r>
    <s v="Construction &amp; Operational"/>
    <s v="PPP-IPU-H090-01"/>
    <s v="COMUNE DI PULSANO : PULSANO (SUSSIDIARIA) ILLUMINAZIONE PUBBLICA"/>
    <s v="COMUNE DI PULSANO "/>
    <x v="9"/>
    <m/>
    <n v="21838.97"/>
    <n v="244812.02"/>
    <m/>
    <m/>
    <n v="266650.99"/>
    <n v="1"/>
    <n v="266650.99"/>
    <s v="Pulsano"/>
  </r>
  <r>
    <s v="Construction &amp; Operational"/>
    <s v="PPP-IPU-H823-01"/>
    <s v="COMUNE DI SAN DONA' DI PIAVE : SAN DONA' DI PIAVE ILLUMINAZIONE PUBBLICA"/>
    <s v="COMUNE DI SAN DONA' DI PIAVE "/>
    <x v="10"/>
    <m/>
    <n v="6900"/>
    <m/>
    <m/>
    <m/>
    <n v="6900"/>
    <n v="1"/>
    <n v="6900"/>
    <s v="CMV II"/>
  </r>
  <r>
    <s v="Construction(OLD)"/>
    <s v="PPP-IPU-I805-01"/>
    <s v="Comune di Solofra : IMPIANTI COMUNE DI SOLOFRA"/>
    <s v="Comune di Solofra "/>
    <x v="11"/>
    <m/>
    <n v="87164"/>
    <m/>
    <m/>
    <m/>
    <n v="87164"/>
    <n v="1"/>
    <n v="87164"/>
    <s v="Solofra"/>
  </r>
  <r>
    <s v="Construction"/>
    <s v="PPP-IPU-I805-01"/>
    <s v="Comune di Solofra : IMPIANTI COMUNE DI SOLOFRA"/>
    <s v="Comune di Solofra "/>
    <x v="11"/>
    <m/>
    <n v="21993.5"/>
    <n v="17490"/>
    <m/>
    <m/>
    <n v="39483.5"/>
    <n v="1"/>
    <n v="39483.5"/>
    <s v="Solofra"/>
  </r>
  <r>
    <s v="Construction &amp; Operational"/>
    <s v="PPP-IPU-I805-01"/>
    <s v="Comune di Solofra : IMPIANTI COMUNE DI SOLOFRA"/>
    <s v="Comune di Solofra "/>
    <x v="11"/>
    <m/>
    <m/>
    <n v="11491.69"/>
    <m/>
    <m/>
    <n v="11491.69"/>
    <n v="1"/>
    <n v="11491.69"/>
    <s v="Solofra"/>
  </r>
  <r>
    <s v="Construction &amp; Operational"/>
    <s v="PPP-IPU-I895-01"/>
    <s v="COMUNE DI SPEZZANO ALBANESE : SPEZZANO ILLUMINAZIONE PUBBLICA"/>
    <s v="COMUNE DI SPEZZANO ALBANESE "/>
    <x v="12"/>
    <m/>
    <n v="6343.01"/>
    <n v="1228.57"/>
    <m/>
    <m/>
    <n v="7571.58"/>
    <n v="1"/>
    <n v="7571.58"/>
    <s v="Spezzano Albanese"/>
  </r>
  <r>
    <s v="Construction(OLD)"/>
    <s v="PPP-IPU-I965-01"/>
    <s v="Comune di Strà : IMPIANTI COMUNE DI STRA'"/>
    <s v="Comune di Strà "/>
    <x v="13"/>
    <m/>
    <n v="59391.839999999997"/>
    <m/>
    <m/>
    <m/>
    <n v="59391.839999999997"/>
    <n v="1"/>
    <n v="59391.839999999997"/>
    <s v="CMV I"/>
  </r>
  <r>
    <s v="Construction"/>
    <s v="PPP-IPU-I965-01"/>
    <s v="Comune di Strà : IMPIANTI COMUNE DI STRA'"/>
    <s v="Comune di Strà "/>
    <x v="13"/>
    <m/>
    <m/>
    <n v="2217.69"/>
    <m/>
    <m/>
    <n v="2217.69"/>
    <n v="1"/>
    <n v="2217.69"/>
    <s v="CMV I"/>
  </r>
  <r>
    <s v="Construction"/>
    <s v="PPP-IPU-L074-01"/>
    <s v="COMUNE DI TAVIANO : COMUNE DI TAVIANO (SUSSIDIARIA) ILLUMINAZIONE PUBBLICA"/>
    <s v="COMUNE DI TAVIANO "/>
    <x v="14"/>
    <m/>
    <n v="22130.75"/>
    <n v="1588.06"/>
    <m/>
    <m/>
    <n v="23718.81"/>
    <n v="1"/>
    <n v="23718.81"/>
    <s v="Taviano"/>
  </r>
  <r>
    <s v="Construction &amp; Operational"/>
    <s v="PPP-IPU-L074-01"/>
    <s v="COMUNE DI TAVIANO : COMUNE DI TAVIANO (SUSSIDIARIA) ILLUMINAZIONE PUBBLICA"/>
    <s v="COMUNE DI TAVIANO "/>
    <x v="14"/>
    <m/>
    <n v="145174.73000000001"/>
    <n v="79117.67"/>
    <m/>
    <m/>
    <n v="224292.40000000002"/>
    <n v="1"/>
    <n v="224292.40000000002"/>
    <s v="Taviano"/>
  </r>
  <r>
    <s v="Construction"/>
    <s v="PPP-IPU-L285-01"/>
    <s v="Comune di Torrevecchia : IMPIANTI COMUNE DI TORREVECCHIA PIA"/>
    <s v="Comune di Torrevecchia "/>
    <x v="15"/>
    <m/>
    <n v="3585"/>
    <m/>
    <m/>
    <m/>
    <n v="3585"/>
    <n v="1"/>
    <n v="3585"/>
    <s v="Torrevecchi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Pipeline"/>
    <s v="SEC-PHV-E058-01"/>
    <x v="0"/>
    <m/>
    <n v="1344.74"/>
    <m/>
    <m/>
    <m/>
    <n v="1344.74"/>
    <n v="1"/>
    <n v="1344.74"/>
    <n v="1546.451"/>
    <s v="CiviSmart"/>
    <n v="201.71100000000001"/>
  </r>
  <r>
    <s v="Pipeline"/>
    <s v="SEC-PHV-B008-01"/>
    <x v="1"/>
    <m/>
    <n v="1321.69"/>
    <n v="1247.635"/>
    <m/>
    <m/>
    <n v="2569.3249999999998"/>
    <n v="1"/>
    <n v="2569.3249999999998"/>
    <n v="2954.7237499999997"/>
    <s v="CiviSmart"/>
    <n v="385.39874999999984"/>
  </r>
  <r>
    <s v="Pipeline"/>
    <s v="SEC-PHV-A515-01"/>
    <x v="2"/>
    <m/>
    <n v="424.84"/>
    <n v="145.755"/>
    <m/>
    <m/>
    <n v="570.59500000000003"/>
    <n v="1"/>
    <n v="570.59500000000003"/>
    <n v="656.18425000000002"/>
    <s v="CiviSmart"/>
    <n v="85.589249999999993"/>
  </r>
  <r>
    <s v="Pipeline"/>
    <s v="SEC-PHV-B506-05"/>
    <x v="3"/>
    <m/>
    <n v="372.84"/>
    <n v="211.92"/>
    <m/>
    <m/>
    <n v="584.76"/>
    <n v="1"/>
    <n v="584.76"/>
    <n v="672.47399999999993"/>
    <s v="CiviSmart"/>
    <n v="87.713999999999942"/>
  </r>
  <r>
    <s v="Pipeline"/>
    <s v="SEC-PHV-F690-02"/>
    <x v="4"/>
    <m/>
    <n v="2702.43"/>
    <n v="2318.5749999999998"/>
    <m/>
    <m/>
    <n v="5021.0049999999992"/>
    <n v="1"/>
    <n v="5021.0049999999992"/>
    <n v="5774.155749999999"/>
    <s v="CiviSmart"/>
    <n v="753.15074999999979"/>
  </r>
  <r>
    <s v="Pipeline"/>
    <s v="SEC-PHV-C844-01"/>
    <x v="5"/>
    <m/>
    <n v="532.79999999999995"/>
    <n v="211.13"/>
    <m/>
    <m/>
    <n v="743.93"/>
    <n v="1"/>
    <n v="743.93"/>
    <n v="855.51949999999988"/>
    <s v="CiviSmart"/>
    <n v="111.58949999999993"/>
  </r>
  <r>
    <s v="Pipeline"/>
    <s v="SEC-PHV-C999-01"/>
    <x v="6"/>
    <m/>
    <n v="1404.44"/>
    <n v="520.02"/>
    <m/>
    <m/>
    <n v="1924.46"/>
    <n v="1"/>
    <n v="1924.46"/>
    <n v="2213.1289999999999"/>
    <s v="CiviSmart"/>
    <n v="288.66899999999987"/>
  </r>
  <r>
    <s v="Pipeline"/>
    <s v="SEC-PHV-C978-01"/>
    <x v="7"/>
    <m/>
    <m/>
    <n v="423.84"/>
    <m/>
    <m/>
    <n v="423.84"/>
    <n v="1"/>
    <n v="423.84"/>
    <n v="487.41599999999994"/>
    <s v="CiviSmart"/>
    <n v="63.575999999999965"/>
  </r>
  <r>
    <s v="Pipeline"/>
    <s v="SEC-PHV-A515-02"/>
    <x v="8"/>
    <m/>
    <n v="2339.73"/>
    <n v="469.82"/>
    <m/>
    <m/>
    <n v="2809.55"/>
    <n v="1"/>
    <n v="2809.55"/>
    <n v="3230.9825000000001"/>
    <s v="CiviSmart"/>
    <n v="421.43249999999989"/>
  </r>
  <r>
    <s v="Pipeline"/>
    <s v="SEC-PHV-F690-03"/>
    <x v="9"/>
    <m/>
    <n v="1501.49"/>
    <n v="1823.79"/>
    <m/>
    <m/>
    <n v="3325.2799999999997"/>
    <n v="1"/>
    <n v="3325.2799999999997"/>
    <n v="3824.0719999999997"/>
    <s v="CiviSmart"/>
    <n v="498.79199999999992"/>
  </r>
  <r>
    <s v="Pipeline"/>
    <s v="SEC-PHV-F690-01"/>
    <x v="10"/>
    <m/>
    <n v="1719.82"/>
    <n v="1361.01"/>
    <m/>
    <m/>
    <n v="3080.83"/>
    <n v="1"/>
    <n v="3080.83"/>
    <n v="3542.9544999999998"/>
    <s v="CiviSmart"/>
    <n v="462.1244999999999"/>
  </r>
  <r>
    <s v="Construction"/>
    <s v="SEC-PHV-B506-05"/>
    <x v="3"/>
    <m/>
    <m/>
    <n v="3688.91"/>
    <n v="119.54"/>
    <n v="20443.48"/>
    <n v="24251.93"/>
    <n v="1"/>
    <n v="24251.93"/>
    <n v="27889.719499999999"/>
    <s v="CiviSmart"/>
    <n v="3637.789499999999"/>
  </r>
  <r>
    <s v="Construction"/>
    <s v="SEC-PHV-B008-01"/>
    <x v="1"/>
    <m/>
    <n v="4873.9399999999996"/>
    <n v="14264.8"/>
    <n v="119.54"/>
    <m/>
    <n v="19258.28"/>
    <n v="1"/>
    <n v="19258.28"/>
    <n v="22147.021999999997"/>
    <s v="CiviSmart"/>
    <n v="2888.7419999999984"/>
  </r>
  <r>
    <s v="Construction"/>
    <s v="SEC-PHV-F690-02"/>
    <x v="4"/>
    <m/>
    <n v="1742.94"/>
    <n v="5543.335"/>
    <n v="119.54"/>
    <n v="17017.13"/>
    <n v="24422.945"/>
    <n v="1"/>
    <n v="24422.945"/>
    <n v="28086.386749999998"/>
    <s v="CiviSmart"/>
    <n v="3663.4417499999981"/>
  </r>
  <r>
    <s v="Construction"/>
    <s v="SEC-PHV-F690-03"/>
    <x v="9"/>
    <m/>
    <n v="402"/>
    <n v="2539.9749999999999"/>
    <n v="445246.99"/>
    <n v="117.6"/>
    <n v="448306.56499999994"/>
    <n v="1"/>
    <n v="448306.56499999994"/>
    <n v="515552.54974999995"/>
    <s v="CiviSmart"/>
    <n v="67245.984750000003"/>
  </r>
  <r>
    <s v="Construction"/>
    <s v="SEC-PHV-A515-01"/>
    <x v="2"/>
    <m/>
    <m/>
    <n v="294.41000000000003"/>
    <n v="32919.54"/>
    <n v="63802.2"/>
    <n v="97016.15"/>
    <n v="1"/>
    <n v="97016.15"/>
    <n v="111568.57249999999"/>
    <s v="CiviSmart"/>
    <n v="14552.422500000001"/>
  </r>
  <r>
    <s v="Construction"/>
    <s v="SEC-PHV-C978-01"/>
    <x v="7"/>
    <m/>
    <m/>
    <n v="2839.16"/>
    <n v="1259.54"/>
    <n v="90636"/>
    <n v="94734.7"/>
    <n v="1"/>
    <n v="94734.7"/>
    <n v="108944.905"/>
    <s v="CiviSmart"/>
    <n v="14210.205000000002"/>
  </r>
  <r>
    <s v="Construction"/>
    <s v="SEC-PHV-E058-01"/>
    <x v="0"/>
    <m/>
    <n v="3497.93"/>
    <n v="4986.99"/>
    <n v="974.54"/>
    <n v="117.6"/>
    <n v="9577.06"/>
    <n v="1"/>
    <n v="9577.06"/>
    <n v="11013.618999999999"/>
    <s v="CiviSmart"/>
    <n v="1436.5589999999993"/>
  </r>
  <r>
    <s v="Construction"/>
    <s v="SEC-PHV-C999-01"/>
    <x v="6"/>
    <m/>
    <n v="582.05999999999995"/>
    <n v="6336.0550000000003"/>
    <n v="119.54"/>
    <n v="9040"/>
    <n v="16077.654999999999"/>
    <n v="1"/>
    <n v="16077.654999999999"/>
    <n v="18489.303249999997"/>
    <s v="CiviSmart"/>
    <n v="2411.6482499999984"/>
  </r>
  <r>
    <s v="Construction"/>
    <s v="SEC-PHV-L074-02"/>
    <x v="11"/>
    <m/>
    <m/>
    <m/>
    <m/>
    <n v="145272.75"/>
    <n v="145272.75"/>
    <n v="1"/>
    <n v="145272.75"/>
    <n v="167063.66250000001"/>
    <s v="CiviSmart"/>
    <n v="21790.912500000006"/>
  </r>
  <r>
    <s v="Construction"/>
    <s v="SEC-PHV-C844-01"/>
    <x v="5"/>
    <m/>
    <n v="288"/>
    <n v="1376.9449999999999"/>
    <n v="123882.74"/>
    <n v="38577.800000000003"/>
    <n v="164125.48500000002"/>
    <n v="1"/>
    <n v="164125.48500000002"/>
    <n v="188744.30775000001"/>
    <s v="CiviSmart"/>
    <n v="24618.822749999992"/>
  </r>
  <r>
    <s v="Construction"/>
    <s v="SEC-PHV-A515-02"/>
    <x v="8"/>
    <m/>
    <n v="3992.34"/>
    <n v="16486.375"/>
    <n v="1000.14"/>
    <n v="3031.24"/>
    <n v="24510.095000000001"/>
    <n v="1"/>
    <n v="24510.095000000001"/>
    <n v="28186.609250000001"/>
    <s v="CiviSmart"/>
    <n v="3676.5142500000002"/>
  </r>
  <r>
    <s v="Construction"/>
    <s v="SEC-PHV-F690-01"/>
    <x v="10"/>
    <m/>
    <m/>
    <n v="1700.3050000000001"/>
    <n v="501773.19"/>
    <n v="-383191.14"/>
    <n v="120282.35499999998"/>
    <n v="1"/>
    <n v="120282.35499999998"/>
    <n v="138324.70824999997"/>
    <s v="CiviSmart"/>
    <n v="18042.353249999986"/>
  </r>
  <r>
    <s v="Construction"/>
    <s v="SEC-PHV-H882-01"/>
    <x v="12"/>
    <m/>
    <m/>
    <m/>
    <m/>
    <n v="134001.07999999999"/>
    <n v="134001.07999999999"/>
    <n v="1"/>
    <n v="134001.07999999999"/>
    <n v="154101.24199999997"/>
    <s v="CiviSmart"/>
    <n v="20100.161999999982"/>
  </r>
  <r>
    <s v="Construction"/>
    <s v="SEC-PHV-C978-02"/>
    <x v="13"/>
    <m/>
    <m/>
    <m/>
    <n v="33219.54"/>
    <n v="13091.6"/>
    <n v="46311.14"/>
    <n v="1"/>
    <n v="46311.14"/>
    <n v="53257.811000000002"/>
    <s v="CiviSmart"/>
    <n v="6946.6710000000021"/>
  </r>
  <r>
    <s v="Construction"/>
    <s v="SEC-PHV-L419-01"/>
    <x v="14"/>
    <m/>
    <m/>
    <m/>
    <m/>
    <n v="12015.13"/>
    <n v="12015.13"/>
    <n v="1"/>
    <n v="12015.13"/>
    <n v="13817.3995"/>
    <s v="CiviSmart"/>
    <n v="1802.2695000000003"/>
  </r>
  <r>
    <s v="Construction"/>
    <s v="SEC-PHV-B792-01"/>
    <x v="15"/>
    <m/>
    <m/>
    <m/>
    <m/>
    <n v="56186.25"/>
    <n v="56186.25"/>
    <n v="1"/>
    <n v="56186.25"/>
    <n v="64614.1875"/>
    <s v="CiviSmart"/>
    <n v="8427.9375"/>
  </r>
  <r>
    <s v="Construction(OLD)"/>
    <s v="SEC-PHV-C844-01"/>
    <x v="5"/>
    <m/>
    <m/>
    <m/>
    <n v="320444.63"/>
    <n v="145906.72"/>
    <n v="466351.35"/>
    <n v="1"/>
    <n v="466351.35"/>
    <n v="536304.05249999999"/>
    <s v="CiviSmart"/>
    <n v="69952.702500000014"/>
  </r>
  <r>
    <s v="Construction(OLD)"/>
    <s v="SEC-PHV-E058-01"/>
    <x v="0"/>
    <m/>
    <m/>
    <m/>
    <n v="455272.37"/>
    <n v="234914.31"/>
    <n v="690186.67999999993"/>
    <n v="1"/>
    <n v="690186.67999999993"/>
    <n v="793714.68199999991"/>
    <s v="CiviSmart"/>
    <n v="103528.00199999998"/>
  </r>
  <r>
    <s v="Construction(OLD)"/>
    <s v="SEC-PHV-C978-01"/>
    <x v="7"/>
    <m/>
    <m/>
    <m/>
    <n v="452769.8"/>
    <n v="105703.2"/>
    <n v="558473"/>
    <n v="1"/>
    <n v="558473"/>
    <n v="642243.94999999995"/>
    <s v="CiviSmart"/>
    <n v="83770.949999999953"/>
  </r>
  <r>
    <s v="Construction(OLD)"/>
    <s v="SEC-PHV-F690-01"/>
    <x v="10"/>
    <m/>
    <m/>
    <m/>
    <n v="226090.77"/>
    <n v="651972.81999999995"/>
    <n v="878063.59"/>
    <n v="1"/>
    <n v="878063.59"/>
    <n v="1009773.1285"/>
    <s v="CiviSmart"/>
    <n v="131709.53850000002"/>
  </r>
  <r>
    <s v="Construction(OLD)"/>
    <s v="SEC-PHV-F690-03"/>
    <x v="9"/>
    <m/>
    <m/>
    <m/>
    <m/>
    <n v="110769.43"/>
    <n v="110769.43"/>
    <n v="1"/>
    <n v="110769.43"/>
    <n v="127384.84449999999"/>
    <s v="CiviSmart"/>
    <n v="16615.414499999999"/>
  </r>
  <r>
    <s v="Construction(OLD)"/>
    <s v="SEC-PHV-B792-01"/>
    <x v="15"/>
    <m/>
    <m/>
    <m/>
    <m/>
    <n v="154624.9"/>
    <n v="154624.9"/>
    <n v="1"/>
    <n v="154624.9"/>
    <n v="177818.63499999998"/>
    <s v="CiviSmart"/>
    <n v="23193.734999999986"/>
  </r>
  <r>
    <s v="Construction(OLD)"/>
    <s v="SEC-PHV-A515-02"/>
    <x v="8"/>
    <m/>
    <m/>
    <m/>
    <n v="452451.27"/>
    <n v="211753.86"/>
    <n v="664205.13"/>
    <n v="1"/>
    <n v="664205.13"/>
    <n v="763835.89950000006"/>
    <s v="CiviSmart"/>
    <n v="99630.769500000053"/>
  </r>
  <r>
    <s v="Construction(OLD)"/>
    <s v="SEC-PHV-C999-01"/>
    <x v="6"/>
    <m/>
    <m/>
    <m/>
    <n v="407133.21"/>
    <n v="97028.64"/>
    <n v="504161.85000000003"/>
    <n v="1"/>
    <n v="504161.85000000003"/>
    <n v="579786.12750000006"/>
    <s v="CiviSmart"/>
    <n v="75624.277500000026"/>
  </r>
  <r>
    <s v="Construction(OLD)"/>
    <s v="SEC-PHV-B008-01"/>
    <x v="1"/>
    <m/>
    <m/>
    <m/>
    <n v="430569.03"/>
    <n v="180526.8"/>
    <n v="611095.83000000007"/>
    <n v="1"/>
    <n v="611095.83000000007"/>
    <n v="702760.20450000011"/>
    <s v="CiviSmart"/>
    <n v="91664.374500000034"/>
  </r>
  <r>
    <s v="Construction(OLD)"/>
    <s v="SEC-PHV-F690-02"/>
    <x v="4"/>
    <m/>
    <m/>
    <m/>
    <n v="434377.03"/>
    <n v="113978.26"/>
    <n v="548355.29"/>
    <n v="1"/>
    <n v="548355.29"/>
    <n v="630608.58350000007"/>
    <s v="CiviSmart"/>
    <n v="82253.293500000029"/>
  </r>
  <r>
    <s v="Construction(OLD)"/>
    <s v="SEC-PHV-C978-02"/>
    <x v="13"/>
    <m/>
    <m/>
    <m/>
    <n v="115770.85"/>
    <n v="246583"/>
    <n v="362353.85"/>
    <n v="1"/>
    <n v="362353.85"/>
    <n v="416706.92749999999"/>
    <s v="CiviSmart"/>
    <n v="54353.077500000014"/>
  </r>
  <r>
    <s v="Construction(OLD)"/>
    <s v="SEC-PHV-L419-01"/>
    <x v="14"/>
    <m/>
    <m/>
    <m/>
    <m/>
    <n v="113296.09"/>
    <n v="113296.09"/>
    <n v="1"/>
    <n v="113296.09"/>
    <n v="130290.50349999999"/>
    <s v="CiviSmart"/>
    <n v="16994.413499999995"/>
  </r>
  <r>
    <s v="Construction(OLD)"/>
    <s v="SEC-PHV-I553-02"/>
    <x v="16"/>
    <m/>
    <m/>
    <m/>
    <m/>
    <n v="95138.14"/>
    <n v="95138.14"/>
    <n v="1"/>
    <n v="95138.14"/>
    <n v="109408.861"/>
    <s v="CiviSmart"/>
    <n v="14270.721000000005"/>
  </r>
  <r>
    <s v="Construction(OLD)"/>
    <s v="SEC-PHV-B506-05"/>
    <x v="3"/>
    <m/>
    <m/>
    <m/>
    <n v="431408.92"/>
    <n v="364892.89"/>
    <n v="796301.81"/>
    <n v="1"/>
    <n v="796301.81"/>
    <n v="915747.08150000009"/>
    <s v="CiviSmart"/>
    <n v="119445.27150000003"/>
  </r>
  <r>
    <s v="Construction(OLD)"/>
    <s v="SEC-PHV-A515-01"/>
    <x v="2"/>
    <m/>
    <m/>
    <m/>
    <n v="288809.44"/>
    <n v="62465.81"/>
    <n v="351275.25"/>
    <n v="1"/>
    <n v="351275.25"/>
    <n v="403966.53749999998"/>
    <s v="CiviSmart"/>
    <n v="52691.287499999977"/>
  </r>
  <r>
    <s v="Construction(OLD)"/>
    <s v="SEC-PHV-H166-02"/>
    <x v="17"/>
    <m/>
    <m/>
    <m/>
    <m/>
    <n v="287778.7"/>
    <n v="287778.7"/>
    <n v="1"/>
    <n v="287778.7"/>
    <n v="330945.505"/>
    <s v="CiviSmart"/>
    <n v="43166.804999999993"/>
  </r>
  <r>
    <s v="Construction(OLD)"/>
    <s v="SEC-PHV-H166-01"/>
    <x v="18"/>
    <m/>
    <m/>
    <m/>
    <m/>
    <n v="227577.2"/>
    <n v="227577.2"/>
    <n v="1"/>
    <n v="227577.2"/>
    <n v="261713.78000000003"/>
    <s v="CiviSmart"/>
    <n v="34136.580000000016"/>
  </r>
  <r>
    <s v="Construction(OLD)"/>
    <s v="SEC-PHV-A515-03"/>
    <x v="19"/>
    <m/>
    <m/>
    <m/>
    <m/>
    <n v="49844"/>
    <n v="49844"/>
    <n v="1"/>
    <n v="49844"/>
    <n v="57320.6"/>
    <s v="CiviSmart"/>
    <n v="7476.5999999999985"/>
  </r>
  <r>
    <s v="Construction(OLD)"/>
    <s v="SEC-PHV-L074-02"/>
    <x v="11"/>
    <m/>
    <m/>
    <m/>
    <m/>
    <n v="212727"/>
    <n v="212727"/>
    <n v="1"/>
    <n v="212727"/>
    <n v="244636.05"/>
    <s v="CiviSmart"/>
    <n v="31909.049999999988"/>
  </r>
  <r>
    <s v="PREPARATION"/>
    <s v="SEC-PHV-B792-01"/>
    <x v="15"/>
    <m/>
    <m/>
    <m/>
    <m/>
    <n v="24000"/>
    <n v="24000"/>
    <n v="1"/>
    <n v="24000"/>
    <n v="27600"/>
    <s v="CiviSmart"/>
    <n v="3600"/>
  </r>
  <r>
    <s v="PREPARATION"/>
    <s v="SEC-PHV-A515-01"/>
    <x v="2"/>
    <m/>
    <m/>
    <m/>
    <m/>
    <n v="311003"/>
    <n v="311003"/>
    <n v="1"/>
    <n v="311003"/>
    <n v="357653.45"/>
    <s v="CiviSmart"/>
    <n v="46650.450000000012"/>
  </r>
  <r>
    <s v="PREPARATION"/>
    <s v="SEC-PHV-F158-02"/>
    <x v="20"/>
    <m/>
    <m/>
    <m/>
    <m/>
    <n v="26000"/>
    <n v="26000"/>
    <n v="1"/>
    <n v="26000"/>
    <n v="29900"/>
    <s v="CiviSmart"/>
    <n v="3900"/>
  </r>
  <r>
    <s v="PREPARATION"/>
    <s v="SEC-PHV-A515-02"/>
    <x v="8"/>
    <m/>
    <m/>
    <m/>
    <m/>
    <n v="168198"/>
    <n v="168198"/>
    <n v="1"/>
    <n v="168198"/>
    <n v="193427.7"/>
    <s v="CiviSmart"/>
    <n v="25229.700000000012"/>
  </r>
  <r>
    <s v="OPERATIONAL"/>
    <s v="SEC-PHV-A515-02"/>
    <x v="8"/>
    <m/>
    <m/>
    <m/>
    <m/>
    <n v="14.27"/>
    <n v="14.27"/>
    <n v="1"/>
    <n v="14.27"/>
    <n v="16.410499999999999"/>
    <s v="CiviSmart"/>
    <n v="2.1404999999999994"/>
  </r>
  <r>
    <s v="OPERATIONAL"/>
    <s v="SEC-PHV-C978-01"/>
    <x v="7"/>
    <m/>
    <m/>
    <n v="232.5"/>
    <m/>
    <m/>
    <n v="232.5"/>
    <n v="1"/>
    <n v="232.5"/>
    <n v="267.375"/>
    <s v="CiviSmart"/>
    <n v="34.875"/>
  </r>
  <r>
    <s v="OPERATIONAL"/>
    <s v="SEC-PHV-B008-01"/>
    <x v="1"/>
    <m/>
    <m/>
    <m/>
    <m/>
    <n v="15.54"/>
    <n v="15.54"/>
    <n v="1"/>
    <n v="15.54"/>
    <n v="17.870999999999999"/>
    <s v="CiviSmart"/>
    <n v="2.3309999999999995"/>
  </r>
  <r>
    <s v="OPERATIONAL"/>
    <s v="SEC-PHV-F690-02"/>
    <x v="4"/>
    <m/>
    <m/>
    <n v="218.21"/>
    <m/>
    <m/>
    <n v="218.21"/>
    <n v="1"/>
    <n v="218.21"/>
    <n v="250.94150000000002"/>
    <s v="CiviSmart"/>
    <n v="32.731500000000011"/>
  </r>
  <r>
    <s v="Executive Project"/>
    <s v="SEC-PHV-C999-01"/>
    <x v="6"/>
    <m/>
    <m/>
    <m/>
    <m/>
    <n v="100"/>
    <n v="100"/>
    <n v="1"/>
    <n v="100"/>
    <n v="115"/>
    <s v="CiviSmart"/>
    <n v="15"/>
  </r>
  <r>
    <s v="Unknown"/>
    <s v="SEC-PHV-B008-01"/>
    <x v="1"/>
    <m/>
    <m/>
    <m/>
    <m/>
    <n v="28.38"/>
    <n v="28.38"/>
    <n v="1"/>
    <n v="28.38"/>
    <n v="32.637"/>
    <s v="CiviSmart"/>
    <n v="4.2570000000000014"/>
  </r>
  <r>
    <s v="Unknown"/>
    <s v="SEC-PHV-A515-02"/>
    <x v="8"/>
    <m/>
    <m/>
    <m/>
    <m/>
    <n v="-44.78"/>
    <n v="-44.78"/>
    <n v="1"/>
    <n v="-44.78"/>
    <n v="-51.497"/>
    <s v="CiviSmart"/>
    <n v="-6.7169999999999987"/>
  </r>
  <r>
    <s v="Construction &amp; Operational"/>
    <s v="SEC-PHV-C978-02"/>
    <x v="13"/>
    <m/>
    <m/>
    <m/>
    <n v="3410"/>
    <m/>
    <n v="3410"/>
    <n v="1"/>
    <n v="3410"/>
    <n v="3921.5"/>
    <s v="CiviSmart"/>
    <n v="511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s v="Spot"/>
    <s v="EPC-IPU-F736-02"/>
    <x v="0"/>
    <n v="1179.0999999999999"/>
    <n v="0"/>
    <m/>
    <m/>
    <m/>
    <m/>
  </r>
  <r>
    <s v="Spot"/>
    <s v="EPC-IPU-G942-10"/>
    <x v="1"/>
    <n v="1842.9"/>
    <n v="740.82999999999993"/>
    <m/>
    <m/>
    <n v="626.51"/>
    <n v="114.32"/>
  </r>
  <r>
    <s v="Spot"/>
    <s v="EPC-IPU-A519-04"/>
    <x v="2"/>
    <m/>
    <n v="250"/>
    <n v="250"/>
    <m/>
    <m/>
    <m/>
  </r>
  <r>
    <s v="Operation &amp; Maintenance"/>
    <s v="EPC-IPU-C767-04"/>
    <x v="3"/>
    <n v="380"/>
    <n v="0"/>
    <m/>
    <m/>
    <m/>
    <m/>
  </r>
  <r>
    <s v="Spot"/>
    <s v="EPC-IPU-F736-03"/>
    <x v="4"/>
    <n v="1179.0999999999999"/>
    <n v="0"/>
    <m/>
    <m/>
    <m/>
    <m/>
  </r>
  <r>
    <s v="EXTRA LAVORI"/>
    <s v="EPC-IPU-B162-06"/>
    <x v="5"/>
    <m/>
    <n v="3868"/>
    <n v="3868"/>
    <m/>
    <m/>
    <m/>
  </r>
  <r>
    <s v="Operation &amp; Maintenance"/>
    <s v="EPC-IPU-B162-06"/>
    <x v="5"/>
    <n v="12233.6"/>
    <n v="0"/>
    <m/>
    <m/>
    <m/>
    <m/>
  </r>
  <r>
    <s v="EXTRA LAVORI : Spot"/>
    <s v="EPC-IPU-I332-02"/>
    <x v="6"/>
    <m/>
    <n v="2285.67"/>
    <n v="2285.67"/>
    <m/>
    <m/>
    <m/>
  </r>
  <r>
    <s v="Spot"/>
    <s v="EPC-IPU-I332-02"/>
    <x v="6"/>
    <n v="5731.33"/>
    <n v="0"/>
    <m/>
    <m/>
    <m/>
    <m/>
  </r>
  <r>
    <s v="OPERATIONAL"/>
    <s v="EPC-VS-C638-01"/>
    <x v="7"/>
    <m/>
    <n v="1229.52"/>
    <m/>
    <m/>
    <n v="1229.52"/>
    <m/>
  </r>
  <r>
    <s v="OPERATIONAL"/>
    <s v="EPC-IPU-C638-02"/>
    <x v="8"/>
    <n v="40789.980000000003"/>
    <n v="0"/>
    <m/>
    <m/>
    <m/>
    <m/>
  </r>
  <r>
    <s v="EXTRA LAVORI"/>
    <s v="EPC-IPU-C638-01"/>
    <x v="9"/>
    <m/>
    <n v="312583.5"/>
    <n v="311736.90999999997"/>
    <n v="846.59"/>
    <m/>
    <m/>
  </r>
  <r>
    <s v="Spot"/>
    <s v="EPC-IPU-C638-01"/>
    <x v="9"/>
    <n v="3036"/>
    <n v="1128.05"/>
    <m/>
    <n v="1128.05"/>
    <m/>
    <m/>
  </r>
  <r>
    <s v="Spot"/>
    <s v="EPC-IPU-A488-02"/>
    <x v="10"/>
    <n v="350"/>
    <n v="0"/>
    <m/>
    <m/>
    <m/>
    <m/>
  </r>
  <r>
    <s v="Operation &amp; Maintenance"/>
    <s v="EPC-IPU-A047-01"/>
    <x v="11"/>
    <m/>
    <n v="389"/>
    <n v="389"/>
    <m/>
    <m/>
    <m/>
  </r>
  <r>
    <s v="Operation &amp; Maintenance"/>
    <s v="EPC-IPU-A162-01"/>
    <x v="12"/>
    <m/>
    <n v="478.26"/>
    <m/>
    <n v="438.96"/>
    <n v="39.299999999999997"/>
    <m/>
  </r>
  <r>
    <s v="EXTRA LAVORI"/>
    <s v="EPC-IPU-A413-03"/>
    <x v="13"/>
    <m/>
    <n v="1495.67"/>
    <n v="1199"/>
    <m/>
    <n v="296.67"/>
    <m/>
  </r>
  <r>
    <s v="EXTRA LAVORI"/>
    <s v="EPC-IPU-A413-01"/>
    <x v="14"/>
    <n v="16400"/>
    <n v="0"/>
    <m/>
    <m/>
    <m/>
    <m/>
  </r>
  <r>
    <s v="EXTRA LAVORI"/>
    <s v="EPC-IPU-A413-05"/>
    <x v="15"/>
    <m/>
    <n v="2404"/>
    <m/>
    <n v="2404"/>
    <m/>
    <m/>
  </r>
  <r>
    <s v="EXTRA LAVORI"/>
    <s v="EPC-IPU-A519-05"/>
    <x v="16"/>
    <n v="940"/>
    <n v="0"/>
    <m/>
    <m/>
    <m/>
    <m/>
  </r>
  <r>
    <s v="Operation &amp; Maintenance"/>
    <s v="EPC-IPU-A683-03"/>
    <x v="17"/>
    <n v="14320.93"/>
    <n v="0"/>
    <m/>
    <m/>
    <m/>
    <m/>
  </r>
  <r>
    <s v="Spot"/>
    <s v="EPC-IPU-A697-03"/>
    <x v="18"/>
    <n v="10238.36"/>
    <n v="5159.03"/>
    <n v="5159.03"/>
    <m/>
    <m/>
    <m/>
  </r>
  <r>
    <s v="Operation &amp; Maintenance"/>
    <s v="EPC-IPU-A697-02"/>
    <x v="19"/>
    <m/>
    <n v="361.2"/>
    <m/>
    <m/>
    <n v="361.2"/>
    <m/>
  </r>
  <r>
    <s v="EXTRA LAVORI : Spot"/>
    <s v="EPC-IPU-A697-02"/>
    <x v="19"/>
    <m/>
    <n v="115"/>
    <n v="115"/>
    <m/>
    <m/>
    <m/>
  </r>
  <r>
    <s v="Spot"/>
    <s v="EPC-IPU-A697-02"/>
    <x v="19"/>
    <m/>
    <n v="1778.12"/>
    <n v="0"/>
    <m/>
    <n v="1778.12"/>
    <m/>
  </r>
  <r>
    <s v="EXTRA LAVORI"/>
    <s v="EPC-IPU-A743-07"/>
    <x v="20"/>
    <n v="1300"/>
    <n v="1867.345"/>
    <m/>
    <n v="434.45"/>
    <n v="1252.7349999999999"/>
    <n v="180.16"/>
  </r>
  <r>
    <s v="Operation &amp; Maintenance"/>
    <s v="EPC-IPU-A743-07"/>
    <x v="20"/>
    <m/>
    <n v="139.38"/>
    <m/>
    <m/>
    <n v="139.38"/>
    <m/>
  </r>
  <r>
    <s v="EXTRA LAVORI"/>
    <s v="EPC-IPU-A743-04"/>
    <x v="21"/>
    <n v="0"/>
    <n v="0"/>
    <m/>
    <m/>
    <m/>
    <m/>
  </r>
  <r>
    <s v="EXTRA LAVORI"/>
    <s v="EPC-IPU-B162-01"/>
    <x v="22"/>
    <m/>
    <n v="3292.44"/>
    <m/>
    <n v="1644.48"/>
    <n v="1647.96"/>
    <m/>
  </r>
  <r>
    <s v="Operation &amp; Maintenance"/>
    <s v="EPC-IPU-B162-01"/>
    <x v="22"/>
    <m/>
    <n v="191.16"/>
    <m/>
    <m/>
    <n v="191.16"/>
    <m/>
  </r>
  <r>
    <s v="EXTRA LAVORI"/>
    <s v="EPC-IPU-B162-08"/>
    <x v="23"/>
    <m/>
    <n v="12635.6"/>
    <n v="12635.6"/>
    <m/>
    <m/>
    <m/>
  </r>
  <r>
    <s v="Operation &amp; Maintenance"/>
    <s v="EPC-IPU-B162-08"/>
    <x v="23"/>
    <n v="26558.66"/>
    <n v="0"/>
    <m/>
    <m/>
    <m/>
    <m/>
  </r>
  <r>
    <s v="EXTRA LAVORI"/>
    <s v="EPC-IPU-B162-03"/>
    <x v="24"/>
    <n v="4511.68"/>
    <n v="0"/>
    <m/>
    <m/>
    <m/>
    <m/>
  </r>
  <r>
    <s v="Spot"/>
    <s v="EPC-IPU-B258-01"/>
    <x v="25"/>
    <n v="1871.9"/>
    <n v="0"/>
    <n v="0"/>
    <m/>
    <m/>
    <m/>
  </r>
  <r>
    <s v="Operation &amp; Maintenance"/>
    <s v="EPC-EEE-B294-05"/>
    <x v="26"/>
    <n v="2500"/>
    <n v="0"/>
    <m/>
    <m/>
    <m/>
    <m/>
  </r>
  <r>
    <s v="EXTRA LAVORI"/>
    <s v="EPC-IPU-C717-03"/>
    <x v="27"/>
    <n v="3871.27"/>
    <n v="0"/>
    <m/>
    <m/>
    <m/>
    <m/>
  </r>
  <r>
    <s v="Operation &amp; Maintenance"/>
    <s v="EPC-IPU-C717-03"/>
    <x v="27"/>
    <m/>
    <n v="1152.22"/>
    <m/>
    <m/>
    <n v="1152.22"/>
    <m/>
  </r>
  <r>
    <s v="OPERATIONAL"/>
    <s v="EPC-IPU-B731-01"/>
    <x v="28"/>
    <m/>
    <n v="2494.86"/>
    <m/>
    <n v="2494.86"/>
    <m/>
    <m/>
  </r>
  <r>
    <s v="OPERATIONAL"/>
    <s v="EPC-IPU-B754-01"/>
    <x v="29"/>
    <m/>
    <n v="1088.8499999999999"/>
    <m/>
    <n v="1088.8499999999999"/>
    <m/>
    <m/>
  </r>
  <r>
    <s v="EXTRA LAVORI"/>
    <s v="EPC-IPU-C231-02"/>
    <x v="30"/>
    <n v="2599.87"/>
    <n v="850"/>
    <n v="850"/>
    <m/>
    <m/>
    <m/>
  </r>
  <r>
    <s v="OPERATIONAL"/>
    <s v="EPC-EEE-C638-02"/>
    <x v="31"/>
    <m/>
    <n v="40"/>
    <n v="40"/>
    <m/>
    <m/>
    <m/>
  </r>
  <r>
    <s v="Operation &amp; Maintenance"/>
    <s v="EPC-EEE-C638-02"/>
    <x v="31"/>
    <m/>
    <n v="548.62"/>
    <m/>
    <n v="98.02"/>
    <n v="450.6"/>
    <m/>
  </r>
  <r>
    <s v="EXTRA LAVORI"/>
    <s v="EPC-EEE-C638-01"/>
    <x v="32"/>
    <n v="13596.66"/>
    <n v="0"/>
    <m/>
    <m/>
    <m/>
    <m/>
  </r>
  <r>
    <s v="Spot"/>
    <s v="EPC-IPU-C793-01"/>
    <x v="33"/>
    <m/>
    <n v="0"/>
    <n v="0"/>
    <m/>
    <m/>
    <m/>
  </r>
  <r>
    <s v="EXTRA LAVORI"/>
    <s v="EPC-IPU-C824-02"/>
    <x v="34"/>
    <n v="715.91"/>
    <n v="555"/>
    <n v="555"/>
    <m/>
    <m/>
    <m/>
  </r>
  <r>
    <s v="EXTRA LAVORI"/>
    <s v="EPC-IPU-M426-02"/>
    <x v="35"/>
    <n v="1380.67"/>
    <n v="2066"/>
    <n v="2066"/>
    <m/>
    <m/>
    <m/>
  </r>
  <r>
    <s v="Operation &amp; Maintenance"/>
    <s v="EPC-IPU-C888-01"/>
    <x v="36"/>
    <m/>
    <n v="9732.8549999999996"/>
    <m/>
    <m/>
    <n v="5732.2049999999999"/>
    <n v="4000.65"/>
  </r>
  <r>
    <s v="EXTRA LAVORI : Spot"/>
    <s v="EPC-IPU-C888-01"/>
    <x v="36"/>
    <m/>
    <n v="295.66999999999996"/>
    <m/>
    <m/>
    <n v="155.04"/>
    <n v="140.63"/>
  </r>
  <r>
    <s v="EXTRA LAVORI"/>
    <s v="EPC-IPU-C888-02"/>
    <x v="37"/>
    <n v="8612.8799999999992"/>
    <n v="0"/>
    <m/>
    <m/>
    <m/>
    <m/>
  </r>
  <r>
    <s v="Operation &amp; Maintenance"/>
    <s v="EPC-IPU-C888-02"/>
    <x v="37"/>
    <m/>
    <n v="703.83"/>
    <m/>
    <m/>
    <n v="201.03"/>
    <n v="502.8"/>
  </r>
  <r>
    <s v="EXTRA LAVORI"/>
    <s v="EPC-IPU-C888-03"/>
    <x v="38"/>
    <n v="41634"/>
    <n v="56340.41"/>
    <n v="634"/>
    <n v="55706.41"/>
    <m/>
    <m/>
  </r>
  <r>
    <s v="Operation &amp; Maintenance"/>
    <s v="EPC-IPU-C888-03"/>
    <x v="38"/>
    <m/>
    <n v="492.25"/>
    <m/>
    <n v="492.25"/>
    <m/>
    <m/>
  </r>
  <r>
    <s v="EXTRA LAVORI"/>
    <s v="EPC-IPU-D171-02"/>
    <x v="39"/>
    <m/>
    <n v="4254.92"/>
    <n v="4254.92"/>
    <m/>
    <m/>
    <m/>
  </r>
  <r>
    <s v="EXTRA LAVORI"/>
    <s v="EPC-IPU-D458-01"/>
    <x v="40"/>
    <m/>
    <n v="128"/>
    <m/>
    <n v="128"/>
    <m/>
    <m/>
  </r>
  <r>
    <s v="OPERATIONAL"/>
    <s v="EPC-IPU-D472-01"/>
    <x v="41"/>
    <m/>
    <n v="567.84"/>
    <m/>
    <n v="567.84"/>
    <m/>
    <m/>
  </r>
  <r>
    <s v="Operation &amp; Maintenance"/>
    <s v="EPC-IPU-D472-01"/>
    <x v="41"/>
    <m/>
    <n v="384.54"/>
    <m/>
    <n v="384.54"/>
    <m/>
    <m/>
  </r>
  <r>
    <s v="EXTRA LAVORI"/>
    <s v="EPC-IPU-D542-02"/>
    <x v="42"/>
    <m/>
    <n v="850"/>
    <n v="850"/>
    <m/>
    <m/>
    <m/>
  </r>
  <r>
    <s v="Operation &amp; Maintenance"/>
    <s v="EPC-IPU-D542-04"/>
    <x v="43"/>
    <m/>
    <n v="827.6"/>
    <m/>
    <m/>
    <n v="827.6"/>
    <m/>
  </r>
  <r>
    <s v="OPERATIONAL"/>
    <s v="EPC-IPU-D542-01"/>
    <x v="44"/>
    <m/>
    <n v="23.36"/>
    <m/>
    <n v="23.36"/>
    <m/>
    <m/>
  </r>
  <r>
    <s v="EXTRA LAVORI"/>
    <s v="EPC-IPU-D542-01"/>
    <x v="44"/>
    <m/>
    <n v="4928.3900000000003"/>
    <m/>
    <n v="2387.63"/>
    <n v="2540.7600000000002"/>
    <m/>
  </r>
  <r>
    <s v="Operation &amp; Maintenance"/>
    <s v="EPC-IPU-D542-01"/>
    <x v="44"/>
    <m/>
    <n v="362.07499999999999"/>
    <m/>
    <m/>
    <n v="362.07499999999999"/>
    <m/>
  </r>
  <r>
    <s v="Spot"/>
    <s v="EPC-IPU-D748-02"/>
    <x v="45"/>
    <m/>
    <n v="1372.18"/>
    <m/>
    <n v="1372.18"/>
    <m/>
    <m/>
  </r>
  <r>
    <s v="EXTRA LAVORI"/>
    <s v="EPC-IPU-D869-02"/>
    <x v="46"/>
    <m/>
    <n v="3141.67"/>
    <m/>
    <n v="2334.61"/>
    <n v="807.06"/>
    <m/>
  </r>
  <r>
    <s v="EXTRA LAVORI"/>
    <s v="EPC-IPU-D869-03"/>
    <x v="47"/>
    <n v="3195.16"/>
    <n v="0"/>
    <m/>
    <m/>
    <m/>
    <m/>
  </r>
  <r>
    <s v="Operation &amp; Maintenance"/>
    <s v="EPC-IPU-D869-03"/>
    <x v="47"/>
    <n v="3195.16"/>
    <n v="0"/>
    <m/>
    <m/>
    <m/>
    <m/>
  </r>
  <r>
    <s v="Operation &amp; Maintenance"/>
    <s v="EPC-IPU-D869-04"/>
    <x v="48"/>
    <n v="2776.67"/>
    <n v="0"/>
    <m/>
    <m/>
    <m/>
    <m/>
  </r>
  <r>
    <s v="Operation &amp; Maintenance"/>
    <s v="EPC-IPU-D869-05"/>
    <x v="49"/>
    <n v="1429.84"/>
    <n v="0"/>
    <m/>
    <m/>
    <m/>
    <m/>
  </r>
  <r>
    <s v="EXTRA LAVORI"/>
    <s v="EPC-IPU-E053-01"/>
    <x v="50"/>
    <m/>
    <n v="211.92"/>
    <m/>
    <m/>
    <n v="211.92"/>
    <m/>
  </r>
  <r>
    <s v="Spot"/>
    <s v="EPC-IPU-E246-03"/>
    <x v="51"/>
    <m/>
    <n v="652.57000000000005"/>
    <m/>
    <n v="652.57000000000005"/>
    <m/>
    <m/>
  </r>
  <r>
    <s v="Spot"/>
    <s v="EPC-IPU-E246-04"/>
    <x v="52"/>
    <n v="4500"/>
    <n v="0"/>
    <m/>
    <m/>
    <m/>
    <m/>
  </r>
  <r>
    <s v="Spot"/>
    <s v="EPC-IPU-E246-05"/>
    <x v="53"/>
    <n v="1230"/>
    <n v="397.53"/>
    <m/>
    <n v="397.53"/>
    <m/>
    <m/>
  </r>
  <r>
    <s v="EXTRA LAVORI"/>
    <s v="EPC-IPU-C767-02"/>
    <x v="54"/>
    <m/>
    <n v="17830.689999999999"/>
    <m/>
    <n v="17830.689999999999"/>
    <m/>
    <m/>
  </r>
  <r>
    <s v="Operation &amp; Maintenance"/>
    <s v="EPC-IPU-C767-02"/>
    <x v="54"/>
    <n v="29000"/>
    <n v="0"/>
    <m/>
    <m/>
    <m/>
    <m/>
  </r>
  <r>
    <s v="EXTRA LAVORI"/>
    <s v="EPC-IPU-E716-06"/>
    <x v="55"/>
    <n v="83319.03"/>
    <n v="30828.100000000002"/>
    <n v="1539.15"/>
    <n v="29288.95"/>
    <m/>
    <m/>
  </r>
  <r>
    <s v="Operation &amp; Maintenance"/>
    <s v="EPC-IPU-E716-06"/>
    <x v="55"/>
    <n v="37628.04"/>
    <n v="0"/>
    <m/>
    <m/>
    <m/>
    <m/>
  </r>
  <r>
    <s v="EXTRA LAVORI"/>
    <s v="EPC-IPU-E919-02"/>
    <x v="56"/>
    <n v="11503.63"/>
    <n v="0"/>
    <m/>
    <m/>
    <m/>
    <m/>
  </r>
  <r>
    <s v="EXTRA LAVORI"/>
    <s v="EPC-IPU-E951-03"/>
    <x v="57"/>
    <m/>
    <n v="724"/>
    <n v="724"/>
    <m/>
    <m/>
    <m/>
  </r>
  <r>
    <s v="EXTRA LAVORI"/>
    <s v="EPC-IPU-E951-07"/>
    <x v="58"/>
    <m/>
    <n v="1048"/>
    <m/>
    <n v="1048"/>
    <m/>
    <m/>
  </r>
  <r>
    <s v="Operation &amp; Maintenance"/>
    <s v="EPC-IPU-E951-07"/>
    <x v="58"/>
    <m/>
    <n v="2517"/>
    <n v="2517"/>
    <m/>
    <m/>
    <m/>
  </r>
  <r>
    <s v="EXTRA LAVORI"/>
    <s v="EPC-IPU-E951-06"/>
    <x v="59"/>
    <m/>
    <n v="6943"/>
    <m/>
    <n v="6943"/>
    <m/>
    <m/>
  </r>
  <r>
    <s v="EXTRA LAVORI"/>
    <s v="EPC-IPU-E976-01"/>
    <x v="60"/>
    <n v="3947.56"/>
    <n v="1623.89"/>
    <m/>
    <m/>
    <n v="1323.67"/>
    <n v="300.22000000000003"/>
  </r>
  <r>
    <s v="Spot"/>
    <s v="EPC-IPU-F003-01"/>
    <x v="61"/>
    <m/>
    <n v="16"/>
    <m/>
    <n v="16"/>
    <m/>
    <m/>
  </r>
  <r>
    <s v="EXTRA LAVORI"/>
    <s v="EPC-IPU-F201-01"/>
    <x v="62"/>
    <m/>
    <n v="811.64"/>
    <m/>
    <m/>
    <n v="463.15"/>
    <n v="348.49"/>
  </r>
  <r>
    <s v="Operation &amp; Maintenance"/>
    <s v="EPC-IPU-F229-01"/>
    <x v="63"/>
    <m/>
    <n v="887.52"/>
    <m/>
    <n v="887.52"/>
    <m/>
    <m/>
  </r>
  <r>
    <s v="Spot"/>
    <s v="EPC-IPU-F229-01"/>
    <x v="63"/>
    <m/>
    <n v="696.01"/>
    <m/>
    <n v="696.01"/>
    <m/>
    <m/>
  </r>
  <r>
    <s v="Executive Project"/>
    <s v="EPC-IPU-F229-01"/>
    <x v="63"/>
    <m/>
    <n v="54.3"/>
    <m/>
    <n v="54.3"/>
    <m/>
    <m/>
  </r>
  <r>
    <s v="EXTRA LAVORI"/>
    <s v="EPC-IPU-F348-01"/>
    <x v="64"/>
    <m/>
    <n v="41.3"/>
    <m/>
    <m/>
    <n v="41.3"/>
    <m/>
  </r>
  <r>
    <s v="EXTRA LAVORI"/>
    <s v="EPC-IPU-F348-04"/>
    <x v="65"/>
    <m/>
    <n v="72.275000000000006"/>
    <m/>
    <m/>
    <n v="72.275000000000006"/>
    <m/>
  </r>
  <r>
    <s v="EXTRA LAVORI"/>
    <s v="EPC-IPU-F348-07"/>
    <x v="66"/>
    <n v="12295.08"/>
    <n v="6540"/>
    <n v="6540"/>
    <m/>
    <m/>
    <m/>
  </r>
  <r>
    <s v="EXTRA LAVORI"/>
    <s v="EPC-IPU-F348-06"/>
    <x v="67"/>
    <m/>
    <n v="530"/>
    <n v="530"/>
    <m/>
    <m/>
    <m/>
  </r>
  <r>
    <s v="EXTRA LAVORI"/>
    <s v="EPC-IPU-F348-06"/>
    <x v="67"/>
    <n v="2410.96"/>
    <n v="0"/>
    <m/>
    <m/>
    <m/>
    <m/>
  </r>
  <r>
    <s v="EXTRA LAVORI"/>
    <s v="EPC-IPU-F348-05"/>
    <x v="68"/>
    <m/>
    <n v="2824.4700000000003"/>
    <n v="0"/>
    <n v="1843"/>
    <n v="981.47"/>
    <m/>
  </r>
  <r>
    <s v="Operation &amp; Maintenance"/>
    <s v="EPC-IPU-F348-05"/>
    <x v="68"/>
    <m/>
    <n v="58.95"/>
    <m/>
    <m/>
    <n v="58.95"/>
    <m/>
  </r>
  <r>
    <s v="OPERATIONAL"/>
    <s v="EPC-IPU-F522-01"/>
    <x v="69"/>
    <m/>
    <n v="3225.72"/>
    <m/>
    <n v="3225.72"/>
    <m/>
    <m/>
  </r>
  <r>
    <s v="EXTRA LAVORI"/>
    <s v="EPC-IPU-F522-01"/>
    <x v="69"/>
    <m/>
    <n v="10815.1"/>
    <n v="10724"/>
    <m/>
    <n v="91.1"/>
    <m/>
  </r>
  <r>
    <s v="Spot"/>
    <s v="EPC-IPU-F573-07"/>
    <x v="70"/>
    <m/>
    <n v="464.03"/>
    <m/>
    <n v="464.03"/>
    <m/>
    <m/>
  </r>
  <r>
    <s v="Operation &amp; Maintenance"/>
    <s v="EPC-IPU-F573-08"/>
    <x v="71"/>
    <n v="1457.07"/>
    <n v="313.44"/>
    <m/>
    <n v="313.44"/>
    <m/>
    <m/>
  </r>
  <r>
    <s v="EXTRA LAVORI"/>
    <s v="EPC-IPU-F874-01"/>
    <x v="72"/>
    <m/>
    <n v="300"/>
    <n v="300"/>
    <m/>
    <m/>
    <m/>
  </r>
  <r>
    <s v="Operation &amp; Maintenance"/>
    <s v="EPC-IPU-F874-01"/>
    <x v="72"/>
    <m/>
    <n v="4799.99"/>
    <m/>
    <m/>
    <n v="4799.99"/>
    <m/>
  </r>
  <r>
    <s v="Spot"/>
    <s v="EPC-IPU-F874-01"/>
    <x v="72"/>
    <m/>
    <n v="14559.01"/>
    <m/>
    <m/>
    <n v="14559.01"/>
    <m/>
  </r>
  <r>
    <s v="EXTRA LAVORI"/>
    <s v="EPC-IPU-A942-03"/>
    <x v="73"/>
    <n v="7529.99"/>
    <n v="2693.5550000000003"/>
    <m/>
    <n v="330.62"/>
    <n v="1182.5350000000001"/>
    <n v="1180.4000000000001"/>
  </r>
  <r>
    <s v="Operation &amp; Maintenance"/>
    <s v="EPC-IPU-A942-03"/>
    <x v="73"/>
    <m/>
    <n v="1523.4650000000001"/>
    <m/>
    <m/>
    <n v="894.32500000000005"/>
    <n v="629.14"/>
  </r>
  <r>
    <s v="EXTRA LAVORI"/>
    <s v="EPC-IPU-F952-01"/>
    <x v="74"/>
    <m/>
    <n v="73.92"/>
    <m/>
    <m/>
    <n v="73.92"/>
    <m/>
  </r>
  <r>
    <s v="EXTRA LAVORI"/>
    <s v="EPC-IPU-F952-04"/>
    <x v="75"/>
    <n v="2796.51"/>
    <n v="0"/>
    <m/>
    <m/>
    <m/>
    <m/>
  </r>
  <r>
    <s v="Operation &amp; Maintenance"/>
    <s v="EPC-IPU-F952-05"/>
    <x v="76"/>
    <n v="32670"/>
    <n v="0"/>
    <m/>
    <m/>
    <m/>
    <m/>
  </r>
  <r>
    <s v="EXTRA LAVORI"/>
    <s v="EPC-IPU-F952-03"/>
    <x v="77"/>
    <m/>
    <n v="40"/>
    <n v="40"/>
    <m/>
    <m/>
    <m/>
  </r>
  <r>
    <s v="EXTRA LAVORI"/>
    <s v="EPC-IPU-F952-02"/>
    <x v="78"/>
    <n v="16679.53"/>
    <n v="73292.490000000005"/>
    <n v="390"/>
    <n v="72902.490000000005"/>
    <m/>
    <m/>
  </r>
  <r>
    <s v="EXTRA LAVORI"/>
    <s v="EPC-IPU-G103-02"/>
    <x v="79"/>
    <n v="14314.23"/>
    <n v="3926.5"/>
    <m/>
    <n v="3926.5"/>
    <m/>
    <m/>
  </r>
  <r>
    <s v="EXTRA LAVORI"/>
    <s v="EPC-IPU-G136-01"/>
    <x v="80"/>
    <m/>
    <n v="0"/>
    <n v="0"/>
    <m/>
    <m/>
    <m/>
  </r>
  <r>
    <s v="EXTRA LAVORI"/>
    <s v="EPC-IPU-G283-01"/>
    <x v="81"/>
    <n v="4988.45"/>
    <n v="0"/>
    <m/>
    <m/>
    <m/>
    <m/>
  </r>
  <r>
    <s v="Spot"/>
    <s v="EPC-IPU-G283-01"/>
    <x v="81"/>
    <n v="1325.79"/>
    <n v="0"/>
    <m/>
    <m/>
    <m/>
    <m/>
  </r>
  <r>
    <s v="Operation &amp; Maintenance"/>
    <s v="EPC-IPU-M269-04"/>
    <x v="82"/>
    <m/>
    <n v="3512.2849999999999"/>
    <m/>
    <n v="2058.1"/>
    <n v="1287.6849999999999"/>
    <n v="166.5"/>
  </r>
  <r>
    <s v="Spot"/>
    <s v="EPC-IPU-M269-04"/>
    <x v="82"/>
    <n v="19098.48"/>
    <n v="9560.1299999999992"/>
    <m/>
    <n v="7382.41"/>
    <n v="1882.89"/>
    <n v="294.83"/>
  </r>
  <r>
    <s v="EXTRA LAVORI"/>
    <s v="EPC-IPU-G426-02"/>
    <x v="83"/>
    <m/>
    <n v="774.11"/>
    <n v="0"/>
    <n v="352.37"/>
    <n v="285.91000000000003"/>
    <n v="135.83000000000001"/>
  </r>
  <r>
    <s v="EXTRA LAVORI"/>
    <s v="EPC-IPU-G514-01"/>
    <x v="84"/>
    <m/>
    <n v="3317"/>
    <n v="1005"/>
    <n v="1820"/>
    <n v="492"/>
    <m/>
  </r>
  <r>
    <s v="EXTRA LAVORI"/>
    <s v="EPC-IPU-G560-03"/>
    <x v="85"/>
    <m/>
    <n v="2010"/>
    <n v="2010"/>
    <m/>
    <m/>
    <m/>
  </r>
  <r>
    <s v="EXTRA LAVORI"/>
    <s v="EPC-IPU-G616-01"/>
    <x v="86"/>
    <n v="951.89"/>
    <n v="293.755"/>
    <m/>
    <m/>
    <n v="248.42500000000001"/>
    <n v="45.33"/>
  </r>
  <r>
    <s v="Operation &amp; Maintenance"/>
    <s v="EPC-IPU-G712-01"/>
    <x v="87"/>
    <m/>
    <n v="832.72499999999991"/>
    <m/>
    <n v="649.59"/>
    <n v="91.064999999999998"/>
    <n v="92.07"/>
  </r>
  <r>
    <s v="Spot"/>
    <s v="EPC-IPU-G712-01"/>
    <x v="87"/>
    <m/>
    <n v="7825.89"/>
    <n v="2145.36"/>
    <n v="1487.84"/>
    <n v="3095.81"/>
    <n v="1096.8800000000001"/>
  </r>
  <r>
    <s v="EXTRA LAVORI"/>
    <s v="EPC-IPU-G762-01"/>
    <x v="88"/>
    <n v="1055.3800000000001"/>
    <n v="0"/>
    <m/>
    <m/>
    <m/>
    <m/>
  </r>
  <r>
    <s v="Spot"/>
    <s v="EPC-IPU-G762-01"/>
    <x v="88"/>
    <n v="3933.13"/>
    <n v="0"/>
    <m/>
    <m/>
    <m/>
    <m/>
  </r>
  <r>
    <s v="EXTRA LAVORI"/>
    <s v="EPC-IPU-G910-01"/>
    <x v="89"/>
    <m/>
    <n v="3635.63"/>
    <m/>
    <n v="3635.63"/>
    <m/>
    <m/>
  </r>
  <r>
    <s v="Operation &amp; Maintenance"/>
    <s v="EPC-IPU-G910-01"/>
    <x v="89"/>
    <n v="680"/>
    <n v="0"/>
    <m/>
    <m/>
    <m/>
    <m/>
  </r>
  <r>
    <s v="EXTRA LAVORI"/>
    <s v="EPC-IPU-F632-02"/>
    <x v="90"/>
    <m/>
    <n v="540.55000000000007"/>
    <n v="191.08"/>
    <m/>
    <n v="349.47"/>
    <m/>
  </r>
  <r>
    <s v="OPERATIONAL"/>
    <s v="EPC-IPU-F632-06"/>
    <x v="91"/>
    <n v="6190"/>
    <n v="0"/>
    <m/>
    <m/>
    <m/>
    <m/>
  </r>
  <r>
    <s v="EXTRA LAVORI"/>
    <s v="EPC-IPU-F632-03"/>
    <x v="92"/>
    <n v="1053.57"/>
    <n v="4346.2700000000004"/>
    <n v="4346.2700000000004"/>
    <m/>
    <m/>
    <m/>
  </r>
  <r>
    <s v="OPERATIONAL"/>
    <s v="EPC-IPU-F632-04"/>
    <x v="93"/>
    <n v="2667.5"/>
    <n v="0"/>
    <m/>
    <m/>
    <m/>
    <m/>
  </r>
  <r>
    <s v="EXTRA LAVORI"/>
    <s v="EPC-IPU-F632-04"/>
    <x v="93"/>
    <m/>
    <n v="5704.62"/>
    <n v="5704.62"/>
    <m/>
    <m/>
    <m/>
  </r>
  <r>
    <s v="EXTRA LAVORI"/>
    <s v="EPC-IPU-F632-05"/>
    <x v="94"/>
    <m/>
    <n v="8900"/>
    <n v="8900"/>
    <m/>
    <m/>
    <m/>
  </r>
  <r>
    <s v="EXTRA LAVORI"/>
    <s v="EPC-IPU-F632-01"/>
    <x v="95"/>
    <n v="8196.7099999999991"/>
    <n v="72.275000000000006"/>
    <m/>
    <m/>
    <n v="72.275000000000006"/>
    <m/>
  </r>
  <r>
    <s v="Operation &amp; Maintenance"/>
    <s v="EPC-IPU-M428-01"/>
    <x v="96"/>
    <m/>
    <n v="847.68"/>
    <m/>
    <m/>
    <n v="847.68"/>
    <m/>
  </r>
  <r>
    <s v="PREPARATION"/>
    <s v="EPC-IPU-M428-01"/>
    <x v="96"/>
    <m/>
    <n v="350.74"/>
    <m/>
    <m/>
    <n v="350.74"/>
    <m/>
  </r>
  <r>
    <s v="Spot"/>
    <s v="EPC-IPU-M428-01"/>
    <x v="96"/>
    <m/>
    <n v="37926.81"/>
    <m/>
    <m/>
    <n v="37220.129999999997"/>
    <n v="706.68"/>
  </r>
  <r>
    <s v="EXTRA LAVORI"/>
    <s v="EPC-IPU-H090-02"/>
    <x v="97"/>
    <n v="5713.14"/>
    <n v="0"/>
    <m/>
    <m/>
    <m/>
    <m/>
  </r>
  <r>
    <s v="OPERATIONAL"/>
    <s v="EPC-IPU-H090-01"/>
    <x v="98"/>
    <m/>
    <n v="2642.72"/>
    <m/>
    <m/>
    <n v="2642.72"/>
    <m/>
  </r>
  <r>
    <s v="Operation &amp; Maintenance"/>
    <s v="EPC-IPU-H090-01"/>
    <x v="98"/>
    <m/>
    <n v="211.92"/>
    <m/>
    <m/>
    <n v="211.92"/>
    <m/>
  </r>
  <r>
    <s v="Construction"/>
    <s v="EPC-IPU-H090-01"/>
    <x v="98"/>
    <m/>
    <n v="511.28"/>
    <m/>
    <m/>
    <n v="511.28"/>
    <m/>
  </r>
  <r>
    <s v="Spot"/>
    <s v="EPC-IPU-H090-01"/>
    <x v="98"/>
    <m/>
    <n v="880.4"/>
    <m/>
    <m/>
    <n v="880.4"/>
    <m/>
  </r>
  <r>
    <s v="OPERATIONAL"/>
    <s v="EPC-IPU-H240-01"/>
    <x v="99"/>
    <m/>
    <n v="19334.03"/>
    <m/>
    <n v="19334.03"/>
    <m/>
    <m/>
  </r>
  <r>
    <s v="Operation &amp; Maintenance"/>
    <s v="EPC-IPU-H307-01"/>
    <x v="100"/>
    <m/>
    <n v="3435.8149999999996"/>
    <m/>
    <m/>
    <n v="2748.5549999999998"/>
    <n v="687.26"/>
  </r>
  <r>
    <s v="EXTRA LAVORI"/>
    <s v="EPC-IPU-H930-03"/>
    <x v="101"/>
    <n v="16038.98"/>
    <n v="8788"/>
    <n v="6300"/>
    <n v="2488"/>
    <m/>
    <m/>
  </r>
  <r>
    <s v="EXTRA LAVORI"/>
    <s v="EPC-IPU-H930-02"/>
    <x v="102"/>
    <n v="31855.919999999998"/>
    <n v="3360"/>
    <m/>
    <n v="3360"/>
    <m/>
    <m/>
  </r>
  <r>
    <s v="Operation &amp; Maintenance"/>
    <s v="EPC-IPU-H930-02"/>
    <x v="102"/>
    <n v="-561.41999999999996"/>
    <n v="0"/>
    <m/>
    <m/>
    <m/>
    <m/>
  </r>
  <r>
    <s v="EXTRA LAVORI"/>
    <s v="EPC-IPU-H990-01"/>
    <x v="103"/>
    <m/>
    <n v="2642.49"/>
    <m/>
    <n v="2554.4499999999998"/>
    <n v="88.04"/>
    <m/>
  </r>
  <r>
    <s v="EXTRA LAVORI"/>
    <s v="EPC-IPU-I019-02"/>
    <x v="104"/>
    <n v="7332.06"/>
    <n v="0"/>
    <m/>
    <m/>
    <m/>
    <m/>
  </r>
  <r>
    <s v="EXTRA LAVORI"/>
    <s v="EPC-IPU-C717-04"/>
    <x v="105"/>
    <n v="2530.3200000000002"/>
    <n v="0"/>
    <m/>
    <m/>
    <m/>
    <m/>
  </r>
  <r>
    <s v="EXTRA LAVORI"/>
    <s v="EPC-IPU-C717-02"/>
    <x v="106"/>
    <n v="20240.71"/>
    <n v="0"/>
    <m/>
    <m/>
    <m/>
    <m/>
  </r>
  <r>
    <s v="Operation &amp; Maintenance"/>
    <s v="EPC-IPU-I305-05"/>
    <x v="107"/>
    <n v="4230.96"/>
    <n v="0"/>
    <m/>
    <m/>
    <m/>
    <m/>
  </r>
  <r>
    <s v="EXTRA LAVORI"/>
    <s v="EPC-IPU-I305-03"/>
    <x v="108"/>
    <m/>
    <n v="5333.67"/>
    <m/>
    <n v="5333.67"/>
    <m/>
    <m/>
  </r>
  <r>
    <s v="Operation &amp; Maintenance"/>
    <s v="EPC-IPU-I305-03"/>
    <x v="108"/>
    <n v="29807.95"/>
    <n v="381.79"/>
    <m/>
    <n v="381.79"/>
    <m/>
    <m/>
  </r>
  <r>
    <s v="Operation &amp; Maintenance"/>
    <s v="EPC-IPU-I305-04"/>
    <x v="109"/>
    <n v="1269.03"/>
    <n v="0"/>
    <m/>
    <m/>
    <m/>
    <m/>
  </r>
  <r>
    <s v="Operation &amp; Maintenance"/>
    <s v="EPC-IPU-I307-02"/>
    <x v="110"/>
    <m/>
    <n v="429.87"/>
    <m/>
    <n v="429.87"/>
    <m/>
    <m/>
  </r>
  <r>
    <s v="Operation &amp; Maintenance"/>
    <s v="EPC-IPU-I307-04"/>
    <x v="111"/>
    <n v="1142.05"/>
    <n v="0"/>
    <m/>
    <m/>
    <m/>
    <m/>
  </r>
  <r>
    <s v="Operation &amp; Maintenance"/>
    <s v="EPC-IPU-I307-05"/>
    <x v="112"/>
    <n v="297.44"/>
    <n v="0"/>
    <m/>
    <m/>
    <m/>
    <m/>
  </r>
  <r>
    <s v="Spot"/>
    <s v="EPC-IPU-I317-02"/>
    <x v="113"/>
    <n v="2689.08"/>
    <n v="0"/>
    <m/>
    <m/>
    <m/>
    <m/>
  </r>
  <r>
    <s v="EXTRA LAVORI"/>
    <s v="EPC-IPU-I441-04"/>
    <x v="114"/>
    <n v="414231.28"/>
    <n v="68879.05"/>
    <n v="2340"/>
    <n v="60035.9"/>
    <n v="6503.15"/>
    <m/>
  </r>
  <r>
    <s v="Operation &amp; Maintenance"/>
    <s v="EPC-IPU-I441-04"/>
    <x v="114"/>
    <n v="611.4"/>
    <n v="0"/>
    <m/>
    <m/>
    <m/>
    <m/>
  </r>
  <r>
    <s v="EXTRA LAVORI : Spot"/>
    <s v="EPC-IPU-I457-02"/>
    <x v="115"/>
    <m/>
    <n v="70.89"/>
    <m/>
    <m/>
    <n v="31.56"/>
    <n v="39.33"/>
  </r>
  <r>
    <s v="EXTRA LAVORI"/>
    <s v="EPC-IPU-I457-05"/>
    <x v="116"/>
    <n v="19621.060000000001"/>
    <n v="3691.6"/>
    <m/>
    <n v="3691.6"/>
    <m/>
    <m/>
  </r>
  <r>
    <s v="EXTRA LAVORI"/>
    <s v="EPC-IPU-I457-06"/>
    <x v="117"/>
    <n v="2415.38"/>
    <n v="0"/>
    <m/>
    <m/>
    <m/>
    <m/>
  </r>
  <r>
    <s v="Operation &amp; Maintenance"/>
    <s v="EPC-IPU-I457-06"/>
    <x v="117"/>
    <m/>
    <n v="903.8"/>
    <m/>
    <m/>
    <n v="697.3"/>
    <n v="206.5"/>
  </r>
  <r>
    <s v="Spot"/>
    <s v="EPC-IPU-I465-01"/>
    <x v="118"/>
    <m/>
    <n v="0"/>
    <n v="0"/>
    <m/>
    <m/>
    <m/>
  </r>
  <r>
    <s v="EXTRA LAVORI"/>
    <s v="EPC-IPU-I608-01"/>
    <x v="119"/>
    <m/>
    <n v="396"/>
    <m/>
    <n v="396"/>
    <m/>
    <m/>
  </r>
  <r>
    <s v="EXTRA LAVORI"/>
    <s v="EPC-IPU-I608-04"/>
    <x v="120"/>
    <m/>
    <n v="154.875"/>
    <m/>
    <m/>
    <n v="154.875"/>
    <m/>
  </r>
  <r>
    <s v="Operation &amp; Maintenance"/>
    <s v="EPC-IPU-I608-06"/>
    <x v="121"/>
    <n v="-1319.51"/>
    <n v="0"/>
    <m/>
    <m/>
    <m/>
    <m/>
  </r>
  <r>
    <s v="EXTRA LAVORI"/>
    <s v="EPC-IPU-I608-05"/>
    <x v="122"/>
    <n v="1644.63"/>
    <n v="0"/>
    <m/>
    <m/>
    <m/>
    <m/>
  </r>
  <r>
    <s v="Operation &amp; Maintenance"/>
    <s v="EPC-IPU-I608-05"/>
    <x v="122"/>
    <m/>
    <n v="919"/>
    <n v="919"/>
    <m/>
    <m/>
    <m/>
  </r>
  <r>
    <s v="Operation &amp; Maintenance"/>
    <s v="EPC-IPU-I608-07"/>
    <x v="123"/>
    <n v="2389.29"/>
    <n v="0"/>
    <m/>
    <m/>
    <m/>
    <m/>
  </r>
  <r>
    <s v="Operation &amp; Maintenance"/>
    <s v="EPC-IPU-I608-08"/>
    <x v="124"/>
    <n v="1050.71"/>
    <n v="0"/>
    <m/>
    <m/>
    <m/>
    <m/>
  </r>
  <r>
    <s v="EXTRA LAVORI"/>
    <s v="EPC-IPU-I696-01"/>
    <x v="125"/>
    <m/>
    <n v="1854.8"/>
    <m/>
    <m/>
    <n v="1854.8"/>
    <m/>
  </r>
  <r>
    <s v="Operation &amp; Maintenance"/>
    <s v="EPC-IPU-I696-01"/>
    <x v="125"/>
    <m/>
    <n v="3023.9"/>
    <n v="2546"/>
    <m/>
    <n v="477.9"/>
    <m/>
  </r>
  <r>
    <s v="EXTRA LAVORI"/>
    <s v="EPC-IPU-I696-02"/>
    <x v="126"/>
    <m/>
    <n v="2178.96"/>
    <m/>
    <n v="1636.52"/>
    <n v="542.44000000000005"/>
    <m/>
  </r>
  <r>
    <s v="Operation &amp; Maintenance"/>
    <s v="EPC-IPU-I820-01"/>
    <x v="127"/>
    <m/>
    <n v="1600"/>
    <n v="1600"/>
    <m/>
    <m/>
    <m/>
  </r>
  <r>
    <s v="Operation &amp; Maintenance"/>
    <s v="EPC-IPU-L074-01"/>
    <x v="128"/>
    <m/>
    <n v="240.96"/>
    <m/>
    <m/>
    <n v="240.96"/>
    <m/>
  </r>
  <r>
    <s v="EXTRA LAVORI"/>
    <s v="EPC-IPU-L191-02"/>
    <x v="129"/>
    <m/>
    <n v="405.43"/>
    <n v="50"/>
    <n v="355.43"/>
    <m/>
    <m/>
  </r>
  <r>
    <s v="OPERATIONAL"/>
    <s v="EPC-IPU-L191-01"/>
    <x v="130"/>
    <m/>
    <n v="1015.2"/>
    <m/>
    <n v="1015.2"/>
    <m/>
    <m/>
  </r>
  <r>
    <s v="EXTRA LAVORI"/>
    <s v="EPC-IPU-L191-01"/>
    <x v="130"/>
    <m/>
    <n v="744.76"/>
    <m/>
    <n v="173.56"/>
    <n v="571.20000000000005"/>
    <m/>
  </r>
  <r>
    <s v="Operation &amp; Maintenance"/>
    <s v="EPC-IPU-L285-02"/>
    <x v="131"/>
    <n v="30000"/>
    <n v="5365.69"/>
    <n v="5365.69"/>
    <m/>
    <m/>
    <m/>
  </r>
  <r>
    <s v="Spot"/>
    <s v="EPC-IPU-L285-02"/>
    <x v="131"/>
    <m/>
    <n v="23263.93"/>
    <n v="23263.93"/>
    <m/>
    <m/>
    <m/>
  </r>
  <r>
    <s v="Operation &amp; Maintenance"/>
    <s v="EPC-IPU-L357-01"/>
    <x v="132"/>
    <m/>
    <n v="460.55"/>
    <m/>
    <m/>
    <n v="397.85"/>
    <n v="62.7"/>
  </r>
  <r>
    <s v="EXTRA LAVORI : Spot"/>
    <s v="EPC-IPU-L357-01"/>
    <x v="132"/>
    <m/>
    <n v="6.85"/>
    <m/>
    <m/>
    <n v="6.85"/>
    <m/>
  </r>
  <r>
    <s v="Spot"/>
    <s v="EPC-IPU-L357-01"/>
    <x v="132"/>
    <n v="7077.9"/>
    <n v="1101.1400000000001"/>
    <m/>
    <n v="145.21"/>
    <n v="854.42"/>
    <n v="101.51"/>
  </r>
  <r>
    <s v="Operation &amp; Maintenance"/>
    <s v="EPC-IPU-L357-02"/>
    <x v="133"/>
    <n v="932.36"/>
    <n v="0"/>
    <m/>
    <m/>
    <m/>
    <m/>
  </r>
  <r>
    <s v="EXTRA LAVORI"/>
    <s v="EPC-IPU-L415-02"/>
    <x v="134"/>
    <n v="19108.61"/>
    <n v="6516"/>
    <n v="5416"/>
    <n v="1100"/>
    <m/>
    <m/>
  </r>
  <r>
    <s v="OPERATIONAL"/>
    <s v="EPC-IPU-L415-05"/>
    <x v="135"/>
    <m/>
    <n v="1262"/>
    <n v="1262"/>
    <m/>
    <m/>
    <m/>
  </r>
  <r>
    <s v="EXTRA LAVORI"/>
    <s v="EPC-IPU-L415-05"/>
    <x v="135"/>
    <n v="1923.41"/>
    <n v="9475.7999999999993"/>
    <n v="9475.7999999999993"/>
    <m/>
    <m/>
    <m/>
  </r>
  <r>
    <s v="OPERATIONAL"/>
    <s v="EPC-IPU-L415-04"/>
    <x v="136"/>
    <m/>
    <n v="2540.5"/>
    <n v="2540.5"/>
    <m/>
    <m/>
    <m/>
  </r>
  <r>
    <s v="EXTRA LAVORI"/>
    <s v="EPC-IPU-L415-04"/>
    <x v="136"/>
    <n v="3661.92"/>
    <n v="0"/>
    <m/>
    <m/>
    <m/>
    <m/>
  </r>
  <r>
    <s v="EXTRA LAVORI"/>
    <s v="EPC-IPU-L415-08"/>
    <x v="137"/>
    <n v="32447.08"/>
    <n v="0"/>
    <m/>
    <m/>
    <m/>
    <m/>
  </r>
  <r>
    <s v="Operation &amp; Maintenance"/>
    <s v="EPC-IPU-L415-08"/>
    <x v="137"/>
    <m/>
    <n v="6200"/>
    <n v="6200"/>
    <m/>
    <m/>
    <m/>
  </r>
  <r>
    <s v="EXTRA LAVORI"/>
    <s v="EPC-IPU-L415-06"/>
    <x v="138"/>
    <n v="2610.7399999999998"/>
    <n v="0"/>
    <m/>
    <m/>
    <m/>
    <m/>
  </r>
  <r>
    <s v="EXTRA LAVORI"/>
    <s v="EPC-IPU-L415-07"/>
    <x v="139"/>
    <n v="8010"/>
    <n v="0"/>
    <m/>
    <m/>
    <m/>
    <m/>
  </r>
  <r>
    <s v="EXTRA LAVORI"/>
    <s v="EPC-IPU-L415-01"/>
    <x v="140"/>
    <n v="-180"/>
    <n v="1477.34"/>
    <m/>
    <m/>
    <n v="1477.34"/>
    <m/>
  </r>
  <r>
    <s v="EXTRA LAVORI"/>
    <s v="EPC-IPU-L415-03"/>
    <x v="141"/>
    <m/>
    <n v="8099"/>
    <m/>
    <n v="8099"/>
    <m/>
    <m/>
  </r>
  <r>
    <s v="EXTRA LAVORI"/>
    <s v="EPC-IPU-L424-01"/>
    <x v="142"/>
    <n v="83333.36"/>
    <n v="0"/>
    <m/>
    <m/>
    <m/>
    <m/>
  </r>
  <r>
    <s v="Operation &amp; Maintenance"/>
    <s v="EPC-IPU-L703-01"/>
    <x v="143"/>
    <m/>
    <n v="15.98"/>
    <m/>
    <m/>
    <n v="15.98"/>
    <m/>
  </r>
  <r>
    <s v="EXTRA LAVORI"/>
    <s v="EPC-VS-L736-01"/>
    <x v="144"/>
    <m/>
    <n v="33"/>
    <n v="33"/>
    <m/>
    <m/>
    <m/>
  </r>
  <r>
    <s v="OPERATIONAL"/>
    <s v="EPC-IPU-L736-01"/>
    <x v="145"/>
    <n v="146000"/>
    <n v="0"/>
    <m/>
    <m/>
    <m/>
    <m/>
  </r>
  <r>
    <s v="EXTRA LAVORI"/>
    <s v="EPC-IPU-L736-01"/>
    <x v="145"/>
    <n v="194595.31"/>
    <n v="8548.39"/>
    <m/>
    <n v="8548.39"/>
    <m/>
    <m/>
  </r>
  <r>
    <s v="Operation &amp; Maintenance"/>
    <s v="EPC-IPU-L736-01"/>
    <x v="145"/>
    <m/>
    <n v="3477.79"/>
    <m/>
    <n v="3477.79"/>
    <m/>
    <m/>
  </r>
  <r>
    <s v="EXTRA LAVORI"/>
    <s v="EPC-IPU-L736-01"/>
    <x v="145"/>
    <m/>
    <n v="14.41"/>
    <m/>
    <n v="14.41"/>
    <m/>
    <m/>
  </r>
  <r>
    <s v="EXTRA LAVORI"/>
    <s v="EPC-IPU-L835-02"/>
    <x v="146"/>
    <n v="1620.48"/>
    <n v="856.43"/>
    <m/>
    <n v="856.43"/>
    <m/>
    <m/>
  </r>
  <r>
    <s v="Operation &amp; Maintenance"/>
    <s v="EPC-IPU-G674-02"/>
    <x v="147"/>
    <n v="5721.76"/>
    <n v="0"/>
    <m/>
    <m/>
    <m/>
    <m/>
  </r>
  <r>
    <s v="Spot"/>
    <s v="EPC-IPU-G023-04"/>
    <x v="148"/>
    <n v="766.4"/>
    <n v="0"/>
    <m/>
    <m/>
    <m/>
    <m/>
  </r>
  <r>
    <s v="Spot"/>
    <s v="EPC-IPU-C058-01"/>
    <x v="149"/>
    <m/>
    <n v="1445.345"/>
    <m/>
    <m/>
    <n v="1155.845"/>
    <n v="289.5"/>
  </r>
  <r>
    <s v="OPERATIONAL"/>
    <s v="EPC-EEE-L736-02"/>
    <x v="150"/>
    <n v="7570.5"/>
    <n v="0"/>
    <m/>
    <m/>
    <m/>
    <m/>
  </r>
  <r>
    <s v="EXTRA LAVORI"/>
    <s v="EPC-EEE-L736-02"/>
    <x v="150"/>
    <n v="9629.8700000000008"/>
    <n v="4957.8"/>
    <m/>
    <n v="4957.8"/>
    <m/>
    <m/>
  </r>
  <r>
    <s v="Operation &amp; Maintenance"/>
    <s v="EPC-EEE-L736-02"/>
    <x v="150"/>
    <m/>
    <n v="184.12"/>
    <m/>
    <n v="184.12"/>
    <m/>
    <m/>
  </r>
  <r>
    <s v="Spot"/>
    <s v="EPC-IPU-L191-07"/>
    <x v="151"/>
    <n v="2785"/>
    <n v="0"/>
    <m/>
    <m/>
    <m/>
    <m/>
  </r>
  <r>
    <s v="Spot"/>
    <s v="EPC-IPU-L191-06"/>
    <x v="152"/>
    <n v="1886.45"/>
    <n v="0"/>
    <m/>
    <m/>
    <m/>
    <m/>
  </r>
  <r>
    <s v="Spot"/>
    <s v="EPC-IPU-E569-04"/>
    <x v="153"/>
    <n v="789.87"/>
    <n v="0"/>
    <m/>
    <m/>
    <m/>
    <m/>
  </r>
  <r>
    <s v="Spot"/>
    <s v="EPC-IPU-B731-02"/>
    <x v="154"/>
    <n v="1197.53"/>
    <n v="0"/>
    <m/>
    <m/>
    <m/>
    <m/>
  </r>
  <r>
    <s v="Spot"/>
    <s v="EPC-IPU-G878-02"/>
    <x v="155"/>
    <n v="1931.63"/>
    <n v="1500"/>
    <n v="1500"/>
    <m/>
    <m/>
    <m/>
  </r>
  <r>
    <s v="Spot"/>
    <s v="EPC-IPU-E906-01"/>
    <x v="156"/>
    <n v="1659.33"/>
    <n v="0"/>
    <m/>
    <m/>
    <m/>
    <m/>
  </r>
  <r>
    <s v="Operation &amp; Maintenance"/>
    <s v="EPC-IPU-L285-01"/>
    <x v="157"/>
    <m/>
    <n v="1990"/>
    <m/>
    <n v="1990"/>
    <m/>
    <m/>
  </r>
  <r>
    <s v="Spot"/>
    <s v="EPC-IPU-L285-01"/>
    <x v="157"/>
    <n v="19209.39"/>
    <n v="10583.6"/>
    <m/>
    <n v="10583.6"/>
    <m/>
    <m/>
  </r>
  <r>
    <s v="EXTRA LAVORI"/>
    <s v="EPC-IPU-H602-02"/>
    <x v="158"/>
    <m/>
    <n v="516"/>
    <m/>
    <n v="516"/>
    <m/>
    <m/>
  </r>
  <r>
    <s v="Operation &amp; Maintenance"/>
    <s v="EPC-IPU-H602-02"/>
    <x v="158"/>
    <m/>
    <n v="1482.12"/>
    <m/>
    <n v="1482.12"/>
    <m/>
    <m/>
  </r>
  <r>
    <s v="Spot"/>
    <s v="EPC-IPU-L124-01"/>
    <x v="159"/>
    <n v="3466.56"/>
    <n v="1282.98"/>
    <m/>
    <n v="1282.98"/>
    <m/>
    <m/>
  </r>
  <r>
    <s v="Spot"/>
    <s v="EPC-IPU-E976-08"/>
    <x v="160"/>
    <n v="464.09"/>
    <n v="0"/>
    <m/>
    <m/>
    <m/>
    <m/>
  </r>
  <r>
    <s v="Spot"/>
    <s v="EPC-IPU-A413-08"/>
    <x v="161"/>
    <n v="12500"/>
    <n v="3127"/>
    <m/>
    <n v="3127"/>
    <m/>
    <m/>
  </r>
  <r>
    <s v="Spot"/>
    <s v="EPC-IPU-L191-05"/>
    <x v="162"/>
    <n v="1612.45"/>
    <n v="0"/>
    <m/>
    <m/>
    <m/>
    <m/>
  </r>
  <r>
    <s v="Spot"/>
    <s v="EPC-IPU-A683-02"/>
    <x v="163"/>
    <n v="578.37"/>
    <n v="0"/>
    <m/>
    <m/>
    <m/>
    <m/>
  </r>
  <r>
    <s v="Spot"/>
    <s v="EPC-IPU-E951-08"/>
    <x v="164"/>
    <n v="626.74"/>
    <n v="0"/>
    <m/>
    <m/>
    <m/>
    <m/>
  </r>
  <r>
    <s v="Operation &amp; Maintenance"/>
    <s v="EPC-IPU-E716-03"/>
    <x v="165"/>
    <m/>
    <n v="36157.339999999997"/>
    <m/>
    <n v="35740.07"/>
    <n v="417.27"/>
    <m/>
  </r>
  <r>
    <s v="Construction"/>
    <s v="EPC-IPU-E716-03"/>
    <x v="165"/>
    <m/>
    <n v="68.989999999999995"/>
    <m/>
    <n v="68.989999999999995"/>
    <m/>
    <m/>
  </r>
  <r>
    <s v="Spot"/>
    <s v="EPC-IPU-E716-03"/>
    <x v="165"/>
    <n v="45600"/>
    <n v="0"/>
    <m/>
    <m/>
    <m/>
    <m/>
  </r>
  <r>
    <s v="Operation &amp; Maintenance"/>
    <s v="EPC-IPU-H601-02"/>
    <x v="166"/>
    <m/>
    <n v="860"/>
    <m/>
    <n v="860"/>
    <m/>
    <m/>
  </r>
  <r>
    <s v="Spot"/>
    <s v="EPC-IPU-A952-01"/>
    <x v="167"/>
    <n v="1806.18"/>
    <n v="1615"/>
    <n v="1615"/>
    <m/>
    <m/>
    <m/>
  </r>
  <r>
    <s v="Spot"/>
    <s v="EPC-IPU-E716-05"/>
    <x v="168"/>
    <n v="13367.17"/>
    <n v="7304.54"/>
    <m/>
    <n v="5908.66"/>
    <n v="1264.1600000000001"/>
    <n v="131.72"/>
  </r>
  <r>
    <s v="Spot"/>
    <s v="EPC-IPU-E951-04"/>
    <x v="169"/>
    <n v="3536.47"/>
    <n v="0"/>
    <m/>
    <m/>
    <m/>
    <m/>
  </r>
  <r>
    <s v="Spot"/>
    <s v="EPC-IPU-B162-02"/>
    <x v="170"/>
    <n v="3290.86"/>
    <n v="0"/>
    <m/>
    <m/>
    <m/>
    <m/>
  </r>
  <r>
    <s v="Spot"/>
    <s v="EPC-IPU-E951-05"/>
    <x v="171"/>
    <n v="1461.38"/>
    <n v="0"/>
    <m/>
    <m/>
    <m/>
    <m/>
  </r>
  <r>
    <s v="Operation &amp; Maintenance"/>
    <s v="EPC-IPU-C767-03"/>
    <x v="172"/>
    <n v="555"/>
    <n v="0"/>
    <m/>
    <m/>
    <m/>
    <m/>
  </r>
  <r>
    <s v="Spot"/>
    <s v="EPC-IPU-L219-01"/>
    <x v="173"/>
    <n v="772.5"/>
    <n v="0"/>
    <m/>
    <m/>
    <m/>
    <m/>
  </r>
  <r>
    <s v="Spot"/>
    <s v="EPC-IPU-A512-01"/>
    <x v="174"/>
    <n v="732"/>
    <n v="0"/>
    <m/>
    <m/>
    <m/>
    <m/>
  </r>
  <r>
    <s v="Spot"/>
    <s v="EPC-IPU-D010-01"/>
    <x v="175"/>
    <n v="362.8"/>
    <n v="0"/>
    <m/>
    <m/>
    <m/>
    <m/>
  </r>
  <r>
    <s v="Spot"/>
    <s v="EPC-IPU-C717-03"/>
    <x v="176"/>
    <n v="830.2"/>
    <n v="0"/>
    <m/>
    <m/>
    <m/>
    <m/>
  </r>
  <r>
    <s v="Spot"/>
    <s v="EPC-IPU-F205-01"/>
    <x v="177"/>
    <m/>
    <n v="690.61"/>
    <m/>
    <n v="410"/>
    <n v="207.76"/>
    <n v="72.849999999999994"/>
  </r>
  <r>
    <s v="Spot"/>
    <s v="EPC-IPU-I457-01"/>
    <x v="178"/>
    <n v="3136.5"/>
    <n v="0"/>
    <m/>
    <m/>
    <m/>
    <m/>
  </r>
  <r>
    <s v="Operation &amp; Maintenance"/>
    <s v="EPC-IPU-A017-02"/>
    <x v="179"/>
    <n v="3488.7"/>
    <n v="0"/>
    <m/>
    <m/>
    <m/>
    <m/>
  </r>
  <r>
    <s v="Spot"/>
    <s v="EPC-IPU-F704-03"/>
    <x v="180"/>
    <m/>
    <n v="320.39999999999998"/>
    <n v="200"/>
    <m/>
    <n v="120.4"/>
    <m/>
  </r>
  <r>
    <s v="EXTRA LAVORI"/>
    <s v="EPC-IPU-F704-04"/>
    <x v="181"/>
    <n v="1484.7"/>
    <n v="0"/>
    <m/>
    <m/>
    <m/>
    <m/>
  </r>
  <r>
    <s v="Operation &amp; Maintenance"/>
    <s v="EPC-IPU-F704-04"/>
    <x v="181"/>
    <m/>
    <n v="722.4"/>
    <m/>
    <m/>
    <n v="722.4"/>
    <m/>
  </r>
  <r>
    <s v="Spot"/>
    <s v="EPC-IPU-F704-04"/>
    <x v="181"/>
    <m/>
    <n v="446.08"/>
    <m/>
    <m/>
    <n v="446.08"/>
    <m/>
  </r>
  <r>
    <s v="EXTRA LAVORI"/>
    <s v="EPC-IPU-F704-01"/>
    <x v="182"/>
    <m/>
    <n v="919"/>
    <n v="919"/>
    <m/>
    <m/>
    <m/>
  </r>
  <r>
    <s v="EXTRA LAVORI"/>
    <s v="EPC-IPU-F704-05"/>
    <x v="183"/>
    <m/>
    <n v="40"/>
    <n v="40"/>
    <m/>
    <m/>
    <m/>
  </r>
  <r>
    <s v="Spot"/>
    <s v="EPC-IPU-A683-02"/>
    <x v="184"/>
    <n v="993.36"/>
    <n v="0"/>
    <m/>
    <m/>
    <m/>
    <m/>
  </r>
  <r>
    <s v="EXTRA LAVORI"/>
    <s v="EPC-IPU-A271-01"/>
    <x v="185"/>
    <n v="13670.49"/>
    <n v="5910"/>
    <n v="5910"/>
    <m/>
    <m/>
    <m/>
  </r>
  <r>
    <s v="Spot"/>
    <s v="EPC-IPU-A488-03"/>
    <x v="186"/>
    <n v="250"/>
    <n v="0"/>
    <m/>
    <m/>
    <m/>
    <m/>
  </r>
  <r>
    <s v="Operation &amp; Maintenance"/>
    <s v="EPC-IPU-G942-02"/>
    <x v="187"/>
    <m/>
    <n v="400"/>
    <n v="400"/>
    <m/>
    <m/>
    <m/>
  </r>
  <r>
    <s v="Spot"/>
    <s v="EPC-IPU-G942-02"/>
    <x v="187"/>
    <n v="2447"/>
    <n v="7988.2"/>
    <n v="7988.2"/>
    <m/>
    <m/>
    <m/>
  </r>
  <r>
    <s v="Spot"/>
    <s v="EPC-IPU-I089-01"/>
    <x v="188"/>
    <n v="550"/>
    <n v="0"/>
    <m/>
    <m/>
    <m/>
    <m/>
  </r>
  <r>
    <s v="EXTRA LAVORI : Spot"/>
    <s v="EPC-IPU-A413-07"/>
    <x v="189"/>
    <n v="499.86"/>
    <n v="0"/>
    <m/>
    <m/>
    <m/>
    <m/>
  </r>
  <r>
    <s v="Spot"/>
    <s v="EPC-IPU-A413-09"/>
    <x v="190"/>
    <n v="5874.87"/>
    <n v="0"/>
    <m/>
    <m/>
    <m/>
    <m/>
  </r>
  <r>
    <s v="Spot"/>
    <s v="EPC-IPU-H641-02"/>
    <x v="191"/>
    <n v="1000"/>
    <n v="0"/>
    <m/>
    <m/>
    <m/>
    <m/>
  </r>
  <r>
    <s v="Spot"/>
    <s v="EPC-IPU-M367-02"/>
    <x v="192"/>
    <n v="1500"/>
    <n v="0"/>
    <m/>
    <m/>
    <m/>
    <m/>
  </r>
  <r>
    <s v="EXTRA LAVORI"/>
    <s v="EPC-IPU-L736-02"/>
    <x v="193"/>
    <n v="6571.58"/>
    <n v="0"/>
    <m/>
    <m/>
    <m/>
    <m/>
  </r>
  <r>
    <s v="EXTRA LAVORI"/>
    <s v="EPC-EEE-L736-01"/>
    <x v="194"/>
    <m/>
    <n v="48468.85"/>
    <m/>
    <n v="48468.85"/>
    <m/>
    <m/>
  </r>
  <r>
    <s v="Operation &amp; Maintenance"/>
    <s v="EPC-EEE-L736-01"/>
    <x v="194"/>
    <m/>
    <n v="174644.72"/>
    <n v="90297.35"/>
    <n v="84347.37"/>
    <m/>
    <m/>
  </r>
  <r>
    <s v="Spot"/>
    <s v="EPC-EEE-L736-01"/>
    <x v="194"/>
    <n v="377951.88"/>
    <n v="582125.35"/>
    <n v="183903.97"/>
    <n v="398221.38"/>
    <m/>
    <m/>
  </r>
  <r>
    <s v="Operation &amp; Maintenance"/>
    <s v="EPC-PHV-L736-03"/>
    <x v="195"/>
    <m/>
    <n v="3200"/>
    <n v="3200"/>
    <m/>
    <m/>
    <m/>
  </r>
  <r>
    <s v="Spot"/>
    <s v="EPC-PHV-L736-03"/>
    <x v="195"/>
    <m/>
    <n v="8178.76"/>
    <m/>
    <n v="8178.76"/>
    <m/>
    <m/>
  </r>
  <r>
    <s v="Operation &amp; Maintenance"/>
    <s v="EPC-PHV-L736-02"/>
    <x v="196"/>
    <m/>
    <n v="1070"/>
    <n v="1070"/>
    <m/>
    <m/>
    <m/>
  </r>
  <r>
    <s v="Spot"/>
    <s v="EPC-PHV-L736-02"/>
    <x v="196"/>
    <n v="355849.44"/>
    <n v="208730.66"/>
    <n v="208730.66"/>
    <m/>
    <m/>
    <m/>
  </r>
  <r>
    <s v="Spot"/>
    <s v="EPC-PHV-L736-04"/>
    <x v="197"/>
    <m/>
    <n v="1936.47"/>
    <m/>
    <n v="615.69000000000005"/>
    <n v="1320.7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E2DBD-5971-4ACB-81D8-7079DAFB3467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P5:W27" firstHeaderRow="0" firstDataRow="1" firstDataCol="1"/>
  <pivotFields count="14">
    <pivotField showAll="0"/>
    <pivotField showAll="0"/>
    <pivotField axis="axisRow" showAll="0">
      <items count="22">
        <item x="2"/>
        <item x="8"/>
        <item x="19"/>
        <item x="1"/>
        <item x="3"/>
        <item x="15"/>
        <item x="5"/>
        <item x="7"/>
        <item x="13"/>
        <item x="6"/>
        <item x="0"/>
        <item x="20"/>
        <item x="10"/>
        <item x="4"/>
        <item x="9"/>
        <item x="18"/>
        <item x="17"/>
        <item x="12"/>
        <item x="16"/>
        <item x="11"/>
        <item x="1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numFmtId="164" showAll="0"/>
    <pivotField numFmtId="9" showAll="0"/>
    <pivotField dataField="1" numFmtId="164" showAll="0"/>
    <pivotField dataField="1" numFmtId="164" showAll="0"/>
    <pivotField showAll="0"/>
    <pivotField dataField="1" numFmtId="4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omma di 03 - Manodopera" fld="5" baseField="0" baseItem="0"/>
    <dataField name="Somma di 02 - Servizi" fld="7" baseField="0" baseItem="0"/>
    <dataField name="Somma di 04 - Materiali" fld="6" baseField="0" baseItem="0"/>
    <dataField name="Somma di 01 - Oneri" fld="4" baseField="0" baseItem="0"/>
    <dataField name="Somma di Capitalizzazioni" fld="10" baseField="0" baseItem="0" numFmtId="164"/>
    <dataField name="Somma di Capitalizzazione Costi indiretti" fld="11" baseField="0" baseItem="0" numFmtId="164"/>
    <dataField name="Somma di Delta Indiretti" fld="13" baseField="0" baseItem="0" numFmtId="4"/>
  </dataFields>
  <formats count="1">
    <format dxfId="14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BAA3B-EC20-469B-BE92-78FD633405DD}" name="Tabella pivot2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L5:R204" firstHeaderRow="0" firstDataRow="1" firstDataCol="1"/>
  <pivotFields count="9">
    <pivotField showAll="0"/>
    <pivotField showAll="0"/>
    <pivotField axis="axisRow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dataField="1" showAll="0"/>
    <pivotField dataField="1" numFmtId="164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a di 05 - Ricavi" fld="3" baseField="0" baseItem="0"/>
    <dataField name="Somma di Costi" fld="4" baseField="0" baseItem="0" numFmtId="164"/>
    <dataField name="Somma di 02 - Servizi" fld="5" baseField="0" baseItem="0"/>
    <dataField name="Somma di 04 - Materiali" fld="6" baseField="0" baseItem="0"/>
    <dataField name="Somma di 03 - Manodopera" fld="7" baseField="0" baseItem="0"/>
    <dataField name="Somma di 01 - Oneri" fld="8" baseField="0" baseItem="0"/>
  </dataFields>
  <formats count="5">
    <format dxfId="139">
      <pivotArea collapsedLevelsAreSubtotals="1" fieldPosition="0">
        <references count="1">
          <reference field="2" count="0"/>
        </references>
      </pivotArea>
    </format>
    <format dxfId="138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7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6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35">
      <pivotArea dataOnly="0" labelOnly="1" fieldPosition="0">
        <references count="1">
          <reference field="2" count="48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C7808-E8AE-421C-85D2-5C12FB404DC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215" firstHeaderRow="0" firstDataRow="1" firstDataCol="1"/>
  <pivotFields count="15">
    <pivotField axis="axisRow" showAll="0">
      <items count="11">
        <item x="3"/>
        <item x="8"/>
        <item x="4"/>
        <item x="5"/>
        <item x="7"/>
        <item x="9"/>
        <item x="1"/>
        <item x="0"/>
        <item x="6"/>
        <item x="2"/>
        <item t="default"/>
      </items>
    </pivotField>
    <pivotField showAll="0"/>
    <pivotField showAll="0"/>
    <pivotField showAll="0"/>
    <pivotField axis="axisRow" showAll="0">
      <items count="218">
        <item sd="0" x="2"/>
        <item sd="0" x="3"/>
        <item sd="0" x="5"/>
        <item sd="0" x="6"/>
        <item sd="0" x="7"/>
        <item sd="0" x="207"/>
        <item sd="0" x="8"/>
        <item sd="0" x="9"/>
        <item sd="0" x="10"/>
        <item sd="0" x="11"/>
        <item sd="0" x="12"/>
        <item sd="0" x="14"/>
        <item sd="0" x="15"/>
        <item sd="0" x="16"/>
        <item sd="0" x="17"/>
        <item sd="0" x="18"/>
        <item sd="0" x="19"/>
        <item sd="0" x="0"/>
        <item sd="0" x="20"/>
        <item sd="0" x="21"/>
        <item sd="0" x="22"/>
        <item sd="0" x="1"/>
        <item sd="0" x="23"/>
        <item sd="0" x="24"/>
        <item sd="0" x="25"/>
        <item sd="0" x="26"/>
        <item sd="0" x="27"/>
        <item sd="0" x="32"/>
        <item sd="0" x="33"/>
        <item sd="0" x="34"/>
        <item sd="0" x="35"/>
        <item m="1" x="216"/>
        <item sd="0" x="37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13"/>
        <item sd="0" x="141"/>
        <item m="1" x="215"/>
        <item sd="0" x="51"/>
        <item sd="0" x="52"/>
        <item sd="0" x="53"/>
        <item sd="0" x="54"/>
        <item sd="0" x="55"/>
        <item sd="0" x="56"/>
        <item sd="0" x="57"/>
        <item sd="0" x="4"/>
        <item sd="0" x="31"/>
        <item sd="0" x="29"/>
        <item sd="0" x="30"/>
        <item sd="0" x="28"/>
        <item sd="0" x="118"/>
        <item sd="0" x="152"/>
        <item sd="0" x="58"/>
        <item sd="0" x="59"/>
        <item sd="0" x="60"/>
        <item sd="0" x="61"/>
        <item sd="0" x="62"/>
        <item sd="0" x="63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209"/>
        <item sd="0" x="78"/>
        <item m="1" x="212"/>
        <item sd="0" x="38"/>
        <item sd="0" x="126"/>
        <item sd="0" x="176"/>
        <item sd="0" x="210"/>
        <item sd="0" x="36"/>
        <item sd="0" x="64"/>
        <item sd="0" x="101"/>
        <item sd="0" x="115"/>
        <item sd="0" x="132"/>
        <item sd="0" x="148"/>
        <item sd="0" x="163"/>
        <item sd="0" x="172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m="1" x="213"/>
        <item sd="0" x="98"/>
        <item sd="0" x="99"/>
        <item sd="0" x="100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6"/>
        <item sd="0" x="117"/>
        <item sd="0" x="119"/>
        <item sd="0" x="120"/>
        <item sd="0" x="121"/>
        <item sd="0" x="122"/>
        <item sd="0" x="123"/>
        <item sd="0" x="124"/>
        <item sd="0" x="125"/>
        <item sd="0" x="208"/>
        <item sd="0" x="127"/>
        <item sd="0" x="128"/>
        <item sd="0" x="129"/>
        <item sd="0" x="130"/>
        <item sd="0" x="131"/>
        <item sd="0" x="133"/>
        <item sd="0" x="134"/>
        <item sd="0" x="135"/>
        <item sd="0" x="136"/>
        <item sd="0" x="137"/>
        <item sd="0" x="138"/>
        <item sd="0" x="139"/>
        <item sd="0" x="140"/>
        <item sd="0" x="142"/>
        <item sd="0" x="143"/>
        <item sd="0" x="144"/>
        <item sd="0" x="145"/>
        <item sd="0" x="146"/>
        <item sd="0" x="147"/>
        <item sd="0" x="149"/>
        <item sd="0" x="150"/>
        <item sd="0" x="151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4"/>
        <item sd="0" x="165"/>
        <item sd="0" x="166"/>
        <item sd="0" x="168"/>
        <item sd="0" x="169"/>
        <item sd="0" x="170"/>
        <item sd="0" x="167"/>
        <item sd="0" x="171"/>
        <item sd="0" x="173"/>
        <item sd="0" x="174"/>
        <item sd="0" x="175"/>
        <item sd="0" x="177"/>
        <item sd="0" x="178"/>
        <item sd="0" x="179"/>
        <item sd="0" x="180"/>
        <item sd="0" x="181"/>
        <item m="1" x="21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m="1" x="214"/>
        <item sd="0" x="198"/>
        <item sd="0" x="199"/>
        <item sd="0" x="200"/>
        <item sd="0" x="201"/>
        <item sd="0" x="202"/>
        <item sd="0" x="203"/>
        <item sd="0" x="206"/>
        <item sd="0" x="204"/>
        <item sd="0" x="205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43" showAll="0"/>
    <pivotField dataField="1" numFmtId="43" showAll="0"/>
    <pivotField showAll="0"/>
  </pivotFields>
  <rowFields count="2">
    <field x="4"/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Capitalizzazioni" fld="12" baseField="0" baseItem="0" numFmtId="43"/>
    <dataField name="Somma di Capitalizzazione Costi indiretti" fld="13" baseField="0" baseItem="0" numFmtId="43"/>
  </dataFields>
  <formats count="135"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dataOnly="0" labelOnly="1" fieldPosition="0">
        <references count="1">
          <reference field="4" count="1">
            <x v="0"/>
          </reference>
        </references>
      </pivotArea>
    </format>
    <format dxfId="132">
      <pivotArea dataOnly="0" labelOnly="1" fieldPosition="0">
        <references count="1">
          <reference field="4" count="1">
            <x v="1"/>
          </reference>
        </references>
      </pivotArea>
    </format>
    <format dxfId="131">
      <pivotArea dataOnly="0" labelOnly="1" fieldPosition="0">
        <references count="1">
          <reference field="4" count="1">
            <x v="4"/>
          </reference>
        </references>
      </pivotArea>
    </format>
    <format dxfId="130">
      <pivotArea dataOnly="0" labelOnly="1" fieldPosition="0">
        <references count="1">
          <reference field="4" count="1">
            <x v="6"/>
          </reference>
        </references>
      </pivotArea>
    </format>
    <format dxfId="129">
      <pivotArea dataOnly="0" labelOnly="1" fieldPosition="0">
        <references count="1">
          <reference field="4" count="1">
            <x v="7"/>
          </reference>
        </references>
      </pivotArea>
    </format>
    <format dxfId="128">
      <pivotArea dataOnly="0" labelOnly="1" fieldPosition="0">
        <references count="1">
          <reference field="4" count="1">
            <x v="14"/>
          </reference>
        </references>
      </pivotArea>
    </format>
    <format dxfId="127">
      <pivotArea dataOnly="0" labelOnly="1" fieldPosition="0">
        <references count="1">
          <reference field="4" count="1">
            <x v="15"/>
          </reference>
        </references>
      </pivotArea>
    </format>
    <format dxfId="126">
      <pivotArea dataOnly="0" labelOnly="1" fieldPosition="0">
        <references count="1">
          <reference field="4" count="1">
            <x v="16"/>
          </reference>
        </references>
      </pivotArea>
    </format>
    <format dxfId="125">
      <pivotArea dataOnly="0" labelOnly="1" fieldPosition="0">
        <references count="1">
          <reference field="4" count="1">
            <x v="17"/>
          </reference>
        </references>
      </pivotArea>
    </format>
    <format dxfId="124">
      <pivotArea dataOnly="0" labelOnly="1" fieldPosition="0">
        <references count="1">
          <reference field="4" count="1">
            <x v="18"/>
          </reference>
        </references>
      </pivotArea>
    </format>
    <format dxfId="123">
      <pivotArea dataOnly="0" labelOnly="1" fieldPosition="0">
        <references count="1">
          <reference field="4" count="1">
            <x v="19"/>
          </reference>
        </references>
      </pivotArea>
    </format>
    <format dxfId="122">
      <pivotArea dataOnly="0" labelOnly="1" fieldPosition="0">
        <references count="1">
          <reference field="4" count="1">
            <x v="21"/>
          </reference>
        </references>
      </pivotArea>
    </format>
    <format dxfId="121">
      <pivotArea dataOnly="0" labelOnly="1" fieldPosition="0">
        <references count="1">
          <reference field="4" count="1">
            <x v="23"/>
          </reference>
        </references>
      </pivotArea>
    </format>
    <format dxfId="120">
      <pivotArea dataOnly="0" labelOnly="1" fieldPosition="0">
        <references count="1">
          <reference field="4" count="1">
            <x v="24"/>
          </reference>
        </references>
      </pivotArea>
    </format>
    <format dxfId="119">
      <pivotArea dataOnly="0" labelOnly="1" fieldPosition="0">
        <references count="1">
          <reference field="4" count="1">
            <x v="27"/>
          </reference>
        </references>
      </pivotArea>
    </format>
    <format dxfId="118">
      <pivotArea dataOnly="0" labelOnly="1" fieldPosition="0">
        <references count="1">
          <reference field="4" count="1">
            <x v="28"/>
          </reference>
        </references>
      </pivotArea>
    </format>
    <format dxfId="117">
      <pivotArea dataOnly="0" labelOnly="1" fieldPosition="0">
        <references count="1">
          <reference field="4" count="1">
            <x v="29"/>
          </reference>
        </references>
      </pivotArea>
    </format>
    <format dxfId="116">
      <pivotArea dataOnly="0" labelOnly="1" fieldPosition="0">
        <references count="1">
          <reference field="4" count="1">
            <x v="30"/>
          </reference>
        </references>
      </pivotArea>
    </format>
    <format dxfId="115">
      <pivotArea dataOnly="0" labelOnly="1" fieldPosition="0">
        <references count="1">
          <reference field="4" count="1">
            <x v="32"/>
          </reference>
        </references>
      </pivotArea>
    </format>
    <format dxfId="114">
      <pivotArea dataOnly="0" labelOnly="1" fieldPosition="0">
        <references count="1">
          <reference field="4" count="1">
            <x v="34"/>
          </reference>
        </references>
      </pivotArea>
    </format>
    <format dxfId="113">
      <pivotArea dataOnly="0" labelOnly="1" fieldPosition="0">
        <references count="1">
          <reference field="4" count="1">
            <x v="37"/>
          </reference>
        </references>
      </pivotArea>
    </format>
    <format dxfId="112">
      <pivotArea dataOnly="0" labelOnly="1" fieldPosition="0">
        <references count="1">
          <reference field="4" count="1">
            <x v="36"/>
          </reference>
        </references>
      </pivotArea>
    </format>
    <format dxfId="111">
      <pivotArea dataOnly="0" labelOnly="1" fieldPosition="0">
        <references count="1">
          <reference field="4" count="1">
            <x v="39"/>
          </reference>
        </references>
      </pivotArea>
    </format>
    <format dxfId="110">
      <pivotArea dataOnly="0" labelOnly="1" fieldPosition="0">
        <references count="1">
          <reference field="4" count="1">
            <x v="40"/>
          </reference>
        </references>
      </pivotArea>
    </format>
    <format dxfId="109">
      <pivotArea dataOnly="0" labelOnly="1" fieldPosition="0">
        <references count="1">
          <reference field="4" count="1">
            <x v="41"/>
          </reference>
        </references>
      </pivotArea>
    </format>
    <format dxfId="108">
      <pivotArea dataOnly="0" labelOnly="1" fieldPosition="0">
        <references count="1">
          <reference field="4" count="1">
            <x v="45"/>
          </reference>
        </references>
      </pivotArea>
    </format>
    <format dxfId="107">
      <pivotArea dataOnly="0" labelOnly="1" fieldPosition="0">
        <references count="1">
          <reference field="4" count="1">
            <x v="48"/>
          </reference>
        </references>
      </pivotArea>
    </format>
    <format dxfId="106">
      <pivotArea dataOnly="0" labelOnly="1" fieldPosition="0">
        <references count="1">
          <reference field="4" count="1">
            <x v="50"/>
          </reference>
        </references>
      </pivotArea>
    </format>
    <format dxfId="105">
      <pivotArea dataOnly="0" labelOnly="1" fieldPosition="0">
        <references count="1">
          <reference field="4" count="1">
            <x v="53"/>
          </reference>
        </references>
      </pivotArea>
    </format>
    <format dxfId="104">
      <pivotArea dataOnly="0" labelOnly="1" fieldPosition="0">
        <references count="1">
          <reference field="4" count="1">
            <x v="54"/>
          </reference>
        </references>
      </pivotArea>
    </format>
    <format dxfId="103">
      <pivotArea dataOnly="0" labelOnly="1" fieldPosition="0">
        <references count="1">
          <reference field="4" count="1">
            <x v="55"/>
          </reference>
        </references>
      </pivotArea>
    </format>
    <format dxfId="102">
      <pivotArea dataOnly="0" labelOnly="1" fieldPosition="0">
        <references count="1">
          <reference field="4" count="1">
            <x v="56"/>
          </reference>
        </references>
      </pivotArea>
    </format>
    <format dxfId="101">
      <pivotArea dataOnly="0" labelOnly="1" fieldPosition="0">
        <references count="1">
          <reference field="4" count="1">
            <x v="57"/>
          </reference>
        </references>
      </pivotArea>
    </format>
    <format dxfId="100">
      <pivotArea dataOnly="0" labelOnly="1" fieldPosition="0">
        <references count="1">
          <reference field="4" count="1">
            <x v="58"/>
          </reference>
        </references>
      </pivotArea>
    </format>
    <format dxfId="99">
      <pivotArea dataOnly="0" labelOnly="1" fieldPosition="0">
        <references count="1">
          <reference field="4" count="1">
            <x v="59"/>
          </reference>
        </references>
      </pivotArea>
    </format>
    <format dxfId="98">
      <pivotArea dataOnly="0" labelOnly="1" fieldPosition="0">
        <references count="1">
          <reference field="4" count="1">
            <x v="60"/>
          </reference>
        </references>
      </pivotArea>
    </format>
    <format dxfId="97">
      <pivotArea dataOnly="0" labelOnly="1" fieldPosition="0">
        <references count="1">
          <reference field="4" count="1">
            <x v="61"/>
          </reference>
        </references>
      </pivotArea>
    </format>
    <format dxfId="96">
      <pivotArea dataOnly="0" labelOnly="1" fieldPosition="0">
        <references count="1">
          <reference field="4" count="1">
            <x v="62"/>
          </reference>
        </references>
      </pivotArea>
    </format>
    <format dxfId="95">
      <pivotArea dataOnly="0" labelOnly="1" fieldPosition="0">
        <references count="1">
          <reference field="4" count="1">
            <x v="63"/>
          </reference>
        </references>
      </pivotArea>
    </format>
    <format dxfId="94">
      <pivotArea dataOnly="0" labelOnly="1" fieldPosition="0">
        <references count="1">
          <reference field="4" count="1">
            <x v="66"/>
          </reference>
        </references>
      </pivotArea>
    </format>
    <format dxfId="93">
      <pivotArea dataOnly="0" labelOnly="1" fieldPosition="0">
        <references count="1">
          <reference field="4" count="1">
            <x v="67"/>
          </reference>
        </references>
      </pivotArea>
    </format>
    <format dxfId="92">
      <pivotArea dataOnly="0" labelOnly="1" fieldPosition="0">
        <references count="1">
          <reference field="4" count="1">
            <x v="68"/>
          </reference>
        </references>
      </pivotArea>
    </format>
    <format dxfId="91">
      <pivotArea dataOnly="0" labelOnly="1" fieldPosition="0">
        <references count="1">
          <reference field="4" count="1">
            <x v="74"/>
          </reference>
        </references>
      </pivotArea>
    </format>
    <format dxfId="90">
      <pivotArea dataOnly="0" labelOnly="1" fieldPosition="0">
        <references count="1">
          <reference field="4" count="1">
            <x v="75"/>
          </reference>
        </references>
      </pivotArea>
    </format>
    <format dxfId="89">
      <pivotArea dataOnly="0" labelOnly="1" fieldPosition="0">
        <references count="1">
          <reference field="4" count="1">
            <x v="77"/>
          </reference>
        </references>
      </pivotArea>
    </format>
    <format dxfId="88">
      <pivotArea dataOnly="0" labelOnly="1" fieldPosition="0">
        <references count="1">
          <reference field="4" count="1">
            <x v="78"/>
          </reference>
        </references>
      </pivotArea>
    </format>
    <format dxfId="87">
      <pivotArea dataOnly="0" labelOnly="1" fieldPosition="0">
        <references count="1">
          <reference field="4" count="1">
            <x v="79"/>
          </reference>
        </references>
      </pivotArea>
    </format>
    <format dxfId="86">
      <pivotArea dataOnly="0" labelOnly="1" fieldPosition="0">
        <references count="1">
          <reference field="4" count="1">
            <x v="80"/>
          </reference>
        </references>
      </pivotArea>
    </format>
    <format dxfId="85">
      <pivotArea dataOnly="0" labelOnly="1" fieldPosition="0">
        <references count="1">
          <reference field="4" count="1">
            <x v="81"/>
          </reference>
        </references>
      </pivotArea>
    </format>
    <format dxfId="84">
      <pivotArea dataOnly="0" labelOnly="1" fieldPosition="0">
        <references count="1">
          <reference field="4" count="1">
            <x v="82"/>
          </reference>
        </references>
      </pivotArea>
    </format>
    <format dxfId="83">
      <pivotArea dataOnly="0" labelOnly="1" fieldPosition="0">
        <references count="1">
          <reference field="4" count="1">
            <x v="87"/>
          </reference>
        </references>
      </pivotArea>
    </format>
    <format dxfId="82">
      <pivotArea dataOnly="0" labelOnly="1" fieldPosition="0">
        <references count="1">
          <reference field="4" count="1">
            <x v="96"/>
          </reference>
        </references>
      </pivotArea>
    </format>
    <format dxfId="81">
      <pivotArea dataOnly="0" labelOnly="1" fieldPosition="0">
        <references count="1">
          <reference field="4" count="1">
            <x v="97"/>
          </reference>
        </references>
      </pivotArea>
    </format>
    <format dxfId="80">
      <pivotArea dataOnly="0" labelOnly="1" fieldPosition="0">
        <references count="1">
          <reference field="4" count="1">
            <x v="98"/>
          </reference>
        </references>
      </pivotArea>
    </format>
    <format dxfId="79">
      <pivotArea dataOnly="0" labelOnly="1" fieldPosition="0">
        <references count="1">
          <reference field="4" count="1">
            <x v="99"/>
          </reference>
        </references>
      </pivotArea>
    </format>
    <format dxfId="78">
      <pivotArea dataOnly="0" labelOnly="1" fieldPosition="0">
        <references count="1">
          <reference field="4" count="1">
            <x v="101"/>
          </reference>
        </references>
      </pivotArea>
    </format>
    <format dxfId="77">
      <pivotArea dataOnly="0" labelOnly="1" fieldPosition="0">
        <references count="1">
          <reference field="4" count="1">
            <x v="105"/>
          </reference>
        </references>
      </pivotArea>
    </format>
    <format dxfId="76">
      <pivotArea dataOnly="0" labelOnly="1" fieldPosition="0">
        <references count="1">
          <reference field="4" count="1">
            <x v="108"/>
          </reference>
        </references>
      </pivotArea>
    </format>
    <format dxfId="75">
      <pivotArea dataOnly="0" labelOnly="1" fieldPosition="0">
        <references count="1">
          <reference field="4" count="1">
            <x v="109"/>
          </reference>
        </references>
      </pivotArea>
    </format>
    <format dxfId="74">
      <pivotArea dataOnly="0" labelOnly="1" fieldPosition="0">
        <references count="1">
          <reference field="4" count="1">
            <x v="110"/>
          </reference>
        </references>
      </pivotArea>
    </format>
    <format dxfId="73">
      <pivotArea dataOnly="0" labelOnly="1" fieldPosition="0">
        <references count="1">
          <reference field="4" count="1">
            <x v="111"/>
          </reference>
        </references>
      </pivotArea>
    </format>
    <format dxfId="72">
      <pivotArea dataOnly="0" labelOnly="1" fieldPosition="0">
        <references count="1">
          <reference field="4" count="1">
            <x v="113"/>
          </reference>
        </references>
      </pivotArea>
    </format>
    <format dxfId="71">
      <pivotArea dataOnly="0" labelOnly="1" fieldPosition="0">
        <references count="1">
          <reference field="4" count="1">
            <x v="114"/>
          </reference>
        </references>
      </pivotArea>
    </format>
    <format dxfId="70">
      <pivotArea dataOnly="0" labelOnly="1" fieldPosition="0">
        <references count="1">
          <reference field="4" count="1">
            <x v="116"/>
          </reference>
        </references>
      </pivotArea>
    </format>
    <format dxfId="69">
      <pivotArea dataOnly="0" labelOnly="1" fieldPosition="0">
        <references count="1">
          <reference field="4" count="1">
            <x v="118"/>
          </reference>
        </references>
      </pivotArea>
    </format>
    <format dxfId="68">
      <pivotArea dataOnly="0" labelOnly="1" fieldPosition="0">
        <references count="1">
          <reference field="4" count="1">
            <x v="119"/>
          </reference>
        </references>
      </pivotArea>
    </format>
    <format dxfId="67">
      <pivotArea dataOnly="0" labelOnly="1" fieldPosition="0">
        <references count="1">
          <reference field="4" count="1">
            <x v="121"/>
          </reference>
        </references>
      </pivotArea>
    </format>
    <format dxfId="66">
      <pivotArea dataOnly="0" labelOnly="1" fieldPosition="0">
        <references count="1">
          <reference field="4" count="1">
            <x v="124"/>
          </reference>
        </references>
      </pivotArea>
    </format>
    <format dxfId="65">
      <pivotArea dataOnly="0" labelOnly="1" fieldPosition="0">
        <references count="1">
          <reference field="4" count="1">
            <x v="125"/>
          </reference>
        </references>
      </pivotArea>
    </format>
    <format dxfId="64">
      <pivotArea dataOnly="0" labelOnly="1" fieldPosition="0">
        <references count="1">
          <reference field="4" count="1">
            <x v="128"/>
          </reference>
        </references>
      </pivotArea>
    </format>
    <format dxfId="63">
      <pivotArea dataOnly="0" labelOnly="1" fieldPosition="0">
        <references count="1">
          <reference field="4" count="1">
            <x v="133"/>
          </reference>
        </references>
      </pivotArea>
    </format>
    <format dxfId="62">
      <pivotArea dataOnly="0" labelOnly="1" fieldPosition="0">
        <references count="1">
          <reference field="4" count="1">
            <x v="135"/>
          </reference>
        </references>
      </pivotArea>
    </format>
    <format dxfId="61">
      <pivotArea dataOnly="0" labelOnly="1" fieldPosition="0">
        <references count="1">
          <reference field="4" count="1">
            <x v="136"/>
          </reference>
        </references>
      </pivotArea>
    </format>
    <format dxfId="60">
      <pivotArea dataOnly="0" labelOnly="1" fieldPosition="0">
        <references count="1">
          <reference field="4" count="1">
            <x v="137"/>
          </reference>
        </references>
      </pivotArea>
    </format>
    <format dxfId="59">
      <pivotArea dataOnly="0" labelOnly="1" fieldPosition="0">
        <references count="1">
          <reference field="4" count="1">
            <x v="138"/>
          </reference>
        </references>
      </pivotArea>
    </format>
    <format dxfId="58">
      <pivotArea dataOnly="0" labelOnly="1" fieldPosition="0">
        <references count="1">
          <reference field="4" count="1">
            <x v="139"/>
          </reference>
        </references>
      </pivotArea>
    </format>
    <format dxfId="57">
      <pivotArea dataOnly="0" labelOnly="1" fieldPosition="0">
        <references count="1">
          <reference field="4" count="1">
            <x v="142"/>
          </reference>
        </references>
      </pivotArea>
    </format>
    <format dxfId="56">
      <pivotArea dataOnly="0" labelOnly="1" fieldPosition="0">
        <references count="1">
          <reference field="4" count="1">
            <x v="143"/>
          </reference>
        </references>
      </pivotArea>
    </format>
    <format dxfId="55">
      <pivotArea dataOnly="0" labelOnly="1" fieldPosition="0">
        <references count="1">
          <reference field="4" count="1">
            <x v="144"/>
          </reference>
        </references>
      </pivotArea>
    </format>
    <format dxfId="54">
      <pivotArea dataOnly="0" labelOnly="1" fieldPosition="0">
        <references count="1">
          <reference field="4" count="1">
            <x v="146"/>
          </reference>
        </references>
      </pivotArea>
    </format>
    <format dxfId="53">
      <pivotArea dataOnly="0" labelOnly="1" fieldPosition="0">
        <references count="1">
          <reference field="4" count="1">
            <x v="147"/>
          </reference>
        </references>
      </pivotArea>
    </format>
    <format dxfId="52">
      <pivotArea dataOnly="0" labelOnly="1" fieldPosition="0">
        <references count="1">
          <reference field="4" count="1">
            <x v="148"/>
          </reference>
        </references>
      </pivotArea>
    </format>
    <format dxfId="51">
      <pivotArea dataOnly="0" labelOnly="1" fieldPosition="0">
        <references count="1">
          <reference field="4" count="1">
            <x v="150"/>
          </reference>
        </references>
      </pivotArea>
    </format>
    <format dxfId="50">
      <pivotArea dataOnly="0" labelOnly="1" fieldPosition="0">
        <references count="1">
          <reference field="4" count="1">
            <x v="151"/>
          </reference>
        </references>
      </pivotArea>
    </format>
    <format dxfId="49">
      <pivotArea dataOnly="0" labelOnly="1" fieldPosition="0">
        <references count="1">
          <reference field="4" count="1">
            <x v="155"/>
          </reference>
        </references>
      </pivotArea>
    </format>
    <format dxfId="48">
      <pivotArea dataOnly="0" labelOnly="1" fieldPosition="0">
        <references count="1">
          <reference field="4" count="1">
            <x v="156"/>
          </reference>
        </references>
      </pivotArea>
    </format>
    <format dxfId="47">
      <pivotArea dataOnly="0" labelOnly="1" fieldPosition="0">
        <references count="1">
          <reference field="4" count="1">
            <x v="158"/>
          </reference>
        </references>
      </pivotArea>
    </format>
    <format dxfId="46">
      <pivotArea dataOnly="0" labelOnly="1" fieldPosition="0">
        <references count="1">
          <reference field="4" count="1">
            <x v="159"/>
          </reference>
        </references>
      </pivotArea>
    </format>
    <format dxfId="45">
      <pivotArea dataOnly="0" labelOnly="1" fieldPosition="0">
        <references count="1">
          <reference field="4" count="1">
            <x v="160"/>
          </reference>
        </references>
      </pivotArea>
    </format>
    <format dxfId="44">
      <pivotArea dataOnly="0" labelOnly="1" fieldPosition="0">
        <references count="1">
          <reference field="4" count="1">
            <x v="163"/>
          </reference>
        </references>
      </pivotArea>
    </format>
    <format dxfId="43">
      <pivotArea dataOnly="0" labelOnly="1" fieldPosition="0">
        <references count="1">
          <reference field="4" count="1">
            <x v="164"/>
          </reference>
        </references>
      </pivotArea>
    </format>
    <format dxfId="42">
      <pivotArea dataOnly="0" labelOnly="1" fieldPosition="0">
        <references count="1">
          <reference field="4" count="1">
            <x v="166"/>
          </reference>
        </references>
      </pivotArea>
    </format>
    <format dxfId="41">
      <pivotArea dataOnly="0" labelOnly="1" fieldPosition="0">
        <references count="1">
          <reference field="4" count="1">
            <x v="167"/>
          </reference>
        </references>
      </pivotArea>
    </format>
    <format dxfId="40">
      <pivotArea dataOnly="0" labelOnly="1" fieldPosition="0">
        <references count="1">
          <reference field="4" count="1">
            <x v="168"/>
          </reference>
        </references>
      </pivotArea>
    </format>
    <format dxfId="39">
      <pivotArea dataOnly="0" labelOnly="1" fieldPosition="0">
        <references count="1">
          <reference field="4" count="1">
            <x v="169"/>
          </reference>
        </references>
      </pivotArea>
    </format>
    <format dxfId="38">
      <pivotArea dataOnly="0" labelOnly="1" fieldPosition="0">
        <references count="1">
          <reference field="4" count="1">
            <x v="170"/>
          </reference>
        </references>
      </pivotArea>
    </format>
    <format dxfId="37">
      <pivotArea dataOnly="0" labelOnly="1" fieldPosition="0">
        <references count="1">
          <reference field="4" count="1">
            <x v="171"/>
          </reference>
        </references>
      </pivotArea>
    </format>
    <format dxfId="36">
      <pivotArea dataOnly="0" labelOnly="1" fieldPosition="0">
        <references count="1">
          <reference field="4" count="1">
            <x v="172"/>
          </reference>
        </references>
      </pivotArea>
    </format>
    <format dxfId="35">
      <pivotArea dataOnly="0" labelOnly="1" fieldPosition="0">
        <references count="1">
          <reference field="4" count="1">
            <x v="174"/>
          </reference>
        </references>
      </pivotArea>
    </format>
    <format dxfId="34">
      <pivotArea dataOnly="0" labelOnly="1" fieldPosition="0">
        <references count="1">
          <reference field="4" count="1">
            <x v="176"/>
          </reference>
        </references>
      </pivotArea>
    </format>
    <format dxfId="33">
      <pivotArea dataOnly="0" labelOnly="1" fieldPosition="0">
        <references count="1">
          <reference field="4" count="1">
            <x v="178"/>
          </reference>
        </references>
      </pivotArea>
    </format>
    <format dxfId="32">
      <pivotArea dataOnly="0" labelOnly="1" fieldPosition="0">
        <references count="1">
          <reference field="4" count="1">
            <x v="179"/>
          </reference>
        </references>
      </pivotArea>
    </format>
    <format dxfId="31">
      <pivotArea dataOnly="0" labelOnly="1" fieldPosition="0">
        <references count="1">
          <reference field="4" count="1">
            <x v="180"/>
          </reference>
        </references>
      </pivotArea>
    </format>
    <format dxfId="30">
      <pivotArea dataOnly="0" labelOnly="1" fieldPosition="0">
        <references count="1">
          <reference field="4" count="1">
            <x v="183"/>
          </reference>
        </references>
      </pivotArea>
    </format>
    <format dxfId="29">
      <pivotArea dataOnly="0" labelOnly="1" fieldPosition="0">
        <references count="1">
          <reference field="4" count="1">
            <x v="185"/>
          </reference>
        </references>
      </pivotArea>
    </format>
    <format dxfId="28">
      <pivotArea dataOnly="0" labelOnly="1" fieldPosition="0">
        <references count="1">
          <reference field="4" count="1">
            <x v="186"/>
          </reference>
        </references>
      </pivotArea>
    </format>
    <format dxfId="27">
      <pivotArea dataOnly="0" labelOnly="1" fieldPosition="0">
        <references count="1">
          <reference field="4" count="1">
            <x v="187"/>
          </reference>
        </references>
      </pivotArea>
    </format>
    <format dxfId="26">
      <pivotArea dataOnly="0" labelOnly="1" fieldPosition="0">
        <references count="1">
          <reference field="4" count="1">
            <x v="191"/>
          </reference>
        </references>
      </pivotArea>
    </format>
    <format dxfId="25">
      <pivotArea dataOnly="0" labelOnly="1" fieldPosition="0">
        <references count="1">
          <reference field="4" count="1">
            <x v="192"/>
          </reference>
        </references>
      </pivotArea>
    </format>
    <format dxfId="24">
      <pivotArea dataOnly="0" labelOnly="1" fieldPosition="0">
        <references count="1">
          <reference field="4" count="1">
            <x v="193"/>
          </reference>
        </references>
      </pivotArea>
    </format>
    <format dxfId="23">
      <pivotArea dataOnly="0" labelOnly="1" fieldPosition="0">
        <references count="1">
          <reference field="4" count="1">
            <x v="196"/>
          </reference>
        </references>
      </pivotArea>
    </format>
    <format dxfId="22">
      <pivotArea dataOnly="0" labelOnly="1" fieldPosition="0">
        <references count="1">
          <reference field="4" count="1">
            <x v="198"/>
          </reference>
        </references>
      </pivotArea>
    </format>
    <format dxfId="21">
      <pivotArea dataOnly="0" labelOnly="1" fieldPosition="0">
        <references count="1">
          <reference field="4" count="1">
            <x v="204"/>
          </reference>
        </references>
      </pivotArea>
    </format>
    <format dxfId="20">
      <pivotArea dataOnly="0" labelOnly="1" fieldPosition="0">
        <references count="1">
          <reference field="4" count="1">
            <x v="206"/>
          </reference>
        </references>
      </pivotArea>
    </format>
    <format dxfId="19">
      <pivotArea dataOnly="0" labelOnly="1" fieldPosition="0">
        <references count="1">
          <reference field="4" count="1">
            <x v="208"/>
          </reference>
        </references>
      </pivotArea>
    </format>
    <format dxfId="18">
      <pivotArea dataOnly="0" labelOnly="1" fieldPosition="0">
        <references count="1">
          <reference field="4" count="1">
            <x v="213"/>
          </reference>
        </references>
      </pivotArea>
    </format>
    <format dxfId="17">
      <pivotArea dataOnly="0" labelOnly="1" fieldPosition="0">
        <references count="1">
          <reference field="4" count="1">
            <x v="214"/>
          </reference>
        </references>
      </pivotArea>
    </format>
    <format dxfId="16">
      <pivotArea dataOnly="0" labelOnly="1" fieldPosition="0">
        <references count="1">
          <reference field="4" count="1">
            <x v="215"/>
          </reference>
        </references>
      </pivotArea>
    </format>
    <format dxfId="15">
      <pivotArea dataOnly="0" labelOnly="1" fieldPosition="0">
        <references count="1">
          <reference field="4" count="1">
            <x v="216"/>
          </reference>
        </references>
      </pivotArea>
    </format>
    <format dxfId="14">
      <pivotArea collapsedLevelsAreSubtotals="1" fieldPosition="0">
        <references count="1">
          <reference field="4" count="1">
            <x v="0"/>
          </reference>
        </references>
      </pivotArea>
    </format>
    <format dxfId="13">
      <pivotArea collapsedLevelsAreSubtotals="1" fieldPosition="0">
        <references count="1">
          <reference field="4" count="1">
            <x v="1"/>
          </reference>
        </references>
      </pivotArea>
    </format>
    <format dxfId="12">
      <pivotArea collapsedLevelsAreSubtotals="1" fieldPosition="0">
        <references count="1">
          <reference field="4" count="1">
            <x v="2"/>
          </reference>
        </references>
      </pivotArea>
    </format>
    <format dxfId="11">
      <pivotArea collapsedLevelsAreSubtotals="1" fieldPosition="0">
        <references count="1">
          <reference field="4" count="1">
            <x v="3"/>
          </reference>
        </references>
      </pivotArea>
    </format>
    <format dxfId="10">
      <pivotArea collapsedLevelsAreSubtotals="1" fieldPosition="0">
        <references count="1">
          <reference field="4" count="1">
            <x v="4"/>
          </reference>
        </references>
      </pivotArea>
    </format>
    <format dxfId="9">
      <pivotArea collapsedLevelsAreSubtotals="1" fieldPosition="0">
        <references count="1">
          <reference field="4" count="1">
            <x v="5"/>
          </reference>
        </references>
      </pivotArea>
    </format>
    <format dxfId="8">
      <pivotArea collapsedLevelsAreSubtotals="1" fieldPosition="0">
        <references count="1">
          <reference field="4" count="1">
            <x v="6"/>
          </reference>
        </references>
      </pivotArea>
    </format>
    <format dxfId="7">
      <pivotArea dataOnly="0" labelOnly="1" fieldPosition="0">
        <references count="1">
          <reference field="4" count="1">
            <x v="26"/>
          </reference>
        </references>
      </pivotArea>
    </format>
    <format dxfId="6">
      <pivotArea dataOnly="0" labelOnly="1" fieldPosition="0">
        <references count="1">
          <reference field="4" count="1">
            <x v="69"/>
          </reference>
        </references>
      </pivotArea>
    </format>
    <format dxfId="5">
      <pivotArea dataOnly="0" labelOnly="1" fieldPosition="0">
        <references count="1">
          <reference field="4" count="1">
            <x v="94"/>
          </reference>
        </references>
      </pivotArea>
    </format>
    <format dxfId="4">
      <pivotArea dataOnly="0" labelOnly="1" fieldPosition="0">
        <references count="1">
          <reference field="4" count="1">
            <x v="106"/>
          </reference>
        </references>
      </pivotArea>
    </format>
    <format dxfId="3">
      <pivotArea dataOnly="0" labelOnly="1" fieldPosition="0">
        <references count="1">
          <reference field="4" count="1">
            <x v="112"/>
          </reference>
        </references>
      </pivotArea>
    </format>
    <format dxfId="2">
      <pivotArea dataOnly="0" labelOnly="1" fieldPosition="0">
        <references count="1">
          <reference field="4" count="1">
            <x v="165"/>
          </reference>
        </references>
      </pivotArea>
    </format>
    <format dxfId="1">
      <pivotArea dataOnly="0" labelOnly="1" fieldPosition="0">
        <references count="1">
          <reference field="4" count="1">
            <x v="195"/>
          </reference>
        </references>
      </pivotArea>
    </format>
    <format dxfId="0">
      <pivotArea dataOnly="0" labelOnly="1" fieldPosition="0">
        <references count="1">
          <reference field="4" count="1">
            <x v="20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58F8-81F7-4D83-B1DD-79EAAE63ECF1}" name="Tabella pivot3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0" firstHeaderRow="1" firstDataRow="1" firstDataCol="1"/>
  <pivotFields count="14">
    <pivotField showAll="0"/>
    <pivotField showAll="0"/>
    <pivotField showAll="0"/>
    <pivotField showAll="0"/>
    <pivotField axis="axisRow" showAll="0">
      <items count="17">
        <item x="0"/>
        <item x="14"/>
        <item x="1"/>
        <item x="2"/>
        <item x="4"/>
        <item x="5"/>
        <item x="7"/>
        <item x="11"/>
        <item x="13"/>
        <item x="15"/>
        <item x="3"/>
        <item x="6"/>
        <item x="8"/>
        <item x="9"/>
        <item x="10"/>
        <item x="1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43"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ma di Capitalizzazioni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2"/>
  <sheetViews>
    <sheetView topLeftCell="A7" workbookViewId="0">
      <selection activeCell="B8" sqref="B8:C8"/>
    </sheetView>
  </sheetViews>
  <sheetFormatPr defaultRowHeight="15"/>
  <cols>
    <col min="1" max="1" width="15.42578125" customWidth="1"/>
    <col min="2" max="2" width="9.42578125" customWidth="1"/>
    <col min="3" max="3" width="99.5703125" customWidth="1"/>
    <col min="4" max="6" width="12.5703125" customWidth="1"/>
    <col min="7" max="7" width="13.5703125" customWidth="1"/>
    <col min="8" max="8" width="10.42578125" customWidth="1"/>
  </cols>
  <sheetData>
    <row r="1" spans="1:8" ht="48" customHeight="1">
      <c r="A1" s="68" t="s">
        <v>0</v>
      </c>
      <c r="B1" s="69"/>
      <c r="C1" s="69"/>
      <c r="D1" s="69"/>
      <c r="E1" s="69"/>
      <c r="F1" s="69"/>
      <c r="G1" s="69"/>
      <c r="H1" s="69"/>
    </row>
    <row r="2" spans="1:8" ht="21.75" customHeight="1">
      <c r="A2" s="70" t="s">
        <v>1</v>
      </c>
      <c r="B2" s="69"/>
      <c r="C2" s="69"/>
      <c r="D2" s="69"/>
      <c r="E2" s="69"/>
      <c r="F2" s="69"/>
      <c r="G2" s="69"/>
      <c r="H2" s="69"/>
    </row>
    <row r="3" spans="1:8" ht="18">
      <c r="A3" s="71" t="s">
        <v>2</v>
      </c>
      <c r="B3" s="69"/>
      <c r="C3" s="69"/>
      <c r="D3" s="69"/>
      <c r="E3" s="69"/>
      <c r="F3" s="69"/>
      <c r="G3" s="69"/>
      <c r="H3" s="69"/>
    </row>
    <row r="5" spans="1:8">
      <c r="A5" s="2"/>
      <c r="B5" s="2"/>
      <c r="C5" s="2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>
      <c r="A7" s="72" t="s">
        <v>12</v>
      </c>
      <c r="B7" s="69"/>
      <c r="C7" s="69"/>
      <c r="D7" s="4">
        <v>25437431.960000001</v>
      </c>
      <c r="E7" s="4">
        <v>9636069.5800000001</v>
      </c>
      <c r="F7" s="4">
        <v>35514776.840000004</v>
      </c>
      <c r="G7" s="4">
        <v>4002963.78</v>
      </c>
      <c r="H7" s="4">
        <v>125482.19</v>
      </c>
    </row>
    <row r="8" spans="1:8">
      <c r="A8" s="73" t="s">
        <v>13</v>
      </c>
      <c r="B8" s="72" t="s">
        <v>14</v>
      </c>
      <c r="C8" s="69"/>
      <c r="D8" s="4">
        <v>11009847.119999999</v>
      </c>
      <c r="E8" s="4">
        <v>213922.33</v>
      </c>
      <c r="F8" s="4">
        <v>26529134.25</v>
      </c>
      <c r="G8" s="4">
        <v>250868.77</v>
      </c>
      <c r="H8" s="4">
        <v>9527.36</v>
      </c>
    </row>
    <row r="9" spans="1:8">
      <c r="A9" s="69"/>
      <c r="B9" s="73" t="s">
        <v>15</v>
      </c>
      <c r="C9" s="3" t="s">
        <v>16</v>
      </c>
      <c r="D9" s="4">
        <v>61886.57</v>
      </c>
      <c r="F9" s="4">
        <v>227733.94</v>
      </c>
      <c r="G9" s="4">
        <v>2487.1799999999998</v>
      </c>
    </row>
    <row r="10" spans="1:8">
      <c r="A10" s="69"/>
      <c r="B10" s="69"/>
      <c r="C10" s="5" t="s">
        <v>17</v>
      </c>
      <c r="D10" s="1">
        <v>61886.57</v>
      </c>
      <c r="F10" s="1">
        <v>227733.94</v>
      </c>
      <c r="G10" s="1">
        <v>2487.1799999999998</v>
      </c>
    </row>
    <row r="11" spans="1:8">
      <c r="A11" s="69"/>
      <c r="B11" s="73" t="s">
        <v>18</v>
      </c>
      <c r="C11" s="3" t="s">
        <v>19</v>
      </c>
      <c r="D11" s="4">
        <v>16721.7</v>
      </c>
      <c r="F11" s="4">
        <v>29637.93</v>
      </c>
      <c r="G11" s="4">
        <v>4238.88</v>
      </c>
    </row>
    <row r="12" spans="1:8">
      <c r="A12" s="69"/>
      <c r="B12" s="69"/>
      <c r="C12" s="5" t="s">
        <v>20</v>
      </c>
      <c r="D12" s="1">
        <v>16721.7</v>
      </c>
      <c r="F12" s="1">
        <v>29637.93</v>
      </c>
      <c r="G12" s="1">
        <v>4238.88</v>
      </c>
    </row>
    <row r="13" spans="1:8">
      <c r="A13" s="69"/>
      <c r="B13" s="73" t="s">
        <v>21</v>
      </c>
      <c r="C13" s="3" t="s">
        <v>22</v>
      </c>
      <c r="D13" s="4">
        <v>122848.96000000001</v>
      </c>
      <c r="G13" s="4">
        <v>234.58</v>
      </c>
    </row>
    <row r="14" spans="1:8">
      <c r="A14" s="69"/>
      <c r="B14" s="69"/>
      <c r="C14" s="5" t="s">
        <v>23</v>
      </c>
      <c r="D14" s="1">
        <v>122848.96000000001</v>
      </c>
      <c r="G14" s="1">
        <v>234.58</v>
      </c>
    </row>
    <row r="15" spans="1:8">
      <c r="A15" s="69"/>
      <c r="B15" s="73" t="s">
        <v>24</v>
      </c>
      <c r="C15" s="3" t="s">
        <v>25</v>
      </c>
      <c r="D15" s="4">
        <v>9885.3799999999992</v>
      </c>
      <c r="F15" s="4">
        <v>8437.2999999999993</v>
      </c>
      <c r="G15" s="4">
        <v>1478.92</v>
      </c>
    </row>
    <row r="16" spans="1:8">
      <c r="A16" s="69"/>
      <c r="B16" s="69"/>
      <c r="C16" s="5" t="s">
        <v>26</v>
      </c>
      <c r="D16" s="1">
        <v>9885.3799999999992</v>
      </c>
      <c r="F16" s="1">
        <v>8437.2999999999993</v>
      </c>
      <c r="G16" s="1">
        <v>1478.92</v>
      </c>
    </row>
    <row r="17" spans="1:7">
      <c r="A17" s="69"/>
      <c r="B17" s="73" t="s">
        <v>27</v>
      </c>
      <c r="C17" s="3" t="s">
        <v>28</v>
      </c>
      <c r="D17" s="4">
        <v>27022.91</v>
      </c>
      <c r="F17" s="4">
        <v>142052.04999999999</v>
      </c>
    </row>
    <row r="18" spans="1:7">
      <c r="A18" s="69"/>
      <c r="B18" s="69"/>
      <c r="C18" s="5" t="s">
        <v>29</v>
      </c>
      <c r="D18" s="1">
        <v>27022.91</v>
      </c>
      <c r="F18" s="1">
        <v>142052.04999999999</v>
      </c>
    </row>
    <row r="19" spans="1:7">
      <c r="A19" s="69"/>
      <c r="B19" s="73" t="s">
        <v>30</v>
      </c>
      <c r="C19" s="3" t="s">
        <v>31</v>
      </c>
      <c r="D19" s="4">
        <v>33561.57</v>
      </c>
      <c r="E19" s="4">
        <v>5829.8</v>
      </c>
      <c r="F19" s="4">
        <v>44955.67</v>
      </c>
      <c r="G19" s="4">
        <v>544.07000000000005</v>
      </c>
    </row>
    <row r="20" spans="1:7">
      <c r="A20" s="69"/>
      <c r="B20" s="69"/>
      <c r="C20" s="5" t="s">
        <v>32</v>
      </c>
      <c r="D20" s="1">
        <v>33561.57</v>
      </c>
      <c r="E20" s="1">
        <v>5829.8</v>
      </c>
      <c r="F20" s="1">
        <v>44955.67</v>
      </c>
      <c r="G20" s="1">
        <v>544.07000000000005</v>
      </c>
    </row>
    <row r="21" spans="1:7">
      <c r="A21" s="69"/>
      <c r="B21" s="73" t="s">
        <v>33</v>
      </c>
      <c r="C21" s="3" t="s">
        <v>34</v>
      </c>
      <c r="D21" s="4">
        <v>1386</v>
      </c>
      <c r="F21" s="4">
        <v>11760</v>
      </c>
    </row>
    <row r="22" spans="1:7">
      <c r="A22" s="69"/>
      <c r="B22" s="69"/>
      <c r="C22" s="5" t="s">
        <v>35</v>
      </c>
      <c r="D22" s="1">
        <v>1386</v>
      </c>
      <c r="F22" s="1">
        <v>11760</v>
      </c>
    </row>
    <row r="23" spans="1:7">
      <c r="A23" s="69"/>
      <c r="B23" s="73" t="s">
        <v>36</v>
      </c>
      <c r="C23" s="3" t="s">
        <v>37</v>
      </c>
      <c r="D23" s="4">
        <v>348171.3</v>
      </c>
      <c r="E23" s="4">
        <v>-7758.87</v>
      </c>
      <c r="F23" s="4">
        <v>517223.31</v>
      </c>
      <c r="G23" s="4">
        <v>3600.8150000000001</v>
      </c>
    </row>
    <row r="24" spans="1:7">
      <c r="A24" s="69"/>
      <c r="B24" s="69"/>
      <c r="C24" s="5" t="s">
        <v>38</v>
      </c>
      <c r="D24" s="1">
        <v>348171.3</v>
      </c>
      <c r="E24" s="1">
        <v>-7758.87</v>
      </c>
      <c r="F24" s="1">
        <v>517223.31</v>
      </c>
      <c r="G24" s="1">
        <v>3600.8150000000001</v>
      </c>
    </row>
    <row r="25" spans="1:7">
      <c r="A25" s="69"/>
      <c r="B25" s="73" t="s">
        <v>39</v>
      </c>
      <c r="C25" s="3" t="s">
        <v>40</v>
      </c>
      <c r="D25" s="4">
        <v>18167.59</v>
      </c>
      <c r="F25" s="4">
        <v>27440.43</v>
      </c>
    </row>
    <row r="26" spans="1:7">
      <c r="A26" s="69"/>
      <c r="B26" s="69"/>
      <c r="C26" s="5" t="s">
        <v>41</v>
      </c>
      <c r="D26" s="1">
        <v>18167.59</v>
      </c>
      <c r="F26" s="1">
        <v>27440.43</v>
      </c>
    </row>
    <row r="27" spans="1:7">
      <c r="A27" s="69"/>
      <c r="B27" s="73" t="s">
        <v>42</v>
      </c>
      <c r="C27" s="3" t="s">
        <v>43</v>
      </c>
      <c r="D27" s="4">
        <v>25608.46</v>
      </c>
      <c r="E27" s="4">
        <v>196.43</v>
      </c>
      <c r="F27" s="4">
        <v>60063.71</v>
      </c>
      <c r="G27" s="4">
        <v>70.069999999999993</v>
      </c>
    </row>
    <row r="28" spans="1:7">
      <c r="A28" s="69"/>
      <c r="B28" s="69"/>
      <c r="C28" s="5" t="s">
        <v>44</v>
      </c>
      <c r="D28" s="1">
        <v>25608.46</v>
      </c>
      <c r="E28" s="1">
        <v>196.43</v>
      </c>
      <c r="F28" s="1">
        <v>60063.71</v>
      </c>
      <c r="G28" s="1">
        <v>70.069999999999993</v>
      </c>
    </row>
    <row r="29" spans="1:7">
      <c r="A29" s="69"/>
      <c r="B29" s="73" t="s">
        <v>45</v>
      </c>
      <c r="C29" s="3" t="s">
        <v>46</v>
      </c>
      <c r="D29" s="4">
        <v>30820.13</v>
      </c>
      <c r="G29" s="4">
        <v>1570.72</v>
      </c>
    </row>
    <row r="30" spans="1:7">
      <c r="A30" s="69"/>
      <c r="B30" s="69"/>
      <c r="C30" s="5" t="s">
        <v>47</v>
      </c>
      <c r="D30" s="1">
        <v>30820.13</v>
      </c>
      <c r="G30" s="1">
        <v>1570.72</v>
      </c>
    </row>
    <row r="31" spans="1:7">
      <c r="A31" s="69"/>
      <c r="B31" s="73" t="s">
        <v>48</v>
      </c>
      <c r="C31" s="3" t="s">
        <v>49</v>
      </c>
      <c r="D31" s="4">
        <v>25551.32</v>
      </c>
      <c r="F31" s="4">
        <v>75639.41</v>
      </c>
      <c r="G31" s="4">
        <v>1063.3599999999999</v>
      </c>
    </row>
    <row r="32" spans="1:7">
      <c r="A32" s="69"/>
      <c r="B32" s="69"/>
      <c r="C32" s="5" t="s">
        <v>50</v>
      </c>
      <c r="D32" s="1">
        <v>25551.32</v>
      </c>
      <c r="F32" s="1">
        <v>75639.41</v>
      </c>
      <c r="G32" s="1">
        <v>1063.3599999999999</v>
      </c>
    </row>
    <row r="33" spans="1:7">
      <c r="A33" s="69"/>
      <c r="B33" s="73" t="s">
        <v>51</v>
      </c>
      <c r="C33" s="3" t="s">
        <v>52</v>
      </c>
      <c r="D33" s="4">
        <v>34439.339999999997</v>
      </c>
      <c r="F33" s="4">
        <v>27711.35</v>
      </c>
    </row>
    <row r="34" spans="1:7">
      <c r="A34" s="69"/>
      <c r="B34" s="69"/>
      <c r="C34" s="5" t="s">
        <v>53</v>
      </c>
      <c r="D34" s="1">
        <v>34439.339999999997</v>
      </c>
      <c r="F34" s="1">
        <v>27711.35</v>
      </c>
    </row>
    <row r="35" spans="1:7">
      <c r="A35" s="69"/>
      <c r="B35" s="73" t="s">
        <v>54</v>
      </c>
      <c r="C35" s="3" t="s">
        <v>55</v>
      </c>
      <c r="D35" s="4">
        <v>48892.84</v>
      </c>
      <c r="E35" s="4">
        <v>1043.4100000000001</v>
      </c>
      <c r="F35" s="4">
        <v>177024.62</v>
      </c>
      <c r="G35" s="4">
        <v>2160.2399999999998</v>
      </c>
    </row>
    <row r="36" spans="1:7">
      <c r="A36" s="69"/>
      <c r="B36" s="69"/>
      <c r="C36" s="5" t="s">
        <v>56</v>
      </c>
      <c r="D36" s="1">
        <v>48892.84</v>
      </c>
      <c r="E36" s="1">
        <v>1043.4100000000001</v>
      </c>
      <c r="F36" s="1">
        <v>177024.62</v>
      </c>
      <c r="G36" s="1">
        <v>2160.2399999999998</v>
      </c>
    </row>
    <row r="37" spans="1:7">
      <c r="A37" s="69"/>
      <c r="B37" s="73" t="s">
        <v>57</v>
      </c>
      <c r="C37" s="3" t="s">
        <v>58</v>
      </c>
      <c r="D37" s="4">
        <v>13823.66</v>
      </c>
      <c r="F37" s="4">
        <v>56604.73</v>
      </c>
      <c r="G37" s="4">
        <v>497.82</v>
      </c>
    </row>
    <row r="38" spans="1:7">
      <c r="A38" s="69"/>
      <c r="B38" s="69"/>
      <c r="C38" s="5" t="s">
        <v>59</v>
      </c>
      <c r="D38" s="1">
        <v>13823.66</v>
      </c>
      <c r="F38" s="1">
        <v>56604.73</v>
      </c>
      <c r="G38" s="1">
        <v>497.82</v>
      </c>
    </row>
    <row r="39" spans="1:7">
      <c r="A39" s="69"/>
      <c r="B39" s="73" t="s">
        <v>60</v>
      </c>
      <c r="C39" s="3" t="s">
        <v>61</v>
      </c>
      <c r="D39" s="4">
        <v>59405.32</v>
      </c>
      <c r="F39" s="4">
        <v>10282.5</v>
      </c>
    </row>
    <row r="40" spans="1:7">
      <c r="A40" s="69"/>
      <c r="B40" s="69"/>
      <c r="C40" s="5" t="s">
        <v>62</v>
      </c>
      <c r="D40" s="1">
        <v>59405.32</v>
      </c>
      <c r="F40" s="1">
        <v>10282.5</v>
      </c>
    </row>
    <row r="41" spans="1:7">
      <c r="A41" s="69"/>
      <c r="B41" s="73" t="s">
        <v>63</v>
      </c>
      <c r="C41" s="3" t="s">
        <v>64</v>
      </c>
      <c r="D41" s="4">
        <v>108870.1</v>
      </c>
      <c r="F41" s="4">
        <v>293523.5</v>
      </c>
    </row>
    <row r="42" spans="1:7">
      <c r="A42" s="69"/>
      <c r="B42" s="69"/>
      <c r="C42" s="5" t="s">
        <v>65</v>
      </c>
      <c r="D42" s="1">
        <v>108870.1</v>
      </c>
      <c r="F42" s="1">
        <v>293523.5</v>
      </c>
    </row>
    <row r="43" spans="1:7">
      <c r="A43" s="69"/>
      <c r="B43" s="73" t="s">
        <v>66</v>
      </c>
      <c r="C43" s="3" t="s">
        <v>67</v>
      </c>
      <c r="D43" s="4">
        <v>19562.25</v>
      </c>
      <c r="E43" s="4">
        <v>7580</v>
      </c>
      <c r="F43" s="4">
        <v>71034.929999999993</v>
      </c>
      <c r="G43" s="4">
        <v>2228.84</v>
      </c>
    </row>
    <row r="44" spans="1:7">
      <c r="A44" s="69"/>
      <c r="B44" s="69"/>
      <c r="C44" s="5" t="s">
        <v>68</v>
      </c>
      <c r="D44" s="1">
        <v>19562.25</v>
      </c>
      <c r="E44" s="1">
        <v>7580</v>
      </c>
      <c r="F44" s="1">
        <v>71034.929999999993</v>
      </c>
      <c r="G44" s="1">
        <v>2228.84</v>
      </c>
    </row>
    <row r="45" spans="1:7">
      <c r="A45" s="69"/>
      <c r="B45" s="73" t="s">
        <v>69</v>
      </c>
      <c r="C45" s="3" t="s">
        <v>70</v>
      </c>
      <c r="D45" s="4">
        <v>185782.99</v>
      </c>
      <c r="F45" s="4">
        <v>223152.93</v>
      </c>
      <c r="G45" s="4">
        <v>108.01</v>
      </c>
    </row>
    <row r="46" spans="1:7">
      <c r="A46" s="69"/>
      <c r="B46" s="69"/>
      <c r="C46" s="5" t="s">
        <v>71</v>
      </c>
      <c r="D46" s="1">
        <v>185782.99</v>
      </c>
      <c r="F46" s="1">
        <v>223152.93</v>
      </c>
      <c r="G46" s="1">
        <v>108.01</v>
      </c>
    </row>
    <row r="47" spans="1:7">
      <c r="A47" s="69"/>
      <c r="B47" s="73" t="s">
        <v>72</v>
      </c>
      <c r="C47" s="3" t="s">
        <v>73</v>
      </c>
      <c r="D47" s="4">
        <v>22915.67</v>
      </c>
      <c r="F47" s="4">
        <v>13183.47</v>
      </c>
      <c r="G47" s="4">
        <v>33.86</v>
      </c>
    </row>
    <row r="48" spans="1:7">
      <c r="A48" s="69"/>
      <c r="B48" s="69"/>
      <c r="C48" s="5" t="s">
        <v>74</v>
      </c>
      <c r="D48" s="1">
        <v>22915.67</v>
      </c>
      <c r="F48" s="1">
        <v>13183.47</v>
      </c>
      <c r="G48" s="1">
        <v>33.86</v>
      </c>
    </row>
    <row r="49" spans="1:8">
      <c r="A49" s="69"/>
      <c r="B49" s="73" t="s">
        <v>75</v>
      </c>
      <c r="C49" s="3" t="s">
        <v>76</v>
      </c>
      <c r="D49" s="4">
        <v>414.34</v>
      </c>
      <c r="E49" s="4">
        <v>255.36</v>
      </c>
    </row>
    <row r="50" spans="1:8">
      <c r="A50" s="69"/>
      <c r="B50" s="69"/>
      <c r="C50" s="5" t="s">
        <v>77</v>
      </c>
      <c r="D50" s="1">
        <v>414.34</v>
      </c>
      <c r="E50" s="1">
        <v>255.36</v>
      </c>
    </row>
    <row r="51" spans="1:8">
      <c r="A51" s="69"/>
      <c r="B51" s="73" t="s">
        <v>78</v>
      </c>
      <c r="C51" s="3" t="s">
        <v>79</v>
      </c>
      <c r="D51" s="4">
        <v>17744.23</v>
      </c>
      <c r="F51" s="4">
        <v>50000.44</v>
      </c>
      <c r="G51" s="4">
        <v>1278.5</v>
      </c>
      <c r="H51" s="4">
        <v>410.7</v>
      </c>
    </row>
    <row r="52" spans="1:8">
      <c r="A52" s="69"/>
      <c r="B52" s="69"/>
      <c r="C52" s="5" t="s">
        <v>80</v>
      </c>
      <c r="D52" s="1">
        <v>17744.23</v>
      </c>
      <c r="F52" s="1">
        <v>50000.44</v>
      </c>
      <c r="G52" s="1">
        <v>1278.5</v>
      </c>
      <c r="H52" s="1">
        <v>410.7</v>
      </c>
    </row>
    <row r="53" spans="1:8">
      <c r="A53" s="69"/>
      <c r="B53" s="73" t="s">
        <v>81</v>
      </c>
      <c r="C53" s="3" t="s">
        <v>82</v>
      </c>
      <c r="D53" s="4">
        <v>11147.47</v>
      </c>
      <c r="F53" s="4">
        <v>13587.51</v>
      </c>
      <c r="G53" s="4">
        <v>502.99</v>
      </c>
    </row>
    <row r="54" spans="1:8">
      <c r="A54" s="69"/>
      <c r="B54" s="69"/>
      <c r="C54" s="5" t="s">
        <v>83</v>
      </c>
      <c r="D54" s="1">
        <v>11147.47</v>
      </c>
      <c r="F54" s="1">
        <v>13587.51</v>
      </c>
      <c r="G54" s="1">
        <v>502.99</v>
      </c>
    </row>
    <row r="55" spans="1:8">
      <c r="A55" s="69"/>
      <c r="B55" s="73" t="s">
        <v>84</v>
      </c>
      <c r="C55" s="3" t="s">
        <v>85</v>
      </c>
      <c r="D55" s="4">
        <v>23837.47</v>
      </c>
      <c r="F55" s="4">
        <v>72618</v>
      </c>
      <c r="G55" s="4">
        <v>3291.77</v>
      </c>
    </row>
    <row r="56" spans="1:8">
      <c r="A56" s="69"/>
      <c r="B56" s="69"/>
      <c r="C56" s="5" t="s">
        <v>86</v>
      </c>
      <c r="D56" s="1">
        <v>23837.47</v>
      </c>
      <c r="F56" s="1">
        <v>72618</v>
      </c>
      <c r="G56" s="1">
        <v>3291.77</v>
      </c>
    </row>
    <row r="57" spans="1:8">
      <c r="A57" s="69"/>
      <c r="B57" s="73" t="s">
        <v>87</v>
      </c>
      <c r="C57" s="3" t="s">
        <v>88</v>
      </c>
      <c r="D57" s="4">
        <v>24813.02</v>
      </c>
      <c r="E57" s="4">
        <v>277.20999999999998</v>
      </c>
      <c r="F57" s="4">
        <v>88114.74</v>
      </c>
      <c r="G57" s="4">
        <v>2412.1950000000002</v>
      </c>
      <c r="H57" s="4">
        <v>799.76</v>
      </c>
    </row>
    <row r="58" spans="1:8">
      <c r="A58" s="69"/>
      <c r="B58" s="69"/>
      <c r="C58" s="5" t="s">
        <v>89</v>
      </c>
      <c r="D58" s="1">
        <v>24813.02</v>
      </c>
      <c r="E58" s="1">
        <v>277.20999999999998</v>
      </c>
      <c r="F58" s="1">
        <v>88114.74</v>
      </c>
      <c r="G58" s="1">
        <v>2412.1950000000002</v>
      </c>
      <c r="H58" s="1">
        <v>799.76</v>
      </c>
    </row>
    <row r="59" spans="1:8">
      <c r="A59" s="69"/>
      <c r="B59" s="73" t="s">
        <v>90</v>
      </c>
      <c r="C59" s="3" t="s">
        <v>91</v>
      </c>
      <c r="D59" s="4">
        <v>1734.49</v>
      </c>
    </row>
    <row r="60" spans="1:8">
      <c r="A60" s="69"/>
      <c r="B60" s="69"/>
      <c r="C60" s="5" t="s">
        <v>92</v>
      </c>
      <c r="D60" s="1">
        <v>1734.49</v>
      </c>
    </row>
    <row r="61" spans="1:8">
      <c r="A61" s="69"/>
      <c r="B61" s="73" t="s">
        <v>93</v>
      </c>
      <c r="C61" s="3" t="s">
        <v>94</v>
      </c>
      <c r="D61" s="4">
        <v>21794.799999999999</v>
      </c>
      <c r="E61" s="4">
        <v>766.39</v>
      </c>
      <c r="F61" s="4">
        <v>102844.91</v>
      </c>
      <c r="G61" s="4">
        <v>199</v>
      </c>
    </row>
    <row r="62" spans="1:8">
      <c r="A62" s="69"/>
      <c r="B62" s="69"/>
      <c r="C62" s="5" t="s">
        <v>95</v>
      </c>
      <c r="D62" s="1">
        <v>21794.799999999999</v>
      </c>
      <c r="E62" s="1">
        <v>766.39</v>
      </c>
      <c r="F62" s="1">
        <v>102844.91</v>
      </c>
      <c r="G62" s="1">
        <v>199</v>
      </c>
    </row>
    <row r="63" spans="1:8">
      <c r="A63" s="69"/>
      <c r="B63" s="73" t="s">
        <v>96</v>
      </c>
      <c r="C63" s="3" t="s">
        <v>97</v>
      </c>
      <c r="D63" s="4">
        <v>24945.1</v>
      </c>
      <c r="F63" s="4">
        <v>89283.96</v>
      </c>
      <c r="G63" s="4">
        <v>2483.36</v>
      </c>
    </row>
    <row r="64" spans="1:8">
      <c r="A64" s="69"/>
      <c r="B64" s="69"/>
      <c r="C64" s="5" t="s">
        <v>98</v>
      </c>
      <c r="D64" s="1">
        <v>24945.1</v>
      </c>
      <c r="F64" s="1">
        <v>89283.96</v>
      </c>
      <c r="G64" s="1">
        <v>2483.36</v>
      </c>
    </row>
    <row r="65" spans="1:8">
      <c r="A65" s="69"/>
      <c r="B65" s="73" t="s">
        <v>99</v>
      </c>
      <c r="C65" s="3" t="s">
        <v>100</v>
      </c>
      <c r="D65" s="4">
        <v>38569.980000000003</v>
      </c>
      <c r="E65" s="4">
        <v>4280.32</v>
      </c>
      <c r="F65" s="4">
        <v>187292.19</v>
      </c>
      <c r="G65" s="4">
        <v>330.97</v>
      </c>
      <c r="H65" s="4">
        <v>86.1</v>
      </c>
    </row>
    <row r="66" spans="1:8">
      <c r="A66" s="69"/>
      <c r="B66" s="69"/>
      <c r="C66" s="5" t="s">
        <v>101</v>
      </c>
      <c r="D66" s="1">
        <v>38569.980000000003</v>
      </c>
      <c r="E66" s="1">
        <v>4280.32</v>
      </c>
      <c r="F66" s="1">
        <v>187292.19</v>
      </c>
      <c r="G66" s="1">
        <v>330.97</v>
      </c>
      <c r="H66" s="1">
        <v>86.1</v>
      </c>
    </row>
    <row r="67" spans="1:8">
      <c r="A67" s="69"/>
      <c r="B67" s="73" t="s">
        <v>102</v>
      </c>
      <c r="C67" s="3" t="s">
        <v>103</v>
      </c>
      <c r="D67" s="4">
        <v>13154.91</v>
      </c>
      <c r="E67" s="4">
        <v>104.98</v>
      </c>
      <c r="F67" s="4">
        <v>92354.99</v>
      </c>
      <c r="G67" s="4">
        <v>2273.4949999999999</v>
      </c>
      <c r="H67" s="4">
        <v>1101.1199999999999</v>
      </c>
    </row>
    <row r="68" spans="1:8">
      <c r="A68" s="69"/>
      <c r="B68" s="69"/>
      <c r="C68" s="5" t="s">
        <v>104</v>
      </c>
      <c r="D68" s="1">
        <v>13154.91</v>
      </c>
      <c r="E68" s="1">
        <v>104.98</v>
      </c>
      <c r="F68" s="1">
        <v>92354.99</v>
      </c>
      <c r="G68" s="1">
        <v>2273.4949999999999</v>
      </c>
      <c r="H68" s="1">
        <v>1101.1199999999999</v>
      </c>
    </row>
    <row r="69" spans="1:8">
      <c r="A69" s="69"/>
      <c r="B69" s="73" t="s">
        <v>105</v>
      </c>
      <c r="C69" s="3" t="s">
        <v>106</v>
      </c>
      <c r="D69" s="4">
        <v>30640.42</v>
      </c>
      <c r="F69" s="4">
        <v>101423.44</v>
      </c>
      <c r="G69" s="4">
        <v>24.99</v>
      </c>
    </row>
    <row r="70" spans="1:8">
      <c r="A70" s="69"/>
      <c r="B70" s="69"/>
      <c r="C70" s="5" t="s">
        <v>107</v>
      </c>
      <c r="D70" s="1">
        <v>30640.42</v>
      </c>
      <c r="F70" s="1">
        <v>101423.44</v>
      </c>
      <c r="G70" s="1">
        <v>24.99</v>
      </c>
    </row>
    <row r="71" spans="1:8">
      <c r="A71" s="69"/>
      <c r="B71" s="73" t="s">
        <v>108</v>
      </c>
      <c r="C71" s="3" t="s">
        <v>109</v>
      </c>
      <c r="D71" s="4">
        <v>12160.48</v>
      </c>
      <c r="E71" s="4">
        <v>5968.7</v>
      </c>
      <c r="F71" s="4">
        <v>55590.96</v>
      </c>
      <c r="G71" s="4">
        <v>52.93</v>
      </c>
    </row>
    <row r="72" spans="1:8">
      <c r="A72" s="69"/>
      <c r="B72" s="69"/>
      <c r="C72" s="5" t="s">
        <v>110</v>
      </c>
      <c r="D72" s="1">
        <v>12160.48</v>
      </c>
      <c r="E72" s="1">
        <v>5968.7</v>
      </c>
      <c r="F72" s="1">
        <v>55590.96</v>
      </c>
      <c r="G72" s="1">
        <v>52.93</v>
      </c>
    </row>
    <row r="73" spans="1:8">
      <c r="A73" s="69"/>
      <c r="B73" s="73" t="s">
        <v>111</v>
      </c>
      <c r="C73" s="3" t="s">
        <v>112</v>
      </c>
      <c r="D73" s="4">
        <v>27746.33</v>
      </c>
      <c r="F73" s="4">
        <v>33665.72</v>
      </c>
    </row>
    <row r="74" spans="1:8">
      <c r="A74" s="69"/>
      <c r="B74" s="69"/>
      <c r="C74" s="5" t="s">
        <v>113</v>
      </c>
      <c r="D74" s="1">
        <v>27746.33</v>
      </c>
      <c r="F74" s="1">
        <v>33665.72</v>
      </c>
    </row>
    <row r="75" spans="1:8">
      <c r="A75" s="69"/>
      <c r="B75" s="73" t="s">
        <v>114</v>
      </c>
      <c r="C75" s="3" t="s">
        <v>115</v>
      </c>
      <c r="D75" s="4">
        <v>8718.77</v>
      </c>
    </row>
    <row r="76" spans="1:8">
      <c r="A76" s="69"/>
      <c r="B76" s="69"/>
      <c r="C76" s="5" t="s">
        <v>116</v>
      </c>
      <c r="D76" s="1">
        <v>8718.77</v>
      </c>
    </row>
    <row r="77" spans="1:8">
      <c r="A77" s="69"/>
      <c r="B77" s="73" t="s">
        <v>117</v>
      </c>
      <c r="C77" s="3" t="s">
        <v>118</v>
      </c>
      <c r="D77" s="4">
        <v>1404</v>
      </c>
    </row>
    <row r="78" spans="1:8">
      <c r="A78" s="69"/>
      <c r="B78" s="69"/>
      <c r="C78" s="5" t="s">
        <v>119</v>
      </c>
      <c r="D78" s="1">
        <v>1404</v>
      </c>
    </row>
    <row r="79" spans="1:8">
      <c r="A79" s="69"/>
      <c r="B79" s="73" t="s">
        <v>120</v>
      </c>
      <c r="C79" s="3" t="s">
        <v>121</v>
      </c>
      <c r="D79" s="4">
        <v>22241.48</v>
      </c>
      <c r="F79" s="4">
        <v>39911.06</v>
      </c>
    </row>
    <row r="80" spans="1:8">
      <c r="A80" s="69"/>
      <c r="B80" s="69"/>
      <c r="C80" s="5" t="s">
        <v>122</v>
      </c>
      <c r="D80" s="1">
        <v>22241.48</v>
      </c>
      <c r="F80" s="1">
        <v>39911.06</v>
      </c>
    </row>
    <row r="81" spans="1:7">
      <c r="A81" s="69"/>
      <c r="B81" s="73" t="s">
        <v>123</v>
      </c>
      <c r="C81" s="3" t="s">
        <v>124</v>
      </c>
      <c r="D81" s="4">
        <v>-0.28000000000000003</v>
      </c>
    </row>
    <row r="82" spans="1:7">
      <c r="A82" s="69"/>
      <c r="B82" s="69"/>
      <c r="C82" s="5" t="s">
        <v>125</v>
      </c>
      <c r="D82" s="1">
        <v>-0.28000000000000003</v>
      </c>
    </row>
    <row r="83" spans="1:7">
      <c r="A83" s="69"/>
      <c r="B83" s="73" t="s">
        <v>126</v>
      </c>
      <c r="C83" s="3" t="s">
        <v>127</v>
      </c>
      <c r="D83" s="4">
        <v>11405.62</v>
      </c>
      <c r="F83" s="4">
        <v>14249.31</v>
      </c>
    </row>
    <row r="84" spans="1:7">
      <c r="A84" s="69"/>
      <c r="B84" s="69"/>
      <c r="C84" s="5" t="s">
        <v>128</v>
      </c>
      <c r="D84" s="1">
        <v>11405.62</v>
      </c>
      <c r="F84" s="1">
        <v>14249.31</v>
      </c>
    </row>
    <row r="85" spans="1:7">
      <c r="A85" s="69"/>
      <c r="B85" s="73" t="s">
        <v>129</v>
      </c>
      <c r="C85" s="3" t="s">
        <v>130</v>
      </c>
      <c r="D85" s="4">
        <v>151601.07</v>
      </c>
      <c r="F85" s="4">
        <v>341535.64</v>
      </c>
    </row>
    <row r="86" spans="1:7">
      <c r="A86" s="69"/>
      <c r="B86" s="69"/>
      <c r="C86" s="5" t="s">
        <v>131</v>
      </c>
      <c r="D86" s="1">
        <v>151601.07</v>
      </c>
      <c r="F86" s="1">
        <v>341535.64</v>
      </c>
    </row>
    <row r="87" spans="1:7">
      <c r="A87" s="69"/>
      <c r="B87" s="73" t="s">
        <v>132</v>
      </c>
      <c r="C87" s="3" t="s">
        <v>133</v>
      </c>
      <c r="D87" s="4">
        <v>80079.53</v>
      </c>
      <c r="F87" s="4">
        <v>297710.40999999997</v>
      </c>
      <c r="G87" s="4">
        <v>3542.21</v>
      </c>
    </row>
    <row r="88" spans="1:7">
      <c r="A88" s="69"/>
      <c r="B88" s="69"/>
      <c r="C88" s="5" t="s">
        <v>134</v>
      </c>
      <c r="D88" s="1">
        <v>80079.53</v>
      </c>
      <c r="F88" s="1">
        <v>297710.40999999997</v>
      </c>
      <c r="G88" s="1">
        <v>3542.21</v>
      </c>
    </row>
    <row r="89" spans="1:7">
      <c r="A89" s="69"/>
      <c r="B89" s="73" t="s">
        <v>135</v>
      </c>
      <c r="C89" s="3" t="s">
        <v>136</v>
      </c>
      <c r="D89" s="4">
        <v>139559.20000000001</v>
      </c>
      <c r="F89" s="4">
        <v>286217.95</v>
      </c>
    </row>
    <row r="90" spans="1:7">
      <c r="A90" s="69"/>
      <c r="B90" s="69"/>
      <c r="C90" s="5" t="s">
        <v>137</v>
      </c>
      <c r="D90" s="1">
        <v>139559.20000000001</v>
      </c>
      <c r="F90" s="1">
        <v>286217.95</v>
      </c>
    </row>
    <row r="91" spans="1:7">
      <c r="A91" s="69"/>
      <c r="B91" s="73" t="s">
        <v>138</v>
      </c>
      <c r="C91" s="3" t="s">
        <v>139</v>
      </c>
      <c r="D91" s="4">
        <v>116842.17</v>
      </c>
      <c r="F91" s="4">
        <v>128095.78</v>
      </c>
    </row>
    <row r="92" spans="1:7">
      <c r="A92" s="69"/>
      <c r="B92" s="69"/>
      <c r="C92" s="5" t="s">
        <v>140</v>
      </c>
      <c r="D92" s="1">
        <v>116842.17</v>
      </c>
      <c r="F92" s="1">
        <v>128095.78</v>
      </c>
    </row>
    <row r="93" spans="1:7">
      <c r="A93" s="69"/>
      <c r="B93" s="73" t="s">
        <v>141</v>
      </c>
      <c r="C93" s="3" t="s">
        <v>142</v>
      </c>
      <c r="D93" s="4">
        <v>260790.69</v>
      </c>
      <c r="E93" s="4">
        <v>7167.58</v>
      </c>
      <c r="F93" s="4">
        <v>726225.09</v>
      </c>
      <c r="G93" s="4">
        <v>437.8</v>
      </c>
    </row>
    <row r="94" spans="1:7">
      <c r="A94" s="69"/>
      <c r="B94" s="69"/>
      <c r="C94" s="5" t="s">
        <v>143</v>
      </c>
      <c r="D94" s="1">
        <v>260790.69</v>
      </c>
      <c r="E94" s="1">
        <v>7167.58</v>
      </c>
      <c r="F94" s="1">
        <v>726225.09</v>
      </c>
      <c r="G94" s="1">
        <v>437.8</v>
      </c>
    </row>
    <row r="95" spans="1:7">
      <c r="A95" s="69"/>
      <c r="B95" s="73" t="s">
        <v>144</v>
      </c>
      <c r="C95" s="3" t="s">
        <v>145</v>
      </c>
      <c r="D95" s="4">
        <v>119968.54</v>
      </c>
      <c r="E95" s="4">
        <v>474</v>
      </c>
      <c r="F95" s="4">
        <v>517097.07</v>
      </c>
      <c r="G95" s="4">
        <v>10367.25</v>
      </c>
    </row>
    <row r="96" spans="1:7">
      <c r="A96" s="69"/>
      <c r="B96" s="69"/>
      <c r="C96" s="5" t="s">
        <v>146</v>
      </c>
      <c r="D96" s="1">
        <v>119968.54</v>
      </c>
      <c r="E96" s="1">
        <v>474</v>
      </c>
      <c r="F96" s="1">
        <v>517097.07</v>
      </c>
      <c r="G96" s="1">
        <v>10367.25</v>
      </c>
    </row>
    <row r="97" spans="1:7">
      <c r="A97" s="69"/>
      <c r="B97" s="73" t="s">
        <v>147</v>
      </c>
      <c r="C97" s="3" t="s">
        <v>148</v>
      </c>
      <c r="D97" s="4">
        <v>3946.15</v>
      </c>
    </row>
    <row r="98" spans="1:7">
      <c r="A98" s="69"/>
      <c r="B98" s="69"/>
      <c r="C98" s="5" t="s">
        <v>149</v>
      </c>
      <c r="D98" s="1">
        <v>3946.15</v>
      </c>
    </row>
    <row r="99" spans="1:7">
      <c r="A99" s="69"/>
      <c r="B99" s="73" t="s">
        <v>150</v>
      </c>
      <c r="C99" s="3" t="s">
        <v>151</v>
      </c>
      <c r="D99" s="4">
        <v>7187.87</v>
      </c>
    </row>
    <row r="100" spans="1:7">
      <c r="A100" s="69"/>
      <c r="B100" s="69"/>
      <c r="C100" s="5" t="s">
        <v>152</v>
      </c>
      <c r="D100" s="1">
        <v>7187.87</v>
      </c>
    </row>
    <row r="101" spans="1:7">
      <c r="A101" s="69"/>
      <c r="B101" s="73" t="s">
        <v>153</v>
      </c>
      <c r="C101" s="3" t="s">
        <v>154</v>
      </c>
      <c r="D101" s="4">
        <v>2159</v>
      </c>
      <c r="E101" s="4">
        <v>2595.4</v>
      </c>
      <c r="G101" s="4">
        <v>7983.27</v>
      </c>
    </row>
    <row r="102" spans="1:7">
      <c r="A102" s="69"/>
      <c r="B102" s="69"/>
      <c r="C102" s="5" t="s">
        <v>155</v>
      </c>
      <c r="D102" s="1">
        <v>2159</v>
      </c>
      <c r="E102" s="1">
        <v>2595.4</v>
      </c>
      <c r="G102" s="1">
        <v>7983.27</v>
      </c>
    </row>
    <row r="103" spans="1:7">
      <c r="A103" s="69"/>
      <c r="B103" s="73" t="s">
        <v>156</v>
      </c>
      <c r="C103" s="3" t="s">
        <v>157</v>
      </c>
      <c r="D103" s="4">
        <v>34413.18</v>
      </c>
      <c r="E103" s="4">
        <v>1622.82</v>
      </c>
      <c r="F103" s="4">
        <v>140548.68</v>
      </c>
    </row>
    <row r="104" spans="1:7">
      <c r="A104" s="69"/>
      <c r="B104" s="69"/>
      <c r="C104" s="5" t="s">
        <v>158</v>
      </c>
      <c r="D104" s="1">
        <v>34413.18</v>
      </c>
      <c r="E104" s="1">
        <v>1622.82</v>
      </c>
      <c r="F104" s="1">
        <v>140548.68</v>
      </c>
    </row>
    <row r="105" spans="1:7">
      <c r="A105" s="69"/>
      <c r="B105" s="73" t="s">
        <v>159</v>
      </c>
      <c r="C105" s="3" t="s">
        <v>160</v>
      </c>
      <c r="D105" s="4">
        <v>20316.48</v>
      </c>
      <c r="F105" s="4">
        <v>30116.92</v>
      </c>
      <c r="G105" s="4">
        <v>1746.41</v>
      </c>
    </row>
    <row r="106" spans="1:7">
      <c r="A106" s="69"/>
      <c r="B106" s="69"/>
      <c r="C106" s="5" t="s">
        <v>161</v>
      </c>
      <c r="D106" s="1">
        <v>20316.48</v>
      </c>
      <c r="F106" s="1">
        <v>30116.92</v>
      </c>
      <c r="G106" s="1">
        <v>1746.41</v>
      </c>
    </row>
    <row r="107" spans="1:7">
      <c r="A107" s="69"/>
      <c r="B107" s="73" t="s">
        <v>162</v>
      </c>
      <c r="C107" s="3" t="s">
        <v>163</v>
      </c>
      <c r="D107" s="4">
        <v>124764.3</v>
      </c>
      <c r="E107" s="4">
        <v>4827.49</v>
      </c>
      <c r="F107" s="4">
        <v>383338.29</v>
      </c>
    </row>
    <row r="108" spans="1:7">
      <c r="A108" s="69"/>
      <c r="B108" s="69"/>
      <c r="C108" s="5" t="s">
        <v>164</v>
      </c>
      <c r="D108" s="1">
        <v>124764.3</v>
      </c>
      <c r="E108" s="1">
        <v>4827.49</v>
      </c>
      <c r="F108" s="1">
        <v>383338.29</v>
      </c>
    </row>
    <row r="109" spans="1:7">
      <c r="A109" s="69"/>
      <c r="B109" s="73" t="s">
        <v>165</v>
      </c>
      <c r="C109" s="3" t="s">
        <v>166</v>
      </c>
      <c r="D109" s="4">
        <v>75084.320000000007</v>
      </c>
      <c r="E109" s="4">
        <v>1210.03</v>
      </c>
      <c r="F109" s="4">
        <v>84677.67</v>
      </c>
    </row>
    <row r="110" spans="1:7">
      <c r="A110" s="69"/>
      <c r="B110" s="69"/>
      <c r="C110" s="5" t="s">
        <v>167</v>
      </c>
      <c r="D110" s="1">
        <v>75084.320000000007</v>
      </c>
      <c r="E110" s="1">
        <v>1210.03</v>
      </c>
      <c r="F110" s="1">
        <v>84677.67</v>
      </c>
    </row>
    <row r="111" spans="1:7">
      <c r="A111" s="69"/>
      <c r="B111" s="73" t="s">
        <v>168</v>
      </c>
      <c r="C111" s="3" t="s">
        <v>169</v>
      </c>
      <c r="D111" s="4">
        <v>28053.45</v>
      </c>
      <c r="E111" s="4">
        <v>75.7</v>
      </c>
      <c r="F111" s="4">
        <v>109586.26</v>
      </c>
    </row>
    <row r="112" spans="1:7">
      <c r="A112" s="69"/>
      <c r="B112" s="69"/>
      <c r="C112" s="5" t="s">
        <v>170</v>
      </c>
      <c r="D112" s="1">
        <v>28053.45</v>
      </c>
      <c r="E112" s="1">
        <v>75.7</v>
      </c>
      <c r="F112" s="1">
        <v>109586.26</v>
      </c>
    </row>
    <row r="113" spans="1:8">
      <c r="A113" s="69"/>
      <c r="B113" s="73" t="s">
        <v>171</v>
      </c>
      <c r="C113" s="3" t="s">
        <v>172</v>
      </c>
      <c r="D113" s="4">
        <v>26051.51</v>
      </c>
      <c r="E113" s="4">
        <v>1238.1300000000001</v>
      </c>
      <c r="F113" s="4">
        <v>113098.16</v>
      </c>
    </row>
    <row r="114" spans="1:8">
      <c r="A114" s="69"/>
      <c r="B114" s="69"/>
      <c r="C114" s="5" t="s">
        <v>173</v>
      </c>
      <c r="D114" s="1">
        <v>26051.51</v>
      </c>
      <c r="E114" s="1">
        <v>1238.1300000000001</v>
      </c>
      <c r="F114" s="1">
        <v>113098.16</v>
      </c>
    </row>
    <row r="115" spans="1:8">
      <c r="A115" s="69"/>
      <c r="B115" s="73" t="s">
        <v>174</v>
      </c>
      <c r="C115" s="3" t="s">
        <v>175</v>
      </c>
      <c r="D115" s="4">
        <v>27286.85</v>
      </c>
      <c r="F115" s="4">
        <v>104472.34</v>
      </c>
    </row>
    <row r="116" spans="1:8">
      <c r="A116" s="69"/>
      <c r="B116" s="69"/>
      <c r="C116" s="5" t="s">
        <v>176</v>
      </c>
      <c r="D116" s="1">
        <v>27286.85</v>
      </c>
      <c r="F116" s="1">
        <v>104472.34</v>
      </c>
    </row>
    <row r="117" spans="1:8">
      <c r="A117" s="69"/>
      <c r="B117" s="73" t="s">
        <v>177</v>
      </c>
      <c r="C117" s="3" t="s">
        <v>178</v>
      </c>
      <c r="D117" s="4">
        <v>20576.93</v>
      </c>
      <c r="E117" s="4">
        <v>42.5</v>
      </c>
      <c r="F117" s="4">
        <v>74358.13</v>
      </c>
      <c r="G117" s="4">
        <v>1147.04</v>
      </c>
      <c r="H117" s="4">
        <v>238.3</v>
      </c>
    </row>
    <row r="118" spans="1:8">
      <c r="A118" s="69"/>
      <c r="B118" s="69"/>
      <c r="C118" s="5" t="s">
        <v>179</v>
      </c>
      <c r="D118" s="1">
        <v>20576.93</v>
      </c>
      <c r="E118" s="1">
        <v>42.5</v>
      </c>
      <c r="F118" s="1">
        <v>74358.13</v>
      </c>
      <c r="G118" s="1">
        <v>1147.04</v>
      </c>
      <c r="H118" s="1">
        <v>238.3</v>
      </c>
    </row>
    <row r="119" spans="1:8">
      <c r="A119" s="69"/>
      <c r="B119" s="73" t="s">
        <v>180</v>
      </c>
      <c r="C119" s="3" t="s">
        <v>181</v>
      </c>
      <c r="D119" s="4">
        <v>17000.03</v>
      </c>
      <c r="E119" s="4">
        <v>1520.08</v>
      </c>
      <c r="F119" s="4">
        <v>59999.31</v>
      </c>
      <c r="G119" s="4">
        <v>823.12</v>
      </c>
    </row>
    <row r="120" spans="1:8">
      <c r="A120" s="69"/>
      <c r="B120" s="69"/>
      <c r="C120" s="5" t="s">
        <v>182</v>
      </c>
      <c r="D120" s="1">
        <v>17000.03</v>
      </c>
      <c r="E120" s="1">
        <v>1520.08</v>
      </c>
      <c r="F120" s="1">
        <v>59999.31</v>
      </c>
      <c r="G120" s="1">
        <v>823.12</v>
      </c>
    </row>
    <row r="121" spans="1:8">
      <c r="A121" s="69"/>
      <c r="B121" s="73" t="s">
        <v>183</v>
      </c>
      <c r="C121" s="3" t="s">
        <v>184</v>
      </c>
      <c r="D121" s="4">
        <v>14548.11</v>
      </c>
      <c r="F121" s="4">
        <v>72935.87</v>
      </c>
    </row>
    <row r="122" spans="1:8">
      <c r="A122" s="69"/>
      <c r="B122" s="69"/>
      <c r="C122" s="5" t="s">
        <v>185</v>
      </c>
      <c r="D122" s="1">
        <v>14548.11</v>
      </c>
      <c r="F122" s="1">
        <v>72935.87</v>
      </c>
    </row>
    <row r="123" spans="1:8">
      <c r="A123" s="69"/>
      <c r="B123" s="73" t="s">
        <v>186</v>
      </c>
      <c r="C123" s="3" t="s">
        <v>187</v>
      </c>
      <c r="D123" s="4">
        <v>12715.79</v>
      </c>
      <c r="F123" s="4">
        <v>23499.18</v>
      </c>
    </row>
    <row r="124" spans="1:8">
      <c r="A124" s="69"/>
      <c r="B124" s="69"/>
      <c r="C124" s="5" t="s">
        <v>188</v>
      </c>
      <c r="D124" s="1">
        <v>12715.79</v>
      </c>
      <c r="F124" s="1">
        <v>23499.18</v>
      </c>
    </row>
    <row r="125" spans="1:8">
      <c r="A125" s="69"/>
      <c r="B125" s="73" t="s">
        <v>189</v>
      </c>
      <c r="C125" s="3" t="s">
        <v>190</v>
      </c>
      <c r="D125" s="4">
        <v>20262.61</v>
      </c>
      <c r="F125" s="4">
        <v>43353.31</v>
      </c>
      <c r="G125" s="4">
        <v>359.12</v>
      </c>
    </row>
    <row r="126" spans="1:8">
      <c r="A126" s="69"/>
      <c r="B126" s="69"/>
      <c r="C126" s="5" t="s">
        <v>191</v>
      </c>
      <c r="D126" s="1">
        <v>20262.61</v>
      </c>
      <c r="F126" s="1">
        <v>43353.31</v>
      </c>
      <c r="G126" s="1">
        <v>359.12</v>
      </c>
    </row>
    <row r="127" spans="1:8">
      <c r="A127" s="69"/>
      <c r="B127" s="73" t="s">
        <v>192</v>
      </c>
      <c r="C127" s="3" t="s">
        <v>193</v>
      </c>
      <c r="D127" s="4">
        <v>33535.410000000003</v>
      </c>
      <c r="E127" s="4">
        <v>380</v>
      </c>
      <c r="F127" s="4">
        <v>97941.69</v>
      </c>
    </row>
    <row r="128" spans="1:8">
      <c r="A128" s="69"/>
      <c r="B128" s="69"/>
      <c r="C128" s="5" t="s">
        <v>194</v>
      </c>
      <c r="D128" s="1">
        <v>33535.410000000003</v>
      </c>
      <c r="E128" s="1">
        <v>380</v>
      </c>
      <c r="F128" s="1">
        <v>97941.69</v>
      </c>
    </row>
    <row r="129" spans="1:8">
      <c r="A129" s="69"/>
      <c r="B129" s="73" t="s">
        <v>195</v>
      </c>
      <c r="C129" s="3" t="s">
        <v>196</v>
      </c>
      <c r="D129" s="4">
        <v>81943.350000000006</v>
      </c>
      <c r="F129" s="4">
        <v>119903.71</v>
      </c>
      <c r="G129" s="4">
        <v>1351.6</v>
      </c>
    </row>
    <row r="130" spans="1:8">
      <c r="A130" s="69"/>
      <c r="B130" s="69"/>
      <c r="C130" s="5" t="s">
        <v>197</v>
      </c>
      <c r="D130" s="1">
        <v>81943.350000000006</v>
      </c>
      <c r="F130" s="1">
        <v>119903.71</v>
      </c>
      <c r="G130" s="1">
        <v>1351.6</v>
      </c>
    </row>
    <row r="131" spans="1:8">
      <c r="A131" s="69"/>
      <c r="B131" s="73" t="s">
        <v>198</v>
      </c>
      <c r="C131" s="3" t="s">
        <v>199</v>
      </c>
      <c r="D131" s="4">
        <v>8058.17</v>
      </c>
      <c r="E131" s="4">
        <v>97.76</v>
      </c>
      <c r="F131" s="4">
        <v>23167.83</v>
      </c>
      <c r="G131" s="4">
        <v>204.315</v>
      </c>
      <c r="H131" s="4">
        <v>44</v>
      </c>
    </row>
    <row r="132" spans="1:8">
      <c r="A132" s="69"/>
      <c r="B132" s="69"/>
      <c r="C132" s="5" t="s">
        <v>200</v>
      </c>
      <c r="D132" s="1">
        <v>8058.17</v>
      </c>
      <c r="E132" s="1">
        <v>97.76</v>
      </c>
      <c r="F132" s="1">
        <v>23167.83</v>
      </c>
      <c r="G132" s="1">
        <v>204.315</v>
      </c>
      <c r="H132" s="1">
        <v>44</v>
      </c>
    </row>
    <row r="133" spans="1:8">
      <c r="A133" s="69"/>
      <c r="B133" s="73" t="s">
        <v>201</v>
      </c>
      <c r="C133" s="3" t="s">
        <v>202</v>
      </c>
      <c r="D133" s="4">
        <v>16710.91</v>
      </c>
      <c r="E133" s="4">
        <v>1045.6199999999999</v>
      </c>
      <c r="F133" s="4">
        <v>52732.54</v>
      </c>
      <c r="G133" s="4">
        <v>101.58</v>
      </c>
    </row>
    <row r="134" spans="1:8">
      <c r="A134" s="69"/>
      <c r="B134" s="69"/>
      <c r="C134" s="5" t="s">
        <v>203</v>
      </c>
      <c r="D134" s="1">
        <v>16710.91</v>
      </c>
      <c r="E134" s="1">
        <v>1045.6199999999999</v>
      </c>
      <c r="F134" s="1">
        <v>52732.54</v>
      </c>
      <c r="G134" s="1">
        <v>101.58</v>
      </c>
    </row>
    <row r="135" spans="1:8">
      <c r="A135" s="69"/>
      <c r="B135" s="73" t="s">
        <v>204</v>
      </c>
      <c r="C135" s="3" t="s">
        <v>205</v>
      </c>
      <c r="D135" s="4">
        <v>12994.69</v>
      </c>
      <c r="E135" s="4">
        <v>236.05</v>
      </c>
      <c r="F135" s="4">
        <v>35323.050000000003</v>
      </c>
      <c r="G135" s="4">
        <v>596.24</v>
      </c>
      <c r="H135" s="4">
        <v>214</v>
      </c>
    </row>
    <row r="136" spans="1:8">
      <c r="A136" s="69"/>
      <c r="B136" s="69"/>
      <c r="C136" s="5" t="s">
        <v>206</v>
      </c>
      <c r="D136" s="1">
        <v>12994.69</v>
      </c>
      <c r="E136" s="1">
        <v>236.05</v>
      </c>
      <c r="F136" s="1">
        <v>35323.050000000003</v>
      </c>
      <c r="G136" s="1">
        <v>596.24</v>
      </c>
      <c r="H136" s="1">
        <v>214</v>
      </c>
    </row>
    <row r="137" spans="1:8">
      <c r="A137" s="69"/>
      <c r="B137" s="73" t="s">
        <v>207</v>
      </c>
      <c r="C137" s="3" t="s">
        <v>208</v>
      </c>
      <c r="D137" s="4">
        <v>35733.33</v>
      </c>
      <c r="E137" s="4">
        <v>667.61</v>
      </c>
      <c r="F137" s="4">
        <v>142827.39000000001</v>
      </c>
      <c r="G137" s="4">
        <v>2401.21</v>
      </c>
      <c r="H137" s="4">
        <v>149.03</v>
      </c>
    </row>
    <row r="138" spans="1:8">
      <c r="A138" s="69"/>
      <c r="B138" s="69"/>
      <c r="C138" s="5" t="s">
        <v>209</v>
      </c>
      <c r="D138" s="1">
        <v>35733.33</v>
      </c>
      <c r="E138" s="1">
        <v>667.61</v>
      </c>
      <c r="F138" s="1">
        <v>142827.39000000001</v>
      </c>
      <c r="G138" s="1">
        <v>2401.21</v>
      </c>
      <c r="H138" s="1">
        <v>149.03</v>
      </c>
    </row>
    <row r="139" spans="1:8">
      <c r="A139" s="69"/>
      <c r="B139" s="73" t="s">
        <v>210</v>
      </c>
      <c r="C139" s="3" t="s">
        <v>211</v>
      </c>
      <c r="D139" s="4">
        <v>145542.22</v>
      </c>
      <c r="E139" s="4">
        <v>3848.13</v>
      </c>
      <c r="F139" s="4">
        <v>225209.27</v>
      </c>
      <c r="G139" s="4">
        <v>856.45</v>
      </c>
    </row>
    <row r="140" spans="1:8">
      <c r="A140" s="69"/>
      <c r="B140" s="69"/>
      <c r="C140" s="5" t="s">
        <v>212</v>
      </c>
      <c r="D140" s="1">
        <v>145542.22</v>
      </c>
      <c r="E140" s="1">
        <v>3848.13</v>
      </c>
      <c r="F140" s="1">
        <v>225209.27</v>
      </c>
      <c r="G140" s="1">
        <v>856.45</v>
      </c>
    </row>
    <row r="141" spans="1:8">
      <c r="A141" s="69"/>
      <c r="B141" s="73" t="s">
        <v>213</v>
      </c>
      <c r="C141" s="3" t="s">
        <v>214</v>
      </c>
      <c r="D141" s="4">
        <v>8282.5400000000009</v>
      </c>
      <c r="F141" s="4">
        <v>8282.5400000000009</v>
      </c>
      <c r="G141" s="4">
        <v>372.34500000000003</v>
      </c>
      <c r="H141" s="4">
        <v>140.5</v>
      </c>
    </row>
    <row r="142" spans="1:8">
      <c r="A142" s="69"/>
      <c r="B142" s="69"/>
      <c r="C142" s="5" t="s">
        <v>215</v>
      </c>
      <c r="D142" s="1">
        <v>8282.5400000000009</v>
      </c>
      <c r="F142" s="1">
        <v>8282.5400000000009</v>
      </c>
      <c r="G142" s="1">
        <v>372.34500000000003</v>
      </c>
      <c r="H142" s="1">
        <v>140.5</v>
      </c>
    </row>
    <row r="143" spans="1:8">
      <c r="A143" s="69"/>
      <c r="B143" s="73" t="s">
        <v>216</v>
      </c>
      <c r="C143" s="3" t="s">
        <v>217</v>
      </c>
      <c r="F143" s="4">
        <v>24750</v>
      </c>
    </row>
    <row r="144" spans="1:8">
      <c r="A144" s="69"/>
      <c r="B144" s="69"/>
      <c r="C144" s="5" t="s">
        <v>218</v>
      </c>
      <c r="F144" s="1">
        <v>24750</v>
      </c>
    </row>
    <row r="145" spans="1:8">
      <c r="A145" s="69"/>
      <c r="B145" s="73" t="s">
        <v>219</v>
      </c>
      <c r="C145" s="3" t="s">
        <v>220</v>
      </c>
      <c r="F145" s="4">
        <v>7570.5</v>
      </c>
    </row>
    <row r="146" spans="1:8">
      <c r="A146" s="69"/>
      <c r="B146" s="69"/>
      <c r="C146" s="5" t="s">
        <v>221</v>
      </c>
      <c r="F146" s="1">
        <v>7570.5</v>
      </c>
    </row>
    <row r="147" spans="1:8">
      <c r="A147" s="69"/>
      <c r="B147" s="73" t="s">
        <v>222</v>
      </c>
      <c r="C147" s="3" t="s">
        <v>223</v>
      </c>
      <c r="D147" s="4">
        <v>2182</v>
      </c>
      <c r="F147" s="4">
        <v>3196.71</v>
      </c>
    </row>
    <row r="148" spans="1:8">
      <c r="A148" s="69"/>
      <c r="B148" s="69"/>
      <c r="C148" s="5" t="s">
        <v>224</v>
      </c>
      <c r="D148" s="1">
        <v>2182</v>
      </c>
      <c r="F148" s="1">
        <v>3196.71</v>
      </c>
    </row>
    <row r="149" spans="1:8">
      <c r="A149" s="69"/>
      <c r="B149" s="73" t="s">
        <v>225</v>
      </c>
      <c r="C149" s="3" t="s">
        <v>226</v>
      </c>
      <c r="D149" s="4">
        <v>40066.1</v>
      </c>
      <c r="E149" s="4">
        <v>2040.17</v>
      </c>
      <c r="F149" s="4">
        <v>100658.64</v>
      </c>
      <c r="G149" s="4">
        <v>3348.2350000000001</v>
      </c>
      <c r="H149" s="4">
        <v>1395.84</v>
      </c>
    </row>
    <row r="150" spans="1:8">
      <c r="A150" s="69"/>
      <c r="B150" s="69"/>
      <c r="C150" s="5" t="s">
        <v>227</v>
      </c>
      <c r="D150" s="1">
        <v>40066.1</v>
      </c>
      <c r="E150" s="1">
        <v>2040.17</v>
      </c>
      <c r="F150" s="1">
        <v>100658.64</v>
      </c>
      <c r="G150" s="1">
        <v>3348.2350000000001</v>
      </c>
      <c r="H150" s="1">
        <v>1395.84</v>
      </c>
    </row>
    <row r="151" spans="1:8">
      <c r="A151" s="69"/>
      <c r="B151" s="73" t="s">
        <v>228</v>
      </c>
      <c r="C151" s="3" t="s">
        <v>229</v>
      </c>
      <c r="D151" s="4">
        <v>23215.01</v>
      </c>
      <c r="E151" s="4">
        <v>940.57</v>
      </c>
      <c r="F151" s="4">
        <v>70126.490000000005</v>
      </c>
      <c r="G151" s="4">
        <v>213.52</v>
      </c>
    </row>
    <row r="152" spans="1:8">
      <c r="A152" s="69"/>
      <c r="B152" s="69"/>
      <c r="C152" s="5" t="s">
        <v>230</v>
      </c>
      <c r="D152" s="1">
        <v>23215.01</v>
      </c>
      <c r="E152" s="1">
        <v>940.57</v>
      </c>
      <c r="F152" s="1">
        <v>70126.490000000005</v>
      </c>
      <c r="G152" s="1">
        <v>213.52</v>
      </c>
    </row>
    <row r="153" spans="1:8">
      <c r="A153" s="69"/>
      <c r="B153" s="73" t="s">
        <v>231</v>
      </c>
      <c r="C153" s="3" t="s">
        <v>232</v>
      </c>
      <c r="D153" s="4">
        <v>38364.339999999997</v>
      </c>
      <c r="E153" s="4">
        <v>2557.3200000000002</v>
      </c>
      <c r="F153" s="4">
        <v>158927.79</v>
      </c>
      <c r="G153" s="4">
        <v>623.74</v>
      </c>
    </row>
    <row r="154" spans="1:8">
      <c r="A154" s="69"/>
      <c r="B154" s="69"/>
      <c r="C154" s="5" t="s">
        <v>233</v>
      </c>
      <c r="D154" s="1">
        <v>38364.339999999997</v>
      </c>
      <c r="E154" s="1">
        <v>2557.3200000000002</v>
      </c>
      <c r="F154" s="1">
        <v>158927.79</v>
      </c>
      <c r="G154" s="1">
        <v>623.74</v>
      </c>
    </row>
    <row r="155" spans="1:8">
      <c r="A155" s="69"/>
      <c r="B155" s="73" t="s">
        <v>234</v>
      </c>
      <c r="C155" s="3" t="s">
        <v>235</v>
      </c>
      <c r="D155" s="4">
        <v>28833.96</v>
      </c>
      <c r="E155" s="4">
        <v>1814.04</v>
      </c>
      <c r="F155" s="4">
        <v>39541.879999999997</v>
      </c>
      <c r="G155" s="4">
        <v>2147.125</v>
      </c>
    </row>
    <row r="156" spans="1:8">
      <c r="A156" s="69"/>
      <c r="B156" s="69"/>
      <c r="C156" s="5" t="s">
        <v>236</v>
      </c>
      <c r="D156" s="1">
        <v>28833.96</v>
      </c>
      <c r="E156" s="1">
        <v>1814.04</v>
      </c>
      <c r="F156" s="1">
        <v>39541.879999999997</v>
      </c>
      <c r="G156" s="1">
        <v>2147.125</v>
      </c>
    </row>
    <row r="157" spans="1:8">
      <c r="A157" s="69"/>
      <c r="B157" s="73" t="s">
        <v>237</v>
      </c>
      <c r="C157" s="3" t="s">
        <v>238</v>
      </c>
      <c r="D157" s="4">
        <v>14583.8</v>
      </c>
      <c r="E157" s="4">
        <v>893.99</v>
      </c>
      <c r="F157" s="4">
        <v>23682.3</v>
      </c>
    </row>
    <row r="158" spans="1:8">
      <c r="A158" s="69"/>
      <c r="B158" s="69"/>
      <c r="C158" s="5" t="s">
        <v>239</v>
      </c>
      <c r="D158" s="1">
        <v>14583.8</v>
      </c>
      <c r="E158" s="1">
        <v>893.99</v>
      </c>
      <c r="F158" s="1">
        <v>23682.3</v>
      </c>
    </row>
    <row r="159" spans="1:8">
      <c r="A159" s="69"/>
      <c r="B159" s="73" t="s">
        <v>240</v>
      </c>
      <c r="C159" s="3" t="s">
        <v>241</v>
      </c>
      <c r="D159" s="4">
        <v>7767.37</v>
      </c>
      <c r="E159" s="4">
        <v>105.67</v>
      </c>
      <c r="F159" s="4">
        <v>34230.28</v>
      </c>
      <c r="G159" s="4">
        <v>231.065</v>
      </c>
      <c r="H159" s="4">
        <v>75.5</v>
      </c>
    </row>
    <row r="160" spans="1:8">
      <c r="A160" s="69"/>
      <c r="B160" s="69"/>
      <c r="C160" s="5" t="s">
        <v>242</v>
      </c>
      <c r="D160" s="1">
        <v>7767.37</v>
      </c>
      <c r="E160" s="1">
        <v>105.67</v>
      </c>
      <c r="F160" s="1">
        <v>34230.28</v>
      </c>
      <c r="G160" s="1">
        <v>231.065</v>
      </c>
      <c r="H160" s="1">
        <v>75.5</v>
      </c>
    </row>
    <row r="161" spans="1:8">
      <c r="A161" s="69"/>
      <c r="B161" s="73" t="s">
        <v>243</v>
      </c>
      <c r="C161" s="3" t="s">
        <v>244</v>
      </c>
      <c r="D161" s="4">
        <v>7243.07</v>
      </c>
      <c r="E161" s="4">
        <v>317.82</v>
      </c>
      <c r="G161" s="4">
        <v>497.96</v>
      </c>
    </row>
    <row r="162" spans="1:8">
      <c r="A162" s="69"/>
      <c r="B162" s="69"/>
      <c r="C162" s="5" t="s">
        <v>245</v>
      </c>
      <c r="D162" s="1">
        <v>7243.07</v>
      </c>
      <c r="E162" s="1">
        <v>317.82</v>
      </c>
      <c r="G162" s="1">
        <v>497.96</v>
      </c>
    </row>
    <row r="163" spans="1:8">
      <c r="A163" s="69"/>
      <c r="B163" s="73" t="s">
        <v>246</v>
      </c>
      <c r="C163" s="3" t="s">
        <v>247</v>
      </c>
      <c r="D163" s="4">
        <v>29455.55</v>
      </c>
      <c r="E163" s="4">
        <v>292.37</v>
      </c>
      <c r="F163" s="4">
        <v>62574.3</v>
      </c>
      <c r="G163" s="4">
        <v>2186.1999999999998</v>
      </c>
      <c r="H163" s="4">
        <v>678.27</v>
      </c>
    </row>
    <row r="164" spans="1:8">
      <c r="A164" s="69"/>
      <c r="B164" s="69"/>
      <c r="C164" s="5" t="s">
        <v>248</v>
      </c>
      <c r="D164" s="1">
        <v>29455.55</v>
      </c>
      <c r="E164" s="1">
        <v>292.37</v>
      </c>
      <c r="F164" s="1">
        <v>62574.3</v>
      </c>
      <c r="G164" s="1">
        <v>2186.1999999999998</v>
      </c>
      <c r="H164" s="1">
        <v>678.27</v>
      </c>
    </row>
    <row r="165" spans="1:8">
      <c r="A165" s="69"/>
      <c r="B165" s="73" t="s">
        <v>249</v>
      </c>
      <c r="C165" s="3" t="s">
        <v>250</v>
      </c>
      <c r="D165" s="4">
        <v>101350.43</v>
      </c>
      <c r="E165" s="4">
        <v>1125</v>
      </c>
      <c r="F165" s="4">
        <v>356198.36</v>
      </c>
      <c r="G165" s="4">
        <v>4677.99</v>
      </c>
    </row>
    <row r="166" spans="1:8">
      <c r="A166" s="69"/>
      <c r="B166" s="69"/>
      <c r="C166" s="5" t="s">
        <v>251</v>
      </c>
      <c r="D166" s="1">
        <v>101350.43</v>
      </c>
      <c r="E166" s="1">
        <v>1125</v>
      </c>
      <c r="F166" s="1">
        <v>356198.36</v>
      </c>
      <c r="G166" s="1">
        <v>4677.99</v>
      </c>
    </row>
    <row r="167" spans="1:8">
      <c r="A167" s="69"/>
      <c r="B167" s="73" t="s">
        <v>252</v>
      </c>
      <c r="C167" s="3" t="s">
        <v>253</v>
      </c>
      <c r="D167" s="4">
        <v>48048.69</v>
      </c>
      <c r="F167" s="4">
        <v>59133.97</v>
      </c>
      <c r="G167" s="4">
        <v>48.06</v>
      </c>
    </row>
    <row r="168" spans="1:8">
      <c r="A168" s="69"/>
      <c r="B168" s="69"/>
      <c r="C168" s="5" t="s">
        <v>254</v>
      </c>
      <c r="D168" s="1">
        <v>48048.69</v>
      </c>
      <c r="F168" s="1">
        <v>59133.97</v>
      </c>
      <c r="G168" s="1">
        <v>48.06</v>
      </c>
    </row>
    <row r="169" spans="1:8">
      <c r="A169" s="69"/>
      <c r="B169" s="73" t="s">
        <v>255</v>
      </c>
      <c r="C169" s="3" t="s">
        <v>256</v>
      </c>
      <c r="D169" s="4">
        <v>126243.16</v>
      </c>
      <c r="F169" s="4">
        <v>129713.48</v>
      </c>
      <c r="G169" s="4">
        <v>760.78</v>
      </c>
    </row>
    <row r="170" spans="1:8">
      <c r="A170" s="69"/>
      <c r="B170" s="69"/>
      <c r="C170" s="5" t="s">
        <v>257</v>
      </c>
      <c r="D170" s="1">
        <v>126243.16</v>
      </c>
      <c r="F170" s="1">
        <v>129713.48</v>
      </c>
      <c r="G170" s="1">
        <v>760.78</v>
      </c>
    </row>
    <row r="171" spans="1:8">
      <c r="A171" s="69"/>
      <c r="B171" s="73" t="s">
        <v>258</v>
      </c>
      <c r="C171" s="3" t="s">
        <v>259</v>
      </c>
      <c r="D171" s="4">
        <v>93168.63</v>
      </c>
      <c r="E171" s="4">
        <v>57.84</v>
      </c>
      <c r="F171" s="4">
        <v>406878.01</v>
      </c>
      <c r="G171" s="4">
        <v>493.57</v>
      </c>
      <c r="H171" s="4">
        <v>187.2</v>
      </c>
    </row>
    <row r="172" spans="1:8">
      <c r="A172" s="69"/>
      <c r="B172" s="69"/>
      <c r="C172" s="5" t="s">
        <v>260</v>
      </c>
      <c r="D172" s="1">
        <v>93168.63</v>
      </c>
      <c r="E172" s="1">
        <v>57.84</v>
      </c>
      <c r="F172" s="1">
        <v>406878.01</v>
      </c>
      <c r="G172" s="1">
        <v>493.57</v>
      </c>
      <c r="H172" s="1">
        <v>187.2</v>
      </c>
    </row>
    <row r="173" spans="1:8">
      <c r="A173" s="69"/>
      <c r="B173" s="73" t="s">
        <v>261</v>
      </c>
      <c r="C173" s="3" t="s">
        <v>262</v>
      </c>
      <c r="D173" s="4">
        <v>26986.44</v>
      </c>
      <c r="E173" s="4">
        <v>9.5</v>
      </c>
      <c r="F173" s="4">
        <v>85806.98</v>
      </c>
      <c r="G173" s="4">
        <v>179.12</v>
      </c>
    </row>
    <row r="174" spans="1:8">
      <c r="A174" s="69"/>
      <c r="B174" s="69"/>
      <c r="C174" s="5" t="s">
        <v>263</v>
      </c>
      <c r="D174" s="1">
        <v>26986.44</v>
      </c>
      <c r="E174" s="1">
        <v>9.5</v>
      </c>
      <c r="F174" s="1">
        <v>85806.98</v>
      </c>
      <c r="G174" s="1">
        <v>179.12</v>
      </c>
    </row>
    <row r="175" spans="1:8">
      <c r="A175" s="69"/>
      <c r="B175" s="73" t="s">
        <v>264</v>
      </c>
      <c r="C175" s="3" t="s">
        <v>265</v>
      </c>
      <c r="D175" s="4">
        <v>35220.03</v>
      </c>
      <c r="F175" s="4">
        <v>56872.65</v>
      </c>
      <c r="G175" s="4">
        <v>33.86</v>
      </c>
    </row>
    <row r="176" spans="1:8">
      <c r="A176" s="69"/>
      <c r="B176" s="69"/>
      <c r="C176" s="5" t="s">
        <v>266</v>
      </c>
      <c r="D176" s="1">
        <v>35220.03</v>
      </c>
      <c r="F176" s="1">
        <v>56872.65</v>
      </c>
      <c r="G176" s="1">
        <v>33.86</v>
      </c>
    </row>
    <row r="177" spans="1:8">
      <c r="A177" s="69"/>
      <c r="B177" s="73" t="s">
        <v>267</v>
      </c>
      <c r="C177" s="3" t="s">
        <v>268</v>
      </c>
      <c r="D177" s="4">
        <v>54412.66</v>
      </c>
      <c r="E177" s="4">
        <v>3582.25</v>
      </c>
      <c r="F177" s="4">
        <v>187768.71</v>
      </c>
      <c r="G177" s="4">
        <v>168.97</v>
      </c>
      <c r="H177" s="4">
        <v>255.32</v>
      </c>
    </row>
    <row r="178" spans="1:8">
      <c r="A178" s="69"/>
      <c r="B178" s="69"/>
      <c r="C178" s="5" t="s">
        <v>269</v>
      </c>
      <c r="D178" s="1">
        <v>54412.66</v>
      </c>
      <c r="E178" s="1">
        <v>3582.25</v>
      </c>
      <c r="F178" s="1">
        <v>187768.71</v>
      </c>
      <c r="G178" s="1">
        <v>168.97</v>
      </c>
      <c r="H178" s="1">
        <v>255.32</v>
      </c>
    </row>
    <row r="179" spans="1:8">
      <c r="A179" s="69"/>
      <c r="B179" s="73" t="s">
        <v>270</v>
      </c>
      <c r="C179" s="3" t="s">
        <v>271</v>
      </c>
      <c r="D179" s="4">
        <v>9547.24</v>
      </c>
      <c r="E179" s="4">
        <v>47.4</v>
      </c>
      <c r="F179" s="4">
        <v>23079.919999999998</v>
      </c>
      <c r="G179" s="4">
        <v>894.45</v>
      </c>
      <c r="H179" s="4">
        <v>527.65</v>
      </c>
    </row>
    <row r="180" spans="1:8">
      <c r="A180" s="69"/>
      <c r="B180" s="69"/>
      <c r="C180" s="5" t="s">
        <v>272</v>
      </c>
      <c r="D180" s="1">
        <v>9547.24</v>
      </c>
      <c r="E180" s="1">
        <v>47.4</v>
      </c>
      <c r="F180" s="1">
        <v>23079.919999999998</v>
      </c>
      <c r="G180" s="1">
        <v>894.45</v>
      </c>
      <c r="H180" s="1">
        <v>527.65</v>
      </c>
    </row>
    <row r="181" spans="1:8">
      <c r="A181" s="69"/>
      <c r="B181" s="73" t="s">
        <v>273</v>
      </c>
      <c r="C181" s="3" t="s">
        <v>274</v>
      </c>
      <c r="D181" s="4">
        <v>89252.78</v>
      </c>
      <c r="F181" s="4">
        <v>226998.93</v>
      </c>
      <c r="G181" s="4">
        <v>5840.64</v>
      </c>
    </row>
    <row r="182" spans="1:8">
      <c r="A182" s="69"/>
      <c r="B182" s="69"/>
      <c r="C182" s="5" t="s">
        <v>275</v>
      </c>
      <c r="D182" s="1">
        <v>89252.78</v>
      </c>
      <c r="F182" s="1">
        <v>226998.93</v>
      </c>
      <c r="G182" s="1">
        <v>5840.64</v>
      </c>
    </row>
    <row r="183" spans="1:8">
      <c r="A183" s="69"/>
      <c r="B183" s="73" t="s">
        <v>276</v>
      </c>
      <c r="C183" s="3" t="s">
        <v>277</v>
      </c>
      <c r="D183" s="4">
        <v>69910.2</v>
      </c>
      <c r="F183" s="4">
        <v>230836.82</v>
      </c>
      <c r="G183" s="4">
        <v>1663.28</v>
      </c>
    </row>
    <row r="184" spans="1:8">
      <c r="A184" s="69"/>
      <c r="B184" s="69"/>
      <c r="C184" s="5" t="s">
        <v>278</v>
      </c>
      <c r="D184" s="1">
        <v>69910.2</v>
      </c>
      <c r="F184" s="1">
        <v>230836.82</v>
      </c>
      <c r="G184" s="1">
        <v>1663.28</v>
      </c>
    </row>
    <row r="185" spans="1:8">
      <c r="A185" s="69"/>
      <c r="B185" s="73" t="s">
        <v>279</v>
      </c>
      <c r="C185" s="3" t="s">
        <v>280</v>
      </c>
      <c r="D185" s="4">
        <v>34345.57</v>
      </c>
      <c r="F185" s="4">
        <v>105679.31</v>
      </c>
      <c r="G185" s="4">
        <v>2320.4299999999998</v>
      </c>
    </row>
    <row r="186" spans="1:8">
      <c r="A186" s="69"/>
      <c r="B186" s="69"/>
      <c r="C186" s="5" t="s">
        <v>281</v>
      </c>
      <c r="D186" s="1">
        <v>34345.57</v>
      </c>
      <c r="F186" s="1">
        <v>105679.31</v>
      </c>
      <c r="G186" s="1">
        <v>2320.4299999999998</v>
      </c>
    </row>
    <row r="187" spans="1:8">
      <c r="A187" s="69"/>
      <c r="B187" s="73" t="s">
        <v>282</v>
      </c>
      <c r="C187" s="3" t="s">
        <v>283</v>
      </c>
      <c r="D187" s="4">
        <v>181537.87</v>
      </c>
      <c r="F187" s="4">
        <v>97445.83</v>
      </c>
      <c r="G187" s="4">
        <v>3993.0149999999999</v>
      </c>
    </row>
    <row r="188" spans="1:8">
      <c r="A188" s="69"/>
      <c r="B188" s="69"/>
      <c r="C188" s="5" t="s">
        <v>284</v>
      </c>
      <c r="D188" s="1">
        <v>181537.87</v>
      </c>
      <c r="F188" s="1">
        <v>97445.83</v>
      </c>
      <c r="G188" s="1">
        <v>3993.0149999999999</v>
      </c>
    </row>
    <row r="189" spans="1:8">
      <c r="A189" s="69"/>
      <c r="B189" s="73" t="s">
        <v>285</v>
      </c>
      <c r="C189" s="3" t="s">
        <v>286</v>
      </c>
      <c r="D189" s="4">
        <v>39882.35</v>
      </c>
      <c r="E189" s="4">
        <v>-2909.4</v>
      </c>
      <c r="F189" s="4">
        <v>64774.5</v>
      </c>
      <c r="G189" s="4">
        <v>951.04</v>
      </c>
      <c r="H189" s="4">
        <v>358.46</v>
      </c>
    </row>
    <row r="190" spans="1:8">
      <c r="A190" s="69"/>
      <c r="B190" s="69"/>
      <c r="C190" s="5" t="s">
        <v>287</v>
      </c>
      <c r="D190" s="1">
        <v>39882.35</v>
      </c>
      <c r="E190" s="1">
        <v>-2909.4</v>
      </c>
      <c r="F190" s="1">
        <v>64774.5</v>
      </c>
      <c r="G190" s="1">
        <v>951.04</v>
      </c>
      <c r="H190" s="1">
        <v>358.46</v>
      </c>
    </row>
    <row r="191" spans="1:8">
      <c r="A191" s="69"/>
      <c r="B191" s="73" t="s">
        <v>288</v>
      </c>
      <c r="C191" s="3" t="s">
        <v>289</v>
      </c>
      <c r="D191" s="4">
        <v>14.27</v>
      </c>
    </row>
    <row r="192" spans="1:8">
      <c r="A192" s="69"/>
      <c r="B192" s="69"/>
      <c r="C192" s="5" t="s">
        <v>290</v>
      </c>
      <c r="D192" s="1">
        <v>14.27</v>
      </c>
    </row>
    <row r="193" spans="1:8">
      <c r="A193" s="69"/>
      <c r="B193" s="73" t="s">
        <v>291</v>
      </c>
      <c r="C193" s="3" t="s">
        <v>292</v>
      </c>
      <c r="D193" s="4">
        <v>80315.649999999994</v>
      </c>
      <c r="E193" s="4">
        <v>1970.2</v>
      </c>
      <c r="F193" s="4">
        <v>268090.06</v>
      </c>
      <c r="G193" s="4">
        <v>158.64500000000001</v>
      </c>
      <c r="H193" s="4">
        <v>187.88</v>
      </c>
    </row>
    <row r="194" spans="1:8">
      <c r="A194" s="69"/>
      <c r="B194" s="69"/>
      <c r="C194" s="5" t="s">
        <v>293</v>
      </c>
      <c r="D194" s="1">
        <v>80315.649999999994</v>
      </c>
      <c r="E194" s="1">
        <v>1970.2</v>
      </c>
      <c r="F194" s="1">
        <v>268090.06</v>
      </c>
      <c r="G194" s="1">
        <v>158.64500000000001</v>
      </c>
      <c r="H194" s="1">
        <v>187.88</v>
      </c>
    </row>
    <row r="195" spans="1:8">
      <c r="A195" s="69"/>
      <c r="B195" s="73" t="s">
        <v>294</v>
      </c>
      <c r="C195" s="3" t="s">
        <v>295</v>
      </c>
      <c r="D195" s="4">
        <v>20052.18</v>
      </c>
      <c r="F195" s="4">
        <v>26206.85</v>
      </c>
    </row>
    <row r="196" spans="1:8">
      <c r="A196" s="69"/>
      <c r="B196" s="69"/>
      <c r="C196" s="5" t="s">
        <v>296</v>
      </c>
      <c r="D196" s="1">
        <v>20052.18</v>
      </c>
      <c r="F196" s="1">
        <v>26206.85</v>
      </c>
    </row>
    <row r="197" spans="1:8">
      <c r="A197" s="69"/>
      <c r="B197" s="73" t="s">
        <v>297</v>
      </c>
      <c r="C197" s="3" t="s">
        <v>298</v>
      </c>
      <c r="D197" s="4">
        <v>66483.25</v>
      </c>
      <c r="E197" s="4">
        <v>2524.02</v>
      </c>
      <c r="F197" s="4">
        <v>26439.57</v>
      </c>
      <c r="G197" s="4">
        <v>3840.16</v>
      </c>
    </row>
    <row r="198" spans="1:8">
      <c r="A198" s="69"/>
      <c r="B198" s="69"/>
      <c r="C198" s="5" t="s">
        <v>299</v>
      </c>
      <c r="D198" s="1">
        <v>66483.25</v>
      </c>
      <c r="E198" s="1">
        <v>2524.02</v>
      </c>
      <c r="F198" s="1">
        <v>26439.57</v>
      </c>
      <c r="G198" s="1">
        <v>3840.16</v>
      </c>
    </row>
    <row r="199" spans="1:8">
      <c r="A199" s="69"/>
      <c r="B199" s="73" t="s">
        <v>300</v>
      </c>
      <c r="C199" s="3" t="s">
        <v>301</v>
      </c>
      <c r="D199" s="4">
        <v>541561.66</v>
      </c>
      <c r="F199" s="4">
        <v>865831.76</v>
      </c>
    </row>
    <row r="200" spans="1:8">
      <c r="A200" s="69"/>
      <c r="B200" s="69"/>
      <c r="C200" s="5" t="s">
        <v>302</v>
      </c>
      <c r="D200" s="1">
        <v>541561.66</v>
      </c>
      <c r="F200" s="1">
        <v>865831.76</v>
      </c>
    </row>
    <row r="201" spans="1:8">
      <c r="A201" s="69"/>
      <c r="B201" s="73" t="s">
        <v>303</v>
      </c>
      <c r="C201" s="3" t="s">
        <v>304</v>
      </c>
      <c r="D201" s="4">
        <v>46371.4</v>
      </c>
      <c r="F201" s="4">
        <v>35605.5</v>
      </c>
      <c r="G201" s="4">
        <v>2162.4</v>
      </c>
    </row>
    <row r="202" spans="1:8">
      <c r="A202" s="69"/>
      <c r="B202" s="69"/>
      <c r="C202" s="5" t="s">
        <v>305</v>
      </c>
      <c r="D202" s="1">
        <v>46371.4</v>
      </c>
      <c r="F202" s="1">
        <v>35605.5</v>
      </c>
      <c r="G202" s="1">
        <v>2162.4</v>
      </c>
    </row>
    <row r="203" spans="1:8">
      <c r="A203" s="69"/>
      <c r="B203" s="73" t="s">
        <v>306</v>
      </c>
      <c r="C203" s="3" t="s">
        <v>307</v>
      </c>
      <c r="D203" s="4">
        <v>17347.560000000001</v>
      </c>
      <c r="E203" s="4">
        <v>1648.34</v>
      </c>
      <c r="F203" s="4">
        <v>51277.86</v>
      </c>
    </row>
    <row r="204" spans="1:8">
      <c r="A204" s="69"/>
      <c r="B204" s="69"/>
      <c r="C204" s="5" t="s">
        <v>308</v>
      </c>
      <c r="D204" s="1">
        <v>17347.560000000001</v>
      </c>
      <c r="E204" s="1">
        <v>1648.34</v>
      </c>
      <c r="F204" s="1">
        <v>51277.86</v>
      </c>
    </row>
    <row r="205" spans="1:8">
      <c r="A205" s="69"/>
      <c r="B205" s="73" t="s">
        <v>309</v>
      </c>
      <c r="C205" s="3" t="s">
        <v>310</v>
      </c>
      <c r="D205" s="4">
        <v>8728.58</v>
      </c>
      <c r="E205" s="4">
        <v>2005.92</v>
      </c>
      <c r="F205" s="4">
        <v>27042.19</v>
      </c>
      <c r="G205" s="4">
        <v>184.16</v>
      </c>
    </row>
    <row r="206" spans="1:8">
      <c r="A206" s="69"/>
      <c r="B206" s="69"/>
      <c r="C206" s="5" t="s">
        <v>311</v>
      </c>
      <c r="D206" s="1">
        <v>8728.58</v>
      </c>
      <c r="E206" s="1">
        <v>2005.92</v>
      </c>
      <c r="F206" s="1">
        <v>27042.19</v>
      </c>
      <c r="G206" s="1">
        <v>184.16</v>
      </c>
    </row>
    <row r="207" spans="1:8">
      <c r="A207" s="69"/>
      <c r="B207" s="73" t="s">
        <v>312</v>
      </c>
      <c r="C207" s="3" t="s">
        <v>313</v>
      </c>
      <c r="D207" s="4">
        <v>19284.54</v>
      </c>
      <c r="F207" s="4">
        <v>8250</v>
      </c>
      <c r="G207" s="4">
        <v>51.625</v>
      </c>
    </row>
    <row r="208" spans="1:8">
      <c r="A208" s="69"/>
      <c r="B208" s="69"/>
      <c r="C208" s="5" t="s">
        <v>314</v>
      </c>
      <c r="D208" s="1">
        <v>19284.54</v>
      </c>
      <c r="F208" s="1">
        <v>8250</v>
      </c>
      <c r="G208" s="1">
        <v>51.625</v>
      </c>
    </row>
    <row r="209" spans="1:7">
      <c r="A209" s="69"/>
      <c r="B209" s="73" t="s">
        <v>315</v>
      </c>
      <c r="C209" s="3" t="s">
        <v>316</v>
      </c>
      <c r="D209" s="4">
        <v>43411.91</v>
      </c>
      <c r="F209" s="4">
        <v>192451.21</v>
      </c>
    </row>
    <row r="210" spans="1:7">
      <c r="A210" s="69"/>
      <c r="B210" s="69"/>
      <c r="C210" s="5" t="s">
        <v>317</v>
      </c>
      <c r="D210" s="1">
        <v>43411.91</v>
      </c>
      <c r="F210" s="1">
        <v>192451.21</v>
      </c>
    </row>
    <row r="211" spans="1:7">
      <c r="A211" s="69"/>
      <c r="B211" s="73" t="s">
        <v>318</v>
      </c>
      <c r="C211" s="3" t="s">
        <v>319</v>
      </c>
      <c r="D211" s="4">
        <v>8048.07</v>
      </c>
      <c r="F211" s="4">
        <v>48735.98</v>
      </c>
    </row>
    <row r="212" spans="1:7">
      <c r="A212" s="69"/>
      <c r="B212" s="69"/>
      <c r="C212" s="5" t="s">
        <v>320</v>
      </c>
      <c r="D212" s="1">
        <v>8048.07</v>
      </c>
      <c r="F212" s="1">
        <v>48735.98</v>
      </c>
    </row>
    <row r="213" spans="1:7">
      <c r="A213" s="69"/>
      <c r="B213" s="73" t="s">
        <v>321</v>
      </c>
      <c r="C213" s="3" t="s">
        <v>322</v>
      </c>
      <c r="D213" s="4">
        <v>30422.19</v>
      </c>
    </row>
    <row r="214" spans="1:7">
      <c r="A214" s="69"/>
      <c r="B214" s="69"/>
      <c r="C214" s="5" t="s">
        <v>323</v>
      </c>
      <c r="D214" s="1">
        <v>30422.19</v>
      </c>
    </row>
    <row r="215" spans="1:7">
      <c r="A215" s="69"/>
      <c r="B215" s="73" t="s">
        <v>324</v>
      </c>
      <c r="C215" s="3" t="s">
        <v>325</v>
      </c>
      <c r="D215" s="4">
        <v>43106</v>
      </c>
      <c r="F215" s="4">
        <v>75163.16</v>
      </c>
    </row>
    <row r="216" spans="1:7">
      <c r="A216" s="69"/>
      <c r="B216" s="69"/>
      <c r="C216" s="5" t="s">
        <v>326</v>
      </c>
      <c r="D216" s="1">
        <v>43106</v>
      </c>
      <c r="F216" s="1">
        <v>75163.16</v>
      </c>
    </row>
    <row r="217" spans="1:7">
      <c r="A217" s="69"/>
      <c r="B217" s="73" t="s">
        <v>327</v>
      </c>
      <c r="C217" s="3" t="s">
        <v>328</v>
      </c>
      <c r="D217" s="4">
        <v>2540.5</v>
      </c>
    </row>
    <row r="218" spans="1:7">
      <c r="A218" s="69"/>
      <c r="B218" s="69"/>
      <c r="C218" s="5" t="s">
        <v>329</v>
      </c>
      <c r="D218" s="1">
        <v>2540.5</v>
      </c>
    </row>
    <row r="219" spans="1:7">
      <c r="A219" s="69"/>
      <c r="B219" s="73" t="s">
        <v>330</v>
      </c>
      <c r="C219" s="3" t="s">
        <v>331</v>
      </c>
      <c r="D219" s="4">
        <v>8346.93</v>
      </c>
      <c r="F219" s="4">
        <v>29923.4</v>
      </c>
    </row>
    <row r="220" spans="1:7">
      <c r="A220" s="69"/>
      <c r="B220" s="69"/>
      <c r="C220" s="5" t="s">
        <v>332</v>
      </c>
      <c r="D220" s="1">
        <v>8346.93</v>
      </c>
      <c r="F220" s="1">
        <v>29923.4</v>
      </c>
    </row>
    <row r="221" spans="1:7">
      <c r="A221" s="69"/>
      <c r="B221" s="73" t="s">
        <v>333</v>
      </c>
      <c r="C221" s="3" t="s">
        <v>334</v>
      </c>
      <c r="D221" s="4">
        <v>37374.35</v>
      </c>
      <c r="E221" s="4">
        <v>8274.2099999999991</v>
      </c>
      <c r="F221" s="4">
        <v>175979.04</v>
      </c>
      <c r="G221" s="4">
        <v>9094.42</v>
      </c>
    </row>
    <row r="222" spans="1:7">
      <c r="A222" s="69"/>
      <c r="B222" s="69"/>
      <c r="C222" s="5" t="s">
        <v>335</v>
      </c>
      <c r="D222" s="1">
        <v>37374.35</v>
      </c>
      <c r="E222" s="1">
        <v>8274.2099999999991</v>
      </c>
      <c r="F222" s="1">
        <v>175979.04</v>
      </c>
      <c r="G222" s="1">
        <v>9094.42</v>
      </c>
    </row>
    <row r="223" spans="1:7">
      <c r="A223" s="69"/>
      <c r="B223" s="73" t="s">
        <v>336</v>
      </c>
      <c r="C223" s="3" t="s">
        <v>337</v>
      </c>
      <c r="D223" s="4">
        <v>1759</v>
      </c>
    </row>
    <row r="224" spans="1:7">
      <c r="A224" s="69"/>
      <c r="B224" s="69"/>
      <c r="C224" s="5" t="s">
        <v>336</v>
      </c>
      <c r="D224" s="1">
        <v>1759</v>
      </c>
    </row>
    <row r="225" spans="1:7">
      <c r="A225" s="69"/>
      <c r="B225" s="73" t="s">
        <v>338</v>
      </c>
      <c r="C225" s="3" t="s">
        <v>339</v>
      </c>
      <c r="D225" s="4">
        <v>44045.75</v>
      </c>
      <c r="F225" s="4">
        <v>72144.25</v>
      </c>
    </row>
    <row r="226" spans="1:7">
      <c r="A226" s="69"/>
      <c r="B226" s="69"/>
      <c r="C226" s="5" t="s">
        <v>340</v>
      </c>
      <c r="D226" s="1">
        <v>44045.75</v>
      </c>
      <c r="F226" s="1">
        <v>72144.25</v>
      </c>
    </row>
    <row r="227" spans="1:7">
      <c r="A227" s="69"/>
      <c r="B227" s="73" t="s">
        <v>341</v>
      </c>
      <c r="C227" s="3" t="s">
        <v>342</v>
      </c>
      <c r="D227" s="4">
        <v>1664.65</v>
      </c>
    </row>
    <row r="228" spans="1:7">
      <c r="A228" s="69"/>
      <c r="B228" s="69"/>
      <c r="C228" s="5" t="s">
        <v>343</v>
      </c>
      <c r="D228" s="1">
        <v>1664.65</v>
      </c>
    </row>
    <row r="229" spans="1:7">
      <c r="A229" s="69"/>
      <c r="B229" s="73" t="s">
        <v>344</v>
      </c>
      <c r="C229" s="3" t="s">
        <v>345</v>
      </c>
      <c r="D229" s="4">
        <v>2794.74</v>
      </c>
      <c r="F229" s="4">
        <v>22166.62</v>
      </c>
      <c r="G229" s="4">
        <v>928.4</v>
      </c>
    </row>
    <row r="230" spans="1:7">
      <c r="A230" s="69"/>
      <c r="B230" s="69"/>
      <c r="C230" s="5" t="s">
        <v>346</v>
      </c>
      <c r="D230" s="1">
        <v>2794.74</v>
      </c>
      <c r="F230" s="1">
        <v>22166.62</v>
      </c>
      <c r="G230" s="1">
        <v>928.4</v>
      </c>
    </row>
    <row r="231" spans="1:7">
      <c r="A231" s="69"/>
      <c r="B231" s="73" t="s">
        <v>347</v>
      </c>
      <c r="C231" s="3" t="s">
        <v>348</v>
      </c>
      <c r="D231" s="4">
        <v>3150</v>
      </c>
    </row>
    <row r="232" spans="1:7">
      <c r="A232" s="69"/>
      <c r="B232" s="69"/>
      <c r="C232" s="5" t="s">
        <v>349</v>
      </c>
      <c r="D232" s="1">
        <v>3150</v>
      </c>
    </row>
    <row r="233" spans="1:7">
      <c r="A233" s="69"/>
      <c r="B233" s="73" t="s">
        <v>350</v>
      </c>
      <c r="C233" s="3" t="s">
        <v>351</v>
      </c>
      <c r="D233" s="4">
        <v>125220.21</v>
      </c>
      <c r="E233" s="4">
        <v>1172.8800000000001</v>
      </c>
      <c r="F233" s="4">
        <v>310651.17</v>
      </c>
      <c r="G233" s="4">
        <v>5533.335</v>
      </c>
    </row>
    <row r="234" spans="1:7">
      <c r="A234" s="69"/>
      <c r="B234" s="69"/>
      <c r="C234" s="5" t="s">
        <v>352</v>
      </c>
      <c r="D234" s="1">
        <v>125220.21</v>
      </c>
      <c r="E234" s="1">
        <v>1172.8800000000001</v>
      </c>
      <c r="F234" s="1">
        <v>310651.17</v>
      </c>
      <c r="G234" s="1">
        <v>5533.335</v>
      </c>
    </row>
    <row r="235" spans="1:7">
      <c r="A235" s="69"/>
      <c r="B235" s="73" t="s">
        <v>353</v>
      </c>
      <c r="C235" s="3" t="s">
        <v>354</v>
      </c>
      <c r="D235" s="4">
        <v>-128.78</v>
      </c>
    </row>
    <row r="236" spans="1:7">
      <c r="A236" s="69"/>
      <c r="B236" s="69"/>
      <c r="C236" s="5" t="s">
        <v>353</v>
      </c>
      <c r="D236" s="1">
        <v>-128.78</v>
      </c>
    </row>
    <row r="237" spans="1:7">
      <c r="A237" s="69"/>
      <c r="B237" s="73" t="s">
        <v>355</v>
      </c>
      <c r="C237" s="3" t="s">
        <v>356</v>
      </c>
      <c r="D237" s="4">
        <v>626973.91</v>
      </c>
      <c r="F237" s="4">
        <v>473424.82</v>
      </c>
    </row>
    <row r="238" spans="1:7">
      <c r="A238" s="69"/>
      <c r="B238" s="69"/>
      <c r="C238" s="5" t="s">
        <v>357</v>
      </c>
      <c r="D238" s="1">
        <v>626973.91</v>
      </c>
      <c r="F238" s="1">
        <v>473424.82</v>
      </c>
    </row>
    <row r="239" spans="1:7">
      <c r="A239" s="69"/>
      <c r="B239" s="73" t="s">
        <v>358</v>
      </c>
      <c r="C239" s="3" t="s">
        <v>359</v>
      </c>
      <c r="D239" s="4">
        <v>111362.32</v>
      </c>
      <c r="F239" s="4">
        <v>400994.42</v>
      </c>
      <c r="G239" s="4">
        <v>3146.3850000000002</v>
      </c>
    </row>
    <row r="240" spans="1:7">
      <c r="A240" s="69"/>
      <c r="B240" s="69"/>
      <c r="C240" s="5" t="s">
        <v>360</v>
      </c>
      <c r="D240" s="1">
        <v>111362.32</v>
      </c>
      <c r="F240" s="1">
        <v>400994.42</v>
      </c>
      <c r="G240" s="1">
        <v>3146.3850000000002</v>
      </c>
    </row>
    <row r="241" spans="1:8">
      <c r="A241" s="69"/>
      <c r="B241" s="73" t="s">
        <v>361</v>
      </c>
      <c r="C241" s="3" t="s">
        <v>362</v>
      </c>
      <c r="D241" s="4">
        <v>9986.0300000000007</v>
      </c>
      <c r="F241" s="4">
        <v>16244.38</v>
      </c>
    </row>
    <row r="242" spans="1:8">
      <c r="A242" s="69"/>
      <c r="B242" s="69"/>
      <c r="C242" s="5" t="s">
        <v>363</v>
      </c>
      <c r="D242" s="1">
        <v>9986.0300000000007</v>
      </c>
      <c r="F242" s="1">
        <v>16244.38</v>
      </c>
    </row>
    <row r="243" spans="1:8">
      <c r="A243" s="69"/>
      <c r="B243" s="73" t="s">
        <v>364</v>
      </c>
      <c r="C243" s="3" t="s">
        <v>365</v>
      </c>
      <c r="D243" s="4">
        <v>6108.51</v>
      </c>
      <c r="F243" s="4">
        <v>5931.54</v>
      </c>
    </row>
    <row r="244" spans="1:8">
      <c r="A244" s="69"/>
      <c r="B244" s="69"/>
      <c r="C244" s="5" t="s">
        <v>366</v>
      </c>
      <c r="D244" s="1">
        <v>6108.51</v>
      </c>
      <c r="F244" s="1">
        <v>5931.54</v>
      </c>
    </row>
    <row r="245" spans="1:8">
      <c r="A245" s="69"/>
      <c r="B245" s="73" t="s">
        <v>367</v>
      </c>
      <c r="C245" s="3" t="s">
        <v>368</v>
      </c>
      <c r="D245" s="4">
        <v>62.67</v>
      </c>
      <c r="E245" s="4">
        <v>2350.87</v>
      </c>
      <c r="G245" s="4">
        <v>3622.4</v>
      </c>
    </row>
    <row r="246" spans="1:8">
      <c r="A246" s="69"/>
      <c r="B246" s="69"/>
      <c r="C246" s="5" t="s">
        <v>369</v>
      </c>
      <c r="D246" s="1">
        <v>62.67</v>
      </c>
      <c r="E246" s="1">
        <v>2350.87</v>
      </c>
      <c r="G246" s="1">
        <v>3622.4</v>
      </c>
    </row>
    <row r="247" spans="1:8">
      <c r="A247" s="69"/>
      <c r="B247" s="73" t="s">
        <v>370</v>
      </c>
      <c r="C247" s="3" t="s">
        <v>371</v>
      </c>
      <c r="D247" s="4">
        <v>57938.43</v>
      </c>
      <c r="E247" s="4">
        <v>829.84</v>
      </c>
      <c r="F247" s="4">
        <v>202991.46</v>
      </c>
      <c r="G247" s="4">
        <v>179.12</v>
      </c>
    </row>
    <row r="248" spans="1:8">
      <c r="A248" s="69"/>
      <c r="B248" s="69"/>
      <c r="C248" s="5" t="s">
        <v>372</v>
      </c>
      <c r="D248" s="1">
        <v>57938.43</v>
      </c>
      <c r="E248" s="1">
        <v>829.84</v>
      </c>
      <c r="F248" s="1">
        <v>202991.46</v>
      </c>
      <c r="G248" s="1">
        <v>179.12</v>
      </c>
    </row>
    <row r="249" spans="1:8">
      <c r="A249" s="69"/>
      <c r="B249" s="73" t="s">
        <v>373</v>
      </c>
      <c r="C249" s="3" t="s">
        <v>374</v>
      </c>
      <c r="D249" s="4">
        <v>6852.48</v>
      </c>
      <c r="F249" s="4">
        <v>55989.64</v>
      </c>
      <c r="G249" s="4">
        <v>2550.64</v>
      </c>
    </row>
    <row r="250" spans="1:8">
      <c r="A250" s="69"/>
      <c r="B250" s="69"/>
      <c r="C250" s="5" t="s">
        <v>375</v>
      </c>
      <c r="D250" s="1">
        <v>6852.48</v>
      </c>
      <c r="F250" s="1">
        <v>55989.64</v>
      </c>
      <c r="G250" s="1">
        <v>2550.64</v>
      </c>
    </row>
    <row r="251" spans="1:8">
      <c r="A251" s="69"/>
      <c r="B251" s="73" t="s">
        <v>376</v>
      </c>
      <c r="C251" s="3" t="s">
        <v>377</v>
      </c>
      <c r="D251" s="4">
        <v>24402.92</v>
      </c>
      <c r="E251" s="4">
        <v>4544.7700000000004</v>
      </c>
      <c r="F251" s="4">
        <v>84231.46</v>
      </c>
    </row>
    <row r="252" spans="1:8">
      <c r="A252" s="69"/>
      <c r="B252" s="69"/>
      <c r="C252" s="5" t="s">
        <v>378</v>
      </c>
      <c r="D252" s="1">
        <v>24402.92</v>
      </c>
      <c r="E252" s="1">
        <v>4544.7700000000004</v>
      </c>
      <c r="F252" s="1">
        <v>84231.46</v>
      </c>
    </row>
    <row r="253" spans="1:8">
      <c r="A253" s="69"/>
      <c r="B253" s="73" t="s">
        <v>379</v>
      </c>
      <c r="C253" s="3" t="s">
        <v>380</v>
      </c>
      <c r="D253" s="4">
        <v>6690</v>
      </c>
      <c r="E253" s="4">
        <v>108</v>
      </c>
      <c r="F253" s="4">
        <v>35438.239999999998</v>
      </c>
      <c r="G253" s="4">
        <v>485.11500000000001</v>
      </c>
      <c r="H253" s="4">
        <v>161.15</v>
      </c>
    </row>
    <row r="254" spans="1:8">
      <c r="A254" s="69"/>
      <c r="B254" s="69"/>
      <c r="C254" s="5" t="s">
        <v>381</v>
      </c>
      <c r="D254" s="1">
        <v>6690</v>
      </c>
      <c r="E254" s="1">
        <v>108</v>
      </c>
      <c r="F254" s="1">
        <v>35438.239999999998</v>
      </c>
      <c r="G254" s="1">
        <v>485.11500000000001</v>
      </c>
      <c r="H254" s="1">
        <v>161.15</v>
      </c>
    </row>
    <row r="255" spans="1:8">
      <c r="A255" s="69"/>
      <c r="B255" s="73" t="s">
        <v>382</v>
      </c>
      <c r="C255" s="3" t="s">
        <v>383</v>
      </c>
      <c r="D255" s="4">
        <v>10436.629999999999</v>
      </c>
      <c r="F255" s="4">
        <v>50741.27</v>
      </c>
      <c r="G255" s="4">
        <v>1450.48</v>
      </c>
    </row>
    <row r="256" spans="1:8">
      <c r="A256" s="69"/>
      <c r="B256" s="69"/>
      <c r="C256" s="5" t="s">
        <v>384</v>
      </c>
      <c r="D256" s="1">
        <v>10436.629999999999</v>
      </c>
      <c r="F256" s="1">
        <v>50741.27</v>
      </c>
      <c r="G256" s="1">
        <v>1450.48</v>
      </c>
    </row>
    <row r="257" spans="1:7">
      <c r="A257" s="69"/>
      <c r="B257" s="73" t="s">
        <v>385</v>
      </c>
      <c r="C257" s="3" t="s">
        <v>386</v>
      </c>
      <c r="D257" s="4">
        <v>2133.06</v>
      </c>
      <c r="E257" s="4">
        <v>181.51</v>
      </c>
      <c r="F257" s="4">
        <v>11992.47</v>
      </c>
    </row>
    <row r="258" spans="1:7">
      <c r="A258" s="69"/>
      <c r="B258" s="69"/>
      <c r="C258" s="5" t="s">
        <v>387</v>
      </c>
      <c r="D258" s="1">
        <v>2133.06</v>
      </c>
      <c r="E258" s="1">
        <v>181.51</v>
      </c>
      <c r="F258" s="1">
        <v>11992.47</v>
      </c>
    </row>
    <row r="259" spans="1:7">
      <c r="A259" s="69"/>
      <c r="B259" s="73" t="s">
        <v>388</v>
      </c>
      <c r="C259" s="3" t="s">
        <v>389</v>
      </c>
      <c r="D259" s="4">
        <v>44907.92</v>
      </c>
      <c r="E259" s="4">
        <v>4111.08</v>
      </c>
      <c r="F259" s="4">
        <v>171902.4</v>
      </c>
    </row>
    <row r="260" spans="1:7">
      <c r="A260" s="69"/>
      <c r="B260" s="69"/>
      <c r="C260" s="5" t="s">
        <v>390</v>
      </c>
      <c r="D260" s="1">
        <v>44907.92</v>
      </c>
      <c r="E260" s="1">
        <v>4111.08</v>
      </c>
      <c r="F260" s="1">
        <v>171902.4</v>
      </c>
    </row>
    <row r="261" spans="1:7">
      <c r="A261" s="69"/>
      <c r="B261" s="73" t="s">
        <v>391</v>
      </c>
      <c r="C261" s="3" t="s">
        <v>392</v>
      </c>
      <c r="D261" s="4">
        <v>13339.37</v>
      </c>
      <c r="E261" s="4">
        <v>161.19999999999999</v>
      </c>
      <c r="F261" s="4">
        <v>29644.79</v>
      </c>
      <c r="G261" s="4">
        <v>640.55999999999995</v>
      </c>
    </row>
    <row r="262" spans="1:7">
      <c r="A262" s="69"/>
      <c r="B262" s="69"/>
      <c r="C262" s="5" t="s">
        <v>393</v>
      </c>
      <c r="D262" s="1">
        <v>13339.37</v>
      </c>
      <c r="E262" s="1">
        <v>161.19999999999999</v>
      </c>
      <c r="F262" s="1">
        <v>29644.79</v>
      </c>
      <c r="G262" s="1">
        <v>640.55999999999995</v>
      </c>
    </row>
    <row r="263" spans="1:7">
      <c r="A263" s="69"/>
      <c r="B263" s="73" t="s">
        <v>394</v>
      </c>
      <c r="C263" s="3" t="s">
        <v>395</v>
      </c>
      <c r="D263" s="4">
        <v>7430.34</v>
      </c>
      <c r="E263" s="4">
        <v>1159.48</v>
      </c>
      <c r="F263" s="4">
        <v>30516.26</v>
      </c>
      <c r="G263" s="4">
        <v>33.86</v>
      </c>
    </row>
    <row r="264" spans="1:7">
      <c r="A264" s="69"/>
      <c r="B264" s="69"/>
      <c r="C264" s="5" t="s">
        <v>396</v>
      </c>
      <c r="D264" s="1">
        <v>7430.34</v>
      </c>
      <c r="E264" s="1">
        <v>1159.48</v>
      </c>
      <c r="F264" s="1">
        <v>30516.26</v>
      </c>
      <c r="G264" s="1">
        <v>33.86</v>
      </c>
    </row>
    <row r="265" spans="1:7">
      <c r="A265" s="69"/>
      <c r="B265" s="73" t="s">
        <v>397</v>
      </c>
      <c r="C265" s="3" t="s">
        <v>398</v>
      </c>
      <c r="D265" s="4">
        <v>28532.97</v>
      </c>
      <c r="E265" s="4">
        <v>10943.06</v>
      </c>
      <c r="F265" s="4">
        <v>79007.06</v>
      </c>
    </row>
    <row r="266" spans="1:7">
      <c r="A266" s="69"/>
      <c r="B266" s="69"/>
      <c r="C266" s="5" t="s">
        <v>399</v>
      </c>
      <c r="D266" s="1">
        <v>28532.97</v>
      </c>
      <c r="E266" s="1">
        <v>10943.06</v>
      </c>
      <c r="F266" s="1">
        <v>79007.06</v>
      </c>
    </row>
    <row r="267" spans="1:7">
      <c r="A267" s="69"/>
      <c r="B267" s="73" t="s">
        <v>400</v>
      </c>
      <c r="C267" s="3" t="s">
        <v>401</v>
      </c>
      <c r="D267" s="4">
        <v>24764.82</v>
      </c>
      <c r="E267" s="4">
        <v>255</v>
      </c>
      <c r="F267" s="4">
        <v>34966.5</v>
      </c>
      <c r="G267" s="4">
        <v>212.26</v>
      </c>
    </row>
    <row r="268" spans="1:7">
      <c r="A268" s="69"/>
      <c r="B268" s="69"/>
      <c r="C268" s="5" t="s">
        <v>402</v>
      </c>
      <c r="D268" s="1">
        <v>24764.82</v>
      </c>
      <c r="E268" s="1">
        <v>255</v>
      </c>
      <c r="F268" s="1">
        <v>34966.5</v>
      </c>
      <c r="G268" s="1">
        <v>212.26</v>
      </c>
    </row>
    <row r="269" spans="1:7">
      <c r="A269" s="69"/>
      <c r="B269" s="73" t="s">
        <v>403</v>
      </c>
      <c r="C269" s="3" t="s">
        <v>404</v>
      </c>
      <c r="D269" s="4">
        <v>77035.39</v>
      </c>
      <c r="E269" s="4">
        <v>2702.49</v>
      </c>
      <c r="F269" s="4">
        <v>265114.99</v>
      </c>
      <c r="G269" s="4">
        <v>179.12</v>
      </c>
    </row>
    <row r="270" spans="1:7">
      <c r="A270" s="69"/>
      <c r="B270" s="69"/>
      <c r="C270" s="5" t="s">
        <v>405</v>
      </c>
      <c r="D270" s="1">
        <v>77035.39</v>
      </c>
      <c r="E270" s="1">
        <v>2702.49</v>
      </c>
      <c r="F270" s="1">
        <v>265114.99</v>
      </c>
      <c r="G270" s="1">
        <v>179.12</v>
      </c>
    </row>
    <row r="271" spans="1:7">
      <c r="A271" s="69"/>
      <c r="B271" s="73" t="s">
        <v>406</v>
      </c>
      <c r="C271" s="3" t="s">
        <v>407</v>
      </c>
      <c r="E271" s="4">
        <v>3225.72</v>
      </c>
    </row>
    <row r="272" spans="1:7">
      <c r="A272" s="69"/>
      <c r="B272" s="69"/>
      <c r="C272" s="5" t="s">
        <v>408</v>
      </c>
      <c r="E272" s="1">
        <v>3225.72</v>
      </c>
    </row>
    <row r="273" spans="1:7">
      <c r="A273" s="69"/>
      <c r="B273" s="73" t="s">
        <v>409</v>
      </c>
      <c r="C273" s="3" t="s">
        <v>410</v>
      </c>
      <c r="D273" s="4">
        <v>18809.25</v>
      </c>
      <c r="E273" s="4">
        <v>422.76</v>
      </c>
      <c r="F273" s="4">
        <v>139971.72</v>
      </c>
      <c r="G273" s="4">
        <v>144.18</v>
      </c>
    </row>
    <row r="274" spans="1:7">
      <c r="A274" s="69"/>
      <c r="B274" s="69"/>
      <c r="C274" s="5" t="s">
        <v>411</v>
      </c>
      <c r="D274" s="1">
        <v>18809.25</v>
      </c>
      <c r="E274" s="1">
        <v>422.76</v>
      </c>
      <c r="F274" s="1">
        <v>139971.72</v>
      </c>
      <c r="G274" s="1">
        <v>144.18</v>
      </c>
    </row>
    <row r="275" spans="1:7">
      <c r="A275" s="69"/>
      <c r="B275" s="73" t="s">
        <v>412</v>
      </c>
      <c r="C275" s="3" t="s">
        <v>413</v>
      </c>
      <c r="D275" s="4">
        <v>33289.82</v>
      </c>
      <c r="E275" s="4">
        <v>78.349999999999994</v>
      </c>
      <c r="F275" s="4">
        <v>70471.8</v>
      </c>
    </row>
    <row r="276" spans="1:7">
      <c r="A276" s="69"/>
      <c r="B276" s="69"/>
      <c r="C276" s="5" t="s">
        <v>414</v>
      </c>
      <c r="D276" s="1">
        <v>33289.82</v>
      </c>
      <c r="E276" s="1">
        <v>78.349999999999994</v>
      </c>
      <c r="F276" s="1">
        <v>70471.8</v>
      </c>
    </row>
    <row r="277" spans="1:7">
      <c r="A277" s="69"/>
      <c r="B277" s="73" t="s">
        <v>415</v>
      </c>
      <c r="C277" s="3" t="s">
        <v>416</v>
      </c>
      <c r="D277" s="4">
        <v>14281.06</v>
      </c>
      <c r="F277" s="4">
        <v>9070.35</v>
      </c>
      <c r="G277" s="4">
        <v>107.04</v>
      </c>
    </row>
    <row r="278" spans="1:7">
      <c r="A278" s="69"/>
      <c r="B278" s="69"/>
      <c r="C278" s="5" t="s">
        <v>417</v>
      </c>
      <c r="D278" s="1">
        <v>14281.06</v>
      </c>
      <c r="F278" s="1">
        <v>9070.35</v>
      </c>
      <c r="G278" s="1">
        <v>107.04</v>
      </c>
    </row>
    <row r="279" spans="1:7">
      <c r="A279" s="69"/>
      <c r="B279" s="73" t="s">
        <v>418</v>
      </c>
      <c r="C279" s="3" t="s">
        <v>419</v>
      </c>
      <c r="D279" s="4">
        <v>45830.57</v>
      </c>
      <c r="E279" s="4">
        <v>194.95</v>
      </c>
      <c r="F279" s="4">
        <v>132453.71</v>
      </c>
      <c r="G279" s="4">
        <v>1247.6600000000001</v>
      </c>
    </row>
    <row r="280" spans="1:7">
      <c r="A280" s="69"/>
      <c r="B280" s="69"/>
      <c r="C280" s="5" t="s">
        <v>420</v>
      </c>
      <c r="D280" s="1">
        <v>45830.57</v>
      </c>
      <c r="E280" s="1">
        <v>194.95</v>
      </c>
      <c r="F280" s="1">
        <v>132453.71</v>
      </c>
      <c r="G280" s="1">
        <v>1247.6600000000001</v>
      </c>
    </row>
    <row r="281" spans="1:7">
      <c r="A281" s="69"/>
      <c r="B281" s="73" t="s">
        <v>421</v>
      </c>
      <c r="C281" s="3" t="s">
        <v>422</v>
      </c>
      <c r="F281" s="4">
        <v>135000</v>
      </c>
      <c r="G281" s="4">
        <v>60.08</v>
      </c>
    </row>
    <row r="282" spans="1:7">
      <c r="A282" s="69"/>
      <c r="B282" s="69"/>
      <c r="C282" s="5" t="s">
        <v>423</v>
      </c>
      <c r="F282" s="1">
        <v>135000</v>
      </c>
      <c r="G282" s="1">
        <v>60.08</v>
      </c>
    </row>
    <row r="283" spans="1:7">
      <c r="A283" s="69"/>
      <c r="B283" s="73" t="s">
        <v>424</v>
      </c>
      <c r="C283" s="3" t="s">
        <v>425</v>
      </c>
      <c r="G283" s="4">
        <v>200.88</v>
      </c>
    </row>
    <row r="284" spans="1:7">
      <c r="A284" s="69"/>
      <c r="B284" s="69"/>
      <c r="C284" s="5" t="s">
        <v>426</v>
      </c>
      <c r="G284" s="1">
        <v>200.88</v>
      </c>
    </row>
    <row r="285" spans="1:7">
      <c r="A285" s="69"/>
      <c r="B285" s="73" t="s">
        <v>427</v>
      </c>
      <c r="C285" s="3" t="s">
        <v>428</v>
      </c>
      <c r="D285" s="4">
        <v>44770.239999999998</v>
      </c>
      <c r="E285" s="4">
        <v>1620</v>
      </c>
      <c r="F285" s="4">
        <v>175576.16</v>
      </c>
      <c r="G285" s="4">
        <v>2786.74</v>
      </c>
    </row>
    <row r="286" spans="1:7">
      <c r="A286" s="69"/>
      <c r="B286" s="69"/>
      <c r="C286" s="5" t="s">
        <v>429</v>
      </c>
      <c r="D286" s="1">
        <v>44770.239999999998</v>
      </c>
      <c r="E286" s="1">
        <v>1620</v>
      </c>
      <c r="F286" s="1">
        <v>175576.16</v>
      </c>
      <c r="G286" s="1">
        <v>2786.74</v>
      </c>
    </row>
    <row r="287" spans="1:7">
      <c r="A287" s="69"/>
      <c r="B287" s="73" t="s">
        <v>430</v>
      </c>
      <c r="C287" s="3" t="s">
        <v>431</v>
      </c>
      <c r="D287" s="4">
        <v>48089.71</v>
      </c>
      <c r="F287" s="4">
        <v>225114.99</v>
      </c>
      <c r="G287" s="4">
        <v>575.02499999999998</v>
      </c>
    </row>
    <row r="288" spans="1:7">
      <c r="A288" s="69"/>
      <c r="B288" s="69"/>
      <c r="C288" s="5" t="s">
        <v>432</v>
      </c>
      <c r="D288" s="1">
        <v>48089.71</v>
      </c>
      <c r="F288" s="1">
        <v>225114.99</v>
      </c>
      <c r="G288" s="1">
        <v>575.02499999999998</v>
      </c>
    </row>
    <row r="289" spans="1:7">
      <c r="A289" s="69"/>
      <c r="B289" s="73" t="s">
        <v>433</v>
      </c>
      <c r="C289" s="3" t="s">
        <v>434</v>
      </c>
      <c r="D289" s="4">
        <v>33212</v>
      </c>
      <c r="F289" s="4">
        <v>123242.97</v>
      </c>
      <c r="G289" s="4">
        <v>605.54999999999995</v>
      </c>
    </row>
    <row r="290" spans="1:7">
      <c r="A290" s="69"/>
      <c r="B290" s="69"/>
      <c r="C290" s="5" t="s">
        <v>435</v>
      </c>
      <c r="D290" s="1">
        <v>33212</v>
      </c>
      <c r="F290" s="1">
        <v>123242.97</v>
      </c>
      <c r="G290" s="1">
        <v>605.54999999999995</v>
      </c>
    </row>
    <row r="291" spans="1:7">
      <c r="A291" s="69"/>
      <c r="B291" s="73" t="s">
        <v>436</v>
      </c>
      <c r="C291" s="3" t="s">
        <v>437</v>
      </c>
      <c r="D291" s="4">
        <v>29747.9</v>
      </c>
      <c r="F291" s="4">
        <v>122644.81</v>
      </c>
      <c r="G291" s="4">
        <v>883.45</v>
      </c>
    </row>
    <row r="292" spans="1:7">
      <c r="A292" s="69"/>
      <c r="B292" s="69"/>
      <c r="C292" s="5" t="s">
        <v>438</v>
      </c>
      <c r="D292" s="1">
        <v>29747.9</v>
      </c>
      <c r="F292" s="1">
        <v>122644.81</v>
      </c>
      <c r="G292" s="1">
        <v>883.45</v>
      </c>
    </row>
    <row r="293" spans="1:7">
      <c r="A293" s="69"/>
      <c r="B293" s="73" t="s">
        <v>439</v>
      </c>
      <c r="C293" s="3" t="s">
        <v>440</v>
      </c>
      <c r="D293" s="4">
        <v>17388.599999999999</v>
      </c>
      <c r="F293" s="4">
        <v>40436.339999999997</v>
      </c>
      <c r="G293" s="4">
        <v>120.4</v>
      </c>
    </row>
    <row r="294" spans="1:7">
      <c r="A294" s="69"/>
      <c r="B294" s="69"/>
      <c r="C294" s="5" t="s">
        <v>441</v>
      </c>
      <c r="D294" s="1">
        <v>17388.599999999999</v>
      </c>
      <c r="F294" s="1">
        <v>40436.339999999997</v>
      </c>
      <c r="G294" s="1">
        <v>120.4</v>
      </c>
    </row>
    <row r="295" spans="1:7">
      <c r="A295" s="69"/>
      <c r="B295" s="73" t="s">
        <v>442</v>
      </c>
      <c r="C295" s="3" t="s">
        <v>443</v>
      </c>
      <c r="D295" s="4">
        <v>174678.93</v>
      </c>
      <c r="E295" s="4">
        <v>3.64</v>
      </c>
      <c r="F295" s="4">
        <v>247597.52</v>
      </c>
      <c r="G295" s="4">
        <v>11476.69</v>
      </c>
    </row>
    <row r="296" spans="1:7">
      <c r="A296" s="69"/>
      <c r="B296" s="69"/>
      <c r="C296" s="5" t="s">
        <v>444</v>
      </c>
      <c r="D296" s="1">
        <v>174678.93</v>
      </c>
      <c r="E296" s="1">
        <v>3.64</v>
      </c>
      <c r="F296" s="1">
        <v>247597.52</v>
      </c>
      <c r="G296" s="1">
        <v>11476.69</v>
      </c>
    </row>
    <row r="297" spans="1:7">
      <c r="A297" s="69"/>
      <c r="B297" s="73" t="s">
        <v>445</v>
      </c>
      <c r="C297" s="3" t="s">
        <v>446</v>
      </c>
      <c r="D297" s="4">
        <v>19005.990000000002</v>
      </c>
      <c r="E297" s="4">
        <v>99.77</v>
      </c>
      <c r="F297" s="4">
        <v>45970.3</v>
      </c>
      <c r="G297" s="4">
        <v>535.97</v>
      </c>
    </row>
    <row r="298" spans="1:7">
      <c r="A298" s="69"/>
      <c r="B298" s="69"/>
      <c r="C298" s="5" t="s">
        <v>447</v>
      </c>
      <c r="D298" s="1">
        <v>19005.990000000002</v>
      </c>
      <c r="E298" s="1">
        <v>99.77</v>
      </c>
      <c r="F298" s="1">
        <v>45970.3</v>
      </c>
      <c r="G298" s="1">
        <v>535.97</v>
      </c>
    </row>
    <row r="299" spans="1:7">
      <c r="A299" s="69"/>
      <c r="B299" s="73" t="s">
        <v>448</v>
      </c>
      <c r="C299" s="3" t="s">
        <v>449</v>
      </c>
      <c r="D299" s="4">
        <v>84469.8</v>
      </c>
      <c r="F299" s="4">
        <v>2497.5</v>
      </c>
      <c r="G299" s="4">
        <v>749.12</v>
      </c>
    </row>
    <row r="300" spans="1:7">
      <c r="A300" s="69"/>
      <c r="B300" s="69"/>
      <c r="C300" s="5" t="s">
        <v>450</v>
      </c>
      <c r="D300" s="1">
        <v>84469.8</v>
      </c>
      <c r="F300" s="1">
        <v>2497.5</v>
      </c>
      <c r="G300" s="1">
        <v>749.12</v>
      </c>
    </row>
    <row r="301" spans="1:7">
      <c r="A301" s="69"/>
      <c r="B301" s="73" t="s">
        <v>451</v>
      </c>
      <c r="C301" s="3" t="s">
        <v>452</v>
      </c>
      <c r="D301" s="4">
        <v>28074.54</v>
      </c>
      <c r="E301" s="4">
        <v>1314.51</v>
      </c>
      <c r="F301" s="4">
        <v>39388.78</v>
      </c>
    </row>
    <row r="302" spans="1:7">
      <c r="A302" s="69"/>
      <c r="B302" s="69"/>
      <c r="C302" s="5" t="s">
        <v>453</v>
      </c>
      <c r="D302" s="1">
        <v>28074.54</v>
      </c>
      <c r="E302" s="1">
        <v>1314.51</v>
      </c>
      <c r="F302" s="1">
        <v>39388.78</v>
      </c>
    </row>
    <row r="303" spans="1:7">
      <c r="A303" s="69"/>
      <c r="B303" s="73" t="s">
        <v>454</v>
      </c>
      <c r="C303" s="3" t="s">
        <v>455</v>
      </c>
      <c r="D303" s="4">
        <v>338709.91</v>
      </c>
      <c r="F303" s="4">
        <v>948553.48</v>
      </c>
    </row>
    <row r="304" spans="1:7">
      <c r="A304" s="69"/>
      <c r="B304" s="69"/>
      <c r="C304" s="5" t="s">
        <v>456</v>
      </c>
      <c r="D304" s="1">
        <v>338709.91</v>
      </c>
      <c r="F304" s="1">
        <v>948553.48</v>
      </c>
    </row>
    <row r="305" spans="1:7">
      <c r="A305" s="69"/>
      <c r="B305" s="73" t="s">
        <v>457</v>
      </c>
      <c r="C305" s="3" t="s">
        <v>458</v>
      </c>
      <c r="D305" s="4">
        <v>1499.66</v>
      </c>
    </row>
    <row r="306" spans="1:7">
      <c r="A306" s="69"/>
      <c r="B306" s="69"/>
      <c r="C306" s="5" t="s">
        <v>457</v>
      </c>
      <c r="D306" s="1">
        <v>1499.66</v>
      </c>
    </row>
    <row r="307" spans="1:7">
      <c r="A307" s="69"/>
      <c r="B307" s="73" t="s">
        <v>459</v>
      </c>
      <c r="C307" s="3" t="s">
        <v>460</v>
      </c>
      <c r="D307" s="4">
        <v>111024.5</v>
      </c>
      <c r="F307" s="4">
        <v>102872.94</v>
      </c>
      <c r="G307" s="4">
        <v>537.36</v>
      </c>
    </row>
    <row r="308" spans="1:7">
      <c r="A308" s="69"/>
      <c r="B308" s="69"/>
      <c r="C308" s="5" t="s">
        <v>461</v>
      </c>
      <c r="D308" s="1">
        <v>111024.5</v>
      </c>
      <c r="F308" s="1">
        <v>102872.94</v>
      </c>
      <c r="G308" s="1">
        <v>537.36</v>
      </c>
    </row>
    <row r="309" spans="1:7">
      <c r="A309" s="69"/>
      <c r="B309" s="73" t="s">
        <v>462</v>
      </c>
      <c r="C309" s="3" t="s">
        <v>463</v>
      </c>
      <c r="D309" s="4">
        <v>4466.45</v>
      </c>
      <c r="E309" s="4">
        <v>1219.05</v>
      </c>
      <c r="F309" s="4">
        <v>40730.550000000003</v>
      </c>
    </row>
    <row r="310" spans="1:7">
      <c r="A310" s="69"/>
      <c r="B310" s="69"/>
      <c r="C310" s="5" t="s">
        <v>464</v>
      </c>
      <c r="D310" s="1">
        <v>4466.45</v>
      </c>
      <c r="E310" s="1">
        <v>1219.05</v>
      </c>
      <c r="F310" s="1">
        <v>40730.550000000003</v>
      </c>
    </row>
    <row r="311" spans="1:7">
      <c r="A311" s="69"/>
      <c r="B311" s="73" t="s">
        <v>465</v>
      </c>
      <c r="C311" s="3" t="s">
        <v>466</v>
      </c>
      <c r="D311" s="4">
        <v>872.65</v>
      </c>
      <c r="F311" s="4">
        <v>3325</v>
      </c>
    </row>
    <row r="312" spans="1:7">
      <c r="A312" s="69"/>
      <c r="B312" s="69"/>
      <c r="C312" s="5" t="s">
        <v>467</v>
      </c>
      <c r="D312" s="1">
        <v>872.65</v>
      </c>
      <c r="F312" s="1">
        <v>3325</v>
      </c>
    </row>
    <row r="313" spans="1:7">
      <c r="A313" s="69"/>
      <c r="B313" s="73" t="s">
        <v>468</v>
      </c>
      <c r="C313" s="3" t="s">
        <v>469</v>
      </c>
      <c r="D313" s="4">
        <v>46159.61</v>
      </c>
      <c r="E313" s="4">
        <v>5752.83</v>
      </c>
      <c r="F313" s="4">
        <v>110118.58</v>
      </c>
      <c r="G313" s="4">
        <v>1765.7</v>
      </c>
    </row>
    <row r="314" spans="1:7">
      <c r="A314" s="69"/>
      <c r="B314" s="69"/>
      <c r="C314" s="5" t="s">
        <v>470</v>
      </c>
      <c r="D314" s="1">
        <v>46159.61</v>
      </c>
      <c r="E314" s="1">
        <v>5752.83</v>
      </c>
      <c r="F314" s="1">
        <v>110118.58</v>
      </c>
      <c r="G314" s="1">
        <v>1765.7</v>
      </c>
    </row>
    <row r="315" spans="1:7">
      <c r="A315" s="69"/>
      <c r="B315" s="73" t="s">
        <v>471</v>
      </c>
      <c r="C315" s="3" t="s">
        <v>472</v>
      </c>
      <c r="D315" s="4">
        <v>3338.62</v>
      </c>
    </row>
    <row r="316" spans="1:7">
      <c r="A316" s="69"/>
      <c r="B316" s="69"/>
      <c r="C316" s="5" t="s">
        <v>473</v>
      </c>
      <c r="D316" s="1">
        <v>3338.62</v>
      </c>
    </row>
    <row r="317" spans="1:7">
      <c r="A317" s="69"/>
      <c r="B317" s="73" t="s">
        <v>474</v>
      </c>
      <c r="C317" s="3" t="s">
        <v>475</v>
      </c>
      <c r="D317" s="4">
        <v>31506.36</v>
      </c>
      <c r="F317" s="4">
        <v>94774.13</v>
      </c>
      <c r="G317" s="4">
        <v>1302.9100000000001</v>
      </c>
    </row>
    <row r="318" spans="1:7">
      <c r="A318" s="69"/>
      <c r="B318" s="69"/>
      <c r="C318" s="5" t="s">
        <v>476</v>
      </c>
      <c r="D318" s="1">
        <v>31506.36</v>
      </c>
      <c r="F318" s="1">
        <v>94774.13</v>
      </c>
      <c r="G318" s="1">
        <v>1302.9100000000001</v>
      </c>
    </row>
    <row r="319" spans="1:7">
      <c r="A319" s="69"/>
      <c r="B319" s="73" t="s">
        <v>477</v>
      </c>
      <c r="C319" s="3" t="s">
        <v>478</v>
      </c>
      <c r="D319" s="4">
        <v>27081.75</v>
      </c>
      <c r="F319" s="4">
        <v>56994.96</v>
      </c>
    </row>
    <row r="320" spans="1:7">
      <c r="A320" s="69"/>
      <c r="B320" s="69"/>
      <c r="C320" s="5" t="s">
        <v>479</v>
      </c>
      <c r="D320" s="1">
        <v>27081.75</v>
      </c>
      <c r="F320" s="1">
        <v>56994.96</v>
      </c>
    </row>
    <row r="321" spans="1:7">
      <c r="A321" s="69"/>
      <c r="B321" s="73" t="s">
        <v>480</v>
      </c>
      <c r="C321" s="3" t="s">
        <v>481</v>
      </c>
      <c r="D321" s="4">
        <v>35337.17</v>
      </c>
      <c r="E321" s="4">
        <v>4117.3599999999997</v>
      </c>
      <c r="F321" s="4">
        <v>62000</v>
      </c>
      <c r="G321" s="4">
        <v>13276.65</v>
      </c>
    </row>
    <row r="322" spans="1:7">
      <c r="A322" s="69"/>
      <c r="B322" s="69"/>
      <c r="C322" s="5" t="s">
        <v>482</v>
      </c>
      <c r="D322" s="1">
        <v>35337.17</v>
      </c>
      <c r="E322" s="1">
        <v>4117.3599999999997</v>
      </c>
      <c r="F322" s="1">
        <v>62000</v>
      </c>
      <c r="G322" s="1">
        <v>13276.65</v>
      </c>
    </row>
    <row r="323" spans="1:7">
      <c r="A323" s="69"/>
      <c r="B323" s="73" t="s">
        <v>483</v>
      </c>
      <c r="C323" s="3" t="s">
        <v>484</v>
      </c>
      <c r="D323" s="4">
        <v>6050.01</v>
      </c>
      <c r="F323" s="4">
        <v>35543.69</v>
      </c>
      <c r="G323" s="4">
        <v>582.88</v>
      </c>
    </row>
    <row r="324" spans="1:7">
      <c r="A324" s="69"/>
      <c r="B324" s="69"/>
      <c r="C324" s="5" t="s">
        <v>485</v>
      </c>
      <c r="D324" s="1">
        <v>6050.01</v>
      </c>
      <c r="F324" s="1">
        <v>35543.69</v>
      </c>
      <c r="G324" s="1">
        <v>582.88</v>
      </c>
    </row>
    <row r="325" spans="1:7">
      <c r="A325" s="69"/>
      <c r="B325" s="73" t="s">
        <v>486</v>
      </c>
      <c r="C325" s="3" t="s">
        <v>487</v>
      </c>
      <c r="D325" s="4">
        <v>1328</v>
      </c>
    </row>
    <row r="326" spans="1:7">
      <c r="A326" s="69"/>
      <c r="B326" s="69"/>
      <c r="C326" s="5" t="s">
        <v>488</v>
      </c>
      <c r="D326" s="1">
        <v>1328</v>
      </c>
    </row>
    <row r="327" spans="1:7">
      <c r="A327" s="69"/>
      <c r="B327" s="73" t="s">
        <v>489</v>
      </c>
      <c r="C327" s="3" t="s">
        <v>490</v>
      </c>
      <c r="D327" s="4">
        <v>199215.61</v>
      </c>
      <c r="F327" s="4">
        <v>559215.35</v>
      </c>
      <c r="G327" s="4">
        <v>4405.5649999999996</v>
      </c>
    </row>
    <row r="328" spans="1:7">
      <c r="A328" s="69"/>
      <c r="B328" s="69"/>
      <c r="C328" s="5" t="s">
        <v>491</v>
      </c>
      <c r="D328" s="1">
        <v>199215.61</v>
      </c>
      <c r="F328" s="1">
        <v>559215.35</v>
      </c>
      <c r="G328" s="1">
        <v>4405.5649999999996</v>
      </c>
    </row>
    <row r="329" spans="1:7">
      <c r="A329" s="69"/>
      <c r="B329" s="73" t="s">
        <v>492</v>
      </c>
      <c r="C329" s="3" t="s">
        <v>493</v>
      </c>
      <c r="D329" s="4">
        <v>131267.28</v>
      </c>
      <c r="F329" s="4">
        <v>835092.83</v>
      </c>
      <c r="G329" s="4">
        <v>12089.075000000001</v>
      </c>
    </row>
    <row r="330" spans="1:7">
      <c r="A330" s="69"/>
      <c r="B330" s="69"/>
      <c r="C330" s="5" t="s">
        <v>494</v>
      </c>
      <c r="D330" s="1">
        <v>131267.28</v>
      </c>
      <c r="F330" s="1">
        <v>835092.83</v>
      </c>
      <c r="G330" s="1">
        <v>12089.075000000001</v>
      </c>
    </row>
    <row r="331" spans="1:7">
      <c r="A331" s="69"/>
      <c r="B331" s="73" t="s">
        <v>495</v>
      </c>
      <c r="C331" s="3" t="s">
        <v>496</v>
      </c>
      <c r="D331" s="4">
        <v>18615.060000000001</v>
      </c>
      <c r="F331" s="4">
        <v>76568.759999999995</v>
      </c>
      <c r="G331" s="4">
        <v>1603.7</v>
      </c>
    </row>
    <row r="332" spans="1:7">
      <c r="A332" s="69"/>
      <c r="B332" s="69"/>
      <c r="C332" s="5" t="s">
        <v>497</v>
      </c>
      <c r="D332" s="1">
        <v>18615.060000000001</v>
      </c>
      <c r="F332" s="1">
        <v>76568.759999999995</v>
      </c>
      <c r="G332" s="1">
        <v>1603.7</v>
      </c>
    </row>
    <row r="333" spans="1:7">
      <c r="A333" s="69"/>
      <c r="B333" s="73" t="s">
        <v>498</v>
      </c>
      <c r="C333" s="3" t="s">
        <v>499</v>
      </c>
      <c r="D333" s="4">
        <v>6387.25</v>
      </c>
      <c r="F333" s="4">
        <v>14614.44</v>
      </c>
      <c r="G333" s="4">
        <v>126.65</v>
      </c>
    </row>
    <row r="334" spans="1:7">
      <c r="A334" s="69"/>
      <c r="B334" s="69"/>
      <c r="C334" s="5" t="s">
        <v>500</v>
      </c>
      <c r="D334" s="1">
        <v>6387.25</v>
      </c>
      <c r="F334" s="1">
        <v>14614.44</v>
      </c>
      <c r="G334" s="1">
        <v>126.65</v>
      </c>
    </row>
    <row r="335" spans="1:7">
      <c r="A335" s="69"/>
      <c r="B335" s="73" t="s">
        <v>501</v>
      </c>
      <c r="C335" s="3" t="s">
        <v>502</v>
      </c>
      <c r="D335" s="4">
        <v>10066.51</v>
      </c>
      <c r="F335" s="4">
        <v>14522.87</v>
      </c>
    </row>
    <row r="336" spans="1:7">
      <c r="A336" s="69"/>
      <c r="B336" s="69"/>
      <c r="C336" s="5" t="s">
        <v>503</v>
      </c>
      <c r="D336" s="1">
        <v>10066.51</v>
      </c>
      <c r="F336" s="1">
        <v>14522.87</v>
      </c>
    </row>
    <row r="337" spans="1:8">
      <c r="A337" s="69"/>
      <c r="B337" s="73" t="s">
        <v>504</v>
      </c>
      <c r="C337" s="3" t="s">
        <v>505</v>
      </c>
      <c r="D337" s="4">
        <v>4983.75</v>
      </c>
      <c r="F337" s="4">
        <v>19143.419999999998</v>
      </c>
      <c r="G337" s="4">
        <v>537.36</v>
      </c>
    </row>
    <row r="338" spans="1:8">
      <c r="A338" s="69"/>
      <c r="B338" s="69"/>
      <c r="C338" s="5" t="s">
        <v>506</v>
      </c>
      <c r="D338" s="1">
        <v>4983.75</v>
      </c>
      <c r="F338" s="1">
        <v>19143.419999999998</v>
      </c>
      <c r="G338" s="1">
        <v>537.36</v>
      </c>
    </row>
    <row r="339" spans="1:8">
      <c r="A339" s="69"/>
      <c r="B339" s="73" t="s">
        <v>507</v>
      </c>
      <c r="C339" s="3" t="s">
        <v>508</v>
      </c>
      <c r="D339" s="4">
        <v>3769.5</v>
      </c>
      <c r="F339" s="4">
        <v>27484.27</v>
      </c>
      <c r="G339" s="4">
        <v>1093.68</v>
      </c>
    </row>
    <row r="340" spans="1:8">
      <c r="A340" s="69"/>
      <c r="B340" s="69"/>
      <c r="C340" s="5" t="s">
        <v>509</v>
      </c>
      <c r="D340" s="1">
        <v>3769.5</v>
      </c>
      <c r="F340" s="1">
        <v>27484.27</v>
      </c>
      <c r="G340" s="1">
        <v>1093.68</v>
      </c>
    </row>
    <row r="341" spans="1:8">
      <c r="A341" s="69"/>
      <c r="B341" s="73" t="s">
        <v>510</v>
      </c>
      <c r="C341" s="3" t="s">
        <v>511</v>
      </c>
      <c r="D341" s="4">
        <v>53136.85</v>
      </c>
      <c r="F341" s="4">
        <v>171683.96</v>
      </c>
    </row>
    <row r="342" spans="1:8">
      <c r="A342" s="69"/>
      <c r="B342" s="69"/>
      <c r="C342" s="5" t="s">
        <v>512</v>
      </c>
      <c r="D342" s="1">
        <v>53136.85</v>
      </c>
      <c r="F342" s="1">
        <v>171683.96</v>
      </c>
    </row>
    <row r="343" spans="1:8">
      <c r="A343" s="69"/>
      <c r="B343" s="73" t="s">
        <v>513</v>
      </c>
      <c r="C343" s="3" t="s">
        <v>514</v>
      </c>
      <c r="D343" s="4">
        <v>78654.66</v>
      </c>
      <c r="E343" s="4">
        <v>26.73</v>
      </c>
      <c r="F343" s="4">
        <v>208932.43</v>
      </c>
      <c r="G343" s="4">
        <v>1700.655</v>
      </c>
      <c r="H343" s="4">
        <v>351.23</v>
      </c>
    </row>
    <row r="344" spans="1:8">
      <c r="A344" s="69"/>
      <c r="B344" s="69"/>
      <c r="C344" s="5" t="s">
        <v>515</v>
      </c>
      <c r="D344" s="1">
        <v>78654.66</v>
      </c>
      <c r="E344" s="1">
        <v>26.73</v>
      </c>
      <c r="F344" s="1">
        <v>208932.43</v>
      </c>
      <c r="G344" s="1">
        <v>1700.655</v>
      </c>
      <c r="H344" s="1">
        <v>351.23</v>
      </c>
    </row>
    <row r="345" spans="1:8">
      <c r="A345" s="69"/>
      <c r="B345" s="73" t="s">
        <v>516</v>
      </c>
      <c r="C345" s="3" t="s">
        <v>517</v>
      </c>
      <c r="D345" s="4">
        <v>165203.65</v>
      </c>
      <c r="F345" s="4">
        <v>155778.28</v>
      </c>
      <c r="G345" s="4">
        <v>4246.4799999999996</v>
      </c>
    </row>
    <row r="346" spans="1:8">
      <c r="A346" s="69"/>
      <c r="B346" s="69"/>
      <c r="C346" s="5" t="s">
        <v>518</v>
      </c>
      <c r="D346" s="1">
        <v>165203.65</v>
      </c>
      <c r="F346" s="1">
        <v>155778.28</v>
      </c>
      <c r="G346" s="1">
        <v>4246.4799999999996</v>
      </c>
    </row>
    <row r="347" spans="1:8">
      <c r="A347" s="69"/>
      <c r="B347" s="73" t="s">
        <v>519</v>
      </c>
      <c r="C347" s="3" t="s">
        <v>520</v>
      </c>
      <c r="D347" s="4">
        <v>61815.86</v>
      </c>
      <c r="F347" s="4">
        <v>-82457.350000000006</v>
      </c>
      <c r="G347" s="4">
        <v>1820.1949999999999</v>
      </c>
    </row>
    <row r="348" spans="1:8">
      <c r="A348" s="69"/>
      <c r="B348" s="69"/>
      <c r="C348" s="5" t="s">
        <v>521</v>
      </c>
      <c r="D348" s="1">
        <v>61815.86</v>
      </c>
      <c r="F348" s="1">
        <v>-82457.350000000006</v>
      </c>
      <c r="G348" s="1">
        <v>1820.1949999999999</v>
      </c>
    </row>
    <row r="349" spans="1:8">
      <c r="A349" s="69"/>
      <c r="B349" s="73" t="s">
        <v>522</v>
      </c>
      <c r="C349" s="3" t="s">
        <v>523</v>
      </c>
      <c r="D349" s="4">
        <v>41453.69</v>
      </c>
      <c r="F349" s="4">
        <v>63516.84</v>
      </c>
      <c r="G349" s="4">
        <v>284</v>
      </c>
    </row>
    <row r="350" spans="1:8">
      <c r="A350" s="69"/>
      <c r="B350" s="69"/>
      <c r="C350" s="5" t="s">
        <v>524</v>
      </c>
      <c r="D350" s="1">
        <v>41453.69</v>
      </c>
      <c r="F350" s="1">
        <v>63516.84</v>
      </c>
      <c r="G350" s="1">
        <v>284</v>
      </c>
    </row>
    <row r="351" spans="1:8">
      <c r="A351" s="69"/>
      <c r="B351" s="73" t="s">
        <v>525</v>
      </c>
      <c r="C351" s="3" t="s">
        <v>526</v>
      </c>
      <c r="D351" s="4">
        <v>37978.97</v>
      </c>
      <c r="E351" s="4">
        <v>500</v>
      </c>
      <c r="F351" s="4">
        <v>112286.69</v>
      </c>
    </row>
    <row r="352" spans="1:8">
      <c r="A352" s="69"/>
      <c r="B352" s="69"/>
      <c r="C352" s="5" t="s">
        <v>527</v>
      </c>
      <c r="D352" s="1">
        <v>37978.97</v>
      </c>
      <c r="E352" s="1">
        <v>500</v>
      </c>
      <c r="F352" s="1">
        <v>112286.69</v>
      </c>
    </row>
    <row r="353" spans="1:7">
      <c r="A353" s="69"/>
      <c r="B353" s="73" t="s">
        <v>528</v>
      </c>
      <c r="C353" s="3" t="s">
        <v>529</v>
      </c>
      <c r="D353" s="4">
        <v>53705.03</v>
      </c>
      <c r="E353" s="4">
        <v>5084.71</v>
      </c>
      <c r="F353" s="4">
        <v>110634.93</v>
      </c>
    </row>
    <row r="354" spans="1:7">
      <c r="A354" s="69"/>
      <c r="B354" s="69"/>
      <c r="C354" s="5" t="s">
        <v>530</v>
      </c>
      <c r="D354" s="1">
        <v>53705.03</v>
      </c>
      <c r="E354" s="1">
        <v>5084.71</v>
      </c>
      <c r="F354" s="1">
        <v>110634.93</v>
      </c>
    </row>
    <row r="355" spans="1:7">
      <c r="A355" s="69"/>
      <c r="B355" s="73" t="s">
        <v>531</v>
      </c>
      <c r="C355" s="3" t="s">
        <v>532</v>
      </c>
      <c r="D355" s="4">
        <v>24492.94</v>
      </c>
      <c r="E355" s="4">
        <v>212.88</v>
      </c>
      <c r="F355" s="4">
        <v>63170.8</v>
      </c>
      <c r="G355" s="4">
        <v>39.090000000000003</v>
      </c>
    </row>
    <row r="356" spans="1:7">
      <c r="A356" s="69"/>
      <c r="B356" s="69"/>
      <c r="C356" s="5" t="s">
        <v>533</v>
      </c>
      <c r="D356" s="1">
        <v>24492.94</v>
      </c>
      <c r="E356" s="1">
        <v>212.88</v>
      </c>
      <c r="F356" s="1">
        <v>63170.8</v>
      </c>
      <c r="G356" s="1">
        <v>39.090000000000003</v>
      </c>
    </row>
    <row r="357" spans="1:7">
      <c r="A357" s="69"/>
      <c r="B357" s="73" t="s">
        <v>534</v>
      </c>
      <c r="C357" s="3" t="s">
        <v>535</v>
      </c>
      <c r="D357" s="4">
        <v>42126.39</v>
      </c>
      <c r="E357" s="4">
        <v>655.82</v>
      </c>
      <c r="F357" s="4">
        <v>160414.59</v>
      </c>
      <c r="G357" s="4">
        <v>190.745</v>
      </c>
    </row>
    <row r="358" spans="1:7">
      <c r="A358" s="69"/>
      <c r="B358" s="69"/>
      <c r="C358" s="5" t="s">
        <v>536</v>
      </c>
      <c r="D358" s="1">
        <v>42126.39</v>
      </c>
      <c r="E358" s="1">
        <v>655.82</v>
      </c>
      <c r="F358" s="1">
        <v>160414.59</v>
      </c>
      <c r="G358" s="1">
        <v>190.745</v>
      </c>
    </row>
    <row r="359" spans="1:7">
      <c r="A359" s="69"/>
      <c r="B359" s="73" t="s">
        <v>537</v>
      </c>
      <c r="C359" s="3" t="s">
        <v>538</v>
      </c>
      <c r="D359" s="4">
        <v>98325.58</v>
      </c>
      <c r="F359" s="4">
        <v>286714.68</v>
      </c>
      <c r="G359" s="4">
        <v>491.44</v>
      </c>
    </row>
    <row r="360" spans="1:7">
      <c r="A360" s="69"/>
      <c r="B360" s="69"/>
      <c r="C360" s="5" t="s">
        <v>539</v>
      </c>
      <c r="D360" s="1">
        <v>98325.58</v>
      </c>
      <c r="F360" s="1">
        <v>286714.68</v>
      </c>
      <c r="G360" s="1">
        <v>491.44</v>
      </c>
    </row>
    <row r="361" spans="1:7">
      <c r="A361" s="69"/>
      <c r="B361" s="73" t="s">
        <v>540</v>
      </c>
      <c r="C361" s="3" t="s">
        <v>541</v>
      </c>
      <c r="D361" s="4">
        <v>57933.56</v>
      </c>
      <c r="E361" s="4">
        <v>2524.02</v>
      </c>
      <c r="F361" s="4">
        <v>201972.89</v>
      </c>
      <c r="G361" s="4">
        <v>1972.88</v>
      </c>
    </row>
    <row r="362" spans="1:7">
      <c r="A362" s="69"/>
      <c r="B362" s="69"/>
      <c r="C362" s="5" t="s">
        <v>542</v>
      </c>
      <c r="D362" s="1">
        <v>57933.56</v>
      </c>
      <c r="E362" s="1">
        <v>2524.02</v>
      </c>
      <c r="F362" s="1">
        <v>201972.89</v>
      </c>
      <c r="G362" s="1">
        <v>1972.88</v>
      </c>
    </row>
    <row r="363" spans="1:7">
      <c r="A363" s="69"/>
      <c r="B363" s="73" t="s">
        <v>543</v>
      </c>
      <c r="C363" s="3" t="s">
        <v>544</v>
      </c>
      <c r="G363" s="4">
        <v>232.5</v>
      </c>
    </row>
    <row r="364" spans="1:7">
      <c r="A364" s="69"/>
      <c r="B364" s="69"/>
      <c r="C364" s="5" t="s">
        <v>545</v>
      </c>
      <c r="G364" s="1">
        <v>232.5</v>
      </c>
    </row>
    <row r="365" spans="1:7">
      <c r="A365" s="69"/>
      <c r="B365" s="73" t="s">
        <v>546</v>
      </c>
      <c r="C365" s="3" t="s">
        <v>547</v>
      </c>
      <c r="D365" s="4">
        <v>12672.02</v>
      </c>
      <c r="G365" s="4">
        <v>140.68</v>
      </c>
    </row>
    <row r="366" spans="1:7">
      <c r="A366" s="69"/>
      <c r="B366" s="69"/>
      <c r="C366" s="5" t="s">
        <v>548</v>
      </c>
      <c r="D366" s="1">
        <v>12672.02</v>
      </c>
      <c r="G366" s="1">
        <v>140.68</v>
      </c>
    </row>
    <row r="367" spans="1:7">
      <c r="A367" s="69"/>
      <c r="B367" s="73" t="s">
        <v>549</v>
      </c>
      <c r="C367" s="3" t="s">
        <v>550</v>
      </c>
      <c r="D367" s="4">
        <v>22144.95</v>
      </c>
      <c r="F367" s="4">
        <v>34988.76</v>
      </c>
      <c r="G367" s="4">
        <v>1020.01</v>
      </c>
    </row>
    <row r="368" spans="1:7">
      <c r="A368" s="69"/>
      <c r="B368" s="69"/>
      <c r="C368" s="5" t="s">
        <v>551</v>
      </c>
      <c r="D368" s="1">
        <v>22144.95</v>
      </c>
      <c r="F368" s="1">
        <v>34988.76</v>
      </c>
      <c r="G368" s="1">
        <v>1020.01</v>
      </c>
    </row>
    <row r="369" spans="1:7">
      <c r="A369" s="69"/>
      <c r="B369" s="73" t="s">
        <v>552</v>
      </c>
      <c r="C369" s="3" t="s">
        <v>553</v>
      </c>
      <c r="D369" s="4">
        <v>25243.53</v>
      </c>
      <c r="F369" s="4">
        <v>52383.24</v>
      </c>
      <c r="G369" s="4">
        <v>1953.6</v>
      </c>
    </row>
    <row r="370" spans="1:7">
      <c r="A370" s="69"/>
      <c r="B370" s="69"/>
      <c r="C370" s="5" t="s">
        <v>554</v>
      </c>
      <c r="D370" s="1">
        <v>25243.53</v>
      </c>
      <c r="F370" s="1">
        <v>52383.24</v>
      </c>
      <c r="G370" s="1">
        <v>1953.6</v>
      </c>
    </row>
    <row r="371" spans="1:7">
      <c r="A371" s="69"/>
      <c r="B371" s="73" t="s">
        <v>555</v>
      </c>
      <c r="C371" s="3" t="s">
        <v>556</v>
      </c>
      <c r="D371" s="4">
        <v>15.54</v>
      </c>
    </row>
    <row r="372" spans="1:7">
      <c r="A372" s="69"/>
      <c r="B372" s="69"/>
      <c r="C372" s="5" t="s">
        <v>557</v>
      </c>
      <c r="D372" s="1">
        <v>15.54</v>
      </c>
    </row>
    <row r="373" spans="1:7">
      <c r="A373" s="69"/>
      <c r="B373" s="73" t="s">
        <v>558</v>
      </c>
      <c r="C373" s="3" t="s">
        <v>559</v>
      </c>
      <c r="D373" s="4">
        <v>19749.37</v>
      </c>
      <c r="F373" s="4">
        <v>45626.31</v>
      </c>
      <c r="G373" s="4">
        <v>213.52</v>
      </c>
    </row>
    <row r="374" spans="1:7">
      <c r="A374" s="69"/>
      <c r="B374" s="69"/>
      <c r="C374" s="5" t="s">
        <v>560</v>
      </c>
      <c r="D374" s="1">
        <v>19749.37</v>
      </c>
      <c r="F374" s="1">
        <v>45626.31</v>
      </c>
      <c r="G374" s="1">
        <v>213.52</v>
      </c>
    </row>
    <row r="375" spans="1:7">
      <c r="A375" s="69"/>
      <c r="B375" s="73" t="s">
        <v>561</v>
      </c>
      <c r="C375" s="3" t="s">
        <v>562</v>
      </c>
      <c r="D375" s="4">
        <v>14727.6</v>
      </c>
      <c r="F375" s="4">
        <v>9835.43</v>
      </c>
      <c r="G375" s="4">
        <v>420.27</v>
      </c>
    </row>
    <row r="376" spans="1:7">
      <c r="A376" s="69"/>
      <c r="B376" s="69"/>
      <c r="C376" s="5" t="s">
        <v>563</v>
      </c>
      <c r="D376" s="1">
        <v>14727.6</v>
      </c>
      <c r="F376" s="1">
        <v>9835.43</v>
      </c>
      <c r="G376" s="1">
        <v>420.27</v>
      </c>
    </row>
    <row r="377" spans="1:7">
      <c r="A377" s="69"/>
      <c r="B377" s="73" t="s">
        <v>564</v>
      </c>
      <c r="C377" s="3" t="s">
        <v>565</v>
      </c>
      <c r="D377" s="4">
        <v>54146.9</v>
      </c>
      <c r="F377" s="4">
        <v>124381.15</v>
      </c>
      <c r="G377" s="4">
        <v>1290.45</v>
      </c>
    </row>
    <row r="378" spans="1:7">
      <c r="A378" s="69"/>
      <c r="B378" s="69"/>
      <c r="C378" s="5" t="s">
        <v>566</v>
      </c>
      <c r="D378" s="1">
        <v>54146.9</v>
      </c>
      <c r="F378" s="1">
        <v>124381.15</v>
      </c>
      <c r="G378" s="1">
        <v>1290.45</v>
      </c>
    </row>
    <row r="379" spans="1:7">
      <c r="A379" s="69"/>
      <c r="B379" s="73" t="s">
        <v>567</v>
      </c>
      <c r="C379" s="3" t="s">
        <v>568</v>
      </c>
      <c r="D379" s="4">
        <v>38070</v>
      </c>
      <c r="E379" s="4">
        <v>3643.69</v>
      </c>
      <c r="G379" s="4">
        <v>2508.65</v>
      </c>
    </row>
    <row r="380" spans="1:7">
      <c r="A380" s="69"/>
      <c r="B380" s="69"/>
      <c r="C380" s="5" t="s">
        <v>569</v>
      </c>
      <c r="D380" s="1">
        <v>38070</v>
      </c>
      <c r="E380" s="1">
        <v>3643.69</v>
      </c>
      <c r="G380" s="1">
        <v>2508.65</v>
      </c>
    </row>
    <row r="381" spans="1:7">
      <c r="A381" s="69"/>
      <c r="B381" s="73" t="s">
        <v>570</v>
      </c>
      <c r="C381" s="3" t="s">
        <v>571</v>
      </c>
      <c r="D381" s="4">
        <v>29467.81</v>
      </c>
      <c r="E381" s="4">
        <v>181.7</v>
      </c>
      <c r="F381" s="4">
        <v>71710.240000000005</v>
      </c>
    </row>
    <row r="382" spans="1:7">
      <c r="A382" s="69"/>
      <c r="B382" s="69"/>
      <c r="C382" s="5" t="s">
        <v>572</v>
      </c>
      <c r="D382" s="1">
        <v>29467.81</v>
      </c>
      <c r="E382" s="1">
        <v>181.7</v>
      </c>
      <c r="F382" s="1">
        <v>71710.240000000005</v>
      </c>
    </row>
    <row r="383" spans="1:7">
      <c r="A383" s="69"/>
      <c r="B383" s="73" t="s">
        <v>573</v>
      </c>
      <c r="C383" s="3" t="s">
        <v>574</v>
      </c>
      <c r="D383" s="4">
        <v>63878</v>
      </c>
      <c r="F383" s="4">
        <v>106312.8</v>
      </c>
    </row>
    <row r="384" spans="1:7">
      <c r="A384" s="69"/>
      <c r="B384" s="69"/>
      <c r="C384" s="5" t="s">
        <v>575</v>
      </c>
      <c r="D384" s="1">
        <v>63878</v>
      </c>
      <c r="F384" s="1">
        <v>106312.8</v>
      </c>
    </row>
    <row r="385" spans="1:7">
      <c r="A385" s="69"/>
      <c r="B385" s="73" t="s">
        <v>576</v>
      </c>
      <c r="C385" s="3" t="s">
        <v>577</v>
      </c>
      <c r="D385" s="4">
        <v>20920.47</v>
      </c>
      <c r="F385" s="4">
        <v>40906.019999999997</v>
      </c>
    </row>
    <row r="386" spans="1:7">
      <c r="A386" s="69"/>
      <c r="B386" s="69"/>
      <c r="C386" s="5" t="s">
        <v>578</v>
      </c>
      <c r="D386" s="1">
        <v>20920.47</v>
      </c>
      <c r="F386" s="1">
        <v>40906.019999999997</v>
      </c>
    </row>
    <row r="387" spans="1:7">
      <c r="A387" s="69"/>
      <c r="B387" s="73" t="s">
        <v>579</v>
      </c>
      <c r="C387" s="3" t="s">
        <v>580</v>
      </c>
      <c r="D387" s="4">
        <v>2000</v>
      </c>
      <c r="F387" s="4">
        <v>64527.6</v>
      </c>
    </row>
    <row r="388" spans="1:7">
      <c r="A388" s="69"/>
      <c r="B388" s="69"/>
      <c r="C388" s="5" t="s">
        <v>581</v>
      </c>
      <c r="D388" s="1">
        <v>2000</v>
      </c>
      <c r="F388" s="1">
        <v>64527.6</v>
      </c>
    </row>
    <row r="389" spans="1:7">
      <c r="A389" s="69"/>
      <c r="B389" s="73" t="s">
        <v>582</v>
      </c>
      <c r="C389" s="3" t="s">
        <v>583</v>
      </c>
      <c r="D389" s="4">
        <v>27503.67</v>
      </c>
      <c r="E389" s="4">
        <v>713</v>
      </c>
      <c r="F389" s="4">
        <v>177657.99</v>
      </c>
      <c r="G389" s="4">
        <v>1520.0050000000001</v>
      </c>
    </row>
    <row r="390" spans="1:7">
      <c r="A390" s="69"/>
      <c r="B390" s="69"/>
      <c r="C390" s="5" t="s">
        <v>584</v>
      </c>
      <c r="D390" s="1">
        <v>27503.67</v>
      </c>
      <c r="E390" s="1">
        <v>713</v>
      </c>
      <c r="F390" s="1">
        <v>177657.99</v>
      </c>
      <c r="G390" s="1">
        <v>1520.0050000000001</v>
      </c>
    </row>
    <row r="391" spans="1:7">
      <c r="A391" s="69"/>
      <c r="B391" s="73" t="s">
        <v>585</v>
      </c>
      <c r="C391" s="3" t="s">
        <v>586</v>
      </c>
      <c r="D391" s="4">
        <v>25561.13</v>
      </c>
      <c r="F391" s="4">
        <v>49997.760000000002</v>
      </c>
    </row>
    <row r="392" spans="1:7">
      <c r="A392" s="69"/>
      <c r="B392" s="69"/>
      <c r="C392" s="5" t="s">
        <v>587</v>
      </c>
      <c r="D392" s="1">
        <v>25561.13</v>
      </c>
      <c r="F392" s="1">
        <v>49997.760000000002</v>
      </c>
    </row>
    <row r="393" spans="1:7">
      <c r="A393" s="69"/>
      <c r="B393" s="73" t="s">
        <v>588</v>
      </c>
      <c r="C393" s="3" t="s">
        <v>589</v>
      </c>
      <c r="D393" s="4">
        <v>25621.72</v>
      </c>
      <c r="F393" s="4">
        <v>117657.60000000001</v>
      </c>
      <c r="G393" s="4">
        <v>268.47000000000003</v>
      </c>
    </row>
    <row r="394" spans="1:7">
      <c r="A394" s="69"/>
      <c r="B394" s="69"/>
      <c r="C394" s="5" t="s">
        <v>590</v>
      </c>
      <c r="D394" s="1">
        <v>25621.72</v>
      </c>
      <c r="F394" s="1">
        <v>117657.60000000001</v>
      </c>
      <c r="G394" s="1">
        <v>268.47000000000003</v>
      </c>
    </row>
    <row r="395" spans="1:7">
      <c r="A395" s="69"/>
      <c r="B395" s="73" t="s">
        <v>591</v>
      </c>
      <c r="C395" s="3" t="s">
        <v>592</v>
      </c>
      <c r="D395" s="4">
        <v>40</v>
      </c>
    </row>
    <row r="396" spans="1:7">
      <c r="A396" s="69"/>
      <c r="B396" s="69"/>
      <c r="C396" s="5" t="s">
        <v>593</v>
      </c>
      <c r="D396" s="1">
        <v>40</v>
      </c>
    </row>
    <row r="397" spans="1:7">
      <c r="A397" s="69"/>
      <c r="B397" s="73" t="s">
        <v>594</v>
      </c>
      <c r="C397" s="3" t="s">
        <v>595</v>
      </c>
      <c r="D397" s="4">
        <v>660</v>
      </c>
    </row>
    <row r="398" spans="1:7">
      <c r="A398" s="69"/>
      <c r="B398" s="69"/>
      <c r="C398" s="5" t="s">
        <v>596</v>
      </c>
      <c r="D398" s="1">
        <v>660</v>
      </c>
    </row>
    <row r="399" spans="1:7">
      <c r="A399" s="69"/>
      <c r="B399" s="73" t="s">
        <v>597</v>
      </c>
      <c r="C399" s="3" t="s">
        <v>598</v>
      </c>
      <c r="D399" s="4">
        <v>6383.62</v>
      </c>
    </row>
    <row r="400" spans="1:7">
      <c r="A400" s="69"/>
      <c r="B400" s="69"/>
      <c r="C400" s="5" t="s">
        <v>599</v>
      </c>
      <c r="D400" s="1">
        <v>6383.62</v>
      </c>
    </row>
    <row r="401" spans="1:7">
      <c r="A401" s="69"/>
      <c r="B401" s="73" t="s">
        <v>600</v>
      </c>
      <c r="C401" s="3" t="s">
        <v>601</v>
      </c>
      <c r="F401" s="4">
        <v>459590.16</v>
      </c>
    </row>
    <row r="402" spans="1:7">
      <c r="A402" s="69"/>
      <c r="B402" s="69"/>
      <c r="C402" s="5" t="s">
        <v>602</v>
      </c>
      <c r="F402" s="1">
        <v>459590.16</v>
      </c>
    </row>
    <row r="403" spans="1:7">
      <c r="A403" s="69"/>
      <c r="B403" s="73" t="s">
        <v>603</v>
      </c>
      <c r="C403" s="3" t="s">
        <v>604</v>
      </c>
      <c r="D403" s="4">
        <v>58825.21</v>
      </c>
      <c r="F403" s="4">
        <v>274660.19</v>
      </c>
    </row>
    <row r="404" spans="1:7">
      <c r="A404" s="69"/>
      <c r="B404" s="69"/>
      <c r="C404" s="5" t="s">
        <v>605</v>
      </c>
      <c r="D404" s="1">
        <v>58825.21</v>
      </c>
      <c r="F404" s="1">
        <v>274660.19</v>
      </c>
    </row>
    <row r="405" spans="1:7">
      <c r="A405" s="69"/>
      <c r="B405" s="73" t="s">
        <v>606</v>
      </c>
      <c r="C405" s="3" t="s">
        <v>607</v>
      </c>
      <c r="D405" s="4">
        <v>31528.560000000001</v>
      </c>
      <c r="E405" s="4">
        <v>428.86</v>
      </c>
      <c r="F405" s="4">
        <v>96867.26</v>
      </c>
    </row>
    <row r="406" spans="1:7">
      <c r="A406" s="69"/>
      <c r="B406" s="69"/>
      <c r="C406" s="5" t="s">
        <v>608</v>
      </c>
      <c r="D406" s="1">
        <v>31528.560000000001</v>
      </c>
      <c r="E406" s="1">
        <v>428.86</v>
      </c>
      <c r="F406" s="1">
        <v>96867.26</v>
      </c>
    </row>
    <row r="407" spans="1:7">
      <c r="A407" s="69"/>
      <c r="B407" s="73" t="s">
        <v>609</v>
      </c>
      <c r="C407" s="3" t="s">
        <v>610</v>
      </c>
      <c r="D407" s="4">
        <v>14834.69</v>
      </c>
      <c r="F407" s="4">
        <v>20101.95</v>
      </c>
    </row>
    <row r="408" spans="1:7">
      <c r="A408" s="69"/>
      <c r="B408" s="69"/>
      <c r="C408" s="5" t="s">
        <v>611</v>
      </c>
      <c r="D408" s="1">
        <v>14834.69</v>
      </c>
      <c r="F408" s="1">
        <v>20101.95</v>
      </c>
    </row>
    <row r="409" spans="1:7">
      <c r="A409" s="69"/>
      <c r="B409" s="73" t="s">
        <v>612</v>
      </c>
      <c r="C409" s="3" t="s">
        <v>613</v>
      </c>
      <c r="D409" s="4">
        <v>38319.33</v>
      </c>
      <c r="E409" s="4">
        <v>5400</v>
      </c>
      <c r="F409" s="4">
        <v>71619.02</v>
      </c>
      <c r="G409" s="4">
        <v>3405.24</v>
      </c>
    </row>
    <row r="410" spans="1:7">
      <c r="A410" s="69"/>
      <c r="B410" s="69"/>
      <c r="C410" s="5" t="s">
        <v>614</v>
      </c>
      <c r="D410" s="1">
        <v>38319.33</v>
      </c>
      <c r="E410" s="1">
        <v>5400</v>
      </c>
      <c r="F410" s="1">
        <v>71619.02</v>
      </c>
      <c r="G410" s="1">
        <v>3405.24</v>
      </c>
    </row>
    <row r="411" spans="1:7">
      <c r="A411" s="69"/>
      <c r="B411" s="73" t="s">
        <v>615</v>
      </c>
      <c r="C411" s="3" t="s">
        <v>616</v>
      </c>
      <c r="D411" s="4">
        <v>138957.32</v>
      </c>
      <c r="F411" s="4">
        <v>-10188.24</v>
      </c>
    </row>
    <row r="412" spans="1:7">
      <c r="A412" s="69"/>
      <c r="B412" s="69"/>
      <c r="C412" s="5" t="s">
        <v>617</v>
      </c>
      <c r="D412" s="1">
        <v>138957.32</v>
      </c>
      <c r="F412" s="1">
        <v>-10188.24</v>
      </c>
    </row>
    <row r="413" spans="1:7">
      <c r="A413" s="69"/>
      <c r="B413" s="73" t="s">
        <v>618</v>
      </c>
      <c r="C413" s="3" t="s">
        <v>619</v>
      </c>
      <c r="D413" s="4">
        <v>329823.14</v>
      </c>
      <c r="E413" s="4">
        <v>9020.06</v>
      </c>
      <c r="F413" s="4">
        <v>1255923.57</v>
      </c>
      <c r="G413" s="4">
        <v>5434.96</v>
      </c>
    </row>
    <row r="414" spans="1:7">
      <c r="A414" s="69"/>
      <c r="B414" s="69"/>
      <c r="C414" s="5" t="s">
        <v>620</v>
      </c>
      <c r="D414" s="1">
        <v>329823.14</v>
      </c>
      <c r="E414" s="1">
        <v>9020.06</v>
      </c>
      <c r="F414" s="1">
        <v>1255923.57</v>
      </c>
      <c r="G414" s="1">
        <v>5434.96</v>
      </c>
    </row>
    <row r="415" spans="1:7">
      <c r="A415" s="69"/>
      <c r="B415" s="73" t="s">
        <v>621</v>
      </c>
      <c r="C415" s="3" t="s">
        <v>622</v>
      </c>
      <c r="E415" s="4">
        <v>1900.71</v>
      </c>
      <c r="F415" s="4">
        <v>225068.87</v>
      </c>
    </row>
    <row r="416" spans="1:7">
      <c r="A416" s="69"/>
      <c r="B416" s="69"/>
      <c r="C416" s="5" t="s">
        <v>623</v>
      </c>
      <c r="E416" s="1">
        <v>1900.71</v>
      </c>
      <c r="F416" s="1">
        <v>225068.87</v>
      </c>
    </row>
    <row r="417" spans="1:8">
      <c r="A417" s="69"/>
      <c r="B417" s="73" t="s">
        <v>624</v>
      </c>
      <c r="C417" s="3" t="s">
        <v>625</v>
      </c>
      <c r="D417" s="4">
        <v>18199.419999999998</v>
      </c>
      <c r="E417" s="4">
        <v>897.98</v>
      </c>
      <c r="F417" s="4">
        <v>20611.48</v>
      </c>
      <c r="G417" s="4">
        <v>917.52</v>
      </c>
    </row>
    <row r="418" spans="1:8">
      <c r="A418" s="69"/>
      <c r="B418" s="69"/>
      <c r="C418" s="5" t="s">
        <v>626</v>
      </c>
      <c r="D418" s="1">
        <v>18199.419999999998</v>
      </c>
      <c r="E418" s="1">
        <v>897.98</v>
      </c>
      <c r="F418" s="1">
        <v>20611.48</v>
      </c>
      <c r="G418" s="1">
        <v>917.52</v>
      </c>
    </row>
    <row r="419" spans="1:8">
      <c r="A419" s="69"/>
      <c r="B419" s="73" t="s">
        <v>627</v>
      </c>
      <c r="C419" s="3" t="s">
        <v>628</v>
      </c>
      <c r="D419" s="4">
        <v>8690</v>
      </c>
      <c r="E419" s="4">
        <v>200</v>
      </c>
      <c r="F419" s="4">
        <v>17308.02</v>
      </c>
      <c r="G419" s="4">
        <v>1625.35</v>
      </c>
    </row>
    <row r="420" spans="1:8">
      <c r="A420" s="69"/>
      <c r="B420" s="69"/>
      <c r="C420" s="5" t="s">
        <v>629</v>
      </c>
      <c r="D420" s="1">
        <v>8690</v>
      </c>
      <c r="E420" s="1">
        <v>200</v>
      </c>
      <c r="F420" s="1">
        <v>17308.02</v>
      </c>
      <c r="G420" s="1">
        <v>1625.35</v>
      </c>
    </row>
    <row r="421" spans="1:8">
      <c r="A421" s="69"/>
      <c r="B421" s="73" t="s">
        <v>630</v>
      </c>
      <c r="C421" s="3" t="s">
        <v>631</v>
      </c>
      <c r="D421" s="4">
        <v>58898.67</v>
      </c>
      <c r="F421" s="4">
        <v>78356.11</v>
      </c>
      <c r="G421" s="4">
        <v>101.58</v>
      </c>
    </row>
    <row r="422" spans="1:8">
      <c r="A422" s="69"/>
      <c r="B422" s="69"/>
      <c r="C422" s="5" t="s">
        <v>632</v>
      </c>
      <c r="D422" s="1">
        <v>58898.67</v>
      </c>
      <c r="F422" s="1">
        <v>78356.11</v>
      </c>
      <c r="G422" s="1">
        <v>101.58</v>
      </c>
    </row>
    <row r="423" spans="1:8">
      <c r="A423" s="69"/>
      <c r="B423" s="73" t="s">
        <v>633</v>
      </c>
      <c r="C423" s="3" t="s">
        <v>634</v>
      </c>
      <c r="F423" s="4">
        <v>3291.85</v>
      </c>
      <c r="G423" s="4">
        <v>476.49</v>
      </c>
      <c r="H423" s="4">
        <v>104.5</v>
      </c>
    </row>
    <row r="424" spans="1:8">
      <c r="A424" s="69"/>
      <c r="B424" s="69"/>
      <c r="C424" s="5" t="s">
        <v>635</v>
      </c>
      <c r="F424" s="1">
        <v>3291.85</v>
      </c>
      <c r="G424" s="1">
        <v>476.49</v>
      </c>
      <c r="H424" s="1">
        <v>104.5</v>
      </c>
    </row>
    <row r="425" spans="1:8">
      <c r="A425" s="69"/>
      <c r="B425" s="73" t="s">
        <v>636</v>
      </c>
      <c r="C425" s="3" t="s">
        <v>637</v>
      </c>
      <c r="D425" s="4">
        <v>3204.84</v>
      </c>
      <c r="F425" s="4">
        <v>22983.31</v>
      </c>
      <c r="G425" s="4">
        <v>1408.4</v>
      </c>
    </row>
    <row r="426" spans="1:8">
      <c r="A426" s="69"/>
      <c r="B426" s="69"/>
      <c r="C426" s="5" t="s">
        <v>638</v>
      </c>
      <c r="D426" s="1">
        <v>3204.84</v>
      </c>
      <c r="F426" s="1">
        <v>22983.31</v>
      </c>
      <c r="G426" s="1">
        <v>1408.4</v>
      </c>
    </row>
    <row r="427" spans="1:8">
      <c r="A427" s="69"/>
      <c r="B427" s="73" t="s">
        <v>639</v>
      </c>
      <c r="C427" s="3" t="s">
        <v>640</v>
      </c>
      <c r="G427" s="4">
        <v>1229.52</v>
      </c>
    </row>
    <row r="428" spans="1:8">
      <c r="A428" s="69"/>
      <c r="B428" s="69"/>
      <c r="C428" s="5" t="s">
        <v>641</v>
      </c>
      <c r="G428" s="1">
        <v>1229.52</v>
      </c>
    </row>
    <row r="429" spans="1:8">
      <c r="A429" s="69"/>
      <c r="B429" s="73" t="s">
        <v>642</v>
      </c>
      <c r="C429" s="3" t="s">
        <v>643</v>
      </c>
      <c r="D429" s="4">
        <v>7470.96</v>
      </c>
      <c r="F429" s="4">
        <v>-8246</v>
      </c>
      <c r="G429" s="4">
        <v>602.69500000000005</v>
      </c>
    </row>
    <row r="430" spans="1:8">
      <c r="A430" s="69"/>
      <c r="B430" s="69"/>
      <c r="C430" s="5" t="s">
        <v>644</v>
      </c>
      <c r="D430" s="1">
        <v>7470.96</v>
      </c>
      <c r="F430" s="1">
        <v>-8246</v>
      </c>
      <c r="G430" s="1">
        <v>602.69500000000005</v>
      </c>
    </row>
    <row r="431" spans="1:8">
      <c r="A431" s="69"/>
      <c r="B431" s="73" t="s">
        <v>645</v>
      </c>
      <c r="C431" s="3" t="s">
        <v>646</v>
      </c>
      <c r="D431" s="4">
        <v>9106.9699999999993</v>
      </c>
      <c r="F431" s="4">
        <v>14156.68</v>
      </c>
    </row>
    <row r="432" spans="1:8">
      <c r="A432" s="69"/>
      <c r="B432" s="69"/>
      <c r="C432" s="5" t="s">
        <v>647</v>
      </c>
      <c r="D432" s="1">
        <v>9106.9699999999993</v>
      </c>
      <c r="F432" s="1">
        <v>14156.68</v>
      </c>
    </row>
    <row r="433" spans="1:8">
      <c r="A433" s="69"/>
      <c r="B433" s="73" t="s">
        <v>648</v>
      </c>
      <c r="C433" s="3" t="s">
        <v>649</v>
      </c>
      <c r="D433" s="4">
        <v>14187.02</v>
      </c>
      <c r="F433" s="4">
        <v>53826.75</v>
      </c>
    </row>
    <row r="434" spans="1:8">
      <c r="A434" s="69"/>
      <c r="B434" s="69"/>
      <c r="C434" s="5" t="s">
        <v>650</v>
      </c>
      <c r="D434" s="1">
        <v>14187.02</v>
      </c>
      <c r="F434" s="1">
        <v>53826.75</v>
      </c>
    </row>
    <row r="435" spans="1:8">
      <c r="A435" s="69"/>
      <c r="B435" s="73" t="s">
        <v>651</v>
      </c>
      <c r="C435" s="3" t="s">
        <v>652</v>
      </c>
      <c r="D435" s="4">
        <v>57886.54</v>
      </c>
      <c r="E435" s="4">
        <v>2171.9699999999998</v>
      </c>
      <c r="F435" s="4">
        <v>92225.919999999998</v>
      </c>
    </row>
    <row r="436" spans="1:8">
      <c r="A436" s="69"/>
      <c r="B436" s="69"/>
      <c r="C436" s="5" t="s">
        <v>653</v>
      </c>
      <c r="D436" s="1">
        <v>57886.54</v>
      </c>
      <c r="E436" s="1">
        <v>2171.9699999999998</v>
      </c>
      <c r="F436" s="1">
        <v>92225.919999999998</v>
      </c>
    </row>
    <row r="437" spans="1:8">
      <c r="A437" s="69"/>
      <c r="B437" s="73" t="s">
        <v>654</v>
      </c>
      <c r="C437" s="3" t="s">
        <v>655</v>
      </c>
      <c r="D437" s="4">
        <v>36565.24</v>
      </c>
      <c r="F437" s="4">
        <v>33362.07</v>
      </c>
    </row>
    <row r="438" spans="1:8">
      <c r="A438" s="69"/>
      <c r="B438" s="69"/>
      <c r="C438" s="5" t="s">
        <v>656</v>
      </c>
      <c r="D438" s="1">
        <v>36565.24</v>
      </c>
      <c r="F438" s="1">
        <v>33362.07</v>
      </c>
    </row>
    <row r="439" spans="1:8">
      <c r="A439" s="69"/>
      <c r="B439" s="73" t="s">
        <v>657</v>
      </c>
      <c r="C439" s="3" t="s">
        <v>658</v>
      </c>
      <c r="D439" s="4">
        <v>100418.73</v>
      </c>
      <c r="F439" s="4">
        <v>293110.37</v>
      </c>
    </row>
    <row r="440" spans="1:8">
      <c r="A440" s="69"/>
      <c r="B440" s="69"/>
      <c r="C440" s="5" t="s">
        <v>659</v>
      </c>
      <c r="D440" s="1">
        <v>100418.73</v>
      </c>
      <c r="F440" s="1">
        <v>293110.37</v>
      </c>
    </row>
    <row r="441" spans="1:8">
      <c r="A441" s="69"/>
      <c r="B441" s="73" t="s">
        <v>660</v>
      </c>
      <c r="C441" s="3" t="s">
        <v>661</v>
      </c>
      <c r="D441" s="4">
        <v>18141.849999999999</v>
      </c>
      <c r="F441" s="4">
        <v>65463.16</v>
      </c>
      <c r="G441" s="4">
        <v>446.56</v>
      </c>
    </row>
    <row r="442" spans="1:8">
      <c r="A442" s="69"/>
      <c r="B442" s="69"/>
      <c r="C442" s="5" t="s">
        <v>662</v>
      </c>
      <c r="D442" s="1">
        <v>18141.849999999999</v>
      </c>
      <c r="F442" s="1">
        <v>65463.16</v>
      </c>
      <c r="G442" s="1">
        <v>446.56</v>
      </c>
    </row>
    <row r="443" spans="1:8">
      <c r="A443" s="69"/>
      <c r="B443" s="73" t="s">
        <v>663</v>
      </c>
      <c r="C443" s="3" t="s">
        <v>664</v>
      </c>
      <c r="D443" s="4">
        <v>41998.63</v>
      </c>
      <c r="E443" s="4">
        <v>2241.6799999999998</v>
      </c>
      <c r="F443" s="4">
        <v>199237.38</v>
      </c>
      <c r="G443" s="4">
        <v>3085</v>
      </c>
      <c r="H443" s="4">
        <v>1013.92</v>
      </c>
    </row>
    <row r="444" spans="1:8">
      <c r="A444" s="69"/>
      <c r="B444" s="69"/>
      <c r="C444" s="5" t="s">
        <v>665</v>
      </c>
      <c r="D444" s="1">
        <v>41998.63</v>
      </c>
      <c r="E444" s="1">
        <v>2241.6799999999998</v>
      </c>
      <c r="F444" s="1">
        <v>199237.38</v>
      </c>
      <c r="G444" s="1">
        <v>3085</v>
      </c>
      <c r="H444" s="1">
        <v>1013.92</v>
      </c>
    </row>
    <row r="445" spans="1:8">
      <c r="A445" s="69"/>
      <c r="B445" s="73" t="s">
        <v>666</v>
      </c>
      <c r="C445" s="3" t="s">
        <v>667</v>
      </c>
      <c r="D445" s="4">
        <v>59289.96</v>
      </c>
    </row>
    <row r="446" spans="1:8">
      <c r="A446" s="69"/>
      <c r="B446" s="69"/>
      <c r="C446" s="5" t="s">
        <v>668</v>
      </c>
      <c r="D446" s="1">
        <v>59289.96</v>
      </c>
    </row>
    <row r="447" spans="1:8">
      <c r="A447" s="69"/>
      <c r="B447" s="73" t="s">
        <v>669</v>
      </c>
      <c r="C447" s="3" t="s">
        <v>670</v>
      </c>
      <c r="D447" s="4">
        <v>107.48</v>
      </c>
    </row>
    <row r="448" spans="1:8">
      <c r="A448" s="69"/>
      <c r="B448" s="69"/>
      <c r="C448" s="5" t="s">
        <v>671</v>
      </c>
      <c r="D448" s="1">
        <v>107.48</v>
      </c>
    </row>
    <row r="449" spans="1:7">
      <c r="A449" s="69"/>
      <c r="B449" s="73" t="s">
        <v>672</v>
      </c>
      <c r="C449" s="3" t="s">
        <v>673</v>
      </c>
      <c r="D449" s="4">
        <v>5598</v>
      </c>
      <c r="F449" s="4">
        <v>11885.77</v>
      </c>
    </row>
    <row r="450" spans="1:7">
      <c r="A450" s="69"/>
      <c r="B450" s="69"/>
      <c r="C450" s="5" t="s">
        <v>674</v>
      </c>
      <c r="D450" s="1">
        <v>5598</v>
      </c>
      <c r="F450" s="1">
        <v>11885.77</v>
      </c>
    </row>
    <row r="451" spans="1:7">
      <c r="A451" s="69"/>
      <c r="B451" s="73" t="s">
        <v>675</v>
      </c>
      <c r="C451" s="3" t="s">
        <v>676</v>
      </c>
      <c r="D451" s="4">
        <v>74053.16</v>
      </c>
      <c r="E451" s="4">
        <v>5140.32</v>
      </c>
      <c r="F451" s="4">
        <v>459866.76</v>
      </c>
      <c r="G451" s="4">
        <v>2726</v>
      </c>
    </row>
    <row r="452" spans="1:7">
      <c r="A452" s="69"/>
      <c r="B452" s="69"/>
      <c r="C452" s="5" t="s">
        <v>677</v>
      </c>
      <c r="D452" s="1">
        <v>74053.16</v>
      </c>
      <c r="E452" s="1">
        <v>5140.32</v>
      </c>
      <c r="F452" s="1">
        <v>459866.76</v>
      </c>
      <c r="G452" s="1">
        <v>2726</v>
      </c>
    </row>
    <row r="453" spans="1:7">
      <c r="A453" s="69"/>
      <c r="B453" s="73" t="s">
        <v>678</v>
      </c>
      <c r="C453" s="3" t="s">
        <v>679</v>
      </c>
      <c r="D453" s="4">
        <v>20972.71</v>
      </c>
    </row>
    <row r="454" spans="1:7">
      <c r="A454" s="69"/>
      <c r="B454" s="69"/>
      <c r="C454" s="5" t="s">
        <v>680</v>
      </c>
      <c r="D454" s="1">
        <v>20972.71</v>
      </c>
    </row>
    <row r="455" spans="1:7">
      <c r="A455" s="69"/>
      <c r="B455" s="73" t="s">
        <v>681</v>
      </c>
      <c r="C455" s="3" t="s">
        <v>682</v>
      </c>
      <c r="D455" s="4">
        <v>1920</v>
      </c>
    </row>
    <row r="456" spans="1:7">
      <c r="A456" s="69"/>
      <c r="B456" s="69"/>
      <c r="C456" s="5" t="s">
        <v>683</v>
      </c>
      <c r="D456" s="1">
        <v>1920</v>
      </c>
    </row>
    <row r="457" spans="1:7">
      <c r="A457" s="69"/>
      <c r="B457" s="73" t="s">
        <v>684</v>
      </c>
      <c r="C457" s="3" t="s">
        <v>685</v>
      </c>
      <c r="D457" s="4">
        <v>-27.28</v>
      </c>
    </row>
    <row r="458" spans="1:7">
      <c r="A458" s="69"/>
      <c r="B458" s="69"/>
      <c r="C458" s="5" t="s">
        <v>686</v>
      </c>
      <c r="D458" s="1">
        <v>-27.28</v>
      </c>
    </row>
    <row r="459" spans="1:7">
      <c r="A459" s="69"/>
      <c r="B459" s="73" t="s">
        <v>687</v>
      </c>
      <c r="C459" s="3" t="s">
        <v>688</v>
      </c>
      <c r="D459" s="4">
        <v>12970.6</v>
      </c>
    </row>
    <row r="460" spans="1:7">
      <c r="A460" s="69"/>
      <c r="B460" s="69"/>
      <c r="C460" s="5" t="s">
        <v>689</v>
      </c>
      <c r="D460" s="1">
        <v>12970.6</v>
      </c>
    </row>
    <row r="461" spans="1:7">
      <c r="A461" s="69"/>
      <c r="B461" s="73" t="s">
        <v>690</v>
      </c>
      <c r="C461" s="3" t="s">
        <v>691</v>
      </c>
      <c r="D461" s="4">
        <v>11522.4</v>
      </c>
      <c r="F461" s="4">
        <v>11522.4</v>
      </c>
    </row>
    <row r="462" spans="1:7">
      <c r="A462" s="69"/>
      <c r="B462" s="69"/>
      <c r="C462" s="5" t="s">
        <v>692</v>
      </c>
      <c r="D462" s="1">
        <v>11522.4</v>
      </c>
      <c r="F462" s="1">
        <v>11522.4</v>
      </c>
    </row>
    <row r="463" spans="1:7">
      <c r="A463" s="69"/>
      <c r="B463" s="73" t="s">
        <v>693</v>
      </c>
      <c r="C463" s="3" t="s">
        <v>694</v>
      </c>
      <c r="D463" s="4">
        <v>3169.26</v>
      </c>
      <c r="E463" s="4">
        <v>705.43</v>
      </c>
      <c r="F463" s="4">
        <v>17892.84</v>
      </c>
      <c r="G463" s="4">
        <v>149.91999999999999</v>
      </c>
    </row>
    <row r="464" spans="1:7">
      <c r="A464" s="69"/>
      <c r="B464" s="69"/>
      <c r="C464" s="5" t="s">
        <v>695</v>
      </c>
      <c r="D464" s="1">
        <v>3169.26</v>
      </c>
      <c r="E464" s="1">
        <v>705.43</v>
      </c>
      <c r="F464" s="1">
        <v>17892.84</v>
      </c>
      <c r="G464" s="1">
        <v>149.91999999999999</v>
      </c>
    </row>
    <row r="465" spans="1:8">
      <c r="A465" s="69"/>
      <c r="B465" s="73" t="s">
        <v>696</v>
      </c>
      <c r="C465" s="3" t="s">
        <v>697</v>
      </c>
      <c r="D465" s="4">
        <v>55538.400000000001</v>
      </c>
      <c r="F465" s="4">
        <v>252697.9</v>
      </c>
    </row>
    <row r="466" spans="1:8">
      <c r="A466" s="69"/>
      <c r="B466" s="69"/>
      <c r="C466" s="5" t="s">
        <v>698</v>
      </c>
      <c r="D466" s="1">
        <v>55538.400000000001</v>
      </c>
      <c r="F466" s="1">
        <v>252697.9</v>
      </c>
    </row>
    <row r="467" spans="1:8">
      <c r="A467" s="69"/>
      <c r="B467" s="73" t="s">
        <v>699</v>
      </c>
      <c r="C467" s="3" t="s">
        <v>700</v>
      </c>
      <c r="D467" s="4">
        <v>14830.97</v>
      </c>
      <c r="E467" s="4">
        <v>823.8</v>
      </c>
      <c r="F467" s="4">
        <v>39927.26</v>
      </c>
    </row>
    <row r="468" spans="1:8">
      <c r="A468" s="69"/>
      <c r="B468" s="69"/>
      <c r="C468" s="5" t="s">
        <v>701</v>
      </c>
      <c r="D468" s="1">
        <v>14830.97</v>
      </c>
      <c r="E468" s="1">
        <v>823.8</v>
      </c>
      <c r="F468" s="1">
        <v>39927.26</v>
      </c>
    </row>
    <row r="469" spans="1:8">
      <c r="A469" s="69"/>
      <c r="B469" s="73" t="s">
        <v>702</v>
      </c>
      <c r="C469" s="3" t="s">
        <v>703</v>
      </c>
      <c r="D469" s="4">
        <v>4867.3100000000004</v>
      </c>
      <c r="F469" s="4">
        <v>11132.91</v>
      </c>
    </row>
    <row r="470" spans="1:8">
      <c r="A470" s="69"/>
      <c r="B470" s="69"/>
      <c r="C470" s="5" t="s">
        <v>704</v>
      </c>
      <c r="D470" s="1">
        <v>4867.3100000000004</v>
      </c>
      <c r="F470" s="1">
        <v>11132.91</v>
      </c>
    </row>
    <row r="471" spans="1:8">
      <c r="A471" s="69"/>
      <c r="B471" s="73" t="s">
        <v>705</v>
      </c>
      <c r="C471" s="3" t="s">
        <v>706</v>
      </c>
      <c r="E471" s="4">
        <v>1650.86</v>
      </c>
      <c r="F471" s="4">
        <v>48239.45</v>
      </c>
      <c r="G471" s="4">
        <v>3444.61</v>
      </c>
      <c r="H471" s="4">
        <v>1046.93</v>
      </c>
    </row>
    <row r="472" spans="1:8">
      <c r="A472" s="69"/>
      <c r="B472" s="69"/>
      <c r="C472" s="5" t="s">
        <v>707</v>
      </c>
      <c r="E472" s="1">
        <v>1650.86</v>
      </c>
      <c r="F472" s="1">
        <v>48239.45</v>
      </c>
      <c r="G472" s="1">
        <v>3444.61</v>
      </c>
      <c r="H472" s="1">
        <v>1046.93</v>
      </c>
    </row>
    <row r="473" spans="1:8">
      <c r="A473" s="69"/>
      <c r="B473" s="73" t="s">
        <v>708</v>
      </c>
      <c r="C473" s="3" t="s">
        <v>709</v>
      </c>
      <c r="E473" s="4">
        <v>23.36</v>
      </c>
    </row>
    <row r="474" spans="1:8">
      <c r="A474" s="69"/>
      <c r="B474" s="69"/>
      <c r="C474" s="5" t="s">
        <v>710</v>
      </c>
      <c r="E474" s="1">
        <v>23.36</v>
      </c>
    </row>
    <row r="475" spans="1:8">
      <c r="A475" s="69"/>
      <c r="B475" s="73" t="s">
        <v>711</v>
      </c>
      <c r="C475" s="3" t="s">
        <v>712</v>
      </c>
      <c r="E475" s="4">
        <v>567.84</v>
      </c>
    </row>
    <row r="476" spans="1:8">
      <c r="A476" s="69"/>
      <c r="B476" s="69"/>
      <c r="C476" s="5" t="s">
        <v>713</v>
      </c>
      <c r="E476" s="1">
        <v>567.84</v>
      </c>
    </row>
    <row r="477" spans="1:8">
      <c r="A477" s="69"/>
      <c r="B477" s="73" t="s">
        <v>714</v>
      </c>
      <c r="C477" s="3" t="s">
        <v>715</v>
      </c>
      <c r="E477" s="4">
        <v>2494.86</v>
      </c>
    </row>
    <row r="478" spans="1:8">
      <c r="A478" s="69"/>
      <c r="B478" s="69"/>
      <c r="C478" s="5" t="s">
        <v>716</v>
      </c>
      <c r="E478" s="1">
        <v>2494.86</v>
      </c>
    </row>
    <row r="479" spans="1:8">
      <c r="A479" s="69"/>
      <c r="B479" s="73" t="s">
        <v>717</v>
      </c>
      <c r="C479" s="3" t="s">
        <v>718</v>
      </c>
      <c r="G479" s="4">
        <v>2642.72</v>
      </c>
    </row>
    <row r="480" spans="1:8">
      <c r="A480" s="69"/>
      <c r="B480" s="69"/>
      <c r="C480" s="5" t="s">
        <v>719</v>
      </c>
      <c r="G480" s="1">
        <v>2642.72</v>
      </c>
    </row>
    <row r="481" spans="1:7">
      <c r="A481" s="69"/>
      <c r="B481" s="73" t="s">
        <v>720</v>
      </c>
      <c r="C481" s="3" t="s">
        <v>721</v>
      </c>
      <c r="F481" s="4">
        <v>-10186.040000000001</v>
      </c>
      <c r="G481" s="4">
        <v>2180.8000000000002</v>
      </c>
    </row>
    <row r="482" spans="1:7">
      <c r="A482" s="69"/>
      <c r="B482" s="69"/>
      <c r="C482" s="5" t="s">
        <v>722</v>
      </c>
      <c r="F482" s="1">
        <v>-10186.040000000001</v>
      </c>
      <c r="G482" s="1">
        <v>2180.8000000000002</v>
      </c>
    </row>
    <row r="483" spans="1:7">
      <c r="A483" s="69"/>
      <c r="B483" s="73" t="s">
        <v>723</v>
      </c>
      <c r="C483" s="3" t="s">
        <v>724</v>
      </c>
      <c r="G483" s="4">
        <v>218.21</v>
      </c>
    </row>
    <row r="484" spans="1:7">
      <c r="A484" s="69"/>
      <c r="B484" s="69"/>
      <c r="C484" s="5" t="s">
        <v>725</v>
      </c>
      <c r="G484" s="1">
        <v>218.21</v>
      </c>
    </row>
    <row r="485" spans="1:7">
      <c r="A485" s="69"/>
      <c r="B485" s="73" t="s">
        <v>726</v>
      </c>
      <c r="C485" s="3" t="s">
        <v>727</v>
      </c>
      <c r="D485" s="4">
        <v>40324.449999999997</v>
      </c>
      <c r="F485" s="4">
        <v>54842.14</v>
      </c>
    </row>
    <row r="486" spans="1:7">
      <c r="A486" s="69"/>
      <c r="B486" s="69"/>
      <c r="C486" s="5" t="s">
        <v>728</v>
      </c>
      <c r="D486" s="1">
        <v>40324.449999999997</v>
      </c>
      <c r="F486" s="1">
        <v>54842.14</v>
      </c>
    </row>
    <row r="487" spans="1:7">
      <c r="A487" s="69"/>
      <c r="B487" s="73" t="s">
        <v>729</v>
      </c>
      <c r="C487" s="3" t="s">
        <v>730</v>
      </c>
      <c r="D487" s="4">
        <v>15013.04</v>
      </c>
      <c r="F487" s="4">
        <v>35554.5</v>
      </c>
      <c r="G487" s="4">
        <v>302.56</v>
      </c>
    </row>
    <row r="488" spans="1:7">
      <c r="A488" s="69"/>
      <c r="B488" s="69"/>
      <c r="C488" s="5" t="s">
        <v>731</v>
      </c>
      <c r="D488" s="1">
        <v>15013.04</v>
      </c>
      <c r="F488" s="1">
        <v>35554.5</v>
      </c>
      <c r="G488" s="1">
        <v>302.56</v>
      </c>
    </row>
    <row r="489" spans="1:7">
      <c r="A489" s="69"/>
      <c r="B489" s="73" t="s">
        <v>732</v>
      </c>
      <c r="C489" s="3" t="s">
        <v>733</v>
      </c>
      <c r="D489" s="4">
        <v>135.47999999999999</v>
      </c>
    </row>
    <row r="490" spans="1:7">
      <c r="A490" s="69"/>
      <c r="B490" s="69"/>
      <c r="C490" s="5" t="s">
        <v>734</v>
      </c>
      <c r="D490" s="1">
        <v>135.47999999999999</v>
      </c>
    </row>
    <row r="491" spans="1:7">
      <c r="A491" s="69"/>
      <c r="B491" s="73" t="s">
        <v>735</v>
      </c>
      <c r="C491" s="3" t="s">
        <v>736</v>
      </c>
      <c r="D491" s="4">
        <v>243</v>
      </c>
      <c r="G491" s="4">
        <v>939.94</v>
      </c>
    </row>
    <row r="492" spans="1:7">
      <c r="A492" s="69"/>
      <c r="B492" s="69"/>
      <c r="C492" s="5" t="s">
        <v>737</v>
      </c>
      <c r="D492" s="1">
        <v>243</v>
      </c>
      <c r="G492" s="1">
        <v>939.94</v>
      </c>
    </row>
    <row r="493" spans="1:7">
      <c r="A493" s="69"/>
      <c r="B493" s="73" t="s">
        <v>738</v>
      </c>
      <c r="C493" s="3" t="s">
        <v>739</v>
      </c>
      <c r="D493" s="4">
        <v>33925.94</v>
      </c>
    </row>
    <row r="494" spans="1:7">
      <c r="A494" s="69"/>
      <c r="B494" s="69"/>
      <c r="C494" s="5" t="s">
        <v>740</v>
      </c>
      <c r="D494" s="1">
        <v>33925.94</v>
      </c>
    </row>
    <row r="495" spans="1:7">
      <c r="A495" s="69"/>
      <c r="B495" s="73" t="s">
        <v>741</v>
      </c>
      <c r="C495" s="3" t="s">
        <v>742</v>
      </c>
      <c r="D495" s="4">
        <v>1602.42</v>
      </c>
    </row>
    <row r="496" spans="1:7">
      <c r="A496" s="69"/>
      <c r="B496" s="69"/>
      <c r="C496" s="5" t="s">
        <v>743</v>
      </c>
      <c r="D496" s="1">
        <v>1602.42</v>
      </c>
    </row>
    <row r="497" spans="1:7">
      <c r="A497" s="69"/>
      <c r="B497" s="73" t="s">
        <v>744</v>
      </c>
      <c r="C497" s="3" t="s">
        <v>745</v>
      </c>
      <c r="F497" s="4">
        <v>103333.32</v>
      </c>
    </row>
    <row r="498" spans="1:7">
      <c r="A498" s="69"/>
      <c r="B498" s="69"/>
      <c r="C498" s="5" t="s">
        <v>746</v>
      </c>
      <c r="F498" s="1">
        <v>103333.32</v>
      </c>
    </row>
    <row r="499" spans="1:7">
      <c r="A499" s="69"/>
      <c r="B499" s="73" t="s">
        <v>747</v>
      </c>
      <c r="C499" s="3" t="s">
        <v>748</v>
      </c>
      <c r="E499" s="4">
        <v>3532.76</v>
      </c>
      <c r="F499" s="4">
        <v>243334.34</v>
      </c>
    </row>
    <row r="500" spans="1:7">
      <c r="A500" s="69"/>
      <c r="B500" s="69"/>
      <c r="C500" s="5" t="s">
        <v>749</v>
      </c>
      <c r="E500" s="1">
        <v>3532.76</v>
      </c>
      <c r="F500" s="1">
        <v>243334.34</v>
      </c>
    </row>
    <row r="501" spans="1:7">
      <c r="A501" s="69"/>
      <c r="B501" s="73" t="s">
        <v>750</v>
      </c>
      <c r="C501" s="3" t="s">
        <v>751</v>
      </c>
      <c r="D501" s="4">
        <v>18525.080000000002</v>
      </c>
      <c r="F501" s="4">
        <v>40317.9</v>
      </c>
    </row>
    <row r="502" spans="1:7">
      <c r="A502" s="69"/>
      <c r="B502" s="69"/>
      <c r="C502" s="5" t="s">
        <v>752</v>
      </c>
      <c r="D502" s="1">
        <v>18525.080000000002</v>
      </c>
      <c r="F502" s="1">
        <v>40317.9</v>
      </c>
    </row>
    <row r="503" spans="1:7">
      <c r="A503" s="69"/>
      <c r="B503" s="73" t="s">
        <v>753</v>
      </c>
      <c r="C503" s="3" t="s">
        <v>754</v>
      </c>
      <c r="D503" s="4">
        <v>216976.96</v>
      </c>
      <c r="E503" s="4">
        <v>18190</v>
      </c>
      <c r="F503" s="4">
        <v>566705.52</v>
      </c>
      <c r="G503" s="4">
        <v>3490.95</v>
      </c>
    </row>
    <row r="504" spans="1:7">
      <c r="A504" s="69"/>
      <c r="B504" s="69"/>
      <c r="C504" s="5" t="s">
        <v>755</v>
      </c>
      <c r="D504" s="1">
        <v>216976.96</v>
      </c>
      <c r="E504" s="1">
        <v>18190</v>
      </c>
      <c r="F504" s="1">
        <v>566705.52</v>
      </c>
      <c r="G504" s="1">
        <v>3490.95</v>
      </c>
    </row>
    <row r="505" spans="1:7">
      <c r="A505" s="69"/>
      <c r="B505" s="73" t="s">
        <v>756</v>
      </c>
      <c r="C505" s="3" t="s">
        <v>757</v>
      </c>
      <c r="F505" s="4">
        <v>146000</v>
      </c>
    </row>
    <row r="506" spans="1:7">
      <c r="A506" s="69"/>
      <c r="B506" s="69"/>
      <c r="C506" s="5" t="s">
        <v>758</v>
      </c>
      <c r="F506" s="1">
        <v>146000</v>
      </c>
    </row>
    <row r="507" spans="1:7">
      <c r="A507" s="69"/>
      <c r="B507" s="73" t="s">
        <v>759</v>
      </c>
      <c r="C507" s="3" t="s">
        <v>760</v>
      </c>
      <c r="D507" s="4">
        <v>27192.68</v>
      </c>
      <c r="F507" s="4">
        <v>88062.66</v>
      </c>
    </row>
    <row r="508" spans="1:7">
      <c r="A508" s="69"/>
      <c r="B508" s="69"/>
      <c r="C508" s="5" t="s">
        <v>761</v>
      </c>
      <c r="D508" s="1">
        <v>27192.68</v>
      </c>
      <c r="F508" s="1">
        <v>88062.66</v>
      </c>
    </row>
    <row r="509" spans="1:7">
      <c r="A509" s="69"/>
      <c r="B509" s="73" t="s">
        <v>762</v>
      </c>
      <c r="C509" s="3" t="s">
        <v>763</v>
      </c>
      <c r="D509" s="4">
        <v>36651.57</v>
      </c>
      <c r="F509" s="4">
        <v>104391.98</v>
      </c>
    </row>
    <row r="510" spans="1:7">
      <c r="A510" s="69"/>
      <c r="B510" s="69"/>
      <c r="C510" s="5" t="s">
        <v>764</v>
      </c>
      <c r="D510" s="1">
        <v>36651.57</v>
      </c>
      <c r="F510" s="1">
        <v>104391.98</v>
      </c>
    </row>
    <row r="511" spans="1:7">
      <c r="A511" s="69"/>
      <c r="B511" s="73" t="s">
        <v>765</v>
      </c>
      <c r="C511" s="3" t="s">
        <v>766</v>
      </c>
      <c r="D511" s="4">
        <v>13776.56</v>
      </c>
      <c r="E511" s="4">
        <v>3334.73</v>
      </c>
      <c r="F511" s="4">
        <v>54164.28</v>
      </c>
    </row>
    <row r="512" spans="1:7">
      <c r="A512" s="69"/>
      <c r="B512" s="69"/>
      <c r="C512" s="5" t="s">
        <v>767</v>
      </c>
      <c r="D512" s="1">
        <v>13776.56</v>
      </c>
      <c r="E512" s="1">
        <v>3334.73</v>
      </c>
      <c r="F512" s="1">
        <v>54164.28</v>
      </c>
    </row>
    <row r="513" spans="1:7">
      <c r="A513" s="69"/>
      <c r="B513" s="73" t="s">
        <v>768</v>
      </c>
      <c r="C513" s="3" t="s">
        <v>769</v>
      </c>
      <c r="D513" s="4">
        <v>34393.730000000003</v>
      </c>
      <c r="F513" s="4">
        <v>34330.089999999997</v>
      </c>
    </row>
    <row r="514" spans="1:7">
      <c r="A514" s="69"/>
      <c r="B514" s="69"/>
      <c r="C514" s="5" t="s">
        <v>770</v>
      </c>
      <c r="D514" s="1">
        <v>34393.730000000003</v>
      </c>
      <c r="F514" s="1">
        <v>34330.089999999997</v>
      </c>
    </row>
    <row r="515" spans="1:7">
      <c r="A515" s="69"/>
      <c r="B515" s="73" t="s">
        <v>771</v>
      </c>
      <c r="C515" s="3" t="s">
        <v>772</v>
      </c>
      <c r="D515" s="4">
        <v>13133.65</v>
      </c>
      <c r="F515" s="4">
        <v>15136.41</v>
      </c>
    </row>
    <row r="516" spans="1:7">
      <c r="A516" s="69"/>
      <c r="B516" s="69"/>
      <c r="C516" s="5" t="s">
        <v>773</v>
      </c>
      <c r="D516" s="1">
        <v>13133.65</v>
      </c>
      <c r="F516" s="1">
        <v>15136.41</v>
      </c>
    </row>
    <row r="517" spans="1:7">
      <c r="A517" s="69"/>
      <c r="B517" s="73" t="s">
        <v>774</v>
      </c>
      <c r="C517" s="3" t="s">
        <v>775</v>
      </c>
      <c r="F517" s="4">
        <v>6190</v>
      </c>
    </row>
    <row r="518" spans="1:7">
      <c r="A518" s="69"/>
      <c r="B518" s="69"/>
      <c r="C518" s="5" t="s">
        <v>776</v>
      </c>
      <c r="F518" s="1">
        <v>6190</v>
      </c>
    </row>
    <row r="519" spans="1:7">
      <c r="A519" s="69"/>
      <c r="B519" s="73" t="s">
        <v>777</v>
      </c>
      <c r="C519" s="3" t="s">
        <v>778</v>
      </c>
      <c r="E519" s="4">
        <v>1088.8499999999999</v>
      </c>
    </row>
    <row r="520" spans="1:7">
      <c r="A520" s="69"/>
      <c r="B520" s="69"/>
      <c r="C520" s="5" t="s">
        <v>779</v>
      </c>
      <c r="E520" s="1">
        <v>1088.8499999999999</v>
      </c>
    </row>
    <row r="521" spans="1:7">
      <c r="A521" s="69"/>
      <c r="B521" s="73" t="s">
        <v>780</v>
      </c>
      <c r="C521" s="3" t="s">
        <v>781</v>
      </c>
      <c r="E521" s="4">
        <v>19334.03</v>
      </c>
    </row>
    <row r="522" spans="1:7">
      <c r="A522" s="69"/>
      <c r="B522" s="69"/>
      <c r="C522" s="5" t="s">
        <v>782</v>
      </c>
      <c r="E522" s="1">
        <v>19334.03</v>
      </c>
    </row>
    <row r="523" spans="1:7">
      <c r="A523" s="69"/>
      <c r="B523" s="73" t="s">
        <v>783</v>
      </c>
      <c r="C523" s="3" t="s">
        <v>784</v>
      </c>
      <c r="D523" s="4">
        <v>3737.73</v>
      </c>
    </row>
    <row r="524" spans="1:7">
      <c r="A524" s="69"/>
      <c r="B524" s="69"/>
      <c r="C524" s="5" t="s">
        <v>785</v>
      </c>
      <c r="D524" s="1">
        <v>3737.73</v>
      </c>
    </row>
    <row r="525" spans="1:7">
      <c r="A525" s="69"/>
      <c r="B525" s="73" t="s">
        <v>786</v>
      </c>
      <c r="C525" s="3" t="s">
        <v>787</v>
      </c>
      <c r="D525" s="4">
        <v>31504.79</v>
      </c>
      <c r="E525" s="4">
        <v>757.5</v>
      </c>
      <c r="G525" s="4">
        <v>6809.33</v>
      </c>
    </row>
    <row r="526" spans="1:7">
      <c r="A526" s="69"/>
      <c r="B526" s="69"/>
      <c r="C526" s="5" t="s">
        <v>788</v>
      </c>
      <c r="D526" s="1">
        <v>31504.79</v>
      </c>
      <c r="E526" s="1">
        <v>757.5</v>
      </c>
      <c r="G526" s="1">
        <v>6809.33</v>
      </c>
    </row>
    <row r="527" spans="1:7">
      <c r="A527" s="69"/>
      <c r="B527" s="73" t="s">
        <v>789</v>
      </c>
      <c r="C527" s="3" t="s">
        <v>790</v>
      </c>
      <c r="D527" s="4">
        <v>3652.7</v>
      </c>
    </row>
    <row r="528" spans="1:7">
      <c r="A528" s="69"/>
      <c r="B528" s="69"/>
      <c r="C528" s="5" t="s">
        <v>791</v>
      </c>
      <c r="D528" s="1">
        <v>3652.7</v>
      </c>
    </row>
    <row r="529" spans="1:7">
      <c r="A529" s="69"/>
      <c r="B529" s="73" t="s">
        <v>792</v>
      </c>
      <c r="C529" s="3" t="s">
        <v>793</v>
      </c>
      <c r="D529" s="4">
        <v>51676.2</v>
      </c>
      <c r="F529" s="4">
        <v>0</v>
      </c>
    </row>
    <row r="530" spans="1:7">
      <c r="A530" s="69"/>
      <c r="B530" s="69"/>
      <c r="C530" s="5" t="s">
        <v>794</v>
      </c>
      <c r="D530" s="1">
        <v>51676.2</v>
      </c>
      <c r="F530" s="1">
        <v>0</v>
      </c>
    </row>
    <row r="531" spans="1:7">
      <c r="A531" s="69"/>
      <c r="B531" s="73" t="s">
        <v>795</v>
      </c>
      <c r="C531" s="3" t="s">
        <v>796</v>
      </c>
      <c r="F531" s="4">
        <v>40789.980000000003</v>
      </c>
    </row>
    <row r="532" spans="1:7">
      <c r="A532" s="69"/>
      <c r="B532" s="69"/>
      <c r="C532" s="5" t="s">
        <v>797</v>
      </c>
      <c r="F532" s="1">
        <v>40789.980000000003</v>
      </c>
    </row>
    <row r="533" spans="1:7">
      <c r="A533" s="69"/>
      <c r="B533" s="73" t="s">
        <v>798</v>
      </c>
      <c r="C533" s="3" t="s">
        <v>799</v>
      </c>
      <c r="E533" s="4">
        <v>1015.2</v>
      </c>
    </row>
    <row r="534" spans="1:7">
      <c r="A534" s="69"/>
      <c r="B534" s="69"/>
      <c r="C534" s="5" t="s">
        <v>800</v>
      </c>
      <c r="E534" s="1">
        <v>1015.2</v>
      </c>
    </row>
    <row r="535" spans="1:7">
      <c r="A535" s="69"/>
      <c r="B535" s="73" t="s">
        <v>801</v>
      </c>
      <c r="C535" s="3" t="s">
        <v>802</v>
      </c>
      <c r="G535" s="4">
        <v>918.8</v>
      </c>
    </row>
    <row r="536" spans="1:7">
      <c r="A536" s="69"/>
      <c r="B536" s="69"/>
      <c r="C536" s="5" t="s">
        <v>803</v>
      </c>
      <c r="G536" s="1">
        <v>918.8</v>
      </c>
    </row>
    <row r="537" spans="1:7">
      <c r="A537" s="69"/>
      <c r="B537" s="73" t="s">
        <v>804</v>
      </c>
      <c r="C537" s="3" t="s">
        <v>805</v>
      </c>
      <c r="D537" s="4">
        <v>40642.79</v>
      </c>
      <c r="F537" s="4">
        <v>44246.8</v>
      </c>
    </row>
    <row r="538" spans="1:7">
      <c r="A538" s="69"/>
      <c r="B538" s="69"/>
      <c r="C538" s="5" t="s">
        <v>806</v>
      </c>
      <c r="D538" s="1">
        <v>40642.79</v>
      </c>
      <c r="F538" s="1">
        <v>44246.8</v>
      </c>
    </row>
    <row r="539" spans="1:7">
      <c r="A539" s="69"/>
      <c r="B539" s="73" t="s">
        <v>807</v>
      </c>
      <c r="C539" s="3" t="s">
        <v>808</v>
      </c>
      <c r="D539" s="4">
        <v>1262</v>
      </c>
    </row>
    <row r="540" spans="1:7">
      <c r="A540" s="69"/>
      <c r="B540" s="69"/>
      <c r="C540" s="5" t="s">
        <v>809</v>
      </c>
      <c r="D540" s="1">
        <v>1262</v>
      </c>
    </row>
    <row r="541" spans="1:7">
      <c r="A541" s="69"/>
      <c r="B541" s="73" t="s">
        <v>810</v>
      </c>
      <c r="C541" s="3" t="s">
        <v>811</v>
      </c>
      <c r="D541" s="4">
        <v>20000</v>
      </c>
      <c r="F541" s="4">
        <v>20882.07</v>
      </c>
    </row>
    <row r="542" spans="1:7">
      <c r="A542" s="69"/>
      <c r="B542" s="69"/>
      <c r="C542" s="5" t="s">
        <v>812</v>
      </c>
      <c r="D542" s="1">
        <v>20000</v>
      </c>
      <c r="F542" s="1">
        <v>20882.07</v>
      </c>
    </row>
    <row r="543" spans="1:7">
      <c r="A543" s="69"/>
      <c r="B543" s="73" t="s">
        <v>813</v>
      </c>
      <c r="C543" s="3" t="s">
        <v>814</v>
      </c>
      <c r="D543" s="4">
        <v>5671.91</v>
      </c>
    </row>
    <row r="544" spans="1:7">
      <c r="A544" s="69"/>
      <c r="B544" s="69"/>
      <c r="C544" s="5" t="s">
        <v>815</v>
      </c>
      <c r="D544" s="1">
        <v>5671.91</v>
      </c>
    </row>
    <row r="545" spans="1:8">
      <c r="A545" s="69"/>
      <c r="B545" s="73" t="s">
        <v>816</v>
      </c>
      <c r="C545" s="3" t="s">
        <v>817</v>
      </c>
      <c r="D545" s="4">
        <v>4678.0600000000004</v>
      </c>
    </row>
    <row r="546" spans="1:8">
      <c r="A546" s="69"/>
      <c r="B546" s="69"/>
      <c r="C546" s="5" t="s">
        <v>818</v>
      </c>
      <c r="D546" s="1">
        <v>4678.0600000000004</v>
      </c>
    </row>
    <row r="547" spans="1:8">
      <c r="A547" s="69"/>
      <c r="B547" s="73" t="s">
        <v>819</v>
      </c>
      <c r="C547" s="3" t="s">
        <v>820</v>
      </c>
      <c r="F547" s="4">
        <v>4060</v>
      </c>
    </row>
    <row r="548" spans="1:8">
      <c r="A548" s="69"/>
      <c r="B548" s="69"/>
      <c r="C548" s="5" t="s">
        <v>821</v>
      </c>
      <c r="F548" s="1">
        <v>4060</v>
      </c>
    </row>
    <row r="549" spans="1:8">
      <c r="A549" s="69"/>
      <c r="B549" s="73" t="s">
        <v>822</v>
      </c>
      <c r="C549" s="3" t="s">
        <v>823</v>
      </c>
      <c r="F549" s="4">
        <v>2667.5</v>
      </c>
    </row>
    <row r="550" spans="1:8">
      <c r="A550" s="69"/>
      <c r="B550" s="69"/>
      <c r="C550" s="5" t="s">
        <v>824</v>
      </c>
      <c r="F550" s="1">
        <v>2667.5</v>
      </c>
    </row>
    <row r="551" spans="1:8">
      <c r="A551" s="73" t="s">
        <v>825</v>
      </c>
      <c r="B551" s="72" t="s">
        <v>826</v>
      </c>
      <c r="C551" s="69"/>
      <c r="D551" s="4">
        <v>412077.35</v>
      </c>
      <c r="E551" s="4">
        <v>358379.02</v>
      </c>
      <c r="F551" s="4">
        <v>1168000.55</v>
      </c>
      <c r="G551" s="4">
        <v>23814.48</v>
      </c>
      <c r="H551" s="4">
        <v>2190.4299999999998</v>
      </c>
    </row>
    <row r="552" spans="1:8">
      <c r="A552" s="69"/>
      <c r="B552" s="73" t="s">
        <v>827</v>
      </c>
      <c r="C552" s="3" t="s">
        <v>828</v>
      </c>
      <c r="D552" s="4">
        <v>2066</v>
      </c>
      <c r="F552" s="4">
        <v>1380.67</v>
      </c>
    </row>
    <row r="553" spans="1:8">
      <c r="A553" s="69"/>
      <c r="B553" s="69"/>
      <c r="C553" s="5" t="s">
        <v>829</v>
      </c>
      <c r="D553" s="1">
        <v>2066</v>
      </c>
      <c r="F553" s="1">
        <v>1380.67</v>
      </c>
    </row>
    <row r="554" spans="1:8">
      <c r="A554" s="69"/>
      <c r="B554" s="73" t="s">
        <v>830</v>
      </c>
      <c r="C554" s="3" t="s">
        <v>831</v>
      </c>
      <c r="D554" s="4">
        <v>50</v>
      </c>
      <c r="E554" s="4">
        <v>355.43</v>
      </c>
    </row>
    <row r="555" spans="1:8">
      <c r="A555" s="69"/>
      <c r="B555" s="69"/>
      <c r="C555" s="5" t="s">
        <v>832</v>
      </c>
      <c r="D555" s="1">
        <v>50</v>
      </c>
      <c r="E555" s="1">
        <v>355.43</v>
      </c>
    </row>
    <row r="556" spans="1:8">
      <c r="A556" s="69"/>
      <c r="B556" s="73" t="s">
        <v>833</v>
      </c>
      <c r="C556" s="3" t="s">
        <v>834</v>
      </c>
      <c r="D556" s="4">
        <v>311736.90999999997</v>
      </c>
      <c r="E556" s="4">
        <v>846.59</v>
      </c>
    </row>
    <row r="557" spans="1:8">
      <c r="A557" s="69"/>
      <c r="B557" s="69"/>
      <c r="C557" s="5" t="s">
        <v>835</v>
      </c>
      <c r="D557" s="1">
        <v>311736.90999999997</v>
      </c>
      <c r="E557" s="1">
        <v>846.59</v>
      </c>
    </row>
    <row r="558" spans="1:8">
      <c r="A558" s="69"/>
      <c r="B558" s="73" t="s">
        <v>836</v>
      </c>
      <c r="C558" s="3" t="s">
        <v>837</v>
      </c>
      <c r="D558" s="4">
        <v>191.08</v>
      </c>
      <c r="G558" s="4">
        <v>349.47</v>
      </c>
    </row>
    <row r="559" spans="1:8">
      <c r="A559" s="69"/>
      <c r="B559" s="69"/>
      <c r="C559" s="5" t="s">
        <v>838</v>
      </c>
      <c r="D559" s="1">
        <v>191.08</v>
      </c>
      <c r="G559" s="1">
        <v>349.47</v>
      </c>
    </row>
    <row r="560" spans="1:8">
      <c r="A560" s="69"/>
      <c r="B560" s="73" t="s">
        <v>807</v>
      </c>
      <c r="C560" s="3" t="s">
        <v>808</v>
      </c>
      <c r="D560" s="4">
        <v>9475.7999999999993</v>
      </c>
      <c r="F560" s="4">
        <v>1923.41</v>
      </c>
    </row>
    <row r="561" spans="1:8">
      <c r="A561" s="69"/>
      <c r="B561" s="69"/>
      <c r="C561" s="5" t="s">
        <v>809</v>
      </c>
      <c r="D561" s="1">
        <v>9475.7999999999993</v>
      </c>
      <c r="F561" s="1">
        <v>1923.41</v>
      </c>
    </row>
    <row r="562" spans="1:8">
      <c r="A562" s="69"/>
      <c r="B562" s="73" t="s">
        <v>839</v>
      </c>
      <c r="C562" s="3" t="s">
        <v>840</v>
      </c>
      <c r="D562" s="4">
        <v>555</v>
      </c>
      <c r="F562" s="4">
        <v>715.91</v>
      </c>
    </row>
    <row r="563" spans="1:8">
      <c r="A563" s="69"/>
      <c r="B563" s="69"/>
      <c r="C563" s="5" t="s">
        <v>841</v>
      </c>
      <c r="D563" s="1">
        <v>555</v>
      </c>
      <c r="F563" s="1">
        <v>715.91</v>
      </c>
    </row>
    <row r="564" spans="1:8">
      <c r="A564" s="69"/>
      <c r="B564" s="73" t="s">
        <v>842</v>
      </c>
      <c r="C564" s="3" t="s">
        <v>843</v>
      </c>
      <c r="F564" s="4">
        <v>6571.58</v>
      </c>
    </row>
    <row r="565" spans="1:8">
      <c r="A565" s="69"/>
      <c r="B565" s="69"/>
      <c r="C565" s="5" t="s">
        <v>844</v>
      </c>
      <c r="F565" s="1">
        <v>6571.58</v>
      </c>
    </row>
    <row r="566" spans="1:8">
      <c r="A566" s="69"/>
      <c r="B566" s="73" t="s">
        <v>845</v>
      </c>
      <c r="C566" s="3" t="s">
        <v>846</v>
      </c>
      <c r="F566" s="4">
        <v>1055.3800000000001</v>
      </c>
    </row>
    <row r="567" spans="1:8">
      <c r="A567" s="69"/>
      <c r="B567" s="69"/>
      <c r="C567" s="5" t="s">
        <v>847</v>
      </c>
      <c r="F567" s="1">
        <v>1055.3800000000001</v>
      </c>
    </row>
    <row r="568" spans="1:8">
      <c r="A568" s="69"/>
      <c r="B568" s="73" t="s">
        <v>848</v>
      </c>
      <c r="C568" s="3" t="s">
        <v>849</v>
      </c>
      <c r="E568" s="4">
        <v>330.62</v>
      </c>
      <c r="F568" s="4">
        <v>7529.99</v>
      </c>
      <c r="G568" s="4">
        <v>1182.5350000000001</v>
      </c>
      <c r="H568" s="4">
        <v>1180.4000000000001</v>
      </c>
    </row>
    <row r="569" spans="1:8">
      <c r="A569" s="69"/>
      <c r="B569" s="69"/>
      <c r="C569" s="5" t="s">
        <v>850</v>
      </c>
      <c r="E569" s="1">
        <v>330.62</v>
      </c>
      <c r="F569" s="1">
        <v>7529.99</v>
      </c>
      <c r="G569" s="1">
        <v>1182.5350000000001</v>
      </c>
      <c r="H569" s="1">
        <v>1180.4000000000001</v>
      </c>
    </row>
    <row r="570" spans="1:8">
      <c r="A570" s="69"/>
      <c r="B570" s="73" t="s">
        <v>851</v>
      </c>
      <c r="C570" s="3" t="s">
        <v>852</v>
      </c>
      <c r="F570" s="4">
        <v>7332.06</v>
      </c>
    </row>
    <row r="571" spans="1:8">
      <c r="A571" s="69"/>
      <c r="B571" s="69"/>
      <c r="C571" s="5" t="s">
        <v>853</v>
      </c>
      <c r="F571" s="1">
        <v>7332.06</v>
      </c>
    </row>
    <row r="572" spans="1:8">
      <c r="A572" s="69"/>
      <c r="B572" s="73" t="s">
        <v>854</v>
      </c>
      <c r="C572" s="3" t="s">
        <v>855</v>
      </c>
      <c r="D572" s="4">
        <v>5416</v>
      </c>
      <c r="E572" s="4">
        <v>1100</v>
      </c>
      <c r="F572" s="4">
        <v>19108.61</v>
      </c>
    </row>
    <row r="573" spans="1:8">
      <c r="A573" s="69"/>
      <c r="B573" s="69"/>
      <c r="C573" s="5" t="s">
        <v>856</v>
      </c>
      <c r="D573" s="1">
        <v>5416</v>
      </c>
      <c r="E573" s="1">
        <v>1100</v>
      </c>
      <c r="F573" s="1">
        <v>19108.61</v>
      </c>
    </row>
    <row r="574" spans="1:8">
      <c r="A574" s="69"/>
      <c r="B574" s="73" t="s">
        <v>857</v>
      </c>
      <c r="C574" s="3" t="s">
        <v>858</v>
      </c>
      <c r="F574" s="4">
        <v>1484.7</v>
      </c>
    </row>
    <row r="575" spans="1:8">
      <c r="A575" s="69"/>
      <c r="B575" s="69"/>
      <c r="C575" s="5" t="s">
        <v>859</v>
      </c>
      <c r="F575" s="1">
        <v>1484.7</v>
      </c>
    </row>
    <row r="576" spans="1:8">
      <c r="A576" s="69"/>
      <c r="B576" s="73" t="s">
        <v>860</v>
      </c>
      <c r="C576" s="3" t="s">
        <v>861</v>
      </c>
      <c r="F576" s="4">
        <v>2796.51</v>
      </c>
    </row>
    <row r="577" spans="1:8">
      <c r="A577" s="69"/>
      <c r="B577" s="69"/>
      <c r="C577" s="5" t="s">
        <v>862</v>
      </c>
      <c r="F577" s="1">
        <v>2796.51</v>
      </c>
    </row>
    <row r="578" spans="1:8">
      <c r="A578" s="69"/>
      <c r="B578" s="73" t="s">
        <v>863</v>
      </c>
      <c r="C578" s="3" t="s">
        <v>864</v>
      </c>
      <c r="F578" s="4">
        <v>-180</v>
      </c>
      <c r="G578" s="4">
        <v>1477.34</v>
      </c>
    </row>
    <row r="579" spans="1:8">
      <c r="A579" s="69"/>
      <c r="B579" s="69"/>
      <c r="C579" s="5" t="s">
        <v>865</v>
      </c>
      <c r="F579" s="1">
        <v>-180</v>
      </c>
      <c r="G579" s="1">
        <v>1477.34</v>
      </c>
    </row>
    <row r="580" spans="1:8">
      <c r="A580" s="69"/>
      <c r="B580" s="73" t="s">
        <v>866</v>
      </c>
      <c r="C580" s="3" t="s">
        <v>867</v>
      </c>
      <c r="D580" s="4">
        <v>1539.15</v>
      </c>
      <c r="E580" s="4">
        <v>29288.95</v>
      </c>
      <c r="F580" s="4">
        <v>83319.03</v>
      </c>
    </row>
    <row r="581" spans="1:8">
      <c r="A581" s="69"/>
      <c r="B581" s="69"/>
      <c r="C581" s="5" t="s">
        <v>868</v>
      </c>
      <c r="D581" s="1">
        <v>1539.15</v>
      </c>
      <c r="E581" s="1">
        <v>29288.95</v>
      </c>
      <c r="F581" s="1">
        <v>83319.03</v>
      </c>
    </row>
    <row r="582" spans="1:8">
      <c r="A582" s="69"/>
      <c r="B582" s="73" t="s">
        <v>869</v>
      </c>
      <c r="C582" s="3" t="s">
        <v>870</v>
      </c>
      <c r="E582" s="4">
        <v>856.43</v>
      </c>
      <c r="F582" s="4">
        <v>1620.48</v>
      </c>
    </row>
    <row r="583" spans="1:8">
      <c r="A583" s="69"/>
      <c r="B583" s="69"/>
      <c r="C583" s="5" t="s">
        <v>871</v>
      </c>
      <c r="E583" s="1">
        <v>856.43</v>
      </c>
      <c r="F583" s="1">
        <v>1620.48</v>
      </c>
    </row>
    <row r="584" spans="1:8">
      <c r="A584" s="69"/>
      <c r="B584" s="73" t="s">
        <v>872</v>
      </c>
      <c r="C584" s="3" t="s">
        <v>873</v>
      </c>
      <c r="E584" s="4">
        <v>434.45</v>
      </c>
      <c r="F584" s="4">
        <v>1300</v>
      </c>
      <c r="G584" s="4">
        <v>1252.7349999999999</v>
      </c>
      <c r="H584" s="4">
        <v>180.16</v>
      </c>
    </row>
    <row r="585" spans="1:8">
      <c r="A585" s="69"/>
      <c r="B585" s="69"/>
      <c r="C585" s="5" t="s">
        <v>874</v>
      </c>
      <c r="E585" s="1">
        <v>434.45</v>
      </c>
      <c r="F585" s="1">
        <v>1300</v>
      </c>
      <c r="G585" s="1">
        <v>1252.7349999999999</v>
      </c>
      <c r="H585" s="1">
        <v>180.16</v>
      </c>
    </row>
    <row r="586" spans="1:8">
      <c r="A586" s="69"/>
      <c r="B586" s="73" t="s">
        <v>875</v>
      </c>
      <c r="C586" s="3" t="s">
        <v>876</v>
      </c>
      <c r="E586" s="4">
        <v>1636.52</v>
      </c>
      <c r="G586" s="4">
        <v>542.44000000000005</v>
      </c>
    </row>
    <row r="587" spans="1:8">
      <c r="A587" s="69"/>
      <c r="B587" s="69"/>
      <c r="C587" s="5" t="s">
        <v>877</v>
      </c>
      <c r="E587" s="1">
        <v>1636.52</v>
      </c>
      <c r="G587" s="1">
        <v>542.44000000000005</v>
      </c>
    </row>
    <row r="588" spans="1:8">
      <c r="A588" s="69"/>
      <c r="B588" s="73" t="s">
        <v>878</v>
      </c>
      <c r="C588" s="3" t="s">
        <v>879</v>
      </c>
      <c r="D588" s="4">
        <v>0</v>
      </c>
      <c r="E588" s="4">
        <v>1843</v>
      </c>
      <c r="G588" s="4">
        <v>981.47</v>
      </c>
    </row>
    <row r="589" spans="1:8">
      <c r="A589" s="69"/>
      <c r="B589" s="69"/>
      <c r="C589" s="5" t="s">
        <v>880</v>
      </c>
      <c r="D589" s="1">
        <v>0</v>
      </c>
      <c r="E589" s="1">
        <v>1843</v>
      </c>
      <c r="G589" s="1">
        <v>981.47</v>
      </c>
    </row>
    <row r="590" spans="1:8">
      <c r="A590" s="69"/>
      <c r="B590" s="73" t="s">
        <v>881</v>
      </c>
      <c r="C590" s="3" t="s">
        <v>882</v>
      </c>
      <c r="G590" s="4">
        <v>463.15</v>
      </c>
      <c r="H590" s="4">
        <v>348.49</v>
      </c>
    </row>
    <row r="591" spans="1:8">
      <c r="A591" s="69"/>
      <c r="B591" s="69"/>
      <c r="C591" s="5" t="s">
        <v>883</v>
      </c>
      <c r="G591" s="1">
        <v>463.15</v>
      </c>
      <c r="H591" s="1">
        <v>348.49</v>
      </c>
    </row>
    <row r="592" spans="1:8">
      <c r="A592" s="69"/>
      <c r="B592" s="73" t="s">
        <v>884</v>
      </c>
      <c r="C592" s="3" t="s">
        <v>885</v>
      </c>
      <c r="D592" s="4">
        <v>5910</v>
      </c>
      <c r="F592" s="4">
        <v>13670.49</v>
      </c>
    </row>
    <row r="593" spans="1:7">
      <c r="A593" s="69"/>
      <c r="B593" s="69"/>
      <c r="C593" s="5" t="s">
        <v>886</v>
      </c>
      <c r="D593" s="1">
        <v>5910</v>
      </c>
      <c r="F593" s="1">
        <v>13670.49</v>
      </c>
    </row>
    <row r="594" spans="1:7">
      <c r="A594" s="69"/>
      <c r="B594" s="73" t="s">
        <v>887</v>
      </c>
      <c r="C594" s="3" t="s">
        <v>888</v>
      </c>
      <c r="D594" s="4">
        <v>2340</v>
      </c>
      <c r="E594" s="4">
        <v>60035.9</v>
      </c>
      <c r="F594" s="4">
        <v>414231.28</v>
      </c>
      <c r="G594" s="4">
        <v>6503.15</v>
      </c>
    </row>
    <row r="595" spans="1:7">
      <c r="A595" s="69"/>
      <c r="B595" s="69"/>
      <c r="C595" s="5" t="s">
        <v>889</v>
      </c>
      <c r="D595" s="1">
        <v>2340</v>
      </c>
      <c r="E595" s="1">
        <v>60035.9</v>
      </c>
      <c r="F595" s="1">
        <v>414231.28</v>
      </c>
      <c r="G595" s="1">
        <v>6503.15</v>
      </c>
    </row>
    <row r="596" spans="1:7">
      <c r="A596" s="69"/>
      <c r="B596" s="73" t="s">
        <v>406</v>
      </c>
      <c r="C596" s="3" t="s">
        <v>407</v>
      </c>
      <c r="D596" s="4">
        <v>10724</v>
      </c>
      <c r="G596" s="4">
        <v>91.1</v>
      </c>
    </row>
    <row r="597" spans="1:7">
      <c r="A597" s="69"/>
      <c r="B597" s="69"/>
      <c r="C597" s="5" t="s">
        <v>408</v>
      </c>
      <c r="D597" s="1">
        <v>10724</v>
      </c>
      <c r="G597" s="1">
        <v>91.1</v>
      </c>
    </row>
    <row r="598" spans="1:7">
      <c r="A598" s="69"/>
      <c r="B598" s="73" t="s">
        <v>890</v>
      </c>
      <c r="C598" s="3" t="s">
        <v>891</v>
      </c>
      <c r="D598" s="4">
        <v>4254.92</v>
      </c>
    </row>
    <row r="599" spans="1:7">
      <c r="A599" s="69"/>
      <c r="B599" s="69"/>
      <c r="C599" s="5" t="s">
        <v>892</v>
      </c>
      <c r="D599" s="1">
        <v>4254.92</v>
      </c>
    </row>
    <row r="600" spans="1:7">
      <c r="A600" s="69"/>
      <c r="B600" s="73" t="s">
        <v>893</v>
      </c>
      <c r="C600" s="3" t="s">
        <v>894</v>
      </c>
      <c r="D600" s="4">
        <v>850</v>
      </c>
      <c r="F600" s="4">
        <v>2599.87</v>
      </c>
    </row>
    <row r="601" spans="1:7">
      <c r="A601" s="69"/>
      <c r="B601" s="69"/>
      <c r="C601" s="5" t="s">
        <v>895</v>
      </c>
      <c r="D601" s="1">
        <v>850</v>
      </c>
      <c r="F601" s="1">
        <v>2599.87</v>
      </c>
    </row>
    <row r="602" spans="1:7">
      <c r="A602" s="69"/>
      <c r="B602" s="73" t="s">
        <v>896</v>
      </c>
      <c r="C602" s="3" t="s">
        <v>897</v>
      </c>
      <c r="D602" s="4">
        <v>724</v>
      </c>
    </row>
    <row r="603" spans="1:7">
      <c r="A603" s="69"/>
      <c r="B603" s="69"/>
      <c r="C603" s="5" t="s">
        <v>898</v>
      </c>
      <c r="D603" s="1">
        <v>724</v>
      </c>
    </row>
    <row r="604" spans="1:7">
      <c r="A604" s="69"/>
      <c r="B604" s="73" t="s">
        <v>899</v>
      </c>
      <c r="C604" s="3" t="s">
        <v>900</v>
      </c>
      <c r="D604" s="4">
        <v>8900</v>
      </c>
    </row>
    <row r="605" spans="1:7">
      <c r="A605" s="69"/>
      <c r="B605" s="69"/>
      <c r="C605" s="5" t="s">
        <v>901</v>
      </c>
      <c r="D605" s="1">
        <v>8900</v>
      </c>
    </row>
    <row r="606" spans="1:7">
      <c r="A606" s="69"/>
      <c r="B606" s="73" t="s">
        <v>902</v>
      </c>
      <c r="C606" s="3" t="s">
        <v>903</v>
      </c>
      <c r="D606" s="4">
        <v>390</v>
      </c>
      <c r="E606" s="4">
        <v>72902.490000000005</v>
      </c>
      <c r="F606" s="4">
        <v>16679.53</v>
      </c>
    </row>
    <row r="607" spans="1:7">
      <c r="A607" s="69"/>
      <c r="B607" s="69"/>
      <c r="C607" s="5" t="s">
        <v>904</v>
      </c>
      <c r="D607" s="1">
        <v>390</v>
      </c>
      <c r="E607" s="1">
        <v>72902.490000000005</v>
      </c>
      <c r="F607" s="1">
        <v>16679.53</v>
      </c>
    </row>
    <row r="608" spans="1:7">
      <c r="A608" s="69"/>
      <c r="B608" s="73" t="s">
        <v>905</v>
      </c>
      <c r="C608" s="3" t="s">
        <v>906</v>
      </c>
      <c r="D608" s="4">
        <v>6300</v>
      </c>
      <c r="E608" s="4">
        <v>2488</v>
      </c>
      <c r="F608" s="4">
        <v>16038.98</v>
      </c>
    </row>
    <row r="609" spans="1:8">
      <c r="A609" s="69"/>
      <c r="B609" s="69"/>
      <c r="C609" s="5" t="s">
        <v>907</v>
      </c>
      <c r="D609" s="1">
        <v>6300</v>
      </c>
      <c r="E609" s="1">
        <v>2488</v>
      </c>
      <c r="F609" s="1">
        <v>16038.98</v>
      </c>
    </row>
    <row r="610" spans="1:8">
      <c r="A610" s="69"/>
      <c r="B610" s="73" t="s">
        <v>908</v>
      </c>
      <c r="C610" s="3" t="s">
        <v>909</v>
      </c>
      <c r="F610" s="4">
        <v>16400</v>
      </c>
    </row>
    <row r="611" spans="1:8">
      <c r="A611" s="69"/>
      <c r="B611" s="69"/>
      <c r="C611" s="5" t="s">
        <v>910</v>
      </c>
      <c r="F611" s="1">
        <v>16400</v>
      </c>
    </row>
    <row r="612" spans="1:8">
      <c r="A612" s="69"/>
      <c r="B612" s="73" t="s">
        <v>911</v>
      </c>
      <c r="C612" s="3" t="s">
        <v>912</v>
      </c>
      <c r="F612" s="4">
        <v>951.89</v>
      </c>
      <c r="G612" s="4">
        <v>248.42500000000001</v>
      </c>
      <c r="H612" s="4">
        <v>45.33</v>
      </c>
    </row>
    <row r="613" spans="1:8">
      <c r="A613" s="69"/>
      <c r="B613" s="69"/>
      <c r="C613" s="5" t="s">
        <v>913</v>
      </c>
      <c r="F613" s="1">
        <v>951.89</v>
      </c>
      <c r="G613" s="1">
        <v>248.42500000000001</v>
      </c>
      <c r="H613" s="1">
        <v>45.33</v>
      </c>
    </row>
    <row r="614" spans="1:8">
      <c r="A614" s="69"/>
      <c r="B614" s="73" t="s">
        <v>914</v>
      </c>
      <c r="C614" s="3" t="s">
        <v>915</v>
      </c>
      <c r="D614" s="4">
        <v>6540</v>
      </c>
      <c r="F614" s="4">
        <v>12295.08</v>
      </c>
    </row>
    <row r="615" spans="1:8">
      <c r="A615" s="69"/>
      <c r="B615" s="69"/>
      <c r="C615" s="5" t="s">
        <v>916</v>
      </c>
      <c r="D615" s="1">
        <v>6540</v>
      </c>
      <c r="F615" s="1">
        <v>12295.08</v>
      </c>
    </row>
    <row r="616" spans="1:8">
      <c r="A616" s="69"/>
      <c r="B616" s="73" t="s">
        <v>917</v>
      </c>
      <c r="C616" s="3" t="s">
        <v>918</v>
      </c>
      <c r="F616" s="4">
        <v>32447.08</v>
      </c>
    </row>
    <row r="617" spans="1:8">
      <c r="A617" s="69"/>
      <c r="B617" s="69"/>
      <c r="C617" s="5" t="s">
        <v>919</v>
      </c>
      <c r="F617" s="1">
        <v>32447.08</v>
      </c>
    </row>
    <row r="618" spans="1:8">
      <c r="A618" s="69"/>
      <c r="B618" s="73" t="s">
        <v>920</v>
      </c>
      <c r="C618" s="3" t="s">
        <v>921</v>
      </c>
      <c r="D618" s="4">
        <v>0</v>
      </c>
      <c r="E618" s="4">
        <v>352.37</v>
      </c>
      <c r="G618" s="4">
        <v>285.91000000000003</v>
      </c>
      <c r="H618" s="4">
        <v>135.83000000000001</v>
      </c>
    </row>
    <row r="619" spans="1:8">
      <c r="A619" s="69"/>
      <c r="B619" s="69"/>
      <c r="C619" s="5" t="s">
        <v>922</v>
      </c>
      <c r="D619" s="1">
        <v>0</v>
      </c>
      <c r="E619" s="1">
        <v>352.37</v>
      </c>
      <c r="G619" s="1">
        <v>285.91000000000003</v>
      </c>
      <c r="H619" s="1">
        <v>135.83000000000001</v>
      </c>
    </row>
    <row r="620" spans="1:8">
      <c r="A620" s="69"/>
      <c r="B620" s="73" t="s">
        <v>708</v>
      </c>
      <c r="C620" s="3" t="s">
        <v>709</v>
      </c>
      <c r="E620" s="4">
        <v>2387.63</v>
      </c>
      <c r="G620" s="4">
        <v>2540.7600000000002</v>
      </c>
    </row>
    <row r="621" spans="1:8">
      <c r="A621" s="69"/>
      <c r="B621" s="69"/>
      <c r="C621" s="5" t="s">
        <v>710</v>
      </c>
      <c r="E621" s="1">
        <v>2387.63</v>
      </c>
      <c r="G621" s="1">
        <v>2540.7600000000002</v>
      </c>
    </row>
    <row r="622" spans="1:8">
      <c r="A622" s="69"/>
      <c r="B622" s="73" t="s">
        <v>923</v>
      </c>
      <c r="C622" s="3" t="s">
        <v>924</v>
      </c>
      <c r="E622" s="4">
        <v>3360</v>
      </c>
      <c r="F622" s="4">
        <v>31855.919999999998</v>
      </c>
    </row>
    <row r="623" spans="1:8">
      <c r="A623" s="69"/>
      <c r="B623" s="69"/>
      <c r="C623" s="5" t="s">
        <v>925</v>
      </c>
      <c r="E623" s="1">
        <v>3360</v>
      </c>
      <c r="F623" s="1">
        <v>31855.919999999998</v>
      </c>
    </row>
    <row r="624" spans="1:8">
      <c r="A624" s="69"/>
      <c r="B624" s="73" t="s">
        <v>926</v>
      </c>
      <c r="C624" s="3" t="s">
        <v>927</v>
      </c>
      <c r="E624" s="4">
        <v>2554.4499999999998</v>
      </c>
      <c r="G624" s="4">
        <v>88.04</v>
      </c>
    </row>
    <row r="625" spans="1:7">
      <c r="A625" s="69"/>
      <c r="B625" s="69"/>
      <c r="C625" s="5" t="s">
        <v>928</v>
      </c>
      <c r="E625" s="1">
        <v>2554.4499999999998</v>
      </c>
      <c r="G625" s="1">
        <v>88.04</v>
      </c>
    </row>
    <row r="626" spans="1:7">
      <c r="A626" s="69"/>
      <c r="B626" s="73" t="s">
        <v>929</v>
      </c>
      <c r="C626" s="3" t="s">
        <v>930</v>
      </c>
      <c r="G626" s="4">
        <v>73.92</v>
      </c>
    </row>
    <row r="627" spans="1:7">
      <c r="A627" s="69"/>
      <c r="B627" s="69"/>
      <c r="C627" s="5" t="s">
        <v>931</v>
      </c>
      <c r="G627" s="1">
        <v>73.92</v>
      </c>
    </row>
    <row r="628" spans="1:7">
      <c r="A628" s="69"/>
      <c r="B628" s="73" t="s">
        <v>932</v>
      </c>
      <c r="C628" s="3" t="s">
        <v>933</v>
      </c>
      <c r="D628" s="4">
        <v>919</v>
      </c>
    </row>
    <row r="629" spans="1:7">
      <c r="A629" s="69"/>
      <c r="B629" s="69"/>
      <c r="C629" s="5" t="s">
        <v>934</v>
      </c>
      <c r="D629" s="1">
        <v>919</v>
      </c>
    </row>
    <row r="630" spans="1:7">
      <c r="A630" s="69"/>
      <c r="B630" s="73" t="s">
        <v>935</v>
      </c>
      <c r="C630" s="3" t="s">
        <v>936</v>
      </c>
      <c r="D630" s="4">
        <v>634</v>
      </c>
      <c r="E630" s="4">
        <v>55706.41</v>
      </c>
      <c r="F630" s="4">
        <v>41634</v>
      </c>
    </row>
    <row r="631" spans="1:7">
      <c r="A631" s="69"/>
      <c r="B631" s="69"/>
      <c r="C631" s="5" t="s">
        <v>937</v>
      </c>
      <c r="D631" s="1">
        <v>634</v>
      </c>
      <c r="E631" s="1">
        <v>55706.41</v>
      </c>
      <c r="F631" s="1">
        <v>41634</v>
      </c>
    </row>
    <row r="632" spans="1:7">
      <c r="A632" s="69"/>
      <c r="B632" s="73" t="s">
        <v>938</v>
      </c>
      <c r="C632" s="3" t="s">
        <v>939</v>
      </c>
      <c r="D632" s="4">
        <v>40</v>
      </c>
    </row>
    <row r="633" spans="1:7">
      <c r="A633" s="69"/>
      <c r="B633" s="69"/>
      <c r="C633" s="5" t="s">
        <v>940</v>
      </c>
      <c r="D633" s="1">
        <v>40</v>
      </c>
    </row>
    <row r="634" spans="1:7">
      <c r="A634" s="69"/>
      <c r="B634" s="73" t="s">
        <v>941</v>
      </c>
      <c r="C634" s="3" t="s">
        <v>942</v>
      </c>
      <c r="F634" s="4">
        <v>499.86</v>
      </c>
    </row>
    <row r="635" spans="1:7">
      <c r="A635" s="69"/>
      <c r="B635" s="69"/>
      <c r="C635" s="5" t="s">
        <v>943</v>
      </c>
      <c r="F635" s="1">
        <v>499.86</v>
      </c>
    </row>
    <row r="636" spans="1:7">
      <c r="A636" s="69"/>
      <c r="B636" s="73" t="s">
        <v>944</v>
      </c>
      <c r="C636" s="3" t="s">
        <v>945</v>
      </c>
      <c r="F636" s="4">
        <v>8196.7099999999991</v>
      </c>
      <c r="G636" s="4">
        <v>72.275000000000006</v>
      </c>
    </row>
    <row r="637" spans="1:7">
      <c r="A637" s="69"/>
      <c r="B637" s="69"/>
      <c r="C637" s="5" t="s">
        <v>946</v>
      </c>
      <c r="F637" s="1">
        <v>8196.7099999999991</v>
      </c>
      <c r="G637" s="1">
        <v>72.275000000000006</v>
      </c>
    </row>
    <row r="638" spans="1:7">
      <c r="A638" s="69"/>
      <c r="B638" s="73" t="s">
        <v>947</v>
      </c>
      <c r="C638" s="3" t="s">
        <v>948</v>
      </c>
      <c r="F638" s="4">
        <v>2530.3200000000002</v>
      </c>
    </row>
    <row r="639" spans="1:7">
      <c r="A639" s="69"/>
      <c r="B639" s="69"/>
      <c r="C639" s="5" t="s">
        <v>949</v>
      </c>
      <c r="F639" s="1">
        <v>2530.3200000000002</v>
      </c>
    </row>
    <row r="640" spans="1:7">
      <c r="A640" s="69"/>
      <c r="B640" s="73" t="s">
        <v>950</v>
      </c>
      <c r="C640" s="3" t="s">
        <v>951</v>
      </c>
      <c r="E640" s="4">
        <v>2334.61</v>
      </c>
      <c r="G640" s="4">
        <v>807.06</v>
      </c>
    </row>
    <row r="641" spans="1:7">
      <c r="A641" s="69"/>
      <c r="B641" s="69"/>
      <c r="C641" s="5" t="s">
        <v>952</v>
      </c>
      <c r="E641" s="1">
        <v>2334.61</v>
      </c>
      <c r="G641" s="1">
        <v>807.06</v>
      </c>
    </row>
    <row r="642" spans="1:7">
      <c r="A642" s="69"/>
      <c r="B642" s="73" t="s">
        <v>953</v>
      </c>
      <c r="C642" s="3" t="s">
        <v>954</v>
      </c>
      <c r="E642" s="4">
        <v>8099</v>
      </c>
    </row>
    <row r="643" spans="1:7">
      <c r="A643" s="69"/>
      <c r="B643" s="69"/>
      <c r="C643" s="5" t="s">
        <v>955</v>
      </c>
      <c r="E643" s="1">
        <v>8099</v>
      </c>
    </row>
    <row r="644" spans="1:7">
      <c r="A644" s="69"/>
      <c r="B644" s="73" t="s">
        <v>798</v>
      </c>
      <c r="C644" s="3" t="s">
        <v>799</v>
      </c>
      <c r="E644" s="4">
        <v>173.56</v>
      </c>
      <c r="G644" s="4">
        <v>571.20000000000005</v>
      </c>
    </row>
    <row r="645" spans="1:7">
      <c r="A645" s="69"/>
      <c r="B645" s="69"/>
      <c r="C645" s="5" t="s">
        <v>800</v>
      </c>
      <c r="E645" s="1">
        <v>173.56</v>
      </c>
      <c r="G645" s="1">
        <v>571.20000000000005</v>
      </c>
    </row>
    <row r="646" spans="1:7">
      <c r="A646" s="69"/>
      <c r="B646" s="73" t="s">
        <v>956</v>
      </c>
      <c r="C646" s="3" t="s">
        <v>957</v>
      </c>
      <c r="G646" s="4">
        <v>72.275000000000006</v>
      </c>
    </row>
    <row r="647" spans="1:7">
      <c r="A647" s="69"/>
      <c r="B647" s="69"/>
      <c r="C647" s="5" t="s">
        <v>958</v>
      </c>
      <c r="G647" s="1">
        <v>72.275000000000006</v>
      </c>
    </row>
    <row r="648" spans="1:7">
      <c r="A648" s="69"/>
      <c r="B648" s="73" t="s">
        <v>959</v>
      </c>
      <c r="C648" s="3" t="s">
        <v>960</v>
      </c>
      <c r="G648" s="4">
        <v>41.3</v>
      </c>
    </row>
    <row r="649" spans="1:7">
      <c r="A649" s="69"/>
      <c r="B649" s="69"/>
      <c r="C649" s="5" t="s">
        <v>961</v>
      </c>
      <c r="G649" s="1">
        <v>41.3</v>
      </c>
    </row>
    <row r="650" spans="1:7">
      <c r="A650" s="69"/>
      <c r="B650" s="73" t="s">
        <v>756</v>
      </c>
      <c r="C650" s="3" t="s">
        <v>757</v>
      </c>
      <c r="E650" s="4">
        <v>8548.39</v>
      </c>
      <c r="F650" s="4">
        <v>194595.31</v>
      </c>
    </row>
    <row r="651" spans="1:7">
      <c r="A651" s="69"/>
      <c r="B651" s="69"/>
      <c r="C651" s="5" t="s">
        <v>758</v>
      </c>
      <c r="E651" s="1">
        <v>8548.39</v>
      </c>
      <c r="F651" s="1">
        <v>194595.31</v>
      </c>
    </row>
    <row r="652" spans="1:7">
      <c r="A652" s="69"/>
      <c r="B652" s="73" t="s">
        <v>962</v>
      </c>
      <c r="C652" s="3" t="s">
        <v>963</v>
      </c>
      <c r="F652" s="4">
        <v>13596.66</v>
      </c>
    </row>
    <row r="653" spans="1:7">
      <c r="A653" s="69"/>
      <c r="B653" s="69"/>
      <c r="C653" s="5" t="s">
        <v>964</v>
      </c>
      <c r="F653" s="1">
        <v>13596.66</v>
      </c>
    </row>
    <row r="654" spans="1:7">
      <c r="A654" s="69"/>
      <c r="B654" s="73" t="s">
        <v>965</v>
      </c>
      <c r="C654" s="3" t="s">
        <v>966</v>
      </c>
      <c r="D654" s="4">
        <v>2010</v>
      </c>
    </row>
    <row r="655" spans="1:7">
      <c r="A655" s="69"/>
      <c r="B655" s="69"/>
      <c r="C655" s="5" t="s">
        <v>967</v>
      </c>
      <c r="D655" s="1">
        <v>2010</v>
      </c>
    </row>
    <row r="656" spans="1:7">
      <c r="A656" s="69"/>
      <c r="B656" s="73" t="s">
        <v>968</v>
      </c>
      <c r="C656" s="3" t="s">
        <v>969</v>
      </c>
      <c r="F656" s="4">
        <v>11503.63</v>
      </c>
    </row>
    <row r="657" spans="1:6">
      <c r="A657" s="69"/>
      <c r="B657" s="69"/>
      <c r="C657" s="5" t="s">
        <v>970</v>
      </c>
      <c r="F657" s="1">
        <v>11503.63</v>
      </c>
    </row>
    <row r="658" spans="1:6">
      <c r="A658" s="69"/>
      <c r="B658" s="73" t="s">
        <v>327</v>
      </c>
      <c r="C658" s="3" t="s">
        <v>328</v>
      </c>
      <c r="F658" s="4">
        <v>3661.92</v>
      </c>
    </row>
    <row r="659" spans="1:6">
      <c r="A659" s="69"/>
      <c r="B659" s="69"/>
      <c r="C659" s="5" t="s">
        <v>329</v>
      </c>
      <c r="F659" s="1">
        <v>3661.92</v>
      </c>
    </row>
    <row r="660" spans="1:6">
      <c r="A660" s="69"/>
      <c r="B660" s="73" t="s">
        <v>971</v>
      </c>
      <c r="C660" s="3" t="s">
        <v>972</v>
      </c>
      <c r="F660" s="4">
        <v>0</v>
      </c>
    </row>
    <row r="661" spans="1:6">
      <c r="A661" s="69"/>
      <c r="B661" s="69"/>
      <c r="C661" s="5" t="s">
        <v>973</v>
      </c>
      <c r="F661" s="1">
        <v>0</v>
      </c>
    </row>
    <row r="662" spans="1:6">
      <c r="A662" s="69"/>
      <c r="B662" s="73" t="s">
        <v>974</v>
      </c>
      <c r="C662" s="3" t="s">
        <v>975</v>
      </c>
      <c r="D662" s="4">
        <v>4346.2700000000004</v>
      </c>
      <c r="F662" s="4">
        <v>1053.57</v>
      </c>
    </row>
    <row r="663" spans="1:6">
      <c r="A663" s="69"/>
      <c r="B663" s="69"/>
      <c r="C663" s="5" t="s">
        <v>976</v>
      </c>
      <c r="D663" s="1">
        <v>4346.2700000000004</v>
      </c>
      <c r="F663" s="1">
        <v>1053.57</v>
      </c>
    </row>
    <row r="664" spans="1:6">
      <c r="A664" s="69"/>
      <c r="B664" s="73" t="s">
        <v>977</v>
      </c>
      <c r="C664" s="3" t="s">
        <v>978</v>
      </c>
      <c r="F664" s="4">
        <v>940</v>
      </c>
    </row>
    <row r="665" spans="1:6">
      <c r="A665" s="69"/>
      <c r="B665" s="69"/>
      <c r="C665" s="5" t="s">
        <v>979</v>
      </c>
      <c r="F665" s="1">
        <v>940</v>
      </c>
    </row>
    <row r="666" spans="1:6">
      <c r="A666" s="69"/>
      <c r="B666" s="73" t="s">
        <v>980</v>
      </c>
      <c r="C666" s="3" t="s">
        <v>981</v>
      </c>
      <c r="F666" s="4">
        <v>8612.8799999999992</v>
      </c>
    </row>
    <row r="667" spans="1:6">
      <c r="A667" s="69"/>
      <c r="B667" s="69"/>
      <c r="C667" s="5" t="s">
        <v>982</v>
      </c>
      <c r="F667" s="1">
        <v>8612.8799999999992</v>
      </c>
    </row>
    <row r="668" spans="1:6">
      <c r="A668" s="69"/>
      <c r="B668" s="73" t="s">
        <v>983</v>
      </c>
      <c r="C668" s="3" t="s">
        <v>984</v>
      </c>
      <c r="F668" s="4">
        <v>8010</v>
      </c>
    </row>
    <row r="669" spans="1:6">
      <c r="A669" s="69"/>
      <c r="B669" s="69"/>
      <c r="C669" s="5" t="s">
        <v>985</v>
      </c>
      <c r="F669" s="1">
        <v>8010</v>
      </c>
    </row>
    <row r="670" spans="1:6">
      <c r="A670" s="69"/>
      <c r="B670" s="73" t="s">
        <v>986</v>
      </c>
      <c r="C670" s="3" t="s">
        <v>987</v>
      </c>
      <c r="E670" s="4">
        <v>128</v>
      </c>
    </row>
    <row r="671" spans="1:6">
      <c r="A671" s="69"/>
      <c r="B671" s="69"/>
      <c r="C671" s="5" t="s">
        <v>988</v>
      </c>
      <c r="E671" s="1">
        <v>128</v>
      </c>
    </row>
    <row r="672" spans="1:6">
      <c r="A672" s="69"/>
      <c r="B672" s="73" t="s">
        <v>989</v>
      </c>
      <c r="C672" s="3" t="s">
        <v>990</v>
      </c>
      <c r="E672" s="4">
        <v>3691.6</v>
      </c>
      <c r="F672" s="4">
        <v>19621.060000000001</v>
      </c>
    </row>
    <row r="673" spans="1:8">
      <c r="A673" s="69"/>
      <c r="B673" s="69"/>
      <c r="C673" s="5" t="s">
        <v>991</v>
      </c>
      <c r="E673" s="1">
        <v>3691.6</v>
      </c>
      <c r="F673" s="1">
        <v>19621.060000000001</v>
      </c>
    </row>
    <row r="674" spans="1:8">
      <c r="A674" s="69"/>
      <c r="B674" s="73" t="s">
        <v>992</v>
      </c>
      <c r="C674" s="3" t="s">
        <v>993</v>
      </c>
      <c r="E674" s="4">
        <v>1644.48</v>
      </c>
      <c r="G674" s="4">
        <v>1647.96</v>
      </c>
    </row>
    <row r="675" spans="1:8">
      <c r="A675" s="69"/>
      <c r="B675" s="69"/>
      <c r="C675" s="5" t="s">
        <v>994</v>
      </c>
      <c r="E675" s="1">
        <v>1644.48</v>
      </c>
      <c r="G675" s="1">
        <v>1647.96</v>
      </c>
    </row>
    <row r="676" spans="1:8">
      <c r="A676" s="69"/>
      <c r="B676" s="73" t="s">
        <v>995</v>
      </c>
      <c r="C676" s="3" t="s">
        <v>996</v>
      </c>
      <c r="F676" s="4">
        <v>3947.56</v>
      </c>
      <c r="G676" s="4">
        <v>1323.67</v>
      </c>
      <c r="H676" s="4">
        <v>300.22000000000003</v>
      </c>
    </row>
    <row r="677" spans="1:8">
      <c r="A677" s="69"/>
      <c r="B677" s="69"/>
      <c r="C677" s="5" t="s">
        <v>997</v>
      </c>
      <c r="F677" s="1">
        <v>3947.56</v>
      </c>
      <c r="G677" s="1">
        <v>1323.67</v>
      </c>
      <c r="H677" s="1">
        <v>300.22000000000003</v>
      </c>
    </row>
    <row r="678" spans="1:8">
      <c r="A678" s="69"/>
      <c r="B678" s="73" t="s">
        <v>998</v>
      </c>
      <c r="C678" s="3" t="s">
        <v>999</v>
      </c>
      <c r="D678" s="4">
        <v>12635.6</v>
      </c>
    </row>
    <row r="679" spans="1:8">
      <c r="A679" s="69"/>
      <c r="B679" s="69"/>
      <c r="C679" s="5" t="s">
        <v>1000</v>
      </c>
      <c r="D679" s="1">
        <v>12635.6</v>
      </c>
    </row>
    <row r="680" spans="1:8">
      <c r="A680" s="69"/>
      <c r="B680" s="73" t="s">
        <v>1001</v>
      </c>
      <c r="C680" s="3" t="s">
        <v>1002</v>
      </c>
      <c r="D680" s="4">
        <v>40</v>
      </c>
    </row>
    <row r="681" spans="1:8">
      <c r="A681" s="69"/>
      <c r="B681" s="69"/>
      <c r="C681" s="5" t="s">
        <v>1003</v>
      </c>
      <c r="D681" s="1">
        <v>40</v>
      </c>
    </row>
    <row r="682" spans="1:8">
      <c r="A682" s="69"/>
      <c r="B682" s="73" t="s">
        <v>1004</v>
      </c>
      <c r="C682" s="3" t="s">
        <v>1005</v>
      </c>
      <c r="F682" s="4">
        <v>83333.36</v>
      </c>
    </row>
    <row r="683" spans="1:8">
      <c r="A683" s="69"/>
      <c r="B683" s="69"/>
      <c r="C683" s="5" t="s">
        <v>1006</v>
      </c>
      <c r="F683" s="1">
        <v>83333.36</v>
      </c>
    </row>
    <row r="684" spans="1:8">
      <c r="A684" s="69"/>
      <c r="B684" s="73" t="s">
        <v>1007</v>
      </c>
      <c r="C684" s="3" t="s">
        <v>1008</v>
      </c>
      <c r="F684" s="4">
        <v>20240.71</v>
      </c>
    </row>
    <row r="685" spans="1:8">
      <c r="A685" s="69"/>
      <c r="B685" s="69"/>
      <c r="C685" s="5" t="s">
        <v>1009</v>
      </c>
      <c r="F685" s="1">
        <v>20240.71</v>
      </c>
    </row>
    <row r="686" spans="1:8">
      <c r="A686" s="69"/>
      <c r="B686" s="73" t="s">
        <v>1010</v>
      </c>
      <c r="C686" s="3" t="s">
        <v>1011</v>
      </c>
      <c r="F686" s="4">
        <v>3195.16</v>
      </c>
    </row>
    <row r="687" spans="1:8">
      <c r="A687" s="69"/>
      <c r="B687" s="69"/>
      <c r="C687" s="5" t="s">
        <v>1012</v>
      </c>
      <c r="F687" s="1">
        <v>3195.16</v>
      </c>
    </row>
    <row r="688" spans="1:8">
      <c r="A688" s="69"/>
      <c r="B688" s="73" t="s">
        <v>1013</v>
      </c>
      <c r="C688" s="3" t="s">
        <v>1014</v>
      </c>
      <c r="E688" s="4">
        <v>17830.689999999999</v>
      </c>
    </row>
    <row r="689" spans="1:7">
      <c r="A689" s="69"/>
      <c r="B689" s="69"/>
      <c r="C689" s="5" t="s">
        <v>1015</v>
      </c>
      <c r="E689" s="1">
        <v>17830.689999999999</v>
      </c>
    </row>
    <row r="690" spans="1:7">
      <c r="A690" s="69"/>
      <c r="B690" s="73" t="s">
        <v>1016</v>
      </c>
      <c r="C690" s="3" t="s">
        <v>1017</v>
      </c>
      <c r="D690" s="4">
        <v>1005</v>
      </c>
      <c r="E690" s="4">
        <v>1820</v>
      </c>
      <c r="G690" s="4">
        <v>492</v>
      </c>
    </row>
    <row r="691" spans="1:7">
      <c r="A691" s="69"/>
      <c r="B691" s="69"/>
      <c r="C691" s="5" t="s">
        <v>1018</v>
      </c>
      <c r="D691" s="1">
        <v>1005</v>
      </c>
      <c r="E691" s="1">
        <v>1820</v>
      </c>
      <c r="G691" s="1">
        <v>492</v>
      </c>
    </row>
    <row r="692" spans="1:7">
      <c r="A692" s="69"/>
      <c r="B692" s="73" t="s">
        <v>333</v>
      </c>
      <c r="C692" s="3" t="s">
        <v>334</v>
      </c>
      <c r="G692" s="4">
        <v>188.03</v>
      </c>
    </row>
    <row r="693" spans="1:7">
      <c r="A693" s="69"/>
      <c r="B693" s="69"/>
      <c r="C693" s="5" t="s">
        <v>335</v>
      </c>
      <c r="G693" s="1">
        <v>188.03</v>
      </c>
    </row>
    <row r="694" spans="1:7">
      <c r="A694" s="69"/>
      <c r="B694" s="73" t="s">
        <v>1019</v>
      </c>
      <c r="C694" s="3" t="s">
        <v>1020</v>
      </c>
      <c r="G694" s="4">
        <v>1854.8</v>
      </c>
    </row>
    <row r="695" spans="1:7">
      <c r="A695" s="69"/>
      <c r="B695" s="69"/>
      <c r="C695" s="5" t="s">
        <v>1021</v>
      </c>
      <c r="G695" s="1">
        <v>1854.8</v>
      </c>
    </row>
    <row r="696" spans="1:7">
      <c r="A696" s="69"/>
      <c r="B696" s="73" t="s">
        <v>1022</v>
      </c>
      <c r="C696" s="3" t="s">
        <v>1023</v>
      </c>
      <c r="D696" s="4">
        <v>1199</v>
      </c>
      <c r="G696" s="4">
        <v>296.67</v>
      </c>
    </row>
    <row r="697" spans="1:7">
      <c r="A697" s="69"/>
      <c r="B697" s="69"/>
      <c r="C697" s="5" t="s">
        <v>1024</v>
      </c>
      <c r="D697" s="1">
        <v>1199</v>
      </c>
      <c r="G697" s="1">
        <v>296.67</v>
      </c>
    </row>
    <row r="698" spans="1:7">
      <c r="A698" s="69"/>
      <c r="B698" s="73" t="s">
        <v>1025</v>
      </c>
      <c r="C698" s="3" t="s">
        <v>1026</v>
      </c>
      <c r="D698" s="4">
        <v>850</v>
      </c>
    </row>
    <row r="699" spans="1:7">
      <c r="A699" s="69"/>
      <c r="B699" s="69"/>
      <c r="C699" s="5" t="s">
        <v>1027</v>
      </c>
      <c r="D699" s="1">
        <v>850</v>
      </c>
    </row>
    <row r="700" spans="1:7">
      <c r="A700" s="69"/>
      <c r="B700" s="73" t="s">
        <v>822</v>
      </c>
      <c r="C700" s="3" t="s">
        <v>823</v>
      </c>
      <c r="D700" s="4">
        <v>5704.62</v>
      </c>
    </row>
    <row r="701" spans="1:7">
      <c r="A701" s="69"/>
      <c r="B701" s="69"/>
      <c r="C701" s="5" t="s">
        <v>824</v>
      </c>
      <c r="D701" s="1">
        <v>5704.62</v>
      </c>
    </row>
    <row r="702" spans="1:7">
      <c r="A702" s="69"/>
      <c r="B702" s="73" t="s">
        <v>1028</v>
      </c>
      <c r="C702" s="3" t="s">
        <v>1029</v>
      </c>
      <c r="F702" s="4">
        <v>4988.45</v>
      </c>
    </row>
    <row r="703" spans="1:7">
      <c r="A703" s="69"/>
      <c r="B703" s="69"/>
      <c r="C703" s="5" t="s">
        <v>1030</v>
      </c>
      <c r="F703" s="1">
        <v>4988.45</v>
      </c>
    </row>
    <row r="704" spans="1:7">
      <c r="A704" s="69"/>
      <c r="B704" s="73" t="s">
        <v>1031</v>
      </c>
      <c r="C704" s="3" t="s">
        <v>1032</v>
      </c>
      <c r="F704" s="4">
        <v>1644.63</v>
      </c>
    </row>
    <row r="705" spans="1:6">
      <c r="A705" s="69"/>
      <c r="B705" s="69"/>
      <c r="C705" s="5" t="s">
        <v>1033</v>
      </c>
      <c r="F705" s="1">
        <v>1644.63</v>
      </c>
    </row>
    <row r="706" spans="1:6">
      <c r="A706" s="69"/>
      <c r="B706" s="73" t="s">
        <v>1034</v>
      </c>
      <c r="C706" s="3" t="s">
        <v>1035</v>
      </c>
      <c r="E706" s="4">
        <v>3926.5</v>
      </c>
      <c r="F706" s="4">
        <v>14314.23</v>
      </c>
    </row>
    <row r="707" spans="1:6">
      <c r="A707" s="69"/>
      <c r="B707" s="69"/>
      <c r="C707" s="5" t="s">
        <v>1036</v>
      </c>
      <c r="E707" s="1">
        <v>3926.5</v>
      </c>
      <c r="F707" s="1">
        <v>14314.23</v>
      </c>
    </row>
    <row r="708" spans="1:6">
      <c r="A708" s="69"/>
      <c r="B708" s="73" t="s">
        <v>1037</v>
      </c>
      <c r="C708" s="3" t="s">
        <v>1038</v>
      </c>
      <c r="E708" s="4">
        <v>2404</v>
      </c>
    </row>
    <row r="709" spans="1:6">
      <c r="A709" s="69"/>
      <c r="B709" s="69"/>
      <c r="C709" s="5" t="s">
        <v>1039</v>
      </c>
      <c r="E709" s="1">
        <v>2404</v>
      </c>
    </row>
    <row r="710" spans="1:6">
      <c r="A710" s="69"/>
      <c r="B710" s="73" t="s">
        <v>1040</v>
      </c>
      <c r="C710" s="3" t="s">
        <v>1041</v>
      </c>
      <c r="E710" s="4">
        <v>1048</v>
      </c>
    </row>
    <row r="711" spans="1:6">
      <c r="A711" s="69"/>
      <c r="B711" s="69"/>
      <c r="C711" s="5" t="s">
        <v>1042</v>
      </c>
      <c r="E711" s="1">
        <v>1048</v>
      </c>
    </row>
    <row r="712" spans="1:6">
      <c r="A712" s="69"/>
      <c r="B712" s="73" t="s">
        <v>1043</v>
      </c>
      <c r="C712" s="3" t="s">
        <v>1044</v>
      </c>
      <c r="E712" s="4">
        <v>6943</v>
      </c>
    </row>
    <row r="713" spans="1:6">
      <c r="A713" s="69"/>
      <c r="B713" s="69"/>
      <c r="C713" s="5" t="s">
        <v>1045</v>
      </c>
      <c r="E713" s="1">
        <v>6943</v>
      </c>
    </row>
    <row r="714" spans="1:6">
      <c r="A714" s="69"/>
      <c r="B714" s="73" t="s">
        <v>1046</v>
      </c>
      <c r="C714" s="3" t="s">
        <v>1047</v>
      </c>
      <c r="E714" s="4">
        <v>516</v>
      </c>
    </row>
    <row r="715" spans="1:6">
      <c r="A715" s="69"/>
      <c r="B715" s="69"/>
      <c r="C715" s="5" t="s">
        <v>1048</v>
      </c>
      <c r="E715" s="1">
        <v>516</v>
      </c>
    </row>
    <row r="716" spans="1:6">
      <c r="A716" s="69"/>
      <c r="B716" s="73" t="s">
        <v>1049</v>
      </c>
      <c r="C716" s="3" t="s">
        <v>1050</v>
      </c>
      <c r="E716" s="4">
        <v>48468.85</v>
      </c>
    </row>
    <row r="717" spans="1:6">
      <c r="A717" s="69"/>
      <c r="B717" s="69"/>
      <c r="C717" s="5" t="s">
        <v>1051</v>
      </c>
      <c r="E717" s="1">
        <v>48468.85</v>
      </c>
    </row>
    <row r="718" spans="1:6">
      <c r="A718" s="69"/>
      <c r="B718" s="73" t="s">
        <v>1052</v>
      </c>
      <c r="C718" s="3" t="s">
        <v>1053</v>
      </c>
      <c r="E718" s="4">
        <v>396</v>
      </c>
    </row>
    <row r="719" spans="1:6">
      <c r="A719" s="69"/>
      <c r="B719" s="69"/>
      <c r="C719" s="5" t="s">
        <v>1054</v>
      </c>
      <c r="E719" s="1">
        <v>396</v>
      </c>
    </row>
    <row r="720" spans="1:6">
      <c r="A720" s="69"/>
      <c r="B720" s="73" t="s">
        <v>1055</v>
      </c>
      <c r="C720" s="3" t="s">
        <v>1056</v>
      </c>
      <c r="E720" s="4">
        <v>3635.63</v>
      </c>
    </row>
    <row r="721" spans="1:6">
      <c r="A721" s="69"/>
      <c r="B721" s="69"/>
      <c r="C721" s="5" t="s">
        <v>1057</v>
      </c>
      <c r="E721" s="1">
        <v>3635.63</v>
      </c>
    </row>
    <row r="722" spans="1:6">
      <c r="A722" s="69"/>
      <c r="B722" s="73" t="s">
        <v>1058</v>
      </c>
      <c r="C722" s="3" t="s">
        <v>1059</v>
      </c>
      <c r="D722" s="4">
        <v>530</v>
      </c>
    </row>
    <row r="723" spans="1:6">
      <c r="A723" s="69"/>
      <c r="B723" s="69"/>
      <c r="C723" s="5" t="s">
        <v>1060</v>
      </c>
      <c r="D723" s="1">
        <v>530</v>
      </c>
    </row>
    <row r="724" spans="1:6">
      <c r="A724" s="69"/>
      <c r="B724" s="73" t="s">
        <v>1061</v>
      </c>
      <c r="C724" s="3" t="s">
        <v>1062</v>
      </c>
      <c r="D724" s="4">
        <v>0</v>
      </c>
    </row>
    <row r="725" spans="1:6">
      <c r="A725" s="69"/>
      <c r="B725" s="69"/>
      <c r="C725" s="5" t="s">
        <v>1063</v>
      </c>
      <c r="D725" s="1">
        <v>0</v>
      </c>
    </row>
    <row r="726" spans="1:6">
      <c r="A726" s="69"/>
      <c r="B726" s="73" t="s">
        <v>219</v>
      </c>
      <c r="C726" s="3" t="s">
        <v>220</v>
      </c>
      <c r="E726" s="4">
        <v>4957.8</v>
      </c>
      <c r="F726" s="4">
        <v>9629.8700000000008</v>
      </c>
    </row>
    <row r="727" spans="1:6">
      <c r="A727" s="69"/>
      <c r="B727" s="69"/>
      <c r="C727" s="5" t="s">
        <v>221</v>
      </c>
      <c r="E727" s="1">
        <v>4957.8</v>
      </c>
      <c r="F727" s="1">
        <v>9629.8700000000008</v>
      </c>
    </row>
    <row r="728" spans="1:6">
      <c r="A728" s="69"/>
      <c r="B728" s="73" t="s">
        <v>1064</v>
      </c>
      <c r="C728" s="3" t="s">
        <v>1065</v>
      </c>
      <c r="F728" s="4">
        <v>2415.38</v>
      </c>
    </row>
    <row r="729" spans="1:6">
      <c r="A729" s="69"/>
      <c r="B729" s="69"/>
      <c r="C729" s="5" t="s">
        <v>1066</v>
      </c>
      <c r="F729" s="1">
        <v>2415.38</v>
      </c>
    </row>
    <row r="730" spans="1:6">
      <c r="A730" s="69"/>
      <c r="B730" s="73" t="s">
        <v>1067</v>
      </c>
      <c r="C730" s="3" t="s">
        <v>1068</v>
      </c>
      <c r="F730" s="4">
        <v>3871.27</v>
      </c>
    </row>
    <row r="731" spans="1:6">
      <c r="A731" s="69"/>
      <c r="B731" s="69"/>
      <c r="C731" s="5" t="s">
        <v>1069</v>
      </c>
      <c r="F731" s="1">
        <v>3871.27</v>
      </c>
    </row>
    <row r="732" spans="1:6">
      <c r="A732" s="69"/>
      <c r="B732" s="73" t="s">
        <v>1070</v>
      </c>
      <c r="C732" s="3" t="s">
        <v>1071</v>
      </c>
      <c r="E732" s="4">
        <v>5333.67</v>
      </c>
    </row>
    <row r="733" spans="1:6">
      <c r="A733" s="69"/>
      <c r="B733" s="69"/>
      <c r="C733" s="5" t="s">
        <v>1072</v>
      </c>
      <c r="E733" s="1">
        <v>5333.67</v>
      </c>
    </row>
    <row r="734" spans="1:6">
      <c r="A734" s="69"/>
      <c r="B734" s="73" t="s">
        <v>1073</v>
      </c>
      <c r="C734" s="3" t="s">
        <v>1074</v>
      </c>
      <c r="D734" s="4">
        <v>300</v>
      </c>
    </row>
    <row r="735" spans="1:6">
      <c r="A735" s="69"/>
      <c r="B735" s="69"/>
      <c r="C735" s="5" t="s">
        <v>1075</v>
      </c>
      <c r="D735" s="1">
        <v>300</v>
      </c>
    </row>
    <row r="736" spans="1:6">
      <c r="A736" s="69"/>
      <c r="B736" s="73" t="s">
        <v>1076</v>
      </c>
      <c r="C736" s="3" t="s">
        <v>1077</v>
      </c>
      <c r="D736" s="4">
        <v>3868</v>
      </c>
    </row>
    <row r="737" spans="1:7">
      <c r="A737" s="69"/>
      <c r="B737" s="69"/>
      <c r="C737" s="5" t="s">
        <v>1078</v>
      </c>
      <c r="D737" s="1">
        <v>3868</v>
      </c>
    </row>
    <row r="738" spans="1:7">
      <c r="A738" s="69"/>
      <c r="B738" s="73" t="s">
        <v>1079</v>
      </c>
      <c r="C738" s="3" t="s">
        <v>1080</v>
      </c>
      <c r="D738" s="4">
        <v>33</v>
      </c>
    </row>
    <row r="739" spans="1:7">
      <c r="A739" s="69"/>
      <c r="B739" s="69"/>
      <c r="C739" s="5" t="s">
        <v>1081</v>
      </c>
      <c r="D739" s="1">
        <v>33</v>
      </c>
    </row>
    <row r="740" spans="1:7">
      <c r="A740" s="69"/>
      <c r="B740" s="73" t="s">
        <v>1082</v>
      </c>
      <c r="C740" s="3" t="s">
        <v>1083</v>
      </c>
      <c r="F740" s="4">
        <v>4511.68</v>
      </c>
    </row>
    <row r="741" spans="1:7">
      <c r="A741" s="69"/>
      <c r="B741" s="69"/>
      <c r="C741" s="5" t="s">
        <v>1084</v>
      </c>
      <c r="F741" s="1">
        <v>4511.68</v>
      </c>
    </row>
    <row r="742" spans="1:7">
      <c r="A742" s="69"/>
      <c r="B742" s="73" t="s">
        <v>1085</v>
      </c>
      <c r="C742" s="3" t="s">
        <v>1086</v>
      </c>
      <c r="F742" s="4">
        <v>5713.14</v>
      </c>
    </row>
    <row r="743" spans="1:7">
      <c r="A743" s="69"/>
      <c r="B743" s="69"/>
      <c r="C743" s="5" t="s">
        <v>1087</v>
      </c>
      <c r="F743" s="1">
        <v>5713.14</v>
      </c>
    </row>
    <row r="744" spans="1:7">
      <c r="A744" s="69"/>
      <c r="B744" s="73" t="s">
        <v>1088</v>
      </c>
      <c r="C744" s="3" t="s">
        <v>1089</v>
      </c>
      <c r="F744" s="4">
        <v>2610.7399999999998</v>
      </c>
    </row>
    <row r="745" spans="1:7">
      <c r="A745" s="69"/>
      <c r="B745" s="69"/>
      <c r="C745" s="5" t="s">
        <v>1090</v>
      </c>
      <c r="F745" s="1">
        <v>2610.7399999999998</v>
      </c>
    </row>
    <row r="746" spans="1:7">
      <c r="A746" s="69"/>
      <c r="B746" s="73" t="s">
        <v>1091</v>
      </c>
      <c r="C746" s="3" t="s">
        <v>1092</v>
      </c>
      <c r="G746" s="4">
        <v>211.92</v>
      </c>
    </row>
    <row r="747" spans="1:7">
      <c r="A747" s="69"/>
      <c r="B747" s="69"/>
      <c r="C747" s="5" t="s">
        <v>1093</v>
      </c>
      <c r="G747" s="1">
        <v>211.92</v>
      </c>
    </row>
    <row r="748" spans="1:7">
      <c r="A748" s="69"/>
      <c r="B748" s="73" t="s">
        <v>1094</v>
      </c>
      <c r="C748" s="3" t="s">
        <v>1095</v>
      </c>
      <c r="G748" s="4">
        <v>154.875</v>
      </c>
    </row>
    <row r="749" spans="1:7">
      <c r="A749" s="69"/>
      <c r="B749" s="69"/>
      <c r="C749" s="5" t="s">
        <v>1096</v>
      </c>
      <c r="G749" s="1">
        <v>154.875</v>
      </c>
    </row>
    <row r="750" spans="1:7">
      <c r="A750" s="73" t="s">
        <v>1097</v>
      </c>
      <c r="B750" s="72" t="s">
        <v>1098</v>
      </c>
      <c r="C750" s="69"/>
      <c r="D750" s="4">
        <v>5934958.3399999999</v>
      </c>
      <c r="E750" s="4">
        <v>4985189.0999999996</v>
      </c>
    </row>
    <row r="751" spans="1:7">
      <c r="A751" s="69"/>
      <c r="B751" s="73" t="s">
        <v>341</v>
      </c>
      <c r="C751" s="3" t="s">
        <v>342</v>
      </c>
      <c r="D751" s="4">
        <v>4600.08</v>
      </c>
      <c r="E751" s="4">
        <v>140414.72</v>
      </c>
    </row>
    <row r="752" spans="1:7">
      <c r="A752" s="69"/>
      <c r="B752" s="69"/>
      <c r="C752" s="5" t="s">
        <v>343</v>
      </c>
      <c r="D752" s="1">
        <v>4600.08</v>
      </c>
      <c r="E752" s="1">
        <v>140414.72</v>
      </c>
    </row>
    <row r="753" spans="1:5">
      <c r="A753" s="69"/>
      <c r="B753" s="73" t="s">
        <v>543</v>
      </c>
      <c r="C753" s="3" t="s">
        <v>544</v>
      </c>
      <c r="D753" s="4">
        <v>105703.2</v>
      </c>
      <c r="E753" s="4">
        <v>452769.8</v>
      </c>
    </row>
    <row r="754" spans="1:5">
      <c r="A754" s="69"/>
      <c r="B754" s="69"/>
      <c r="C754" s="5" t="s">
        <v>545</v>
      </c>
      <c r="D754" s="1">
        <v>105703.2</v>
      </c>
      <c r="E754" s="1">
        <v>452769.8</v>
      </c>
    </row>
    <row r="755" spans="1:5">
      <c r="A755" s="69"/>
      <c r="B755" s="73" t="s">
        <v>1099</v>
      </c>
      <c r="C755" s="3" t="s">
        <v>1100</v>
      </c>
      <c r="D755" s="4">
        <v>234914.31</v>
      </c>
      <c r="E755" s="4">
        <v>455272.37</v>
      </c>
    </row>
    <row r="756" spans="1:5">
      <c r="A756" s="69"/>
      <c r="B756" s="69"/>
      <c r="C756" s="5" t="s">
        <v>1101</v>
      </c>
      <c r="D756" s="1">
        <v>234914.31</v>
      </c>
      <c r="E756" s="1">
        <v>455272.37</v>
      </c>
    </row>
    <row r="757" spans="1:5">
      <c r="A757" s="69"/>
      <c r="B757" s="73" t="s">
        <v>338</v>
      </c>
      <c r="C757" s="3" t="s">
        <v>339</v>
      </c>
      <c r="D757" s="4">
        <v>216782.36</v>
      </c>
      <c r="E757" s="4">
        <v>177871.39</v>
      </c>
    </row>
    <row r="758" spans="1:5">
      <c r="A758" s="69"/>
      <c r="B758" s="69"/>
      <c r="C758" s="5" t="s">
        <v>340</v>
      </c>
      <c r="D758" s="1">
        <v>216782.36</v>
      </c>
      <c r="E758" s="1">
        <v>177871.39</v>
      </c>
    </row>
    <row r="759" spans="1:5">
      <c r="A759" s="69"/>
      <c r="B759" s="73" t="s">
        <v>636</v>
      </c>
      <c r="C759" s="3" t="s">
        <v>637</v>
      </c>
      <c r="D759" s="4">
        <v>39258.92</v>
      </c>
      <c r="E759" s="4">
        <v>25703.59</v>
      </c>
    </row>
    <row r="760" spans="1:5">
      <c r="A760" s="69"/>
      <c r="B760" s="69"/>
      <c r="C760" s="5" t="s">
        <v>638</v>
      </c>
      <c r="D760" s="1">
        <v>39258.92</v>
      </c>
      <c r="E760" s="1">
        <v>25703.59</v>
      </c>
    </row>
    <row r="761" spans="1:5">
      <c r="A761" s="69"/>
      <c r="B761" s="73" t="s">
        <v>195</v>
      </c>
      <c r="C761" s="3" t="s">
        <v>196</v>
      </c>
      <c r="D761" s="4">
        <v>0</v>
      </c>
    </row>
    <row r="762" spans="1:5">
      <c r="A762" s="69"/>
      <c r="B762" s="69"/>
      <c r="C762" s="5" t="s">
        <v>197</v>
      </c>
      <c r="D762" s="1">
        <v>0</v>
      </c>
    </row>
    <row r="763" spans="1:5">
      <c r="A763" s="69"/>
      <c r="B763" s="73" t="s">
        <v>516</v>
      </c>
      <c r="C763" s="3" t="s">
        <v>517</v>
      </c>
      <c r="D763" s="4">
        <v>93431.89</v>
      </c>
      <c r="E763" s="4">
        <v>6355.77</v>
      </c>
    </row>
    <row r="764" spans="1:5">
      <c r="A764" s="69"/>
      <c r="B764" s="69"/>
      <c r="C764" s="5" t="s">
        <v>518</v>
      </c>
      <c r="D764" s="1">
        <v>93431.89</v>
      </c>
      <c r="E764" s="1">
        <v>6355.77</v>
      </c>
    </row>
    <row r="765" spans="1:5">
      <c r="A765" s="69"/>
      <c r="B765" s="73" t="s">
        <v>1102</v>
      </c>
      <c r="C765" s="3" t="s">
        <v>1103</v>
      </c>
      <c r="D765" s="4">
        <v>145906.72</v>
      </c>
      <c r="E765" s="4">
        <v>320444.63</v>
      </c>
    </row>
    <row r="766" spans="1:5">
      <c r="A766" s="69"/>
      <c r="B766" s="69"/>
      <c r="C766" s="5" t="s">
        <v>1104</v>
      </c>
      <c r="D766" s="1">
        <v>145906.72</v>
      </c>
      <c r="E766" s="1">
        <v>320444.63</v>
      </c>
    </row>
    <row r="767" spans="1:5">
      <c r="A767" s="69"/>
      <c r="B767" s="73" t="s">
        <v>1105</v>
      </c>
      <c r="C767" s="3" t="s">
        <v>1106</v>
      </c>
      <c r="D767" s="4">
        <v>651972.81999999995</v>
      </c>
      <c r="E767" s="4">
        <v>671218.22</v>
      </c>
    </row>
    <row r="768" spans="1:5">
      <c r="A768" s="69"/>
      <c r="B768" s="69"/>
      <c r="C768" s="5" t="s">
        <v>1107</v>
      </c>
      <c r="D768" s="1">
        <v>651972.81999999995</v>
      </c>
      <c r="E768" s="1">
        <v>671218.22</v>
      </c>
    </row>
    <row r="769" spans="1:5">
      <c r="A769" s="69"/>
      <c r="B769" s="73" t="s">
        <v>1108</v>
      </c>
      <c r="C769" s="3" t="s">
        <v>1109</v>
      </c>
      <c r="D769" s="4">
        <v>110769.43</v>
      </c>
    </row>
    <row r="770" spans="1:5">
      <c r="A770" s="69"/>
      <c r="B770" s="69"/>
      <c r="C770" s="5" t="s">
        <v>1110</v>
      </c>
      <c r="D770" s="1">
        <v>110769.43</v>
      </c>
    </row>
    <row r="771" spans="1:5">
      <c r="A771" s="69"/>
      <c r="B771" s="73" t="s">
        <v>60</v>
      </c>
      <c r="C771" s="3" t="s">
        <v>61</v>
      </c>
      <c r="D771" s="4">
        <v>69501.22</v>
      </c>
      <c r="E771" s="4">
        <v>88269.95</v>
      </c>
    </row>
    <row r="772" spans="1:5">
      <c r="A772" s="69"/>
      <c r="B772" s="69"/>
      <c r="C772" s="5" t="s">
        <v>62</v>
      </c>
      <c r="D772" s="1">
        <v>69501.22</v>
      </c>
      <c r="E772" s="1">
        <v>88269.95</v>
      </c>
    </row>
    <row r="773" spans="1:5">
      <c r="A773" s="69"/>
      <c r="B773" s="73" t="s">
        <v>1111</v>
      </c>
      <c r="C773" s="3" t="s">
        <v>1112</v>
      </c>
      <c r="D773" s="4">
        <v>154624.9</v>
      </c>
    </row>
    <row r="774" spans="1:5">
      <c r="A774" s="69"/>
      <c r="B774" s="69"/>
      <c r="C774" s="5" t="s">
        <v>1113</v>
      </c>
      <c r="D774" s="1">
        <v>154624.9</v>
      </c>
    </row>
    <row r="775" spans="1:5">
      <c r="A775" s="69"/>
      <c r="B775" s="73" t="s">
        <v>525</v>
      </c>
      <c r="C775" s="3" t="s">
        <v>526</v>
      </c>
      <c r="D775" s="4">
        <v>245954.22</v>
      </c>
    </row>
    <row r="776" spans="1:5">
      <c r="A776" s="69"/>
      <c r="B776" s="69"/>
      <c r="C776" s="5" t="s">
        <v>527</v>
      </c>
      <c r="D776" s="1">
        <v>245954.22</v>
      </c>
    </row>
    <row r="777" spans="1:5">
      <c r="A777" s="69"/>
      <c r="B777" s="73" t="s">
        <v>558</v>
      </c>
      <c r="C777" s="3" t="s">
        <v>559</v>
      </c>
      <c r="D777" s="4">
        <v>0</v>
      </c>
    </row>
    <row r="778" spans="1:5">
      <c r="A778" s="69"/>
      <c r="B778" s="69"/>
      <c r="C778" s="5" t="s">
        <v>560</v>
      </c>
      <c r="D778" s="1">
        <v>0</v>
      </c>
    </row>
    <row r="779" spans="1:5">
      <c r="A779" s="69"/>
      <c r="B779" s="73" t="s">
        <v>81</v>
      </c>
      <c r="C779" s="3" t="s">
        <v>82</v>
      </c>
      <c r="D779" s="4">
        <v>4061.97</v>
      </c>
      <c r="E779" s="4">
        <v>8.9</v>
      </c>
    </row>
    <row r="780" spans="1:5">
      <c r="A780" s="69"/>
      <c r="B780" s="69"/>
      <c r="C780" s="5" t="s">
        <v>83</v>
      </c>
      <c r="D780" s="1">
        <v>4061.97</v>
      </c>
      <c r="E780" s="1">
        <v>8.9</v>
      </c>
    </row>
    <row r="781" spans="1:5">
      <c r="A781" s="69"/>
      <c r="B781" s="73" t="s">
        <v>723</v>
      </c>
      <c r="C781" s="3" t="s">
        <v>724</v>
      </c>
      <c r="D781" s="4">
        <v>113978.26</v>
      </c>
      <c r="E781" s="4">
        <v>434377.03</v>
      </c>
    </row>
    <row r="782" spans="1:5">
      <c r="A782" s="69"/>
      <c r="B782" s="69"/>
      <c r="C782" s="5" t="s">
        <v>725</v>
      </c>
      <c r="D782" s="1">
        <v>113978.26</v>
      </c>
      <c r="E782" s="1">
        <v>434377.03</v>
      </c>
    </row>
    <row r="783" spans="1:5">
      <c r="A783" s="69"/>
      <c r="B783" s="73" t="s">
        <v>288</v>
      </c>
      <c r="C783" s="3" t="s">
        <v>289</v>
      </c>
      <c r="D783" s="4">
        <v>211753.86</v>
      </c>
      <c r="E783" s="4">
        <v>452451.27</v>
      </c>
    </row>
    <row r="784" spans="1:5">
      <c r="A784" s="69"/>
      <c r="B784" s="69"/>
      <c r="C784" s="5" t="s">
        <v>290</v>
      </c>
      <c r="D784" s="1">
        <v>211753.86</v>
      </c>
      <c r="E784" s="1">
        <v>452451.27</v>
      </c>
    </row>
    <row r="785" spans="1:5">
      <c r="A785" s="69"/>
      <c r="B785" s="73" t="s">
        <v>1114</v>
      </c>
      <c r="C785" s="3" t="s">
        <v>1115</v>
      </c>
      <c r="D785" s="4">
        <v>246583</v>
      </c>
      <c r="E785" s="4">
        <v>115770.85</v>
      </c>
    </row>
    <row r="786" spans="1:5">
      <c r="A786" s="69"/>
      <c r="B786" s="69"/>
      <c r="C786" s="5" t="s">
        <v>1116</v>
      </c>
      <c r="D786" s="1">
        <v>246583</v>
      </c>
      <c r="E786" s="1">
        <v>115770.85</v>
      </c>
    </row>
    <row r="787" spans="1:5">
      <c r="A787" s="69"/>
      <c r="B787" s="73" t="s">
        <v>486</v>
      </c>
      <c r="C787" s="3" t="s">
        <v>487</v>
      </c>
      <c r="D787" s="4">
        <v>109209.91</v>
      </c>
    </row>
    <row r="788" spans="1:5">
      <c r="A788" s="69"/>
      <c r="B788" s="69"/>
      <c r="C788" s="5" t="s">
        <v>488</v>
      </c>
      <c r="D788" s="1">
        <v>109209.91</v>
      </c>
    </row>
    <row r="789" spans="1:5">
      <c r="A789" s="69"/>
      <c r="B789" s="73" t="s">
        <v>1117</v>
      </c>
      <c r="C789" s="3" t="s">
        <v>1118</v>
      </c>
      <c r="D789" s="4">
        <v>113296.09</v>
      </c>
    </row>
    <row r="790" spans="1:5">
      <c r="A790" s="69"/>
      <c r="B790" s="69"/>
      <c r="C790" s="5" t="s">
        <v>1119</v>
      </c>
      <c r="D790" s="1">
        <v>113296.09</v>
      </c>
    </row>
    <row r="791" spans="1:5">
      <c r="A791" s="69"/>
      <c r="B791" s="73" t="s">
        <v>1120</v>
      </c>
      <c r="C791" s="3" t="s">
        <v>1121</v>
      </c>
      <c r="D791" s="4">
        <v>95138.14</v>
      </c>
    </row>
    <row r="792" spans="1:5">
      <c r="A792" s="69"/>
      <c r="B792" s="69"/>
      <c r="C792" s="5" t="s">
        <v>1122</v>
      </c>
      <c r="D792" s="1">
        <v>95138.14</v>
      </c>
    </row>
    <row r="793" spans="1:5">
      <c r="A793" s="69"/>
      <c r="B793" s="73" t="s">
        <v>415</v>
      </c>
      <c r="C793" s="3" t="s">
        <v>416</v>
      </c>
      <c r="D793" s="4">
        <v>0</v>
      </c>
    </row>
    <row r="794" spans="1:5">
      <c r="A794" s="69"/>
      <c r="B794" s="69"/>
      <c r="C794" s="5" t="s">
        <v>417</v>
      </c>
      <c r="D794" s="1">
        <v>0</v>
      </c>
    </row>
    <row r="795" spans="1:5">
      <c r="A795" s="69"/>
      <c r="B795" s="73" t="s">
        <v>804</v>
      </c>
      <c r="C795" s="3" t="s">
        <v>805</v>
      </c>
      <c r="D795" s="4">
        <v>45689.22</v>
      </c>
      <c r="E795" s="4">
        <v>-1478.08</v>
      </c>
    </row>
    <row r="796" spans="1:5">
      <c r="A796" s="69"/>
      <c r="B796" s="69"/>
      <c r="C796" s="5" t="s">
        <v>806</v>
      </c>
      <c r="D796" s="1">
        <v>45689.22</v>
      </c>
      <c r="E796" s="1">
        <v>-1478.08</v>
      </c>
    </row>
    <row r="797" spans="1:5">
      <c r="A797" s="69"/>
      <c r="B797" s="73" t="s">
        <v>1123</v>
      </c>
      <c r="C797" s="3" t="s">
        <v>1124</v>
      </c>
      <c r="D797" s="4">
        <v>97028.64</v>
      </c>
      <c r="E797" s="4">
        <v>407133.21</v>
      </c>
    </row>
    <row r="798" spans="1:5">
      <c r="A798" s="69"/>
      <c r="B798" s="69"/>
      <c r="C798" s="5" t="s">
        <v>1125</v>
      </c>
      <c r="D798" s="1">
        <v>97028.64</v>
      </c>
      <c r="E798" s="1">
        <v>407133.21</v>
      </c>
    </row>
    <row r="799" spans="1:5">
      <c r="A799" s="69"/>
      <c r="B799" s="73" t="s">
        <v>555</v>
      </c>
      <c r="C799" s="3" t="s">
        <v>556</v>
      </c>
      <c r="D799" s="4">
        <v>180526.8</v>
      </c>
      <c r="E799" s="4">
        <v>430569.03</v>
      </c>
    </row>
    <row r="800" spans="1:5">
      <c r="A800" s="69"/>
      <c r="B800" s="69"/>
      <c r="C800" s="5" t="s">
        <v>557</v>
      </c>
      <c r="D800" s="1">
        <v>180526.8</v>
      </c>
      <c r="E800" s="1">
        <v>430569.03</v>
      </c>
    </row>
    <row r="801" spans="1:5">
      <c r="A801" s="69"/>
      <c r="B801" s="73" t="s">
        <v>477</v>
      </c>
      <c r="C801" s="3" t="s">
        <v>478</v>
      </c>
      <c r="D801" s="4">
        <v>110903.36</v>
      </c>
      <c r="E801" s="4">
        <v>81303.66</v>
      </c>
    </row>
    <row r="802" spans="1:5">
      <c r="A802" s="69"/>
      <c r="B802" s="69"/>
      <c r="C802" s="5" t="s">
        <v>479</v>
      </c>
      <c r="D802" s="1">
        <v>110903.36</v>
      </c>
      <c r="E802" s="1">
        <v>81303.66</v>
      </c>
    </row>
    <row r="803" spans="1:5">
      <c r="A803" s="69"/>
      <c r="B803" s="73" t="s">
        <v>1126</v>
      </c>
      <c r="C803" s="3" t="s">
        <v>1127</v>
      </c>
      <c r="D803" s="4">
        <v>364892.89</v>
      </c>
      <c r="E803" s="4">
        <v>431408.92</v>
      </c>
    </row>
    <row r="804" spans="1:5">
      <c r="A804" s="69"/>
      <c r="B804" s="69"/>
      <c r="C804" s="5" t="s">
        <v>1128</v>
      </c>
      <c r="D804" s="1">
        <v>364892.89</v>
      </c>
      <c r="E804" s="1">
        <v>431408.92</v>
      </c>
    </row>
    <row r="805" spans="1:5">
      <c r="A805" s="69"/>
      <c r="B805" s="73" t="s">
        <v>669</v>
      </c>
      <c r="C805" s="3" t="s">
        <v>670</v>
      </c>
      <c r="D805" s="4">
        <v>33.520000000000003</v>
      </c>
    </row>
    <row r="806" spans="1:5">
      <c r="A806" s="69"/>
      <c r="B806" s="69"/>
      <c r="C806" s="5" t="s">
        <v>671</v>
      </c>
      <c r="D806" s="1">
        <v>33.520000000000003</v>
      </c>
    </row>
    <row r="807" spans="1:5">
      <c r="A807" s="69"/>
      <c r="B807" s="73" t="s">
        <v>448</v>
      </c>
      <c r="C807" s="3" t="s">
        <v>449</v>
      </c>
      <c r="D807" s="4">
        <v>33292.410000000003</v>
      </c>
      <c r="E807" s="4">
        <v>42058.42</v>
      </c>
    </row>
    <row r="808" spans="1:5">
      <c r="A808" s="69"/>
      <c r="B808" s="69"/>
      <c r="C808" s="5" t="s">
        <v>450</v>
      </c>
      <c r="D808" s="1">
        <v>33292.410000000003</v>
      </c>
      <c r="E808" s="1">
        <v>42058.42</v>
      </c>
    </row>
    <row r="809" spans="1:5">
      <c r="A809" s="69"/>
      <c r="B809" s="73" t="s">
        <v>1129</v>
      </c>
      <c r="C809" s="3" t="s">
        <v>1130</v>
      </c>
      <c r="D809" s="4">
        <v>62465.81</v>
      </c>
      <c r="E809" s="4">
        <v>288809.44</v>
      </c>
    </row>
    <row r="810" spans="1:5">
      <c r="A810" s="69"/>
      <c r="B810" s="69"/>
      <c r="C810" s="5" t="s">
        <v>1131</v>
      </c>
      <c r="D810" s="1">
        <v>62465.81</v>
      </c>
      <c r="E810" s="1">
        <v>288809.44</v>
      </c>
    </row>
    <row r="811" spans="1:5">
      <c r="A811" s="69"/>
      <c r="B811" s="73" t="s">
        <v>459</v>
      </c>
      <c r="C811" s="3" t="s">
        <v>460</v>
      </c>
      <c r="D811" s="4">
        <v>77130.23</v>
      </c>
      <c r="E811" s="4">
        <v>-35476.47</v>
      </c>
    </row>
    <row r="812" spans="1:5">
      <c r="A812" s="69"/>
      <c r="B812" s="69"/>
      <c r="C812" s="5" t="s">
        <v>461</v>
      </c>
      <c r="D812" s="1">
        <v>77130.23</v>
      </c>
      <c r="E812" s="1">
        <v>-35476.47</v>
      </c>
    </row>
    <row r="813" spans="1:5">
      <c r="A813" s="69"/>
      <c r="B813" s="73" t="s">
        <v>1132</v>
      </c>
      <c r="C813" s="3" t="s">
        <v>1133</v>
      </c>
      <c r="D813" s="4">
        <v>227577.2</v>
      </c>
    </row>
    <row r="814" spans="1:5">
      <c r="A814" s="69"/>
      <c r="B814" s="69"/>
      <c r="C814" s="5" t="s">
        <v>1134</v>
      </c>
      <c r="D814" s="1">
        <v>227577.2</v>
      </c>
    </row>
    <row r="815" spans="1:5">
      <c r="A815" s="69"/>
      <c r="B815" s="73" t="s">
        <v>1135</v>
      </c>
      <c r="C815" s="3" t="s">
        <v>1136</v>
      </c>
      <c r="D815" s="4">
        <v>287778.7</v>
      </c>
    </row>
    <row r="816" spans="1:5">
      <c r="A816" s="69"/>
      <c r="B816" s="69"/>
      <c r="C816" s="5" t="s">
        <v>1137</v>
      </c>
      <c r="D816" s="1">
        <v>287778.7</v>
      </c>
    </row>
    <row r="817" spans="1:5">
      <c r="A817" s="69"/>
      <c r="B817" s="73" t="s">
        <v>792</v>
      </c>
      <c r="C817" s="3" t="s">
        <v>793</v>
      </c>
      <c r="D817" s="4">
        <v>20847.810000000001</v>
      </c>
    </row>
    <row r="818" spans="1:5">
      <c r="A818" s="69"/>
      <c r="B818" s="69"/>
      <c r="C818" s="5" t="s">
        <v>794</v>
      </c>
      <c r="D818" s="1">
        <v>20847.810000000001</v>
      </c>
    </row>
    <row r="819" spans="1:5">
      <c r="A819" s="69"/>
      <c r="B819" s="73" t="s">
        <v>594</v>
      </c>
      <c r="C819" s="3" t="s">
        <v>595</v>
      </c>
      <c r="D819" s="4">
        <v>139884.32</v>
      </c>
    </row>
    <row r="820" spans="1:5">
      <c r="A820" s="69"/>
      <c r="B820" s="69"/>
      <c r="C820" s="5" t="s">
        <v>596</v>
      </c>
      <c r="D820" s="1">
        <v>139884.32</v>
      </c>
    </row>
    <row r="821" spans="1:5">
      <c r="A821" s="69"/>
      <c r="B821" s="73" t="s">
        <v>186</v>
      </c>
      <c r="C821" s="3" t="s">
        <v>187</v>
      </c>
      <c r="D821" s="4">
        <v>0</v>
      </c>
    </row>
    <row r="822" spans="1:5">
      <c r="A822" s="69"/>
      <c r="B822" s="69"/>
      <c r="C822" s="5" t="s">
        <v>188</v>
      </c>
      <c r="D822" s="1">
        <v>0</v>
      </c>
    </row>
    <row r="823" spans="1:5">
      <c r="A823" s="69"/>
      <c r="B823" s="73" t="s">
        <v>1138</v>
      </c>
      <c r="C823" s="3" t="s">
        <v>1139</v>
      </c>
      <c r="D823" s="4">
        <v>205501.81</v>
      </c>
    </row>
    <row r="824" spans="1:5">
      <c r="A824" s="69"/>
      <c r="B824" s="69"/>
      <c r="C824" s="5" t="s">
        <v>1140</v>
      </c>
      <c r="D824" s="1">
        <v>205501.81</v>
      </c>
    </row>
    <row r="825" spans="1:5">
      <c r="A825" s="69"/>
      <c r="B825" s="73" t="s">
        <v>1141</v>
      </c>
      <c r="C825" s="3" t="s">
        <v>1142</v>
      </c>
      <c r="D825" s="4">
        <v>166791.60999999999</v>
      </c>
    </row>
    <row r="826" spans="1:5">
      <c r="A826" s="69"/>
      <c r="B826" s="69"/>
      <c r="C826" s="5" t="s">
        <v>1143</v>
      </c>
      <c r="D826" s="1">
        <v>166791.60999999999</v>
      </c>
    </row>
    <row r="827" spans="1:5">
      <c r="A827" s="69"/>
      <c r="B827" s="73" t="s">
        <v>1144</v>
      </c>
      <c r="C827" s="3" t="s">
        <v>1145</v>
      </c>
      <c r="D827" s="4">
        <v>212727</v>
      </c>
    </row>
    <row r="828" spans="1:5">
      <c r="A828" s="69"/>
      <c r="B828" s="69"/>
      <c r="C828" s="5" t="s">
        <v>1146</v>
      </c>
      <c r="D828" s="1">
        <v>212727</v>
      </c>
    </row>
    <row r="829" spans="1:5">
      <c r="A829" s="69"/>
      <c r="B829" s="73" t="s">
        <v>303</v>
      </c>
      <c r="C829" s="3" t="s">
        <v>304</v>
      </c>
      <c r="D829" s="4">
        <v>9787.6200000000008</v>
      </c>
      <c r="E829" s="4">
        <v>2036.65</v>
      </c>
    </row>
    <row r="830" spans="1:5">
      <c r="A830" s="69"/>
      <c r="B830" s="69"/>
      <c r="C830" s="5" t="s">
        <v>305</v>
      </c>
      <c r="D830" s="1">
        <v>9787.6200000000008</v>
      </c>
      <c r="E830" s="1">
        <v>2036.65</v>
      </c>
    </row>
    <row r="831" spans="1:5">
      <c r="A831" s="69"/>
      <c r="B831" s="73" t="s">
        <v>1147</v>
      </c>
      <c r="C831" s="3" t="s">
        <v>1148</v>
      </c>
      <c r="D831" s="4">
        <v>49844</v>
      </c>
    </row>
    <row r="832" spans="1:5">
      <c r="A832" s="69"/>
      <c r="B832" s="69"/>
      <c r="C832" s="5" t="s">
        <v>1149</v>
      </c>
      <c r="D832" s="1">
        <v>49844</v>
      </c>
    </row>
    <row r="833" spans="1:8">
      <c r="A833" s="69"/>
      <c r="B833" s="73" t="s">
        <v>666</v>
      </c>
      <c r="C833" s="3" t="s">
        <v>667</v>
      </c>
      <c r="D833" s="4">
        <v>0</v>
      </c>
    </row>
    <row r="834" spans="1:8">
      <c r="A834" s="69"/>
      <c r="B834" s="69"/>
      <c r="C834" s="5" t="s">
        <v>668</v>
      </c>
      <c r="D834" s="1">
        <v>0</v>
      </c>
    </row>
    <row r="835" spans="1:8">
      <c r="A835" s="69"/>
      <c r="B835" s="73" t="s">
        <v>330</v>
      </c>
      <c r="C835" s="3" t="s">
        <v>331</v>
      </c>
      <c r="D835" s="4">
        <v>59391.839999999997</v>
      </c>
    </row>
    <row r="836" spans="1:8">
      <c r="A836" s="69"/>
      <c r="B836" s="69"/>
      <c r="C836" s="5" t="s">
        <v>332</v>
      </c>
      <c r="D836" s="1">
        <v>59391.839999999997</v>
      </c>
    </row>
    <row r="837" spans="1:8">
      <c r="A837" s="69"/>
      <c r="B837" s="73" t="s">
        <v>439</v>
      </c>
      <c r="C837" s="3" t="s">
        <v>440</v>
      </c>
      <c r="E837" s="4">
        <v>670</v>
      </c>
    </row>
    <row r="838" spans="1:8">
      <c r="A838" s="69"/>
      <c r="B838" s="69"/>
      <c r="C838" s="5" t="s">
        <v>441</v>
      </c>
      <c r="E838" s="1">
        <v>670</v>
      </c>
    </row>
    <row r="839" spans="1:8">
      <c r="A839" s="69"/>
      <c r="B839" s="73" t="s">
        <v>510</v>
      </c>
      <c r="C839" s="3" t="s">
        <v>511</v>
      </c>
      <c r="D839" s="4">
        <v>87164</v>
      </c>
    </row>
    <row r="840" spans="1:8">
      <c r="A840" s="69"/>
      <c r="B840" s="69"/>
      <c r="C840" s="5" t="s">
        <v>512</v>
      </c>
      <c r="D840" s="1">
        <v>87164</v>
      </c>
    </row>
    <row r="841" spans="1:8">
      <c r="A841" s="69"/>
      <c r="B841" s="73" t="s">
        <v>741</v>
      </c>
      <c r="C841" s="3" t="s">
        <v>742</v>
      </c>
      <c r="D841" s="4">
        <v>231696.82</v>
      </c>
    </row>
    <row r="842" spans="1:8">
      <c r="A842" s="69"/>
      <c r="B842" s="69"/>
      <c r="C842" s="5" t="s">
        <v>743</v>
      </c>
      <c r="D842" s="1">
        <v>231696.82</v>
      </c>
    </row>
    <row r="843" spans="1:8">
      <c r="A843" s="69"/>
      <c r="B843" s="73" t="s">
        <v>344</v>
      </c>
      <c r="C843" s="3" t="s">
        <v>345</v>
      </c>
      <c r="D843" s="4">
        <v>38004.949999999997</v>
      </c>
      <c r="E843" s="4">
        <v>-2774.17</v>
      </c>
    </row>
    <row r="844" spans="1:8">
      <c r="A844" s="69"/>
      <c r="B844" s="69"/>
      <c r="C844" s="5" t="s">
        <v>346</v>
      </c>
      <c r="D844" s="1">
        <v>38004.949999999997</v>
      </c>
      <c r="E844" s="1">
        <v>-2774.17</v>
      </c>
    </row>
    <row r="845" spans="1:8">
      <c r="A845" s="69"/>
      <c r="B845" s="73" t="s">
        <v>615</v>
      </c>
      <c r="C845" s="3" t="s">
        <v>616</v>
      </c>
      <c r="D845" s="4">
        <v>258556.48</v>
      </c>
    </row>
    <row r="846" spans="1:8">
      <c r="A846" s="69"/>
      <c r="B846" s="69"/>
      <c r="C846" s="5" t="s">
        <v>617</v>
      </c>
      <c r="D846" s="1">
        <v>258556.48</v>
      </c>
    </row>
    <row r="847" spans="1:8">
      <c r="A847" s="73" t="s">
        <v>1150</v>
      </c>
      <c r="B847" s="72" t="s">
        <v>1151</v>
      </c>
      <c r="C847" s="69"/>
      <c r="D847" s="4">
        <v>2100128.5299999998</v>
      </c>
      <c r="E847" s="4">
        <v>162249.32999999999</v>
      </c>
      <c r="F847" s="4">
        <v>6807586.0199999996</v>
      </c>
      <c r="G847" s="4">
        <v>80028.514999999999</v>
      </c>
      <c r="H847" s="4">
        <v>8956.01</v>
      </c>
    </row>
    <row r="848" spans="1:8">
      <c r="A848" s="69"/>
      <c r="B848" s="73" t="s">
        <v>285</v>
      </c>
      <c r="C848" s="3" t="s">
        <v>286</v>
      </c>
      <c r="D848" s="4">
        <v>3619.21</v>
      </c>
      <c r="E848" s="4">
        <v>301.64</v>
      </c>
      <c r="F848" s="4">
        <v>9253.5</v>
      </c>
      <c r="G848" s="4">
        <v>302.77</v>
      </c>
      <c r="H848" s="4">
        <v>107.46</v>
      </c>
    </row>
    <row r="849" spans="1:8">
      <c r="A849" s="69"/>
      <c r="B849" s="69"/>
      <c r="C849" s="5" t="s">
        <v>287</v>
      </c>
      <c r="D849" s="1">
        <v>3619.21</v>
      </c>
      <c r="E849" s="1">
        <v>301.64</v>
      </c>
      <c r="F849" s="1">
        <v>9253.5</v>
      </c>
      <c r="G849" s="1">
        <v>302.77</v>
      </c>
      <c r="H849" s="1">
        <v>107.46</v>
      </c>
    </row>
    <row r="850" spans="1:8">
      <c r="A850" s="69"/>
      <c r="B850" s="73" t="s">
        <v>183</v>
      </c>
      <c r="C850" s="3" t="s">
        <v>184</v>
      </c>
      <c r="D850" s="4">
        <v>2664.75</v>
      </c>
      <c r="F850" s="4">
        <v>10419.41</v>
      </c>
    </row>
    <row r="851" spans="1:8">
      <c r="A851" s="69"/>
      <c r="B851" s="69"/>
      <c r="C851" s="5" t="s">
        <v>185</v>
      </c>
      <c r="D851" s="1">
        <v>2664.75</v>
      </c>
      <c r="F851" s="1">
        <v>10419.41</v>
      </c>
    </row>
    <row r="852" spans="1:8">
      <c r="A852" s="69"/>
      <c r="B852" s="73" t="s">
        <v>252</v>
      </c>
      <c r="C852" s="3" t="s">
        <v>253</v>
      </c>
      <c r="D852" s="4">
        <v>9607.6299999999992</v>
      </c>
      <c r="F852" s="4">
        <v>8447.7099999999991</v>
      </c>
    </row>
    <row r="853" spans="1:8">
      <c r="A853" s="69"/>
      <c r="B853" s="69"/>
      <c r="C853" s="5" t="s">
        <v>254</v>
      </c>
      <c r="D853" s="1">
        <v>9607.6299999999992</v>
      </c>
      <c r="F853" s="1">
        <v>8447.7099999999991</v>
      </c>
    </row>
    <row r="854" spans="1:8">
      <c r="A854" s="69"/>
      <c r="B854" s="73" t="s">
        <v>318</v>
      </c>
      <c r="C854" s="3" t="s">
        <v>319</v>
      </c>
      <c r="D854" s="4">
        <v>2743.27</v>
      </c>
      <c r="F854" s="4">
        <v>14178.86</v>
      </c>
    </row>
    <row r="855" spans="1:8">
      <c r="A855" s="69"/>
      <c r="B855" s="69"/>
      <c r="C855" s="5" t="s">
        <v>320</v>
      </c>
      <c r="D855" s="1">
        <v>2743.27</v>
      </c>
      <c r="F855" s="1">
        <v>14178.86</v>
      </c>
    </row>
    <row r="856" spans="1:8">
      <c r="A856" s="69"/>
      <c r="B856" s="73" t="s">
        <v>690</v>
      </c>
      <c r="C856" s="3" t="s">
        <v>691</v>
      </c>
      <c r="D856" s="4">
        <v>1919.45</v>
      </c>
      <c r="F856" s="4">
        <v>4119.45</v>
      </c>
    </row>
    <row r="857" spans="1:8">
      <c r="A857" s="69"/>
      <c r="B857" s="69"/>
      <c r="C857" s="5" t="s">
        <v>692</v>
      </c>
      <c r="D857" s="1">
        <v>1919.45</v>
      </c>
      <c r="F857" s="1">
        <v>4119.45</v>
      </c>
    </row>
    <row r="858" spans="1:8">
      <c r="A858" s="69"/>
      <c r="B858" s="73" t="s">
        <v>552</v>
      </c>
      <c r="C858" s="3" t="s">
        <v>553</v>
      </c>
      <c r="D858" s="4">
        <v>3542.44</v>
      </c>
      <c r="F858" s="4">
        <v>7483.32</v>
      </c>
    </row>
    <row r="859" spans="1:8">
      <c r="A859" s="69"/>
      <c r="B859" s="69"/>
      <c r="C859" s="5" t="s">
        <v>554</v>
      </c>
      <c r="D859" s="1">
        <v>3542.44</v>
      </c>
      <c r="F859" s="1">
        <v>7483.32</v>
      </c>
    </row>
    <row r="860" spans="1:8">
      <c r="A860" s="69"/>
      <c r="B860" s="73" t="s">
        <v>207</v>
      </c>
      <c r="C860" s="3" t="s">
        <v>208</v>
      </c>
      <c r="D860" s="4">
        <v>5882.52</v>
      </c>
      <c r="F860" s="4">
        <v>47609.13</v>
      </c>
    </row>
    <row r="861" spans="1:8">
      <c r="A861" s="69"/>
      <c r="B861" s="69"/>
      <c r="C861" s="5" t="s">
        <v>209</v>
      </c>
      <c r="D861" s="1">
        <v>5882.52</v>
      </c>
      <c r="F861" s="1">
        <v>47609.13</v>
      </c>
    </row>
    <row r="862" spans="1:8">
      <c r="A862" s="69"/>
      <c r="B862" s="73" t="s">
        <v>177</v>
      </c>
      <c r="C862" s="3" t="s">
        <v>178</v>
      </c>
      <c r="D862" s="4">
        <v>3271.2</v>
      </c>
      <c r="E862" s="4">
        <v>192.51</v>
      </c>
      <c r="F862" s="4">
        <v>10622.59</v>
      </c>
      <c r="G862" s="4">
        <v>308.125</v>
      </c>
      <c r="H862" s="4">
        <v>38.9</v>
      </c>
    </row>
    <row r="863" spans="1:8">
      <c r="A863" s="69"/>
      <c r="B863" s="69"/>
      <c r="C863" s="5" t="s">
        <v>179</v>
      </c>
      <c r="D863" s="1">
        <v>3271.2</v>
      </c>
      <c r="E863" s="1">
        <v>192.51</v>
      </c>
      <c r="F863" s="1">
        <v>10622.59</v>
      </c>
      <c r="G863" s="1">
        <v>308.125</v>
      </c>
      <c r="H863" s="1">
        <v>38.9</v>
      </c>
    </row>
    <row r="864" spans="1:8">
      <c r="A864" s="69"/>
      <c r="B864" s="73" t="s">
        <v>81</v>
      </c>
      <c r="C864" s="3" t="s">
        <v>82</v>
      </c>
      <c r="D864" s="4">
        <v>2280.66</v>
      </c>
      <c r="F864" s="4">
        <v>7560.32</v>
      </c>
    </row>
    <row r="865" spans="1:8">
      <c r="A865" s="69"/>
      <c r="B865" s="69"/>
      <c r="C865" s="5" t="s">
        <v>83</v>
      </c>
      <c r="D865" s="1">
        <v>2280.66</v>
      </c>
      <c r="F865" s="1">
        <v>7560.32</v>
      </c>
    </row>
    <row r="866" spans="1:8">
      <c r="A866" s="69"/>
      <c r="B866" s="73" t="s">
        <v>531</v>
      </c>
      <c r="C866" s="3" t="s">
        <v>532</v>
      </c>
      <c r="D866" s="4">
        <v>2937.01</v>
      </c>
      <c r="F866" s="4">
        <v>9024.4</v>
      </c>
    </row>
    <row r="867" spans="1:8">
      <c r="A867" s="69"/>
      <c r="B867" s="69"/>
      <c r="C867" s="5" t="s">
        <v>533</v>
      </c>
      <c r="D867" s="1">
        <v>2937.01</v>
      </c>
      <c r="F867" s="1">
        <v>9024.4</v>
      </c>
    </row>
    <row r="868" spans="1:8">
      <c r="A868" s="69"/>
      <c r="B868" s="73" t="s">
        <v>534</v>
      </c>
      <c r="C868" s="3" t="s">
        <v>535</v>
      </c>
      <c r="D868" s="4">
        <v>7789.59</v>
      </c>
      <c r="F868" s="4">
        <v>22916.37</v>
      </c>
    </row>
    <row r="869" spans="1:8">
      <c r="A869" s="69"/>
      <c r="B869" s="69"/>
      <c r="C869" s="5" t="s">
        <v>536</v>
      </c>
      <c r="D869" s="1">
        <v>7789.59</v>
      </c>
      <c r="F869" s="1">
        <v>22916.37</v>
      </c>
    </row>
    <row r="870" spans="1:8">
      <c r="A870" s="69"/>
      <c r="B870" s="73" t="s">
        <v>78</v>
      </c>
      <c r="C870" s="3" t="s">
        <v>79</v>
      </c>
      <c r="D870" s="4">
        <v>2905.33</v>
      </c>
      <c r="F870" s="4">
        <v>7142.92</v>
      </c>
      <c r="G870" s="4">
        <v>1295.21</v>
      </c>
      <c r="H870" s="4">
        <v>333</v>
      </c>
    </row>
    <row r="871" spans="1:8">
      <c r="A871" s="69"/>
      <c r="B871" s="69"/>
      <c r="C871" s="5" t="s">
        <v>80</v>
      </c>
      <c r="D871" s="1">
        <v>2905.33</v>
      </c>
      <c r="F871" s="1">
        <v>7142.92</v>
      </c>
      <c r="G871" s="1">
        <v>1295.21</v>
      </c>
      <c r="H871" s="1">
        <v>333</v>
      </c>
    </row>
    <row r="872" spans="1:8">
      <c r="A872" s="69"/>
      <c r="B872" s="73" t="s">
        <v>582</v>
      </c>
      <c r="C872" s="3" t="s">
        <v>583</v>
      </c>
      <c r="D872" s="4">
        <v>4139.16</v>
      </c>
      <c r="G872" s="4">
        <v>814.34</v>
      </c>
    </row>
    <row r="873" spans="1:8">
      <c r="A873" s="69"/>
      <c r="B873" s="69"/>
      <c r="C873" s="5" t="s">
        <v>584</v>
      </c>
      <c r="D873" s="1">
        <v>4139.16</v>
      </c>
      <c r="G873" s="1">
        <v>814.34</v>
      </c>
    </row>
    <row r="874" spans="1:8">
      <c r="A874" s="69"/>
      <c r="B874" s="73" t="s">
        <v>1152</v>
      </c>
      <c r="C874" s="3" t="s">
        <v>1153</v>
      </c>
      <c r="D874" s="4">
        <v>1600</v>
      </c>
    </row>
    <row r="875" spans="1:8">
      <c r="A875" s="69"/>
      <c r="B875" s="69"/>
      <c r="C875" s="5" t="s">
        <v>1154</v>
      </c>
      <c r="D875" s="1">
        <v>1600</v>
      </c>
    </row>
    <row r="876" spans="1:8">
      <c r="A876" s="69"/>
      <c r="B876" s="73" t="s">
        <v>448</v>
      </c>
      <c r="C876" s="3" t="s">
        <v>449</v>
      </c>
      <c r="D876" s="4">
        <v>18843.97</v>
      </c>
      <c r="F876" s="4">
        <v>269712.58</v>
      </c>
    </row>
    <row r="877" spans="1:8">
      <c r="A877" s="69"/>
      <c r="B877" s="69"/>
      <c r="C877" s="5" t="s">
        <v>450</v>
      </c>
      <c r="D877" s="1">
        <v>18843.97</v>
      </c>
      <c r="F877" s="1">
        <v>269712.58</v>
      </c>
    </row>
    <row r="878" spans="1:8">
      <c r="A878" s="69"/>
      <c r="B878" s="73" t="s">
        <v>213</v>
      </c>
      <c r="C878" s="3" t="s">
        <v>214</v>
      </c>
      <c r="D878" s="4">
        <v>1336.3</v>
      </c>
      <c r="F878" s="4">
        <v>2936.3</v>
      </c>
    </row>
    <row r="879" spans="1:8">
      <c r="A879" s="69"/>
      <c r="B879" s="69"/>
      <c r="C879" s="5" t="s">
        <v>215</v>
      </c>
      <c r="D879" s="1">
        <v>1336.3</v>
      </c>
      <c r="F879" s="1">
        <v>2936.3</v>
      </c>
    </row>
    <row r="880" spans="1:8">
      <c r="A880" s="69"/>
      <c r="B880" s="73" t="s">
        <v>1070</v>
      </c>
      <c r="C880" s="3" t="s">
        <v>1071</v>
      </c>
      <c r="E880" s="4">
        <v>381.79</v>
      </c>
      <c r="F880" s="4">
        <v>29807.95</v>
      </c>
    </row>
    <row r="881" spans="1:7">
      <c r="A881" s="69"/>
      <c r="B881" s="69"/>
      <c r="C881" s="5" t="s">
        <v>1072</v>
      </c>
      <c r="E881" s="1">
        <v>381.79</v>
      </c>
      <c r="F881" s="1">
        <v>29807.95</v>
      </c>
    </row>
    <row r="882" spans="1:7">
      <c r="A882" s="69"/>
      <c r="B882" s="73" t="s">
        <v>1155</v>
      </c>
      <c r="C882" s="3" t="s">
        <v>1156</v>
      </c>
      <c r="F882" s="4">
        <v>2776.67</v>
      </c>
    </row>
    <row r="883" spans="1:7">
      <c r="A883" s="69"/>
      <c r="B883" s="69"/>
      <c r="C883" s="5" t="s">
        <v>1157</v>
      </c>
      <c r="F883" s="1">
        <v>2776.67</v>
      </c>
    </row>
    <row r="884" spans="1:7">
      <c r="A884" s="69"/>
      <c r="B884" s="73" t="s">
        <v>1158</v>
      </c>
      <c r="C884" s="3" t="s">
        <v>1159</v>
      </c>
      <c r="F884" s="4">
        <v>14320.93</v>
      </c>
    </row>
    <row r="885" spans="1:7">
      <c r="A885" s="69"/>
      <c r="B885" s="69"/>
      <c r="C885" s="5" t="s">
        <v>1160</v>
      </c>
      <c r="F885" s="1">
        <v>14320.93</v>
      </c>
    </row>
    <row r="886" spans="1:7">
      <c r="A886" s="69"/>
      <c r="B886" s="73" t="s">
        <v>344</v>
      </c>
      <c r="C886" s="3" t="s">
        <v>345</v>
      </c>
      <c r="D886" s="4">
        <v>931.58</v>
      </c>
      <c r="F886" s="4">
        <v>3166.66</v>
      </c>
    </row>
    <row r="887" spans="1:7">
      <c r="A887" s="69"/>
      <c r="B887" s="69"/>
      <c r="C887" s="5" t="s">
        <v>346</v>
      </c>
      <c r="D887" s="1">
        <v>931.58</v>
      </c>
      <c r="F887" s="1">
        <v>3166.66</v>
      </c>
    </row>
    <row r="888" spans="1:7">
      <c r="A888" s="69"/>
      <c r="B888" s="73" t="s">
        <v>681</v>
      </c>
      <c r="C888" s="3" t="s">
        <v>682</v>
      </c>
      <c r="D888" s="4">
        <v>9198</v>
      </c>
      <c r="F888" s="4">
        <v>76843.7</v>
      </c>
    </row>
    <row r="889" spans="1:7">
      <c r="A889" s="69"/>
      <c r="B889" s="69"/>
      <c r="C889" s="5" t="s">
        <v>683</v>
      </c>
      <c r="D889" s="1">
        <v>9198</v>
      </c>
      <c r="F889" s="1">
        <v>76843.7</v>
      </c>
    </row>
    <row r="890" spans="1:7">
      <c r="A890" s="69"/>
      <c r="B890" s="73" t="s">
        <v>385</v>
      </c>
      <c r="C890" s="3" t="s">
        <v>386</v>
      </c>
      <c r="D890" s="4">
        <v>711.02</v>
      </c>
      <c r="F890" s="4">
        <v>1713.21</v>
      </c>
      <c r="G890" s="4">
        <v>291.53500000000003</v>
      </c>
    </row>
    <row r="891" spans="1:7">
      <c r="A891" s="69"/>
      <c r="B891" s="69"/>
      <c r="C891" s="5" t="s">
        <v>387</v>
      </c>
      <c r="D891" s="1">
        <v>711.02</v>
      </c>
      <c r="F891" s="1">
        <v>1713.21</v>
      </c>
      <c r="G891" s="1">
        <v>291.53500000000003</v>
      </c>
    </row>
    <row r="892" spans="1:7">
      <c r="A892" s="69"/>
      <c r="B892" s="73" t="s">
        <v>388</v>
      </c>
      <c r="C892" s="3" t="s">
        <v>389</v>
      </c>
      <c r="D892" s="4">
        <v>1560.78</v>
      </c>
      <c r="E892" s="4">
        <v>4510.16</v>
      </c>
      <c r="F892" s="4">
        <v>24557.49</v>
      </c>
    </row>
    <row r="893" spans="1:7">
      <c r="A893" s="69"/>
      <c r="B893" s="69"/>
      <c r="C893" s="5" t="s">
        <v>390</v>
      </c>
      <c r="D893" s="1">
        <v>1560.78</v>
      </c>
      <c r="E893" s="1">
        <v>4510.16</v>
      </c>
      <c r="F893" s="1">
        <v>24557.49</v>
      </c>
    </row>
    <row r="894" spans="1:7">
      <c r="A894" s="69"/>
      <c r="B894" s="73" t="s">
        <v>412</v>
      </c>
      <c r="C894" s="3" t="s">
        <v>413</v>
      </c>
      <c r="D894" s="4">
        <v>10644.94</v>
      </c>
      <c r="F894" s="4">
        <v>10067.4</v>
      </c>
    </row>
    <row r="895" spans="1:7">
      <c r="A895" s="69"/>
      <c r="B895" s="69"/>
      <c r="C895" s="5" t="s">
        <v>414</v>
      </c>
      <c r="D895" s="1">
        <v>10644.94</v>
      </c>
      <c r="F895" s="1">
        <v>10067.4</v>
      </c>
    </row>
    <row r="896" spans="1:7">
      <c r="A896" s="69"/>
      <c r="B896" s="73" t="s">
        <v>258</v>
      </c>
      <c r="C896" s="3" t="s">
        <v>259</v>
      </c>
      <c r="D896" s="4">
        <v>16408.47</v>
      </c>
      <c r="F896" s="4">
        <v>58125.43</v>
      </c>
      <c r="G896" s="4">
        <v>13.7</v>
      </c>
    </row>
    <row r="897" spans="1:7">
      <c r="A897" s="69"/>
      <c r="B897" s="69"/>
      <c r="C897" s="5" t="s">
        <v>260</v>
      </c>
      <c r="D897" s="1">
        <v>16408.47</v>
      </c>
      <c r="F897" s="1">
        <v>58125.43</v>
      </c>
      <c r="G897" s="1">
        <v>13.7</v>
      </c>
    </row>
    <row r="898" spans="1:7">
      <c r="A898" s="69"/>
      <c r="B898" s="73" t="s">
        <v>540</v>
      </c>
      <c r="C898" s="3" t="s">
        <v>541</v>
      </c>
      <c r="D898" s="4">
        <v>10834.69</v>
      </c>
      <c r="F898" s="4">
        <v>28853.27</v>
      </c>
      <c r="G898" s="4">
        <v>3083.84</v>
      </c>
    </row>
    <row r="899" spans="1:7">
      <c r="A899" s="69"/>
      <c r="B899" s="69"/>
      <c r="C899" s="5" t="s">
        <v>542</v>
      </c>
      <c r="D899" s="1">
        <v>10834.69</v>
      </c>
      <c r="F899" s="1">
        <v>28853.27</v>
      </c>
      <c r="G899" s="1">
        <v>3083.84</v>
      </c>
    </row>
    <row r="900" spans="1:7">
      <c r="A900" s="69"/>
      <c r="B900" s="73" t="s">
        <v>370</v>
      </c>
      <c r="C900" s="3" t="s">
        <v>371</v>
      </c>
      <c r="D900" s="4">
        <v>9808.08</v>
      </c>
      <c r="F900" s="4">
        <v>28998.78</v>
      </c>
    </row>
    <row r="901" spans="1:7">
      <c r="A901" s="69"/>
      <c r="B901" s="69"/>
      <c r="C901" s="5" t="s">
        <v>372</v>
      </c>
      <c r="D901" s="1">
        <v>9808.08</v>
      </c>
      <c r="F901" s="1">
        <v>28998.78</v>
      </c>
    </row>
    <row r="902" spans="1:7">
      <c r="A902" s="69"/>
      <c r="B902" s="73" t="s">
        <v>465</v>
      </c>
      <c r="C902" s="3" t="s">
        <v>466</v>
      </c>
      <c r="D902" s="4">
        <v>135.69999999999999</v>
      </c>
      <c r="F902" s="4">
        <v>475</v>
      </c>
    </row>
    <row r="903" spans="1:7">
      <c r="A903" s="69"/>
      <c r="B903" s="69"/>
      <c r="C903" s="5" t="s">
        <v>467</v>
      </c>
      <c r="D903" s="1">
        <v>135.69999999999999</v>
      </c>
      <c r="F903" s="1">
        <v>475</v>
      </c>
    </row>
    <row r="904" spans="1:7">
      <c r="A904" s="69"/>
      <c r="B904" s="73" t="s">
        <v>240</v>
      </c>
      <c r="C904" s="3" t="s">
        <v>241</v>
      </c>
      <c r="D904" s="4">
        <v>2775.82</v>
      </c>
      <c r="F904" s="4">
        <v>13394.46</v>
      </c>
    </row>
    <row r="905" spans="1:7">
      <c r="A905" s="69"/>
      <c r="B905" s="69"/>
      <c r="C905" s="5" t="s">
        <v>242</v>
      </c>
      <c r="D905" s="1">
        <v>2775.82</v>
      </c>
      <c r="F905" s="1">
        <v>13394.46</v>
      </c>
    </row>
    <row r="906" spans="1:7">
      <c r="A906" s="69"/>
      <c r="B906" s="73" t="s">
        <v>144</v>
      </c>
      <c r="C906" s="3" t="s">
        <v>145</v>
      </c>
      <c r="D906" s="4">
        <v>17773.7</v>
      </c>
      <c r="F906" s="4">
        <v>-765.47</v>
      </c>
      <c r="G906" s="4">
        <v>1339.8</v>
      </c>
    </row>
    <row r="907" spans="1:7">
      <c r="A907" s="69"/>
      <c r="B907" s="69"/>
      <c r="C907" s="5" t="s">
        <v>146</v>
      </c>
      <c r="D907" s="1">
        <v>17773.7</v>
      </c>
      <c r="F907" s="1">
        <v>-765.47</v>
      </c>
      <c r="G907" s="1">
        <v>1339.8</v>
      </c>
    </row>
    <row r="908" spans="1:7">
      <c r="A908" s="69"/>
      <c r="B908" s="73" t="s">
        <v>376</v>
      </c>
      <c r="C908" s="3" t="s">
        <v>377</v>
      </c>
      <c r="D908" s="4">
        <v>4008.29</v>
      </c>
      <c r="E908" s="4">
        <v>327.37</v>
      </c>
      <c r="F908" s="4">
        <v>11073.5</v>
      </c>
    </row>
    <row r="909" spans="1:7">
      <c r="A909" s="69"/>
      <c r="B909" s="69"/>
      <c r="C909" s="5" t="s">
        <v>378</v>
      </c>
      <c r="D909" s="1">
        <v>4008.29</v>
      </c>
      <c r="E909" s="1">
        <v>327.37</v>
      </c>
      <c r="F909" s="1">
        <v>11073.5</v>
      </c>
    </row>
    <row r="910" spans="1:7">
      <c r="A910" s="69"/>
      <c r="B910" s="73" t="s">
        <v>306</v>
      </c>
      <c r="C910" s="3" t="s">
        <v>307</v>
      </c>
      <c r="D910" s="4">
        <v>3155.81</v>
      </c>
      <c r="E910" s="4">
        <v>1255.81</v>
      </c>
      <c r="F910" s="4">
        <v>17092.62</v>
      </c>
    </row>
    <row r="911" spans="1:7">
      <c r="A911" s="69"/>
      <c r="B911" s="69"/>
      <c r="C911" s="5" t="s">
        <v>308</v>
      </c>
      <c r="D911" s="1">
        <v>3155.81</v>
      </c>
      <c r="E911" s="1">
        <v>1255.81</v>
      </c>
      <c r="F911" s="1">
        <v>17092.62</v>
      </c>
    </row>
    <row r="912" spans="1:7">
      <c r="A912" s="69"/>
      <c r="B912" s="73" t="s">
        <v>935</v>
      </c>
      <c r="C912" s="3" t="s">
        <v>936</v>
      </c>
      <c r="E912" s="4">
        <v>492.25</v>
      </c>
    </row>
    <row r="913" spans="1:8">
      <c r="A913" s="69"/>
      <c r="B913" s="69"/>
      <c r="C913" s="5" t="s">
        <v>937</v>
      </c>
      <c r="E913" s="1">
        <v>492.25</v>
      </c>
    </row>
    <row r="914" spans="1:8">
      <c r="A914" s="69"/>
      <c r="B914" s="73" t="s">
        <v>30</v>
      </c>
      <c r="C914" s="3" t="s">
        <v>31</v>
      </c>
      <c r="D914" s="4">
        <v>3592.78</v>
      </c>
      <c r="E914" s="4">
        <v>1336.66</v>
      </c>
      <c r="F914" s="4">
        <v>61325.15</v>
      </c>
      <c r="G914" s="4">
        <v>264.12</v>
      </c>
    </row>
    <row r="915" spans="1:8">
      <c r="A915" s="69"/>
      <c r="B915" s="69"/>
      <c r="C915" s="5" t="s">
        <v>32</v>
      </c>
      <c r="D915" s="1">
        <v>3592.78</v>
      </c>
      <c r="E915" s="1">
        <v>1336.66</v>
      </c>
      <c r="F915" s="1">
        <v>61325.15</v>
      </c>
      <c r="G915" s="1">
        <v>264.12</v>
      </c>
    </row>
    <row r="916" spans="1:8">
      <c r="A916" s="69"/>
      <c r="B916" s="73" t="s">
        <v>270</v>
      </c>
      <c r="C916" s="3" t="s">
        <v>271</v>
      </c>
      <c r="D916" s="4">
        <v>1563.71</v>
      </c>
      <c r="E916" s="4">
        <v>57.3</v>
      </c>
      <c r="F916" s="4">
        <v>7693.31</v>
      </c>
      <c r="G916" s="4">
        <v>171.45</v>
      </c>
      <c r="H916" s="4">
        <v>131.38999999999999</v>
      </c>
    </row>
    <row r="917" spans="1:8">
      <c r="A917" s="69"/>
      <c r="B917" s="69"/>
      <c r="C917" s="5" t="s">
        <v>272</v>
      </c>
      <c r="D917" s="1">
        <v>1563.71</v>
      </c>
      <c r="E917" s="1">
        <v>57.3</v>
      </c>
      <c r="F917" s="1">
        <v>7693.31</v>
      </c>
      <c r="G917" s="1">
        <v>171.45</v>
      </c>
      <c r="H917" s="1">
        <v>131.38999999999999</v>
      </c>
    </row>
    <row r="918" spans="1:8">
      <c r="A918" s="69"/>
      <c r="B918" s="73" t="s">
        <v>1161</v>
      </c>
      <c r="C918" s="3" t="s">
        <v>1162</v>
      </c>
      <c r="E918" s="4">
        <v>1990</v>
      </c>
    </row>
    <row r="919" spans="1:8">
      <c r="A919" s="69"/>
      <c r="B919" s="69"/>
      <c r="C919" s="5" t="s">
        <v>1163</v>
      </c>
      <c r="E919" s="1">
        <v>1990</v>
      </c>
    </row>
    <row r="920" spans="1:8">
      <c r="A920" s="69"/>
      <c r="B920" s="73" t="s">
        <v>612</v>
      </c>
      <c r="C920" s="3" t="s">
        <v>613</v>
      </c>
      <c r="D920" s="4">
        <v>2700</v>
      </c>
      <c r="G920" s="4">
        <v>1382.64</v>
      </c>
    </row>
    <row r="921" spans="1:8">
      <c r="A921" s="69"/>
      <c r="B921" s="69"/>
      <c r="C921" s="5" t="s">
        <v>614</v>
      </c>
      <c r="D921" s="1">
        <v>2700</v>
      </c>
      <c r="G921" s="1">
        <v>1382.64</v>
      </c>
    </row>
    <row r="922" spans="1:8">
      <c r="A922" s="69"/>
      <c r="B922" s="73" t="s">
        <v>255</v>
      </c>
      <c r="C922" s="3" t="s">
        <v>256</v>
      </c>
      <c r="D922" s="4">
        <v>3100</v>
      </c>
      <c r="F922" s="4">
        <v>284916.78000000003</v>
      </c>
      <c r="G922" s="4">
        <v>169.74</v>
      </c>
    </row>
    <row r="923" spans="1:8">
      <c r="A923" s="69"/>
      <c r="B923" s="69"/>
      <c r="C923" s="5" t="s">
        <v>257</v>
      </c>
      <c r="D923" s="1">
        <v>3100</v>
      </c>
      <c r="F923" s="1">
        <v>284916.78000000003</v>
      </c>
      <c r="G923" s="1">
        <v>169.74</v>
      </c>
    </row>
    <row r="924" spans="1:8">
      <c r="A924" s="69"/>
      <c r="B924" s="73" t="s">
        <v>1164</v>
      </c>
      <c r="C924" s="3" t="s">
        <v>1165</v>
      </c>
      <c r="G924" s="4">
        <v>534.98</v>
      </c>
    </row>
    <row r="925" spans="1:8">
      <c r="A925" s="69"/>
      <c r="B925" s="69"/>
      <c r="C925" s="5" t="s">
        <v>1166</v>
      </c>
      <c r="G925" s="1">
        <v>534.98</v>
      </c>
    </row>
    <row r="926" spans="1:8">
      <c r="A926" s="69"/>
      <c r="B926" s="73" t="s">
        <v>234</v>
      </c>
      <c r="C926" s="3" t="s">
        <v>235</v>
      </c>
      <c r="D926" s="4">
        <v>4824.3900000000003</v>
      </c>
      <c r="F926" s="4">
        <v>64350.16</v>
      </c>
      <c r="G926" s="4">
        <v>1257.31</v>
      </c>
    </row>
    <row r="927" spans="1:8">
      <c r="A927" s="69"/>
      <c r="B927" s="69"/>
      <c r="C927" s="5" t="s">
        <v>236</v>
      </c>
      <c r="D927" s="1">
        <v>4824.3900000000003</v>
      </c>
      <c r="F927" s="1">
        <v>64350.16</v>
      </c>
      <c r="G927" s="1">
        <v>1257.31</v>
      </c>
    </row>
    <row r="928" spans="1:8">
      <c r="A928" s="69"/>
      <c r="B928" s="73" t="s">
        <v>1167</v>
      </c>
      <c r="C928" s="3" t="s">
        <v>1168</v>
      </c>
      <c r="G928" s="4">
        <v>361.2</v>
      </c>
    </row>
    <row r="929" spans="1:7">
      <c r="A929" s="69"/>
      <c r="B929" s="69"/>
      <c r="C929" s="5" t="s">
        <v>1169</v>
      </c>
      <c r="G929" s="1">
        <v>361.2</v>
      </c>
    </row>
    <row r="930" spans="1:7">
      <c r="A930" s="69"/>
      <c r="B930" s="73" t="s">
        <v>1073</v>
      </c>
      <c r="C930" s="3" t="s">
        <v>1074</v>
      </c>
      <c r="G930" s="4">
        <v>4799.99</v>
      </c>
    </row>
    <row r="931" spans="1:7">
      <c r="A931" s="69"/>
      <c r="B931" s="69"/>
      <c r="C931" s="5" t="s">
        <v>1075</v>
      </c>
      <c r="G931" s="1">
        <v>4799.99</v>
      </c>
    </row>
    <row r="932" spans="1:7">
      <c r="A932" s="69"/>
      <c r="B932" s="73" t="s">
        <v>249</v>
      </c>
      <c r="C932" s="3" t="s">
        <v>250</v>
      </c>
      <c r="D932" s="4">
        <v>21026.01</v>
      </c>
      <c r="G932" s="4">
        <v>1261.56</v>
      </c>
    </row>
    <row r="933" spans="1:7">
      <c r="A933" s="69"/>
      <c r="B933" s="69"/>
      <c r="C933" s="5" t="s">
        <v>251</v>
      </c>
      <c r="D933" s="1">
        <v>21026.01</v>
      </c>
      <c r="G933" s="1">
        <v>1261.56</v>
      </c>
    </row>
    <row r="934" spans="1:7">
      <c r="A934" s="69"/>
      <c r="B934" s="73" t="s">
        <v>15</v>
      </c>
      <c r="C934" s="3" t="s">
        <v>16</v>
      </c>
      <c r="E934" s="4">
        <v>650</v>
      </c>
      <c r="G934" s="4">
        <v>78.599999999999994</v>
      </c>
    </row>
    <row r="935" spans="1:7">
      <c r="A935" s="69"/>
      <c r="B935" s="69"/>
      <c r="C935" s="5" t="s">
        <v>17</v>
      </c>
      <c r="E935" s="1">
        <v>650</v>
      </c>
      <c r="G935" s="1">
        <v>78.599999999999994</v>
      </c>
    </row>
    <row r="936" spans="1:7">
      <c r="A936" s="69"/>
      <c r="B936" s="73" t="s">
        <v>282</v>
      </c>
      <c r="C936" s="3" t="s">
        <v>283</v>
      </c>
      <c r="D936" s="4">
        <v>9200.77</v>
      </c>
      <c r="G936" s="4">
        <v>623.58000000000004</v>
      </c>
    </row>
    <row r="937" spans="1:7">
      <c r="A937" s="69"/>
      <c r="B937" s="69"/>
      <c r="C937" s="5" t="s">
        <v>284</v>
      </c>
      <c r="D937" s="1">
        <v>9200.77</v>
      </c>
      <c r="G937" s="1">
        <v>623.58000000000004</v>
      </c>
    </row>
    <row r="938" spans="1:7">
      <c r="A938" s="69"/>
      <c r="B938" s="73" t="s">
        <v>857</v>
      </c>
      <c r="C938" s="3" t="s">
        <v>858</v>
      </c>
      <c r="G938" s="4">
        <v>722.4</v>
      </c>
    </row>
    <row r="939" spans="1:7">
      <c r="A939" s="69"/>
      <c r="B939" s="69"/>
      <c r="C939" s="5" t="s">
        <v>859</v>
      </c>
      <c r="G939" s="1">
        <v>722.4</v>
      </c>
    </row>
    <row r="940" spans="1:7">
      <c r="A940" s="69"/>
      <c r="B940" s="73" t="s">
        <v>433</v>
      </c>
      <c r="C940" s="3" t="s">
        <v>434</v>
      </c>
      <c r="D940" s="4">
        <v>4333.41</v>
      </c>
      <c r="G940" s="4">
        <v>285.04000000000002</v>
      </c>
    </row>
    <row r="941" spans="1:7">
      <c r="A941" s="69"/>
      <c r="B941" s="69"/>
      <c r="C941" s="5" t="s">
        <v>435</v>
      </c>
      <c r="D941" s="1">
        <v>4333.41</v>
      </c>
      <c r="G941" s="1">
        <v>285.04000000000002</v>
      </c>
    </row>
    <row r="942" spans="1:7">
      <c r="A942" s="69"/>
      <c r="B942" s="73" t="s">
        <v>1170</v>
      </c>
      <c r="C942" s="3" t="s">
        <v>1171</v>
      </c>
      <c r="D942" s="4">
        <v>19.690000000000001</v>
      </c>
    </row>
    <row r="943" spans="1:7">
      <c r="A943" s="69"/>
      <c r="B943" s="69"/>
      <c r="C943" s="5" t="s">
        <v>1172</v>
      </c>
      <c r="D943" s="1">
        <v>19.690000000000001</v>
      </c>
    </row>
    <row r="944" spans="1:7">
      <c r="A944" s="69"/>
      <c r="B944" s="73" t="s">
        <v>189</v>
      </c>
      <c r="C944" s="3" t="s">
        <v>190</v>
      </c>
      <c r="D944" s="4">
        <v>4254.3999999999996</v>
      </c>
      <c r="F944" s="4">
        <v>6193.33</v>
      </c>
    </row>
    <row r="945" spans="1:8">
      <c r="A945" s="69"/>
      <c r="B945" s="69"/>
      <c r="C945" s="5" t="s">
        <v>191</v>
      </c>
      <c r="D945" s="1">
        <v>4254.3999999999996</v>
      </c>
      <c r="F945" s="1">
        <v>6193.33</v>
      </c>
    </row>
    <row r="946" spans="1:8">
      <c r="A946" s="69"/>
      <c r="B946" s="73" t="s">
        <v>168</v>
      </c>
      <c r="C946" s="3" t="s">
        <v>169</v>
      </c>
      <c r="D946" s="4">
        <v>4808.6400000000003</v>
      </c>
      <c r="E946" s="4">
        <v>219.71</v>
      </c>
      <c r="F946" s="4">
        <v>15655.18</v>
      </c>
    </row>
    <row r="947" spans="1:8">
      <c r="A947" s="69"/>
      <c r="B947" s="69"/>
      <c r="C947" s="5" t="s">
        <v>170</v>
      </c>
      <c r="D947" s="1">
        <v>4808.6400000000003</v>
      </c>
      <c r="E947" s="1">
        <v>219.71</v>
      </c>
      <c r="F947" s="1">
        <v>15655.18</v>
      </c>
    </row>
    <row r="948" spans="1:8">
      <c r="A948" s="69"/>
      <c r="B948" s="73" t="s">
        <v>663</v>
      </c>
      <c r="C948" s="3" t="s">
        <v>664</v>
      </c>
      <c r="D948" s="4">
        <v>6822.16</v>
      </c>
      <c r="E948" s="4">
        <v>208.63</v>
      </c>
      <c r="F948" s="4">
        <v>9487.49</v>
      </c>
      <c r="G948" s="4">
        <v>1609.19</v>
      </c>
      <c r="H948" s="4">
        <v>455.5</v>
      </c>
    </row>
    <row r="949" spans="1:8">
      <c r="A949" s="69"/>
      <c r="B949" s="69"/>
      <c r="C949" s="5" t="s">
        <v>665</v>
      </c>
      <c r="D949" s="1">
        <v>6822.16</v>
      </c>
      <c r="E949" s="1">
        <v>208.63</v>
      </c>
      <c r="F949" s="1">
        <v>9487.49</v>
      </c>
      <c r="G949" s="1">
        <v>1609.19</v>
      </c>
      <c r="H949" s="1">
        <v>455.5</v>
      </c>
    </row>
    <row r="950" spans="1:8">
      <c r="A950" s="69"/>
      <c r="B950" s="73" t="s">
        <v>96</v>
      </c>
      <c r="C950" s="3" t="s">
        <v>97</v>
      </c>
      <c r="D950" s="4">
        <v>2724.41</v>
      </c>
      <c r="G950" s="4">
        <v>722.4</v>
      </c>
    </row>
    <row r="951" spans="1:8">
      <c r="A951" s="69"/>
      <c r="B951" s="69"/>
      <c r="C951" s="5" t="s">
        <v>98</v>
      </c>
      <c r="D951" s="1">
        <v>2724.41</v>
      </c>
      <c r="G951" s="1">
        <v>722.4</v>
      </c>
    </row>
    <row r="952" spans="1:8">
      <c r="A952" s="69"/>
      <c r="B952" s="73" t="s">
        <v>355</v>
      </c>
      <c r="C952" s="3" t="s">
        <v>356</v>
      </c>
      <c r="D952" s="4">
        <v>131571</v>
      </c>
      <c r="F952" s="4">
        <v>327617.44</v>
      </c>
    </row>
    <row r="953" spans="1:8">
      <c r="A953" s="69"/>
      <c r="B953" s="69"/>
      <c r="C953" s="5" t="s">
        <v>357</v>
      </c>
      <c r="D953" s="1">
        <v>131571</v>
      </c>
      <c r="F953" s="1">
        <v>327617.44</v>
      </c>
    </row>
    <row r="954" spans="1:8">
      <c r="A954" s="69"/>
      <c r="B954" s="73" t="s">
        <v>439</v>
      </c>
      <c r="C954" s="3" t="s">
        <v>440</v>
      </c>
      <c r="D954" s="4">
        <v>2022.17</v>
      </c>
      <c r="F954" s="4">
        <v>5776.62</v>
      </c>
    </row>
    <row r="955" spans="1:8">
      <c r="A955" s="69"/>
      <c r="B955" s="69"/>
      <c r="C955" s="5" t="s">
        <v>441</v>
      </c>
      <c r="D955" s="1">
        <v>2022.17</v>
      </c>
      <c r="F955" s="1">
        <v>5776.62</v>
      </c>
    </row>
    <row r="956" spans="1:8">
      <c r="A956" s="69"/>
      <c r="B956" s="73" t="s">
        <v>768</v>
      </c>
      <c r="C956" s="3" t="s">
        <v>769</v>
      </c>
      <c r="D956" s="4">
        <v>5795.42</v>
      </c>
      <c r="F956" s="4">
        <v>11795.42</v>
      </c>
    </row>
    <row r="957" spans="1:8">
      <c r="A957" s="69"/>
      <c r="B957" s="69"/>
      <c r="C957" s="5" t="s">
        <v>770</v>
      </c>
      <c r="D957" s="1">
        <v>5795.42</v>
      </c>
      <c r="F957" s="1">
        <v>11795.42</v>
      </c>
    </row>
    <row r="958" spans="1:8">
      <c r="A958" s="69"/>
      <c r="B958" s="73" t="s">
        <v>141</v>
      </c>
      <c r="C958" s="3" t="s">
        <v>142</v>
      </c>
      <c r="D958" s="4">
        <v>43662.63</v>
      </c>
      <c r="E958" s="4">
        <v>1687.56</v>
      </c>
      <c r="G958" s="4">
        <v>39.299999999999997</v>
      </c>
    </row>
    <row r="959" spans="1:8">
      <c r="A959" s="69"/>
      <c r="B959" s="69"/>
      <c r="C959" s="5" t="s">
        <v>143</v>
      </c>
      <c r="D959" s="1">
        <v>43662.63</v>
      </c>
      <c r="E959" s="1">
        <v>1687.56</v>
      </c>
      <c r="G959" s="1">
        <v>39.299999999999997</v>
      </c>
    </row>
    <row r="960" spans="1:8">
      <c r="A960" s="69"/>
      <c r="B960" s="73" t="s">
        <v>397</v>
      </c>
      <c r="C960" s="3" t="s">
        <v>398</v>
      </c>
      <c r="D960" s="4">
        <v>7591.03</v>
      </c>
      <c r="E960" s="4">
        <v>999.7</v>
      </c>
      <c r="F960" s="4">
        <v>26372.43</v>
      </c>
    </row>
    <row r="961" spans="1:6">
      <c r="A961" s="69"/>
      <c r="B961" s="69"/>
      <c r="C961" s="5" t="s">
        <v>399</v>
      </c>
      <c r="D961" s="1">
        <v>7591.03</v>
      </c>
      <c r="E961" s="1">
        <v>999.7</v>
      </c>
      <c r="F961" s="1">
        <v>26372.43</v>
      </c>
    </row>
    <row r="962" spans="1:6">
      <c r="A962" s="69"/>
      <c r="B962" s="73" t="s">
        <v>672</v>
      </c>
      <c r="C962" s="3" t="s">
        <v>673</v>
      </c>
      <c r="D962" s="4">
        <v>1866</v>
      </c>
    </row>
    <row r="963" spans="1:6">
      <c r="A963" s="69"/>
      <c r="B963" s="69"/>
      <c r="C963" s="5" t="s">
        <v>674</v>
      </c>
      <c r="D963" s="1">
        <v>1866</v>
      </c>
    </row>
    <row r="964" spans="1:6">
      <c r="A964" s="69"/>
      <c r="B964" s="73" t="s">
        <v>228</v>
      </c>
      <c r="C964" s="3" t="s">
        <v>229</v>
      </c>
      <c r="D964" s="4">
        <v>4746.32</v>
      </c>
      <c r="F964" s="4">
        <v>10018.07</v>
      </c>
    </row>
    <row r="965" spans="1:6">
      <c r="A965" s="69"/>
      <c r="B965" s="69"/>
      <c r="C965" s="5" t="s">
        <v>230</v>
      </c>
      <c r="D965" s="1">
        <v>4746.32</v>
      </c>
      <c r="F965" s="1">
        <v>10018.07</v>
      </c>
    </row>
    <row r="966" spans="1:6">
      <c r="A966" s="69"/>
      <c r="B966" s="73" t="s">
        <v>45</v>
      </c>
      <c r="C966" s="3" t="s">
        <v>46</v>
      </c>
      <c r="D966" s="4">
        <v>8583.4500000000007</v>
      </c>
      <c r="F966" s="4">
        <v>133362.16</v>
      </c>
    </row>
    <row r="967" spans="1:6">
      <c r="A967" s="69"/>
      <c r="B967" s="69"/>
      <c r="C967" s="5" t="s">
        <v>47</v>
      </c>
      <c r="D967" s="1">
        <v>8583.4500000000007</v>
      </c>
      <c r="F967" s="1">
        <v>133362.16</v>
      </c>
    </row>
    <row r="968" spans="1:6">
      <c r="A968" s="69"/>
      <c r="B968" s="73" t="s">
        <v>594</v>
      </c>
      <c r="C968" s="3" t="s">
        <v>595</v>
      </c>
      <c r="D968" s="4">
        <v>977.4</v>
      </c>
      <c r="F968" s="4">
        <v>750.75</v>
      </c>
    </row>
    <row r="969" spans="1:6">
      <c r="A969" s="69"/>
      <c r="B969" s="69"/>
      <c r="C969" s="5" t="s">
        <v>596</v>
      </c>
      <c r="D969" s="1">
        <v>977.4</v>
      </c>
      <c r="F969" s="1">
        <v>750.75</v>
      </c>
    </row>
    <row r="970" spans="1:6">
      <c r="A970" s="69"/>
      <c r="B970" s="73" t="s">
        <v>666</v>
      </c>
      <c r="C970" s="3" t="s">
        <v>667</v>
      </c>
      <c r="D970" s="4">
        <v>8251.92</v>
      </c>
      <c r="F970" s="4">
        <v>67896.320000000007</v>
      </c>
    </row>
    <row r="971" spans="1:6">
      <c r="A971" s="69"/>
      <c r="B971" s="69"/>
      <c r="C971" s="5" t="s">
        <v>668</v>
      </c>
      <c r="D971" s="1">
        <v>8251.92</v>
      </c>
      <c r="F971" s="1">
        <v>67896.320000000007</v>
      </c>
    </row>
    <row r="972" spans="1:6">
      <c r="A972" s="69"/>
      <c r="B972" s="73" t="s">
        <v>597</v>
      </c>
      <c r="C972" s="3" t="s">
        <v>598</v>
      </c>
      <c r="D972" s="4">
        <v>3247.13</v>
      </c>
    </row>
    <row r="973" spans="1:6">
      <c r="A973" s="69"/>
      <c r="B973" s="69"/>
      <c r="C973" s="5" t="s">
        <v>599</v>
      </c>
      <c r="D973" s="1">
        <v>3247.13</v>
      </c>
    </row>
    <row r="974" spans="1:6">
      <c r="A974" s="69"/>
      <c r="B974" s="73" t="s">
        <v>636</v>
      </c>
      <c r="C974" s="3" t="s">
        <v>637</v>
      </c>
      <c r="D974" s="4">
        <v>1602.42</v>
      </c>
      <c r="F974" s="4">
        <v>3283.33</v>
      </c>
    </row>
    <row r="975" spans="1:6">
      <c r="A975" s="69"/>
      <c r="B975" s="69"/>
      <c r="C975" s="5" t="s">
        <v>638</v>
      </c>
      <c r="D975" s="1">
        <v>1602.42</v>
      </c>
      <c r="F975" s="1">
        <v>3283.33</v>
      </c>
    </row>
    <row r="976" spans="1:6">
      <c r="A976" s="69"/>
      <c r="B976" s="73" t="s">
        <v>813</v>
      </c>
      <c r="C976" s="3" t="s">
        <v>814</v>
      </c>
      <c r="D976" s="4">
        <v>2335.31</v>
      </c>
    </row>
    <row r="977" spans="1:7">
      <c r="A977" s="69"/>
      <c r="B977" s="69"/>
      <c r="C977" s="5" t="s">
        <v>815</v>
      </c>
      <c r="D977" s="1">
        <v>2335.31</v>
      </c>
    </row>
    <row r="978" spans="1:7">
      <c r="A978" s="69"/>
      <c r="B978" s="73" t="s">
        <v>427</v>
      </c>
      <c r="C978" s="3" t="s">
        <v>428</v>
      </c>
      <c r="D978" s="4">
        <v>5607.69</v>
      </c>
      <c r="G978" s="4">
        <v>669.06</v>
      </c>
    </row>
    <row r="979" spans="1:7">
      <c r="A979" s="69"/>
      <c r="B979" s="69"/>
      <c r="C979" s="5" t="s">
        <v>429</v>
      </c>
      <c r="D979" s="1">
        <v>5607.69</v>
      </c>
      <c r="G979" s="1">
        <v>669.06</v>
      </c>
    </row>
    <row r="980" spans="1:7">
      <c r="A980" s="69"/>
      <c r="B980" s="73" t="s">
        <v>627</v>
      </c>
      <c r="C980" s="3" t="s">
        <v>628</v>
      </c>
      <c r="D980" s="4">
        <v>2080</v>
      </c>
      <c r="E980" s="4">
        <v>1325</v>
      </c>
      <c r="G980" s="4">
        <v>564.81500000000005</v>
      </c>
    </row>
    <row r="981" spans="1:7">
      <c r="A981" s="69"/>
      <c r="B981" s="69"/>
      <c r="C981" s="5" t="s">
        <v>629</v>
      </c>
      <c r="D981" s="1">
        <v>2080</v>
      </c>
      <c r="E981" s="1">
        <v>1325</v>
      </c>
      <c r="G981" s="1">
        <v>564.81500000000005</v>
      </c>
    </row>
    <row r="982" spans="1:7">
      <c r="A982" s="69"/>
      <c r="B982" s="73" t="s">
        <v>338</v>
      </c>
      <c r="C982" s="3" t="s">
        <v>339</v>
      </c>
      <c r="D982" s="4">
        <v>36951.599999999999</v>
      </c>
      <c r="F982" s="4">
        <v>84608.57</v>
      </c>
    </row>
    <row r="983" spans="1:7">
      <c r="A983" s="69"/>
      <c r="B983" s="69"/>
      <c r="C983" s="5" t="s">
        <v>340</v>
      </c>
      <c r="D983" s="1">
        <v>36951.599999999999</v>
      </c>
      <c r="F983" s="1">
        <v>84608.57</v>
      </c>
    </row>
    <row r="984" spans="1:7">
      <c r="A984" s="69"/>
      <c r="B984" s="73" t="s">
        <v>373</v>
      </c>
      <c r="C984" s="3" t="s">
        <v>374</v>
      </c>
      <c r="D984" s="4">
        <v>1692.22</v>
      </c>
      <c r="F984" s="4">
        <v>7998.52</v>
      </c>
    </row>
    <row r="985" spans="1:7">
      <c r="A985" s="69"/>
      <c r="B985" s="69"/>
      <c r="C985" s="5" t="s">
        <v>375</v>
      </c>
      <c r="D985" s="1">
        <v>1692.22</v>
      </c>
      <c r="F985" s="1">
        <v>7998.52</v>
      </c>
    </row>
    <row r="986" spans="1:7">
      <c r="A986" s="69"/>
      <c r="B986" s="73" t="s">
        <v>1173</v>
      </c>
      <c r="C986" s="3" t="s">
        <v>1174</v>
      </c>
      <c r="E986" s="4">
        <v>313.44</v>
      </c>
      <c r="F986" s="4">
        <v>1457.07</v>
      </c>
    </row>
    <row r="987" spans="1:7">
      <c r="A987" s="69"/>
      <c r="B987" s="69"/>
      <c r="C987" s="5" t="s">
        <v>1175</v>
      </c>
      <c r="E987" s="1">
        <v>313.44</v>
      </c>
      <c r="F987" s="1">
        <v>1457.07</v>
      </c>
    </row>
    <row r="988" spans="1:7">
      <c r="A988" s="69"/>
      <c r="B988" s="73" t="s">
        <v>1076</v>
      </c>
      <c r="C988" s="3" t="s">
        <v>1077</v>
      </c>
      <c r="F988" s="4">
        <v>12233.6</v>
      </c>
    </row>
    <row r="989" spans="1:7">
      <c r="A989" s="69"/>
      <c r="B989" s="69"/>
      <c r="C989" s="5" t="s">
        <v>1078</v>
      </c>
      <c r="F989" s="1">
        <v>12233.6</v>
      </c>
    </row>
    <row r="990" spans="1:7">
      <c r="A990" s="69"/>
      <c r="B990" s="73" t="s">
        <v>93</v>
      </c>
      <c r="C990" s="3" t="s">
        <v>94</v>
      </c>
      <c r="D990" s="4">
        <v>853.47</v>
      </c>
      <c r="E990" s="4">
        <v>44.6</v>
      </c>
      <c r="F990" s="4">
        <v>14692.13</v>
      </c>
    </row>
    <row r="991" spans="1:7">
      <c r="A991" s="69"/>
      <c r="B991" s="69"/>
      <c r="C991" s="5" t="s">
        <v>95</v>
      </c>
      <c r="D991" s="1">
        <v>853.47</v>
      </c>
      <c r="E991" s="1">
        <v>44.6</v>
      </c>
      <c r="F991" s="1">
        <v>14692.13</v>
      </c>
    </row>
    <row r="992" spans="1:7">
      <c r="A992" s="69"/>
      <c r="B992" s="73" t="s">
        <v>201</v>
      </c>
      <c r="C992" s="3" t="s">
        <v>202</v>
      </c>
      <c r="D992" s="4">
        <v>70</v>
      </c>
      <c r="F992" s="4">
        <v>7533.22</v>
      </c>
    </row>
    <row r="993" spans="1:8">
      <c r="A993" s="69"/>
      <c r="B993" s="69"/>
      <c r="C993" s="5" t="s">
        <v>203</v>
      </c>
      <c r="D993" s="1">
        <v>70</v>
      </c>
      <c r="F993" s="1">
        <v>7533.22</v>
      </c>
    </row>
    <row r="994" spans="1:8">
      <c r="A994" s="69"/>
      <c r="B994" s="73" t="s">
        <v>792</v>
      </c>
      <c r="C994" s="3" t="s">
        <v>793</v>
      </c>
      <c r="D994" s="4">
        <v>5133.38</v>
      </c>
      <c r="F994" s="4">
        <v>190024.08</v>
      </c>
    </row>
    <row r="995" spans="1:8">
      <c r="A995" s="69"/>
      <c r="B995" s="69"/>
      <c r="C995" s="5" t="s">
        <v>794</v>
      </c>
      <c r="D995" s="1">
        <v>5133.38</v>
      </c>
      <c r="F995" s="1">
        <v>190024.08</v>
      </c>
    </row>
    <row r="996" spans="1:8">
      <c r="A996" s="69"/>
      <c r="B996" s="73" t="s">
        <v>525</v>
      </c>
      <c r="C996" s="3" t="s">
        <v>526</v>
      </c>
      <c r="D996" s="4">
        <v>34091.19</v>
      </c>
      <c r="E996" s="4">
        <v>793.43</v>
      </c>
      <c r="F996" s="4">
        <v>37428.9</v>
      </c>
    </row>
    <row r="997" spans="1:8">
      <c r="A997" s="69"/>
      <c r="B997" s="69"/>
      <c r="C997" s="5" t="s">
        <v>527</v>
      </c>
      <c r="D997" s="1">
        <v>34091.19</v>
      </c>
      <c r="E997" s="1">
        <v>793.43</v>
      </c>
      <c r="F997" s="1">
        <v>37428.9</v>
      </c>
    </row>
    <row r="998" spans="1:8">
      <c r="A998" s="69"/>
      <c r="B998" s="73" t="s">
        <v>330</v>
      </c>
      <c r="C998" s="3" t="s">
        <v>331</v>
      </c>
      <c r="D998" s="4">
        <v>49466.77</v>
      </c>
      <c r="F998" s="4">
        <v>9974.4599999999991</v>
      </c>
    </row>
    <row r="999" spans="1:8">
      <c r="A999" s="69"/>
      <c r="B999" s="69"/>
      <c r="C999" s="5" t="s">
        <v>332</v>
      </c>
      <c r="D999" s="1">
        <v>49466.77</v>
      </c>
      <c r="F999" s="1">
        <v>9974.4599999999991</v>
      </c>
    </row>
    <row r="1000" spans="1:8">
      <c r="A1000" s="69"/>
      <c r="B1000" s="73" t="s">
        <v>477</v>
      </c>
      <c r="C1000" s="3" t="s">
        <v>478</v>
      </c>
      <c r="D1000" s="4">
        <v>98427.25</v>
      </c>
      <c r="F1000" s="4">
        <v>19000</v>
      </c>
    </row>
    <row r="1001" spans="1:8">
      <c r="A1001" s="69"/>
      <c r="B1001" s="69"/>
      <c r="C1001" s="5" t="s">
        <v>479</v>
      </c>
      <c r="D1001" s="1">
        <v>98427.25</v>
      </c>
      <c r="F1001" s="1">
        <v>19000</v>
      </c>
    </row>
    <row r="1002" spans="1:8">
      <c r="A1002" s="69"/>
      <c r="B1002" s="73" t="s">
        <v>1176</v>
      </c>
      <c r="C1002" s="3" t="s">
        <v>1177</v>
      </c>
      <c r="D1002" s="4">
        <v>196.66</v>
      </c>
      <c r="F1002" s="4">
        <v>3638.72</v>
      </c>
    </row>
    <row r="1003" spans="1:8">
      <c r="A1003" s="69"/>
      <c r="B1003" s="69"/>
      <c r="C1003" s="5" t="s">
        <v>1178</v>
      </c>
      <c r="D1003" s="1">
        <v>196.66</v>
      </c>
      <c r="F1003" s="1">
        <v>3638.72</v>
      </c>
    </row>
    <row r="1004" spans="1:8">
      <c r="A1004" s="69"/>
      <c r="B1004" s="73" t="s">
        <v>762</v>
      </c>
      <c r="C1004" s="3" t="s">
        <v>763</v>
      </c>
      <c r="D1004" s="4">
        <v>7866.14</v>
      </c>
      <c r="F1004" s="4">
        <v>14913.14</v>
      </c>
    </row>
    <row r="1005" spans="1:8">
      <c r="A1005" s="69"/>
      <c r="B1005" s="69"/>
      <c r="C1005" s="5" t="s">
        <v>764</v>
      </c>
      <c r="D1005" s="1">
        <v>7866.14</v>
      </c>
      <c r="F1005" s="1">
        <v>14913.14</v>
      </c>
    </row>
    <row r="1006" spans="1:8">
      <c r="A1006" s="69"/>
      <c r="B1006" s="73" t="s">
        <v>1179</v>
      </c>
      <c r="C1006" s="3" t="s">
        <v>1180</v>
      </c>
      <c r="F1006" s="4">
        <v>297.44</v>
      </c>
    </row>
    <row r="1007" spans="1:8">
      <c r="A1007" s="69"/>
      <c r="B1007" s="69"/>
      <c r="C1007" s="5" t="s">
        <v>1181</v>
      </c>
      <c r="F1007" s="1">
        <v>297.44</v>
      </c>
    </row>
    <row r="1008" spans="1:8">
      <c r="A1008" s="69"/>
      <c r="B1008" s="73" t="s">
        <v>705</v>
      </c>
      <c r="C1008" s="3" t="s">
        <v>706</v>
      </c>
      <c r="E1008" s="4">
        <v>3.14</v>
      </c>
      <c r="F1008" s="4">
        <v>6454.58</v>
      </c>
      <c r="G1008" s="4">
        <v>695.91</v>
      </c>
      <c r="H1008" s="4">
        <v>477.93</v>
      </c>
    </row>
    <row r="1009" spans="1:8">
      <c r="A1009" s="69"/>
      <c r="B1009" s="69"/>
      <c r="C1009" s="5" t="s">
        <v>707</v>
      </c>
      <c r="E1009" s="1">
        <v>3.14</v>
      </c>
      <c r="F1009" s="1">
        <v>6454.58</v>
      </c>
      <c r="G1009" s="1">
        <v>695.91</v>
      </c>
      <c r="H1009" s="1">
        <v>477.93</v>
      </c>
    </row>
    <row r="1010" spans="1:8">
      <c r="A1010" s="69"/>
      <c r="B1010" s="73" t="s">
        <v>27</v>
      </c>
      <c r="C1010" s="3" t="s">
        <v>28</v>
      </c>
      <c r="D1010" s="4">
        <v>4861.99</v>
      </c>
      <c r="F1010" s="4">
        <v>20293.150000000001</v>
      </c>
    </row>
    <row r="1011" spans="1:8">
      <c r="A1011" s="69"/>
      <c r="B1011" s="69"/>
      <c r="C1011" s="5" t="s">
        <v>29</v>
      </c>
      <c r="D1011" s="1">
        <v>4861.99</v>
      </c>
      <c r="F1011" s="1">
        <v>20293.150000000001</v>
      </c>
    </row>
    <row r="1012" spans="1:8">
      <c r="A1012" s="69"/>
      <c r="B1012" s="73" t="s">
        <v>394</v>
      </c>
      <c r="C1012" s="3" t="s">
        <v>395</v>
      </c>
      <c r="D1012" s="4">
        <v>1234.94</v>
      </c>
      <c r="F1012" s="4">
        <v>8235.27</v>
      </c>
    </row>
    <row r="1013" spans="1:8">
      <c r="A1013" s="69"/>
      <c r="B1013" s="69"/>
      <c r="C1013" s="5" t="s">
        <v>396</v>
      </c>
      <c r="D1013" s="1">
        <v>1234.94</v>
      </c>
      <c r="F1013" s="1">
        <v>8235.27</v>
      </c>
    </row>
    <row r="1014" spans="1:8">
      <c r="A1014" s="69"/>
      <c r="B1014" s="73" t="s">
        <v>415</v>
      </c>
      <c r="C1014" s="3" t="s">
        <v>416</v>
      </c>
      <c r="D1014" s="4">
        <v>352.07</v>
      </c>
      <c r="F1014" s="4">
        <v>3023.45</v>
      </c>
    </row>
    <row r="1015" spans="1:8">
      <c r="A1015" s="69"/>
      <c r="B1015" s="69"/>
      <c r="C1015" s="5" t="s">
        <v>417</v>
      </c>
      <c r="D1015" s="1">
        <v>352.07</v>
      </c>
      <c r="F1015" s="1">
        <v>3023.45</v>
      </c>
    </row>
    <row r="1016" spans="1:8">
      <c r="A1016" s="69"/>
      <c r="B1016" s="73" t="s">
        <v>507</v>
      </c>
      <c r="C1016" s="3" t="s">
        <v>508</v>
      </c>
      <c r="D1016" s="4">
        <v>1256.5</v>
      </c>
      <c r="F1016" s="4">
        <v>3900.61</v>
      </c>
    </row>
    <row r="1017" spans="1:8">
      <c r="A1017" s="69"/>
      <c r="B1017" s="69"/>
      <c r="C1017" s="5" t="s">
        <v>509</v>
      </c>
      <c r="D1017" s="1">
        <v>1256.5</v>
      </c>
      <c r="F1017" s="1">
        <v>3900.61</v>
      </c>
    </row>
    <row r="1018" spans="1:8">
      <c r="A1018" s="69"/>
      <c r="B1018" s="73" t="s">
        <v>261</v>
      </c>
      <c r="C1018" s="3" t="s">
        <v>262</v>
      </c>
      <c r="D1018" s="4">
        <v>4941.4399999999996</v>
      </c>
      <c r="F1018" s="4">
        <v>12258.14</v>
      </c>
      <c r="G1018" s="4">
        <v>380</v>
      </c>
    </row>
    <row r="1019" spans="1:8">
      <c r="A1019" s="69"/>
      <c r="B1019" s="69"/>
      <c r="C1019" s="5" t="s">
        <v>263</v>
      </c>
      <c r="D1019" s="1">
        <v>4941.4399999999996</v>
      </c>
      <c r="F1019" s="1">
        <v>12258.14</v>
      </c>
      <c r="G1019" s="1">
        <v>380</v>
      </c>
    </row>
    <row r="1020" spans="1:8">
      <c r="A1020" s="69"/>
      <c r="B1020" s="73" t="s">
        <v>570</v>
      </c>
      <c r="C1020" s="3" t="s">
        <v>571</v>
      </c>
      <c r="D1020" s="4">
        <v>5358.58</v>
      </c>
      <c r="F1020" s="4">
        <v>10244.32</v>
      </c>
    </row>
    <row r="1021" spans="1:8">
      <c r="A1021" s="69"/>
      <c r="B1021" s="69"/>
      <c r="C1021" s="5" t="s">
        <v>572</v>
      </c>
      <c r="D1021" s="1">
        <v>5358.58</v>
      </c>
      <c r="F1021" s="1">
        <v>10244.32</v>
      </c>
    </row>
    <row r="1022" spans="1:8">
      <c r="A1022" s="69"/>
      <c r="B1022" s="73" t="s">
        <v>693</v>
      </c>
      <c r="C1022" s="3" t="s">
        <v>694</v>
      </c>
      <c r="D1022" s="4">
        <v>1056.42</v>
      </c>
      <c r="F1022" s="4">
        <v>2556.12</v>
      </c>
    </row>
    <row r="1023" spans="1:8">
      <c r="A1023" s="69"/>
      <c r="B1023" s="69"/>
      <c r="C1023" s="5" t="s">
        <v>695</v>
      </c>
      <c r="D1023" s="1">
        <v>1056.42</v>
      </c>
      <c r="F1023" s="1">
        <v>2556.12</v>
      </c>
    </row>
    <row r="1024" spans="1:8">
      <c r="A1024" s="69"/>
      <c r="B1024" s="73" t="s">
        <v>1182</v>
      </c>
      <c r="C1024" s="3" t="s">
        <v>1183</v>
      </c>
      <c r="F1024" s="4">
        <v>1269.03</v>
      </c>
    </row>
    <row r="1025" spans="1:8">
      <c r="A1025" s="69"/>
      <c r="B1025" s="69"/>
      <c r="C1025" s="5" t="s">
        <v>1184</v>
      </c>
      <c r="F1025" s="1">
        <v>1269.03</v>
      </c>
    </row>
    <row r="1026" spans="1:8">
      <c r="A1026" s="69"/>
      <c r="B1026" s="73" t="s">
        <v>759</v>
      </c>
      <c r="C1026" s="3" t="s">
        <v>760</v>
      </c>
      <c r="D1026" s="4">
        <v>5018.47</v>
      </c>
      <c r="F1026" s="4">
        <v>12580.38</v>
      </c>
    </row>
    <row r="1027" spans="1:8">
      <c r="A1027" s="69"/>
      <c r="B1027" s="69"/>
      <c r="C1027" s="5" t="s">
        <v>761</v>
      </c>
      <c r="D1027" s="1">
        <v>5018.47</v>
      </c>
      <c r="F1027" s="1">
        <v>12580.38</v>
      </c>
    </row>
    <row r="1028" spans="1:8">
      <c r="A1028" s="69"/>
      <c r="B1028" s="73" t="s">
        <v>315</v>
      </c>
      <c r="C1028" s="3" t="s">
        <v>316</v>
      </c>
      <c r="D1028" s="4">
        <v>3729</v>
      </c>
      <c r="F1028" s="4">
        <v>27493.03</v>
      </c>
    </row>
    <row r="1029" spans="1:8">
      <c r="A1029" s="69"/>
      <c r="B1029" s="69"/>
      <c r="C1029" s="5" t="s">
        <v>317</v>
      </c>
      <c r="D1029" s="1">
        <v>3729</v>
      </c>
      <c r="F1029" s="1">
        <v>27493.03</v>
      </c>
    </row>
    <row r="1030" spans="1:8">
      <c r="A1030" s="69"/>
      <c r="B1030" s="73" t="s">
        <v>1185</v>
      </c>
      <c r="C1030" s="3" t="s">
        <v>1186</v>
      </c>
      <c r="F1030" s="4">
        <v>3488.7</v>
      </c>
    </row>
    <row r="1031" spans="1:8">
      <c r="A1031" s="69"/>
      <c r="B1031" s="69"/>
      <c r="C1031" s="5" t="s">
        <v>1187</v>
      </c>
      <c r="F1031" s="1">
        <v>3488.7</v>
      </c>
    </row>
    <row r="1032" spans="1:8">
      <c r="A1032" s="69"/>
      <c r="B1032" s="73" t="s">
        <v>1188</v>
      </c>
      <c r="C1032" s="3" t="s">
        <v>1189</v>
      </c>
      <c r="F1032" s="4">
        <v>4230.96</v>
      </c>
    </row>
    <row r="1033" spans="1:8">
      <c r="A1033" s="69"/>
      <c r="B1033" s="69"/>
      <c r="C1033" s="5" t="s">
        <v>1190</v>
      </c>
      <c r="F1033" s="1">
        <v>4230.96</v>
      </c>
    </row>
    <row r="1034" spans="1:8">
      <c r="A1034" s="69"/>
      <c r="B1034" s="73" t="s">
        <v>651</v>
      </c>
      <c r="C1034" s="3" t="s">
        <v>652</v>
      </c>
      <c r="D1034" s="4">
        <v>5231.2</v>
      </c>
      <c r="E1034" s="4">
        <v>1152.33</v>
      </c>
      <c r="F1034" s="4">
        <v>30958.639999999999</v>
      </c>
    </row>
    <row r="1035" spans="1:8">
      <c r="A1035" s="69"/>
      <c r="B1035" s="69"/>
      <c r="C1035" s="5" t="s">
        <v>653</v>
      </c>
      <c r="D1035" s="1">
        <v>5231.2</v>
      </c>
      <c r="E1035" s="1">
        <v>1152.33</v>
      </c>
      <c r="F1035" s="1">
        <v>30958.639999999999</v>
      </c>
    </row>
    <row r="1036" spans="1:8">
      <c r="A1036" s="69"/>
      <c r="B1036" s="73" t="s">
        <v>162</v>
      </c>
      <c r="C1036" s="3" t="s">
        <v>163</v>
      </c>
      <c r="D1036" s="4">
        <v>16813.07</v>
      </c>
      <c r="E1036" s="4">
        <v>529.04999999999995</v>
      </c>
      <c r="F1036" s="4">
        <v>46854.83</v>
      </c>
      <c r="G1036" s="4">
        <v>54.18</v>
      </c>
    </row>
    <row r="1037" spans="1:8">
      <c r="A1037" s="69"/>
      <c r="B1037" s="69"/>
      <c r="C1037" s="5" t="s">
        <v>164</v>
      </c>
      <c r="D1037" s="1">
        <v>16813.07</v>
      </c>
      <c r="E1037" s="1">
        <v>529.04999999999995</v>
      </c>
      <c r="F1037" s="1">
        <v>46854.83</v>
      </c>
      <c r="G1037" s="1">
        <v>54.18</v>
      </c>
    </row>
    <row r="1038" spans="1:8">
      <c r="A1038" s="69"/>
      <c r="B1038" s="73" t="s">
        <v>1191</v>
      </c>
      <c r="C1038" s="3" t="s">
        <v>1192</v>
      </c>
      <c r="E1038" s="4">
        <v>429.87</v>
      </c>
    </row>
    <row r="1039" spans="1:8">
      <c r="A1039" s="69"/>
      <c r="B1039" s="69"/>
      <c r="C1039" s="5" t="s">
        <v>1193</v>
      </c>
      <c r="E1039" s="1">
        <v>429.87</v>
      </c>
    </row>
    <row r="1040" spans="1:8">
      <c r="A1040" s="69"/>
      <c r="B1040" s="73" t="s">
        <v>980</v>
      </c>
      <c r="C1040" s="3" t="s">
        <v>981</v>
      </c>
      <c r="G1040" s="4">
        <v>201.03</v>
      </c>
      <c r="H1040" s="4">
        <v>502.8</v>
      </c>
    </row>
    <row r="1041" spans="1:8">
      <c r="A1041" s="69"/>
      <c r="B1041" s="69"/>
      <c r="C1041" s="5" t="s">
        <v>982</v>
      </c>
      <c r="G1041" s="1">
        <v>201.03</v>
      </c>
      <c r="H1041" s="1">
        <v>502.8</v>
      </c>
    </row>
    <row r="1042" spans="1:8">
      <c r="A1042" s="69"/>
      <c r="B1042" s="73" t="s">
        <v>1194</v>
      </c>
      <c r="C1042" s="3" t="s">
        <v>1195</v>
      </c>
      <c r="E1042" s="4">
        <v>2058.1</v>
      </c>
      <c r="G1042" s="4">
        <v>1287.6849999999999</v>
      </c>
      <c r="H1042" s="4">
        <v>166.5</v>
      </c>
    </row>
    <row r="1043" spans="1:8">
      <c r="A1043" s="69"/>
      <c r="B1043" s="69"/>
      <c r="C1043" s="5" t="s">
        <v>1196</v>
      </c>
      <c r="E1043" s="1">
        <v>2058.1</v>
      </c>
      <c r="G1043" s="1">
        <v>1287.6849999999999</v>
      </c>
      <c r="H1043" s="1">
        <v>166.5</v>
      </c>
    </row>
    <row r="1044" spans="1:8">
      <c r="A1044" s="69"/>
      <c r="B1044" s="73" t="s">
        <v>567</v>
      </c>
      <c r="C1044" s="3" t="s">
        <v>568</v>
      </c>
      <c r="G1044" s="4">
        <v>3873.49</v>
      </c>
    </row>
    <row r="1045" spans="1:8">
      <c r="A1045" s="69"/>
      <c r="B1045" s="69"/>
      <c r="C1045" s="5" t="s">
        <v>569</v>
      </c>
      <c r="G1045" s="1">
        <v>3873.49</v>
      </c>
    </row>
    <row r="1046" spans="1:8">
      <c r="A1046" s="69"/>
      <c r="B1046" s="73" t="s">
        <v>279</v>
      </c>
      <c r="C1046" s="3" t="s">
        <v>280</v>
      </c>
      <c r="D1046" s="4">
        <v>4824.1400000000003</v>
      </c>
      <c r="G1046" s="4">
        <v>302.67</v>
      </c>
    </row>
    <row r="1047" spans="1:8">
      <c r="A1047" s="69"/>
      <c r="B1047" s="69"/>
      <c r="C1047" s="5" t="s">
        <v>281</v>
      </c>
      <c r="D1047" s="1">
        <v>4824.1400000000003</v>
      </c>
      <c r="G1047" s="1">
        <v>302.67</v>
      </c>
    </row>
    <row r="1048" spans="1:8">
      <c r="A1048" s="69"/>
      <c r="B1048" s="73" t="s">
        <v>36</v>
      </c>
      <c r="C1048" s="3" t="s">
        <v>37</v>
      </c>
      <c r="D1048" s="4">
        <v>30689.22</v>
      </c>
      <c r="G1048" s="4">
        <v>1303.92</v>
      </c>
    </row>
    <row r="1049" spans="1:8">
      <c r="A1049" s="69"/>
      <c r="B1049" s="69"/>
      <c r="C1049" s="5" t="s">
        <v>38</v>
      </c>
      <c r="D1049" s="1">
        <v>30689.22</v>
      </c>
      <c r="G1049" s="1">
        <v>1303.92</v>
      </c>
    </row>
    <row r="1050" spans="1:8">
      <c r="A1050" s="69"/>
      <c r="B1050" s="73" t="s">
        <v>878</v>
      </c>
      <c r="C1050" s="3" t="s">
        <v>879</v>
      </c>
      <c r="G1050" s="4">
        <v>58.95</v>
      </c>
    </row>
    <row r="1051" spans="1:8">
      <c r="A1051" s="69"/>
      <c r="B1051" s="69"/>
      <c r="C1051" s="5" t="s">
        <v>880</v>
      </c>
      <c r="G1051" s="1">
        <v>58.95</v>
      </c>
    </row>
    <row r="1052" spans="1:8">
      <c r="A1052" s="69"/>
      <c r="B1052" s="73" t="s">
        <v>246</v>
      </c>
      <c r="C1052" s="3" t="s">
        <v>247</v>
      </c>
      <c r="D1052" s="4">
        <v>4855.6000000000004</v>
      </c>
      <c r="E1052" s="4">
        <v>103.93</v>
      </c>
      <c r="F1052" s="4">
        <v>20858.099999999999</v>
      </c>
      <c r="G1052" s="4">
        <v>359.18</v>
      </c>
      <c r="H1052" s="4">
        <v>132.80000000000001</v>
      </c>
    </row>
    <row r="1053" spans="1:8">
      <c r="A1053" s="69"/>
      <c r="B1053" s="69"/>
      <c r="C1053" s="5" t="s">
        <v>248</v>
      </c>
      <c r="D1053" s="1">
        <v>4855.6000000000004</v>
      </c>
      <c r="E1053" s="1">
        <v>103.93</v>
      </c>
      <c r="F1053" s="1">
        <v>20858.099999999999</v>
      </c>
      <c r="G1053" s="1">
        <v>359.18</v>
      </c>
      <c r="H1053" s="1">
        <v>132.80000000000001</v>
      </c>
    </row>
    <row r="1054" spans="1:8">
      <c r="A1054" s="69"/>
      <c r="B1054" s="73" t="s">
        <v>1197</v>
      </c>
      <c r="C1054" s="3" t="s">
        <v>1198</v>
      </c>
      <c r="G1054" s="4">
        <v>2748.5549999999998</v>
      </c>
      <c r="H1054" s="4">
        <v>687.26</v>
      </c>
    </row>
    <row r="1055" spans="1:8">
      <c r="A1055" s="69"/>
      <c r="B1055" s="69"/>
      <c r="C1055" s="5" t="s">
        <v>1199</v>
      </c>
      <c r="G1055" s="1">
        <v>2748.5549999999998</v>
      </c>
      <c r="H1055" s="1">
        <v>687.26</v>
      </c>
    </row>
    <row r="1056" spans="1:8">
      <c r="A1056" s="69"/>
      <c r="B1056" s="73" t="s">
        <v>192</v>
      </c>
      <c r="C1056" s="3" t="s">
        <v>193</v>
      </c>
      <c r="D1056" s="4">
        <v>8761.83</v>
      </c>
      <c r="F1056" s="4">
        <v>13991.67</v>
      </c>
    </row>
    <row r="1057" spans="1:7">
      <c r="A1057" s="69"/>
      <c r="B1057" s="69"/>
      <c r="C1057" s="5" t="s">
        <v>194</v>
      </c>
      <c r="D1057" s="1">
        <v>8761.83</v>
      </c>
      <c r="F1057" s="1">
        <v>13991.67</v>
      </c>
    </row>
    <row r="1058" spans="1:7">
      <c r="A1058" s="69"/>
      <c r="B1058" s="73" t="s">
        <v>603</v>
      </c>
      <c r="C1058" s="3" t="s">
        <v>604</v>
      </c>
      <c r="D1058" s="4">
        <v>19897.66</v>
      </c>
      <c r="F1058" s="4">
        <v>39310.61</v>
      </c>
    </row>
    <row r="1059" spans="1:7">
      <c r="A1059" s="69"/>
      <c r="B1059" s="69"/>
      <c r="C1059" s="5" t="s">
        <v>605</v>
      </c>
      <c r="D1059" s="1">
        <v>19897.66</v>
      </c>
      <c r="F1059" s="1">
        <v>39310.61</v>
      </c>
    </row>
    <row r="1060" spans="1:7">
      <c r="A1060" s="69"/>
      <c r="B1060" s="73" t="s">
        <v>204</v>
      </c>
      <c r="C1060" s="3" t="s">
        <v>205</v>
      </c>
      <c r="D1060" s="4">
        <v>2192.83</v>
      </c>
      <c r="F1060" s="4">
        <v>11774.35</v>
      </c>
    </row>
    <row r="1061" spans="1:7">
      <c r="A1061" s="69"/>
      <c r="B1061" s="69"/>
      <c r="C1061" s="5" t="s">
        <v>206</v>
      </c>
      <c r="D1061" s="1">
        <v>2192.83</v>
      </c>
      <c r="F1061" s="1">
        <v>11774.35</v>
      </c>
    </row>
    <row r="1062" spans="1:7">
      <c r="A1062" s="69"/>
      <c r="B1062" s="73" t="s">
        <v>492</v>
      </c>
      <c r="C1062" s="3" t="s">
        <v>493</v>
      </c>
      <c r="D1062" s="4">
        <v>21491.4</v>
      </c>
    </row>
    <row r="1063" spans="1:7">
      <c r="A1063" s="69"/>
      <c r="B1063" s="69"/>
      <c r="C1063" s="5" t="s">
        <v>494</v>
      </c>
      <c r="D1063" s="1">
        <v>21491.4</v>
      </c>
    </row>
    <row r="1064" spans="1:7">
      <c r="A1064" s="69"/>
      <c r="B1064" s="73" t="s">
        <v>198</v>
      </c>
      <c r="C1064" s="3" t="s">
        <v>199</v>
      </c>
      <c r="D1064" s="4">
        <v>1338.01</v>
      </c>
      <c r="F1064" s="4">
        <v>3309.69</v>
      </c>
      <c r="G1064" s="4">
        <v>32.24</v>
      </c>
    </row>
    <row r="1065" spans="1:7">
      <c r="A1065" s="69"/>
      <c r="B1065" s="69"/>
      <c r="C1065" s="5" t="s">
        <v>200</v>
      </c>
      <c r="D1065" s="1">
        <v>1338.01</v>
      </c>
      <c r="F1065" s="1">
        <v>3309.69</v>
      </c>
      <c r="G1065" s="1">
        <v>32.24</v>
      </c>
    </row>
    <row r="1066" spans="1:7">
      <c r="A1066" s="69"/>
      <c r="B1066" s="73" t="s">
        <v>549</v>
      </c>
      <c r="C1066" s="3" t="s">
        <v>550</v>
      </c>
      <c r="D1066" s="4">
        <v>1797</v>
      </c>
    </row>
    <row r="1067" spans="1:7">
      <c r="A1067" s="69"/>
      <c r="B1067" s="69"/>
      <c r="C1067" s="5" t="s">
        <v>551</v>
      </c>
      <c r="D1067" s="1">
        <v>1797</v>
      </c>
    </row>
    <row r="1068" spans="1:7">
      <c r="A1068" s="69"/>
      <c r="B1068" s="73" t="s">
        <v>660</v>
      </c>
      <c r="C1068" s="3" t="s">
        <v>661</v>
      </c>
      <c r="D1068" s="4">
        <v>3396.43</v>
      </c>
      <c r="F1068" s="4">
        <v>9351.8799999999992</v>
      </c>
    </row>
    <row r="1069" spans="1:7">
      <c r="A1069" s="69"/>
      <c r="B1069" s="69"/>
      <c r="C1069" s="5" t="s">
        <v>662</v>
      </c>
      <c r="D1069" s="1">
        <v>3396.43</v>
      </c>
      <c r="F1069" s="1">
        <v>9351.8799999999992</v>
      </c>
    </row>
    <row r="1070" spans="1:7">
      <c r="A1070" s="69"/>
      <c r="B1070" s="73" t="s">
        <v>276</v>
      </c>
      <c r="C1070" s="3" t="s">
        <v>277</v>
      </c>
      <c r="D1070" s="4">
        <v>13177.5</v>
      </c>
      <c r="G1070" s="4">
        <v>409.4</v>
      </c>
    </row>
    <row r="1071" spans="1:7">
      <c r="A1071" s="69"/>
      <c r="B1071" s="69"/>
      <c r="C1071" s="5" t="s">
        <v>278</v>
      </c>
      <c r="D1071" s="1">
        <v>13177.5</v>
      </c>
      <c r="G1071" s="1">
        <v>409.4</v>
      </c>
    </row>
    <row r="1072" spans="1:7">
      <c r="A1072" s="69"/>
      <c r="B1072" s="73" t="s">
        <v>804</v>
      </c>
      <c r="C1072" s="3" t="s">
        <v>805</v>
      </c>
      <c r="D1072" s="4">
        <v>6817.86</v>
      </c>
      <c r="F1072" s="4">
        <v>24937.17</v>
      </c>
    </row>
    <row r="1073" spans="1:7">
      <c r="A1073" s="69"/>
      <c r="B1073" s="69"/>
      <c r="C1073" s="5" t="s">
        <v>806</v>
      </c>
      <c r="D1073" s="1">
        <v>6817.86</v>
      </c>
      <c r="F1073" s="1">
        <v>24937.17</v>
      </c>
    </row>
    <row r="1074" spans="1:7">
      <c r="A1074" s="69"/>
      <c r="B1074" s="73" t="s">
        <v>462</v>
      </c>
      <c r="C1074" s="3" t="s">
        <v>463</v>
      </c>
      <c r="D1074" s="4">
        <v>1464.44</v>
      </c>
      <c r="F1074" s="4">
        <v>5818.65</v>
      </c>
    </row>
    <row r="1075" spans="1:7">
      <c r="A1075" s="69"/>
      <c r="B1075" s="69"/>
      <c r="C1075" s="5" t="s">
        <v>464</v>
      </c>
      <c r="D1075" s="1">
        <v>1464.44</v>
      </c>
      <c r="F1075" s="1">
        <v>5818.65</v>
      </c>
    </row>
    <row r="1076" spans="1:7">
      <c r="A1076" s="69"/>
      <c r="B1076" s="73" t="s">
        <v>102</v>
      </c>
      <c r="C1076" s="3" t="s">
        <v>103</v>
      </c>
      <c r="D1076" s="4">
        <v>2121.9</v>
      </c>
      <c r="F1076" s="4">
        <v>13193.57</v>
      </c>
      <c r="G1076" s="4">
        <v>253.78</v>
      </c>
    </row>
    <row r="1077" spans="1:7">
      <c r="A1077" s="69"/>
      <c r="B1077" s="69"/>
      <c r="C1077" s="5" t="s">
        <v>104</v>
      </c>
      <c r="D1077" s="1">
        <v>2121.9</v>
      </c>
      <c r="F1077" s="1">
        <v>13193.57</v>
      </c>
      <c r="G1077" s="1">
        <v>253.78</v>
      </c>
    </row>
    <row r="1078" spans="1:7">
      <c r="A1078" s="69"/>
      <c r="B1078" s="73" t="s">
        <v>699</v>
      </c>
      <c r="C1078" s="3" t="s">
        <v>700</v>
      </c>
      <c r="D1078" s="4">
        <v>3014.12</v>
      </c>
      <c r="F1078" s="4">
        <v>13309.09</v>
      </c>
      <c r="G1078" s="4">
        <v>399.45</v>
      </c>
    </row>
    <row r="1079" spans="1:7">
      <c r="A1079" s="69"/>
      <c r="B1079" s="69"/>
      <c r="C1079" s="5" t="s">
        <v>701</v>
      </c>
      <c r="D1079" s="1">
        <v>3014.12</v>
      </c>
      <c r="F1079" s="1">
        <v>13309.09</v>
      </c>
      <c r="G1079" s="1">
        <v>399.45</v>
      </c>
    </row>
    <row r="1080" spans="1:7">
      <c r="A1080" s="69"/>
      <c r="B1080" s="73" t="s">
        <v>564</v>
      </c>
      <c r="C1080" s="3" t="s">
        <v>565</v>
      </c>
      <c r="D1080" s="4">
        <v>7689.29</v>
      </c>
      <c r="G1080" s="4">
        <v>360.76</v>
      </c>
    </row>
    <row r="1081" spans="1:7">
      <c r="A1081" s="69"/>
      <c r="B1081" s="69"/>
      <c r="C1081" s="5" t="s">
        <v>566</v>
      </c>
      <c r="D1081" s="1">
        <v>7689.29</v>
      </c>
      <c r="G1081" s="1">
        <v>360.76</v>
      </c>
    </row>
    <row r="1082" spans="1:7">
      <c r="A1082" s="69"/>
      <c r="B1082" s="73" t="s">
        <v>606</v>
      </c>
      <c r="C1082" s="3" t="s">
        <v>607</v>
      </c>
      <c r="D1082" s="4">
        <v>6748.64</v>
      </c>
      <c r="F1082" s="4">
        <v>13838.18</v>
      </c>
    </row>
    <row r="1083" spans="1:7">
      <c r="A1083" s="69"/>
      <c r="B1083" s="69"/>
      <c r="C1083" s="5" t="s">
        <v>608</v>
      </c>
      <c r="D1083" s="1">
        <v>6748.64</v>
      </c>
      <c r="F1083" s="1">
        <v>13838.18</v>
      </c>
    </row>
    <row r="1084" spans="1:7">
      <c r="A1084" s="69"/>
      <c r="B1084" s="73" t="s">
        <v>678</v>
      </c>
      <c r="C1084" s="3" t="s">
        <v>679</v>
      </c>
      <c r="D1084" s="4">
        <v>23870.1</v>
      </c>
    </row>
    <row r="1085" spans="1:7">
      <c r="A1085" s="69"/>
      <c r="B1085" s="69"/>
      <c r="C1085" s="5" t="s">
        <v>680</v>
      </c>
      <c r="D1085" s="1">
        <v>23870.1</v>
      </c>
    </row>
    <row r="1086" spans="1:7">
      <c r="A1086" s="69"/>
      <c r="B1086" s="73" t="s">
        <v>165</v>
      </c>
      <c r="C1086" s="3" t="s">
        <v>166</v>
      </c>
      <c r="D1086" s="4">
        <v>3799.28</v>
      </c>
      <c r="E1086" s="4">
        <v>1507.01</v>
      </c>
      <c r="F1086" s="4">
        <v>22200.3</v>
      </c>
      <c r="G1086" s="4">
        <v>60.2</v>
      </c>
    </row>
    <row r="1087" spans="1:7">
      <c r="A1087" s="69"/>
      <c r="B1087" s="69"/>
      <c r="C1087" s="5" t="s">
        <v>167</v>
      </c>
      <c r="D1087" s="1">
        <v>3799.28</v>
      </c>
      <c r="E1087" s="1">
        <v>1507.01</v>
      </c>
      <c r="F1087" s="1">
        <v>22200.3</v>
      </c>
      <c r="G1087" s="1">
        <v>60.2</v>
      </c>
    </row>
    <row r="1088" spans="1:7">
      <c r="A1088" s="69"/>
      <c r="B1088" s="73" t="s">
        <v>21</v>
      </c>
      <c r="C1088" s="3" t="s">
        <v>22</v>
      </c>
      <c r="D1088" s="4">
        <v>19.190000000000001</v>
      </c>
    </row>
    <row r="1089" spans="1:7">
      <c r="A1089" s="69"/>
      <c r="B1089" s="69"/>
      <c r="C1089" s="5" t="s">
        <v>23</v>
      </c>
      <c r="D1089" s="1">
        <v>19.190000000000001</v>
      </c>
    </row>
    <row r="1090" spans="1:7">
      <c r="A1090" s="69"/>
      <c r="B1090" s="73" t="s">
        <v>615</v>
      </c>
      <c r="C1090" s="3" t="s">
        <v>616</v>
      </c>
      <c r="D1090" s="4">
        <v>23114.27</v>
      </c>
    </row>
    <row r="1091" spans="1:7">
      <c r="A1091" s="69"/>
      <c r="B1091" s="69"/>
      <c r="C1091" s="5" t="s">
        <v>617</v>
      </c>
      <c r="D1091" s="1">
        <v>23114.27</v>
      </c>
    </row>
    <row r="1092" spans="1:7">
      <c r="A1092" s="69"/>
      <c r="B1092" s="73" t="s">
        <v>210</v>
      </c>
      <c r="C1092" s="3" t="s">
        <v>211</v>
      </c>
      <c r="D1092" s="4">
        <v>20262.669999999998</v>
      </c>
      <c r="F1092" s="4">
        <v>635940.44999999995</v>
      </c>
      <c r="G1092" s="4">
        <v>115.12</v>
      </c>
    </row>
    <row r="1093" spans="1:7">
      <c r="A1093" s="69"/>
      <c r="B1093" s="69"/>
      <c r="C1093" s="5" t="s">
        <v>212</v>
      </c>
      <c r="D1093" s="1">
        <v>20262.669999999998</v>
      </c>
      <c r="F1093" s="1">
        <v>635940.44999999995</v>
      </c>
      <c r="G1093" s="1">
        <v>115.12</v>
      </c>
    </row>
    <row r="1094" spans="1:7">
      <c r="A1094" s="69"/>
      <c r="B1094" s="73" t="s">
        <v>468</v>
      </c>
      <c r="C1094" s="3" t="s">
        <v>469</v>
      </c>
      <c r="D1094" s="4">
        <v>3000</v>
      </c>
      <c r="E1094" s="4">
        <v>773.54</v>
      </c>
      <c r="F1094" s="4">
        <v>152167.32999999999</v>
      </c>
      <c r="G1094" s="4">
        <v>264.12</v>
      </c>
    </row>
    <row r="1095" spans="1:7">
      <c r="A1095" s="69"/>
      <c r="B1095" s="69"/>
      <c r="C1095" s="5" t="s">
        <v>470</v>
      </c>
      <c r="D1095" s="1">
        <v>3000</v>
      </c>
      <c r="E1095" s="1">
        <v>773.54</v>
      </c>
      <c r="F1095" s="1">
        <v>152167.32999999999</v>
      </c>
      <c r="G1095" s="1">
        <v>264.12</v>
      </c>
    </row>
    <row r="1096" spans="1:7">
      <c r="A1096" s="69"/>
      <c r="B1096" s="73" t="s">
        <v>451</v>
      </c>
      <c r="C1096" s="3" t="s">
        <v>452</v>
      </c>
      <c r="D1096" s="4">
        <v>2400.4</v>
      </c>
      <c r="E1096" s="4">
        <v>1480</v>
      </c>
      <c r="F1096" s="4">
        <v>62181.1</v>
      </c>
    </row>
    <row r="1097" spans="1:7">
      <c r="A1097" s="69"/>
      <c r="B1097" s="69"/>
      <c r="C1097" s="5" t="s">
        <v>453</v>
      </c>
      <c r="D1097" s="1">
        <v>2400.4</v>
      </c>
      <c r="E1097" s="1">
        <v>1480</v>
      </c>
      <c r="F1097" s="1">
        <v>62181.1</v>
      </c>
    </row>
    <row r="1098" spans="1:7">
      <c r="A1098" s="69"/>
      <c r="B1098" s="73" t="s">
        <v>24</v>
      </c>
      <c r="C1098" s="3" t="s">
        <v>25</v>
      </c>
      <c r="D1098" s="4">
        <v>1057.54</v>
      </c>
      <c r="F1098" s="4">
        <v>27311.9</v>
      </c>
      <c r="G1098" s="4">
        <v>240.8</v>
      </c>
    </row>
    <row r="1099" spans="1:7">
      <c r="A1099" s="69"/>
      <c r="B1099" s="69"/>
      <c r="C1099" s="5" t="s">
        <v>26</v>
      </c>
      <c r="D1099" s="1">
        <v>1057.54</v>
      </c>
      <c r="F1099" s="1">
        <v>27311.9</v>
      </c>
      <c r="G1099" s="1">
        <v>240.8</v>
      </c>
    </row>
    <row r="1100" spans="1:7">
      <c r="A1100" s="69"/>
      <c r="B1100" s="73" t="s">
        <v>738</v>
      </c>
      <c r="C1100" s="3" t="s">
        <v>739</v>
      </c>
      <c r="D1100" s="4">
        <v>4998.38</v>
      </c>
      <c r="F1100" s="4">
        <v>87332.479999999996</v>
      </c>
    </row>
    <row r="1101" spans="1:7">
      <c r="A1101" s="69"/>
      <c r="B1101" s="69"/>
      <c r="C1101" s="5" t="s">
        <v>740</v>
      </c>
      <c r="D1101" s="1">
        <v>4998.38</v>
      </c>
      <c r="F1101" s="1">
        <v>87332.479999999996</v>
      </c>
    </row>
    <row r="1102" spans="1:7">
      <c r="A1102" s="69"/>
      <c r="B1102" s="73" t="s">
        <v>998</v>
      </c>
      <c r="C1102" s="3" t="s">
        <v>999</v>
      </c>
      <c r="F1102" s="4">
        <v>26558.66</v>
      </c>
    </row>
    <row r="1103" spans="1:7">
      <c r="A1103" s="69"/>
      <c r="B1103" s="69"/>
      <c r="C1103" s="5" t="s">
        <v>1000</v>
      </c>
      <c r="F1103" s="1">
        <v>26558.66</v>
      </c>
    </row>
    <row r="1104" spans="1:7">
      <c r="A1104" s="69"/>
      <c r="B1104" s="73" t="s">
        <v>1010</v>
      </c>
      <c r="C1104" s="3" t="s">
        <v>1011</v>
      </c>
      <c r="F1104" s="4">
        <v>3195.16</v>
      </c>
    </row>
    <row r="1105" spans="1:7">
      <c r="A1105" s="69"/>
      <c r="B1105" s="69"/>
      <c r="C1105" s="5" t="s">
        <v>1012</v>
      </c>
      <c r="F1105" s="1">
        <v>3195.16</v>
      </c>
    </row>
    <row r="1106" spans="1:7">
      <c r="A1106" s="69"/>
      <c r="B1106" s="73" t="s">
        <v>1200</v>
      </c>
      <c r="C1106" s="3" t="s">
        <v>1201</v>
      </c>
      <c r="F1106" s="4">
        <v>32670</v>
      </c>
    </row>
    <row r="1107" spans="1:7">
      <c r="A1107" s="69"/>
      <c r="B1107" s="69"/>
      <c r="C1107" s="5" t="s">
        <v>1202</v>
      </c>
      <c r="F1107" s="1">
        <v>32670</v>
      </c>
    </row>
    <row r="1108" spans="1:7">
      <c r="A1108" s="69"/>
      <c r="B1108" s="73" t="s">
        <v>579</v>
      </c>
      <c r="C1108" s="3" t="s">
        <v>580</v>
      </c>
      <c r="D1108" s="4">
        <v>16871.93</v>
      </c>
      <c r="E1108" s="4">
        <v>1990</v>
      </c>
      <c r="F1108" s="4">
        <v>99883.54</v>
      </c>
    </row>
    <row r="1109" spans="1:7">
      <c r="A1109" s="69"/>
      <c r="B1109" s="69"/>
      <c r="C1109" s="5" t="s">
        <v>581</v>
      </c>
      <c r="D1109" s="1">
        <v>16871.93</v>
      </c>
      <c r="E1109" s="1">
        <v>1990</v>
      </c>
      <c r="F1109" s="1">
        <v>99883.54</v>
      </c>
    </row>
    <row r="1110" spans="1:7">
      <c r="A1110" s="69"/>
      <c r="B1110" s="73" t="s">
        <v>1203</v>
      </c>
      <c r="C1110" s="3" t="s">
        <v>1204</v>
      </c>
      <c r="D1110" s="4">
        <v>4678</v>
      </c>
      <c r="F1110" s="4">
        <v>8700</v>
      </c>
    </row>
    <row r="1111" spans="1:7">
      <c r="A1111" s="69"/>
      <c r="B1111" s="69"/>
      <c r="C1111" s="5" t="s">
        <v>1205</v>
      </c>
      <c r="D1111" s="1">
        <v>4678</v>
      </c>
      <c r="F1111" s="1">
        <v>8700</v>
      </c>
    </row>
    <row r="1112" spans="1:7">
      <c r="A1112" s="69"/>
      <c r="B1112" s="73" t="s">
        <v>1031</v>
      </c>
      <c r="C1112" s="3" t="s">
        <v>1032</v>
      </c>
      <c r="D1112" s="4">
        <v>919</v>
      </c>
    </row>
    <row r="1113" spans="1:7">
      <c r="A1113" s="69"/>
      <c r="B1113" s="69"/>
      <c r="C1113" s="5" t="s">
        <v>1033</v>
      </c>
      <c r="D1113" s="1">
        <v>919</v>
      </c>
    </row>
    <row r="1114" spans="1:7">
      <c r="A1114" s="69"/>
      <c r="B1114" s="73" t="s">
        <v>267</v>
      </c>
      <c r="C1114" s="3" t="s">
        <v>268</v>
      </c>
      <c r="D1114" s="4">
        <v>10382.9</v>
      </c>
      <c r="E1114" s="4">
        <v>271.87</v>
      </c>
      <c r="F1114" s="4">
        <v>26999.759999999998</v>
      </c>
      <c r="G1114" s="4">
        <v>602.98</v>
      </c>
    </row>
    <row r="1115" spans="1:7">
      <c r="A1115" s="69"/>
      <c r="B1115" s="69"/>
      <c r="C1115" s="5" t="s">
        <v>269</v>
      </c>
      <c r="D1115" s="1">
        <v>10382.9</v>
      </c>
      <c r="E1115" s="1">
        <v>271.87</v>
      </c>
      <c r="F1115" s="1">
        <v>26999.759999999998</v>
      </c>
      <c r="G1115" s="1">
        <v>602.98</v>
      </c>
    </row>
    <row r="1116" spans="1:7">
      <c r="A1116" s="69"/>
      <c r="B1116" s="73" t="s">
        <v>33</v>
      </c>
      <c r="C1116" s="3" t="s">
        <v>34</v>
      </c>
      <c r="F1116" s="4">
        <v>1680</v>
      </c>
      <c r="G1116" s="4">
        <v>75.25</v>
      </c>
    </row>
    <row r="1117" spans="1:7">
      <c r="A1117" s="69"/>
      <c r="B1117" s="69"/>
      <c r="C1117" s="5" t="s">
        <v>35</v>
      </c>
      <c r="F1117" s="1">
        <v>1680</v>
      </c>
      <c r="G1117" s="1">
        <v>75.25</v>
      </c>
    </row>
    <row r="1118" spans="1:7">
      <c r="A1118" s="69"/>
      <c r="B1118" s="73" t="s">
        <v>819</v>
      </c>
      <c r="C1118" s="3" t="s">
        <v>820</v>
      </c>
      <c r="F1118" s="4">
        <v>580</v>
      </c>
    </row>
    <row r="1119" spans="1:7">
      <c r="A1119" s="69"/>
      <c r="B1119" s="69"/>
      <c r="C1119" s="5" t="s">
        <v>821</v>
      </c>
      <c r="F1119" s="1">
        <v>580</v>
      </c>
    </row>
    <row r="1120" spans="1:7">
      <c r="A1120" s="69"/>
      <c r="B1120" s="73" t="s">
        <v>1206</v>
      </c>
      <c r="C1120" s="3" t="s">
        <v>1207</v>
      </c>
      <c r="F1120" s="4">
        <v>1142.05</v>
      </c>
    </row>
    <row r="1121" spans="1:8">
      <c r="A1121" s="69"/>
      <c r="B1121" s="69"/>
      <c r="C1121" s="5" t="s">
        <v>1208</v>
      </c>
      <c r="F1121" s="1">
        <v>1142.05</v>
      </c>
    </row>
    <row r="1122" spans="1:8">
      <c r="A1122" s="69"/>
      <c r="B1122" s="73" t="s">
        <v>657</v>
      </c>
      <c r="C1122" s="3" t="s">
        <v>658</v>
      </c>
      <c r="D1122" s="4">
        <v>36820.879999999997</v>
      </c>
      <c r="F1122" s="4">
        <v>41872.910000000003</v>
      </c>
    </row>
    <row r="1123" spans="1:8">
      <c r="A1123" s="69"/>
      <c r="B1123" s="69"/>
      <c r="C1123" s="5" t="s">
        <v>659</v>
      </c>
      <c r="D1123" s="1">
        <v>36820.879999999997</v>
      </c>
      <c r="F1123" s="1">
        <v>41872.910000000003</v>
      </c>
    </row>
    <row r="1124" spans="1:8">
      <c r="A1124" s="69"/>
      <c r="B1124" s="73" t="s">
        <v>237</v>
      </c>
      <c r="C1124" s="3" t="s">
        <v>238</v>
      </c>
      <c r="D1124" s="4">
        <v>2091.84</v>
      </c>
      <c r="F1124" s="4">
        <v>7894.1</v>
      </c>
    </row>
    <row r="1125" spans="1:8">
      <c r="A1125" s="69"/>
      <c r="B1125" s="69"/>
      <c r="C1125" s="5" t="s">
        <v>239</v>
      </c>
      <c r="D1125" s="1">
        <v>2091.84</v>
      </c>
      <c r="F1125" s="1">
        <v>7894.1</v>
      </c>
    </row>
    <row r="1126" spans="1:8">
      <c r="A1126" s="69"/>
      <c r="B1126" s="73" t="s">
        <v>630</v>
      </c>
      <c r="C1126" s="3" t="s">
        <v>631</v>
      </c>
      <c r="D1126" s="4">
        <v>13554.95</v>
      </c>
      <c r="F1126" s="4">
        <v>11193.73</v>
      </c>
    </row>
    <row r="1127" spans="1:8">
      <c r="A1127" s="69"/>
      <c r="B1127" s="69"/>
      <c r="C1127" s="5" t="s">
        <v>632</v>
      </c>
      <c r="D1127" s="1">
        <v>13554.95</v>
      </c>
      <c r="F1127" s="1">
        <v>11193.73</v>
      </c>
    </row>
    <row r="1128" spans="1:8">
      <c r="A1128" s="69"/>
      <c r="B1128" s="73" t="s">
        <v>382</v>
      </c>
      <c r="C1128" s="3" t="s">
        <v>383</v>
      </c>
      <c r="D1128" s="4">
        <v>385.58</v>
      </c>
      <c r="F1128" s="4">
        <v>7471.31</v>
      </c>
    </row>
    <row r="1129" spans="1:8">
      <c r="A1129" s="69"/>
      <c r="B1129" s="69"/>
      <c r="C1129" s="5" t="s">
        <v>384</v>
      </c>
      <c r="D1129" s="1">
        <v>385.58</v>
      </c>
      <c r="F1129" s="1">
        <v>7471.31</v>
      </c>
    </row>
    <row r="1130" spans="1:8">
      <c r="A1130" s="69"/>
      <c r="B1130" s="73" t="s">
        <v>297</v>
      </c>
      <c r="C1130" s="3" t="s">
        <v>298</v>
      </c>
      <c r="D1130" s="4">
        <v>12230</v>
      </c>
      <c r="F1130" s="4">
        <v>189299.47</v>
      </c>
      <c r="G1130" s="4">
        <v>2703.84</v>
      </c>
    </row>
    <row r="1131" spans="1:8">
      <c r="A1131" s="69"/>
      <c r="B1131" s="69"/>
      <c r="C1131" s="5" t="s">
        <v>299</v>
      </c>
      <c r="D1131" s="1">
        <v>12230</v>
      </c>
      <c r="F1131" s="1">
        <v>189299.47</v>
      </c>
      <c r="G1131" s="1">
        <v>2703.84</v>
      </c>
    </row>
    <row r="1132" spans="1:8">
      <c r="A1132" s="69"/>
      <c r="B1132" s="73" t="s">
        <v>624</v>
      </c>
      <c r="C1132" s="3" t="s">
        <v>625</v>
      </c>
      <c r="D1132" s="4">
        <v>3585</v>
      </c>
      <c r="F1132" s="4">
        <v>24777.95</v>
      </c>
      <c r="G1132" s="4">
        <v>572.26</v>
      </c>
    </row>
    <row r="1133" spans="1:8">
      <c r="A1133" s="69"/>
      <c r="B1133" s="69"/>
      <c r="C1133" s="5" t="s">
        <v>626</v>
      </c>
      <c r="D1133" s="1">
        <v>3585</v>
      </c>
      <c r="F1133" s="1">
        <v>24777.95</v>
      </c>
      <c r="G1133" s="1">
        <v>572.26</v>
      </c>
    </row>
    <row r="1134" spans="1:8">
      <c r="A1134" s="69"/>
      <c r="B1134" s="73" t="s">
        <v>225</v>
      </c>
      <c r="C1134" s="3" t="s">
        <v>226</v>
      </c>
      <c r="D1134" s="4">
        <v>6422.07</v>
      </c>
      <c r="G1134" s="4">
        <v>1746.25</v>
      </c>
      <c r="H1134" s="4">
        <v>633.01</v>
      </c>
    </row>
    <row r="1135" spans="1:8">
      <c r="A1135" s="69"/>
      <c r="B1135" s="69"/>
      <c r="C1135" s="5" t="s">
        <v>227</v>
      </c>
      <c r="D1135" s="1">
        <v>6422.07</v>
      </c>
      <c r="G1135" s="1">
        <v>1746.25</v>
      </c>
      <c r="H1135" s="1">
        <v>633.01</v>
      </c>
    </row>
    <row r="1136" spans="1:8">
      <c r="A1136" s="69"/>
      <c r="B1136" s="73" t="s">
        <v>1209</v>
      </c>
      <c r="C1136" s="3" t="s">
        <v>1210</v>
      </c>
      <c r="G1136" s="4">
        <v>15.98</v>
      </c>
    </row>
    <row r="1137" spans="1:8">
      <c r="A1137" s="69"/>
      <c r="B1137" s="69"/>
      <c r="C1137" s="5" t="s">
        <v>1211</v>
      </c>
      <c r="G1137" s="1">
        <v>15.98</v>
      </c>
    </row>
    <row r="1138" spans="1:8">
      <c r="A1138" s="69"/>
      <c r="B1138" s="73" t="s">
        <v>273</v>
      </c>
      <c r="C1138" s="3" t="s">
        <v>274</v>
      </c>
      <c r="D1138" s="4">
        <v>13426.61</v>
      </c>
      <c r="G1138" s="4">
        <v>1832.48</v>
      </c>
    </row>
    <row r="1139" spans="1:8">
      <c r="A1139" s="69"/>
      <c r="B1139" s="69"/>
      <c r="C1139" s="5" t="s">
        <v>275</v>
      </c>
      <c r="D1139" s="1">
        <v>13426.61</v>
      </c>
      <c r="G1139" s="1">
        <v>1832.48</v>
      </c>
    </row>
    <row r="1140" spans="1:8">
      <c r="A1140" s="69"/>
      <c r="B1140" s="73" t="s">
        <v>421</v>
      </c>
      <c r="C1140" s="3" t="s">
        <v>422</v>
      </c>
      <c r="E1140" s="4">
        <v>322.2</v>
      </c>
      <c r="G1140" s="4">
        <v>75.099999999999994</v>
      </c>
    </row>
    <row r="1141" spans="1:8">
      <c r="A1141" s="69"/>
      <c r="B1141" s="69"/>
      <c r="C1141" s="5" t="s">
        <v>423</v>
      </c>
      <c r="E1141" s="1">
        <v>322.2</v>
      </c>
      <c r="G1141" s="1">
        <v>75.099999999999994</v>
      </c>
    </row>
    <row r="1142" spans="1:8">
      <c r="A1142" s="69"/>
      <c r="B1142" s="73" t="s">
        <v>1212</v>
      </c>
      <c r="C1142" s="3" t="s">
        <v>1213</v>
      </c>
      <c r="E1142" s="4">
        <v>438.96</v>
      </c>
      <c r="G1142" s="4">
        <v>39.299999999999997</v>
      </c>
    </row>
    <row r="1143" spans="1:8">
      <c r="A1143" s="69"/>
      <c r="B1143" s="69"/>
      <c r="C1143" s="5" t="s">
        <v>1214</v>
      </c>
      <c r="E1143" s="1">
        <v>438.96</v>
      </c>
      <c r="G1143" s="1">
        <v>39.299999999999997</v>
      </c>
    </row>
    <row r="1144" spans="1:8">
      <c r="A1144" s="69"/>
      <c r="B1144" s="73" t="s">
        <v>1064</v>
      </c>
      <c r="C1144" s="3" t="s">
        <v>1065</v>
      </c>
      <c r="G1144" s="4">
        <v>697.3</v>
      </c>
      <c r="H1144" s="4">
        <v>206.5</v>
      </c>
    </row>
    <row r="1145" spans="1:8">
      <c r="A1145" s="69"/>
      <c r="B1145" s="69"/>
      <c r="C1145" s="5" t="s">
        <v>1066</v>
      </c>
      <c r="G1145" s="1">
        <v>697.3</v>
      </c>
      <c r="H1145" s="1">
        <v>206.5</v>
      </c>
    </row>
    <row r="1146" spans="1:8">
      <c r="A1146" s="69"/>
      <c r="B1146" s="73" t="s">
        <v>42</v>
      </c>
      <c r="C1146" s="3" t="s">
        <v>43</v>
      </c>
      <c r="D1146" s="4">
        <v>4773.16</v>
      </c>
      <c r="F1146" s="4">
        <v>8580.5300000000007</v>
      </c>
    </row>
    <row r="1147" spans="1:8">
      <c r="A1147" s="69"/>
      <c r="B1147" s="69"/>
      <c r="C1147" s="5" t="s">
        <v>44</v>
      </c>
      <c r="D1147" s="1">
        <v>4773.16</v>
      </c>
      <c r="F1147" s="1">
        <v>8580.5300000000007</v>
      </c>
    </row>
    <row r="1148" spans="1:8">
      <c r="A1148" s="69"/>
      <c r="B1148" s="73" t="s">
        <v>1215</v>
      </c>
      <c r="C1148" s="3" t="s">
        <v>1216</v>
      </c>
      <c r="D1148" s="4">
        <v>3200</v>
      </c>
    </row>
    <row r="1149" spans="1:8">
      <c r="A1149" s="69"/>
      <c r="B1149" s="69"/>
      <c r="C1149" s="5" t="s">
        <v>1217</v>
      </c>
      <c r="D1149" s="1">
        <v>3200</v>
      </c>
    </row>
    <row r="1150" spans="1:8">
      <c r="A1150" s="69"/>
      <c r="B1150" s="73" t="s">
        <v>1218</v>
      </c>
      <c r="C1150" s="3" t="s">
        <v>1219</v>
      </c>
      <c r="D1150" s="4">
        <v>4944.41</v>
      </c>
    </row>
    <row r="1151" spans="1:8">
      <c r="A1151" s="69"/>
      <c r="B1151" s="69"/>
      <c r="C1151" s="5" t="s">
        <v>323</v>
      </c>
      <c r="D1151" s="1">
        <v>4944.41</v>
      </c>
    </row>
    <row r="1152" spans="1:8">
      <c r="A1152" s="69"/>
      <c r="B1152" s="73" t="s">
        <v>400</v>
      </c>
      <c r="C1152" s="3" t="s">
        <v>401</v>
      </c>
      <c r="D1152" s="4">
        <v>10246.94</v>
      </c>
      <c r="F1152" s="4">
        <v>56144</v>
      </c>
    </row>
    <row r="1153" spans="1:7">
      <c r="A1153" s="69"/>
      <c r="B1153" s="69"/>
      <c r="C1153" s="5" t="s">
        <v>402</v>
      </c>
      <c r="D1153" s="1">
        <v>10246.94</v>
      </c>
      <c r="F1153" s="1">
        <v>56144</v>
      </c>
    </row>
    <row r="1154" spans="1:7">
      <c r="A1154" s="69"/>
      <c r="B1154" s="73" t="s">
        <v>159</v>
      </c>
      <c r="C1154" s="3" t="s">
        <v>160</v>
      </c>
      <c r="D1154" s="4">
        <v>1915.69</v>
      </c>
      <c r="F1154" s="4">
        <v>37259.51</v>
      </c>
    </row>
    <row r="1155" spans="1:7">
      <c r="A1155" s="69"/>
      <c r="B1155" s="69"/>
      <c r="C1155" s="5" t="s">
        <v>161</v>
      </c>
      <c r="D1155" s="1">
        <v>1915.69</v>
      </c>
      <c r="F1155" s="1">
        <v>37259.51</v>
      </c>
    </row>
    <row r="1156" spans="1:7">
      <c r="A1156" s="69"/>
      <c r="B1156" s="73" t="s">
        <v>291</v>
      </c>
      <c r="C1156" s="3" t="s">
        <v>292</v>
      </c>
      <c r="D1156" s="4">
        <v>13625.93</v>
      </c>
      <c r="F1156" s="4">
        <v>38298.58</v>
      </c>
    </row>
    <row r="1157" spans="1:7">
      <c r="A1157" s="69"/>
      <c r="B1157" s="69"/>
      <c r="C1157" s="5" t="s">
        <v>293</v>
      </c>
      <c r="D1157" s="1">
        <v>13625.93</v>
      </c>
      <c r="F1157" s="1">
        <v>38298.58</v>
      </c>
    </row>
    <row r="1158" spans="1:7">
      <c r="A1158" s="69"/>
      <c r="B1158" s="73" t="s">
        <v>1220</v>
      </c>
      <c r="C1158" s="3" t="s">
        <v>1221</v>
      </c>
      <c r="D1158" s="4">
        <v>19.690000000000001</v>
      </c>
    </row>
    <row r="1159" spans="1:7">
      <c r="A1159" s="69"/>
      <c r="B1159" s="69"/>
      <c r="C1159" s="5" t="s">
        <v>1222</v>
      </c>
      <c r="D1159" s="1">
        <v>19.690000000000001</v>
      </c>
    </row>
    <row r="1160" spans="1:7">
      <c r="A1160" s="69"/>
      <c r="B1160" s="73" t="s">
        <v>18</v>
      </c>
      <c r="C1160" s="3" t="s">
        <v>19</v>
      </c>
      <c r="D1160" s="4">
        <v>2326.5</v>
      </c>
      <c r="F1160" s="4">
        <v>4233.99</v>
      </c>
    </row>
    <row r="1161" spans="1:7">
      <c r="A1161" s="69"/>
      <c r="B1161" s="69"/>
      <c r="C1161" s="5" t="s">
        <v>20</v>
      </c>
      <c r="D1161" s="1">
        <v>2326.5</v>
      </c>
      <c r="F1161" s="1">
        <v>4233.99</v>
      </c>
    </row>
    <row r="1162" spans="1:7">
      <c r="A1162" s="69"/>
      <c r="B1162" s="73" t="s">
        <v>445</v>
      </c>
      <c r="C1162" s="3" t="s">
        <v>446</v>
      </c>
      <c r="D1162" s="4">
        <v>2987.12</v>
      </c>
      <c r="F1162" s="4">
        <v>80445.600000000006</v>
      </c>
      <c r="G1162" s="4">
        <v>220.1</v>
      </c>
    </row>
    <row r="1163" spans="1:7">
      <c r="A1163" s="69"/>
      <c r="B1163" s="69"/>
      <c r="C1163" s="5" t="s">
        <v>447</v>
      </c>
      <c r="D1163" s="1">
        <v>2987.12</v>
      </c>
      <c r="F1163" s="1">
        <v>80445.600000000006</v>
      </c>
      <c r="G1163" s="1">
        <v>220.1</v>
      </c>
    </row>
    <row r="1164" spans="1:7">
      <c r="A1164" s="69"/>
      <c r="B1164" s="73" t="s">
        <v>1223</v>
      </c>
      <c r="C1164" s="3" t="s">
        <v>1224</v>
      </c>
      <c r="D1164" s="4">
        <v>1070</v>
      </c>
    </row>
    <row r="1165" spans="1:7">
      <c r="A1165" s="69"/>
      <c r="B1165" s="69"/>
      <c r="C1165" s="5" t="s">
        <v>1225</v>
      </c>
      <c r="D1165" s="1">
        <v>1070</v>
      </c>
    </row>
    <row r="1166" spans="1:7">
      <c r="A1166" s="69"/>
      <c r="B1166" s="73" t="s">
        <v>1226</v>
      </c>
      <c r="C1166" s="3" t="s">
        <v>1227</v>
      </c>
      <c r="D1166" s="4">
        <v>19.690000000000001</v>
      </c>
    </row>
    <row r="1167" spans="1:7">
      <c r="A1167" s="69"/>
      <c r="B1167" s="69"/>
      <c r="C1167" s="5" t="s">
        <v>1228</v>
      </c>
      <c r="D1167" s="1">
        <v>19.690000000000001</v>
      </c>
    </row>
    <row r="1168" spans="1:7">
      <c r="A1168" s="69"/>
      <c r="B1168" s="73" t="s">
        <v>1229</v>
      </c>
      <c r="C1168" s="3" t="s">
        <v>1230</v>
      </c>
      <c r="D1168" s="4">
        <v>12182.2</v>
      </c>
    </row>
    <row r="1169" spans="1:7">
      <c r="A1169" s="69"/>
      <c r="B1169" s="69"/>
      <c r="C1169" s="5" t="s">
        <v>1231</v>
      </c>
      <c r="D1169" s="1">
        <v>12182.2</v>
      </c>
    </row>
    <row r="1170" spans="1:7">
      <c r="A1170" s="69"/>
      <c r="B1170" s="73" t="s">
        <v>72</v>
      </c>
      <c r="C1170" s="3" t="s">
        <v>73</v>
      </c>
      <c r="D1170" s="4">
        <v>3871.86</v>
      </c>
      <c r="F1170" s="4">
        <v>21972.45</v>
      </c>
    </row>
    <row r="1171" spans="1:7">
      <c r="A1171" s="69"/>
      <c r="B1171" s="69"/>
      <c r="C1171" s="5" t="s">
        <v>74</v>
      </c>
      <c r="D1171" s="1">
        <v>3871.86</v>
      </c>
      <c r="F1171" s="1">
        <v>21972.45</v>
      </c>
    </row>
    <row r="1172" spans="1:7">
      <c r="A1172" s="69"/>
      <c r="B1172" s="73" t="s">
        <v>430</v>
      </c>
      <c r="C1172" s="3" t="s">
        <v>431</v>
      </c>
      <c r="D1172" s="4">
        <v>5365.05</v>
      </c>
    </row>
    <row r="1173" spans="1:7">
      <c r="A1173" s="69"/>
      <c r="B1173" s="69"/>
      <c r="C1173" s="5" t="s">
        <v>432</v>
      </c>
      <c r="D1173" s="1">
        <v>5365.05</v>
      </c>
    </row>
    <row r="1174" spans="1:7">
      <c r="A1174" s="69"/>
      <c r="B1174" s="73" t="s">
        <v>132</v>
      </c>
      <c r="C1174" s="3" t="s">
        <v>133</v>
      </c>
      <c r="D1174" s="4">
        <v>10319.200000000001</v>
      </c>
      <c r="G1174" s="4">
        <v>602</v>
      </c>
    </row>
    <row r="1175" spans="1:7">
      <c r="A1175" s="69"/>
      <c r="B1175" s="69"/>
      <c r="C1175" s="5" t="s">
        <v>134</v>
      </c>
      <c r="D1175" s="1">
        <v>10319.200000000001</v>
      </c>
      <c r="G1175" s="1">
        <v>602</v>
      </c>
    </row>
    <row r="1176" spans="1:7">
      <c r="A1176" s="69"/>
      <c r="B1176" s="73" t="s">
        <v>459</v>
      </c>
      <c r="C1176" s="3" t="s">
        <v>460</v>
      </c>
      <c r="D1176" s="4">
        <v>17412.41</v>
      </c>
      <c r="F1176" s="4">
        <v>65262.23</v>
      </c>
    </row>
    <row r="1177" spans="1:7">
      <c r="A1177" s="69"/>
      <c r="B1177" s="69"/>
      <c r="C1177" s="5" t="s">
        <v>461</v>
      </c>
      <c r="D1177" s="1">
        <v>17412.41</v>
      </c>
      <c r="F1177" s="1">
        <v>65262.23</v>
      </c>
    </row>
    <row r="1178" spans="1:7">
      <c r="A1178" s="69"/>
      <c r="B1178" s="73" t="s">
        <v>887</v>
      </c>
      <c r="C1178" s="3" t="s">
        <v>888</v>
      </c>
      <c r="F1178" s="4">
        <v>611.4</v>
      </c>
    </row>
    <row r="1179" spans="1:7">
      <c r="A1179" s="69"/>
      <c r="B1179" s="69"/>
      <c r="C1179" s="5" t="s">
        <v>889</v>
      </c>
      <c r="F1179" s="1">
        <v>611.4</v>
      </c>
    </row>
    <row r="1180" spans="1:7">
      <c r="A1180" s="69"/>
      <c r="B1180" s="73" t="s">
        <v>1232</v>
      </c>
      <c r="C1180" s="3" t="s">
        <v>1233</v>
      </c>
      <c r="F1180" s="4">
        <v>1429.84</v>
      </c>
    </row>
    <row r="1181" spans="1:7">
      <c r="A1181" s="69"/>
      <c r="B1181" s="69"/>
      <c r="C1181" s="5" t="s">
        <v>1234</v>
      </c>
      <c r="F1181" s="1">
        <v>1429.84</v>
      </c>
    </row>
    <row r="1182" spans="1:7">
      <c r="A1182" s="69"/>
      <c r="B1182" s="73" t="s">
        <v>63</v>
      </c>
      <c r="C1182" s="3" t="s">
        <v>64</v>
      </c>
      <c r="D1182" s="4">
        <v>30729.81</v>
      </c>
      <c r="F1182" s="4">
        <v>117409.4</v>
      </c>
    </row>
    <row r="1183" spans="1:7">
      <c r="A1183" s="69"/>
      <c r="B1183" s="69"/>
      <c r="C1183" s="5" t="s">
        <v>65</v>
      </c>
      <c r="D1183" s="1">
        <v>30729.81</v>
      </c>
      <c r="F1183" s="1">
        <v>117409.4</v>
      </c>
    </row>
    <row r="1184" spans="1:7">
      <c r="A1184" s="69"/>
      <c r="B1184" s="73" t="s">
        <v>510</v>
      </c>
      <c r="C1184" s="3" t="s">
        <v>511</v>
      </c>
      <c r="D1184" s="4">
        <v>26293.24</v>
      </c>
      <c r="E1184" s="4">
        <v>678.5</v>
      </c>
      <c r="F1184" s="4">
        <v>57522.46</v>
      </c>
    </row>
    <row r="1185" spans="1:7">
      <c r="A1185" s="69"/>
      <c r="B1185" s="69"/>
      <c r="C1185" s="5" t="s">
        <v>512</v>
      </c>
      <c r="D1185" s="1">
        <v>26293.24</v>
      </c>
      <c r="E1185" s="1">
        <v>678.5</v>
      </c>
      <c r="F1185" s="1">
        <v>57522.46</v>
      </c>
    </row>
    <row r="1186" spans="1:7">
      <c r="A1186" s="69"/>
      <c r="B1186" s="73" t="s">
        <v>522</v>
      </c>
      <c r="C1186" s="3" t="s">
        <v>523</v>
      </c>
      <c r="D1186" s="4">
        <v>6470.17</v>
      </c>
      <c r="F1186" s="4">
        <v>8117.96</v>
      </c>
      <c r="G1186" s="4">
        <v>19.98</v>
      </c>
    </row>
    <row r="1187" spans="1:7">
      <c r="A1187" s="69"/>
      <c r="B1187" s="69"/>
      <c r="C1187" s="5" t="s">
        <v>524</v>
      </c>
      <c r="D1187" s="1">
        <v>6470.17</v>
      </c>
      <c r="F1187" s="1">
        <v>8117.96</v>
      </c>
      <c r="G1187" s="1">
        <v>19.98</v>
      </c>
    </row>
    <row r="1188" spans="1:7">
      <c r="A1188" s="69"/>
      <c r="B1188" s="73" t="s">
        <v>174</v>
      </c>
      <c r="C1188" s="3" t="s">
        <v>175</v>
      </c>
      <c r="D1188" s="4">
        <v>8617.89</v>
      </c>
      <c r="F1188" s="4">
        <v>14924.62</v>
      </c>
    </row>
    <row r="1189" spans="1:7">
      <c r="A1189" s="69"/>
      <c r="B1189" s="69"/>
      <c r="C1189" s="5" t="s">
        <v>176</v>
      </c>
      <c r="D1189" s="1">
        <v>8617.89</v>
      </c>
      <c r="F1189" s="1">
        <v>14924.62</v>
      </c>
    </row>
    <row r="1190" spans="1:7">
      <c r="A1190" s="69"/>
      <c r="B1190" s="73" t="s">
        <v>1235</v>
      </c>
      <c r="C1190" s="3" t="s">
        <v>1236</v>
      </c>
      <c r="F1190" s="4">
        <v>932.36</v>
      </c>
    </row>
    <row r="1191" spans="1:7">
      <c r="A1191" s="69"/>
      <c r="B1191" s="69"/>
      <c r="C1191" s="5" t="s">
        <v>1237</v>
      </c>
      <c r="F1191" s="1">
        <v>932.36</v>
      </c>
    </row>
    <row r="1192" spans="1:7">
      <c r="A1192" s="69"/>
      <c r="B1192" s="73" t="s">
        <v>48</v>
      </c>
      <c r="C1192" s="3" t="s">
        <v>49</v>
      </c>
      <c r="D1192" s="4">
        <v>4983.8599999999997</v>
      </c>
      <c r="F1192" s="4">
        <v>10805.63</v>
      </c>
    </row>
    <row r="1193" spans="1:7">
      <c r="A1193" s="69"/>
      <c r="B1193" s="69"/>
      <c r="C1193" s="5" t="s">
        <v>50</v>
      </c>
      <c r="D1193" s="1">
        <v>4983.8599999999997</v>
      </c>
      <c r="F1193" s="1">
        <v>10805.63</v>
      </c>
    </row>
    <row r="1194" spans="1:7">
      <c r="A1194" s="69"/>
      <c r="B1194" s="73" t="s">
        <v>84</v>
      </c>
      <c r="C1194" s="3" t="s">
        <v>85</v>
      </c>
      <c r="D1194" s="4">
        <v>7577.99</v>
      </c>
      <c r="F1194" s="4">
        <v>10374</v>
      </c>
    </row>
    <row r="1195" spans="1:7">
      <c r="A1195" s="69"/>
      <c r="B1195" s="69"/>
      <c r="C1195" s="5" t="s">
        <v>86</v>
      </c>
      <c r="D1195" s="1">
        <v>7577.99</v>
      </c>
      <c r="F1195" s="1">
        <v>10374</v>
      </c>
    </row>
    <row r="1196" spans="1:7">
      <c r="A1196" s="69"/>
      <c r="B1196" s="73" t="s">
        <v>303</v>
      </c>
      <c r="C1196" s="3" t="s">
        <v>304</v>
      </c>
      <c r="D1196" s="4">
        <v>9898.4599999999991</v>
      </c>
      <c r="F1196" s="4">
        <v>5086.5</v>
      </c>
    </row>
    <row r="1197" spans="1:7">
      <c r="A1197" s="69"/>
      <c r="B1197" s="69"/>
      <c r="C1197" s="5" t="s">
        <v>305</v>
      </c>
      <c r="D1197" s="1">
        <v>9898.4599999999991</v>
      </c>
      <c r="F1197" s="1">
        <v>5086.5</v>
      </c>
    </row>
    <row r="1198" spans="1:7">
      <c r="A1198" s="69"/>
      <c r="B1198" s="73" t="s">
        <v>195</v>
      </c>
      <c r="C1198" s="3" t="s">
        <v>196</v>
      </c>
      <c r="D1198" s="4">
        <v>6771.67</v>
      </c>
      <c r="F1198" s="4">
        <v>37887.99</v>
      </c>
    </row>
    <row r="1199" spans="1:7">
      <c r="A1199" s="69"/>
      <c r="B1199" s="69"/>
      <c r="C1199" s="5" t="s">
        <v>197</v>
      </c>
      <c r="D1199" s="1">
        <v>6771.67</v>
      </c>
      <c r="F1199" s="1">
        <v>37887.99</v>
      </c>
    </row>
    <row r="1200" spans="1:7">
      <c r="A1200" s="69"/>
      <c r="B1200" s="73" t="s">
        <v>1238</v>
      </c>
      <c r="C1200" s="3" t="s">
        <v>1239</v>
      </c>
      <c r="F1200" s="4">
        <v>-1319.51</v>
      </c>
    </row>
    <row r="1201" spans="1:7">
      <c r="A1201" s="69"/>
      <c r="B1201" s="69"/>
      <c r="C1201" s="5" t="s">
        <v>1240</v>
      </c>
      <c r="F1201" s="1">
        <v>-1319.51</v>
      </c>
    </row>
    <row r="1202" spans="1:7">
      <c r="A1202" s="69"/>
      <c r="B1202" s="73" t="s">
        <v>1241</v>
      </c>
      <c r="C1202" s="3" t="s">
        <v>1242</v>
      </c>
      <c r="F1202" s="4">
        <v>2389.29</v>
      </c>
    </row>
    <row r="1203" spans="1:7">
      <c r="A1203" s="69"/>
      <c r="B1203" s="69"/>
      <c r="C1203" s="5" t="s">
        <v>1243</v>
      </c>
      <c r="F1203" s="1">
        <v>2389.29</v>
      </c>
    </row>
    <row r="1204" spans="1:7">
      <c r="A1204" s="69"/>
      <c r="B1204" s="73" t="s">
        <v>309</v>
      </c>
      <c r="C1204" s="3" t="s">
        <v>310</v>
      </c>
      <c r="D1204" s="4">
        <v>1986.33</v>
      </c>
      <c r="E1204" s="4">
        <v>62.01</v>
      </c>
      <c r="F1204" s="4">
        <v>3863.17</v>
      </c>
    </row>
    <row r="1205" spans="1:7">
      <c r="A1205" s="69"/>
      <c r="B1205" s="69"/>
      <c r="C1205" s="5" t="s">
        <v>311</v>
      </c>
      <c r="D1205" s="1">
        <v>1986.33</v>
      </c>
      <c r="E1205" s="1">
        <v>62.01</v>
      </c>
      <c r="F1205" s="1">
        <v>3863.17</v>
      </c>
    </row>
    <row r="1206" spans="1:7">
      <c r="A1206" s="69"/>
      <c r="B1206" s="73" t="s">
        <v>711</v>
      </c>
      <c r="C1206" s="3" t="s">
        <v>712</v>
      </c>
      <c r="E1206" s="4">
        <v>384.54</v>
      </c>
    </row>
    <row r="1207" spans="1:7">
      <c r="A1207" s="69"/>
      <c r="B1207" s="69"/>
      <c r="C1207" s="5" t="s">
        <v>713</v>
      </c>
      <c r="E1207" s="1">
        <v>384.54</v>
      </c>
    </row>
    <row r="1208" spans="1:7">
      <c r="A1208" s="69"/>
      <c r="B1208" s="73" t="s">
        <v>1244</v>
      </c>
      <c r="C1208" s="3" t="s">
        <v>1245</v>
      </c>
      <c r="G1208" s="4">
        <v>20.805</v>
      </c>
    </row>
    <row r="1209" spans="1:7">
      <c r="A1209" s="69"/>
      <c r="B1209" s="69"/>
      <c r="C1209" s="5" t="s">
        <v>1246</v>
      </c>
      <c r="G1209" s="1">
        <v>20.805</v>
      </c>
    </row>
    <row r="1210" spans="1:7">
      <c r="A1210" s="69"/>
      <c r="B1210" s="73" t="s">
        <v>717</v>
      </c>
      <c r="C1210" s="3" t="s">
        <v>718</v>
      </c>
      <c r="G1210" s="4">
        <v>211.92</v>
      </c>
    </row>
    <row r="1211" spans="1:7">
      <c r="A1211" s="69"/>
      <c r="B1211" s="69"/>
      <c r="C1211" s="5" t="s">
        <v>719</v>
      </c>
      <c r="G1211" s="1">
        <v>211.92</v>
      </c>
    </row>
    <row r="1212" spans="1:7">
      <c r="A1212" s="69"/>
      <c r="B1212" s="73" t="s">
        <v>409</v>
      </c>
      <c r="C1212" s="3" t="s">
        <v>410</v>
      </c>
      <c r="D1212" s="4">
        <v>4615.67</v>
      </c>
      <c r="F1212" s="4">
        <v>19995.96</v>
      </c>
      <c r="G1212" s="4">
        <v>44.02</v>
      </c>
    </row>
    <row r="1213" spans="1:7">
      <c r="A1213" s="69"/>
      <c r="B1213" s="69"/>
      <c r="C1213" s="5" t="s">
        <v>411</v>
      </c>
      <c r="D1213" s="1">
        <v>4615.67</v>
      </c>
      <c r="F1213" s="1">
        <v>19995.96</v>
      </c>
      <c r="G1213" s="1">
        <v>44.02</v>
      </c>
    </row>
    <row r="1214" spans="1:7">
      <c r="A1214" s="69"/>
      <c r="B1214" s="73" t="s">
        <v>786</v>
      </c>
      <c r="C1214" s="3" t="s">
        <v>787</v>
      </c>
      <c r="D1214" s="4">
        <v>2300</v>
      </c>
      <c r="F1214" s="4">
        <v>113638.32</v>
      </c>
      <c r="G1214" s="4">
        <v>905.375</v>
      </c>
    </row>
    <row r="1215" spans="1:7">
      <c r="A1215" s="69"/>
      <c r="B1215" s="69"/>
      <c r="C1215" s="5" t="s">
        <v>788</v>
      </c>
      <c r="D1215" s="1">
        <v>2300</v>
      </c>
      <c r="F1215" s="1">
        <v>113638.32</v>
      </c>
      <c r="G1215" s="1">
        <v>905.375</v>
      </c>
    </row>
    <row r="1216" spans="1:7">
      <c r="A1216" s="69"/>
      <c r="B1216" s="73" t="s">
        <v>483</v>
      </c>
      <c r="C1216" s="3" t="s">
        <v>484</v>
      </c>
      <c r="D1216" s="4">
        <v>1954.67</v>
      </c>
      <c r="F1216" s="4">
        <v>5077.67</v>
      </c>
      <c r="G1216" s="4">
        <v>592.55999999999995</v>
      </c>
    </row>
    <row r="1217" spans="1:7">
      <c r="A1217" s="69"/>
      <c r="B1217" s="69"/>
      <c r="C1217" s="5" t="s">
        <v>485</v>
      </c>
      <c r="D1217" s="1">
        <v>1954.67</v>
      </c>
      <c r="F1217" s="1">
        <v>5077.67</v>
      </c>
      <c r="G1217" s="1">
        <v>592.55999999999995</v>
      </c>
    </row>
    <row r="1218" spans="1:7">
      <c r="A1218" s="69"/>
      <c r="B1218" s="73" t="s">
        <v>442</v>
      </c>
      <c r="C1218" s="3" t="s">
        <v>443</v>
      </c>
      <c r="D1218" s="4">
        <v>683.03</v>
      </c>
      <c r="G1218" s="4">
        <v>5588.38</v>
      </c>
    </row>
    <row r="1219" spans="1:7">
      <c r="A1219" s="69"/>
      <c r="B1219" s="69"/>
      <c r="C1219" s="5" t="s">
        <v>444</v>
      </c>
      <c r="D1219" s="1">
        <v>683.03</v>
      </c>
      <c r="G1219" s="1">
        <v>5588.38</v>
      </c>
    </row>
    <row r="1220" spans="1:7">
      <c r="A1220" s="69"/>
      <c r="B1220" s="73" t="s">
        <v>480</v>
      </c>
      <c r="C1220" s="3" t="s">
        <v>481</v>
      </c>
      <c r="D1220" s="4">
        <v>42380.959999999999</v>
      </c>
      <c r="E1220" s="4">
        <v>10.84</v>
      </c>
      <c r="G1220" s="4">
        <v>565.04999999999995</v>
      </c>
    </row>
    <row r="1221" spans="1:7">
      <c r="A1221" s="69"/>
      <c r="B1221" s="69"/>
      <c r="C1221" s="5" t="s">
        <v>482</v>
      </c>
      <c r="D1221" s="1">
        <v>42380.959999999999</v>
      </c>
      <c r="E1221" s="1">
        <v>10.84</v>
      </c>
      <c r="G1221" s="1">
        <v>565.04999999999995</v>
      </c>
    </row>
    <row r="1222" spans="1:7">
      <c r="A1222" s="69"/>
      <c r="B1222" s="73" t="s">
        <v>588</v>
      </c>
      <c r="C1222" s="3" t="s">
        <v>589</v>
      </c>
      <c r="D1222" s="4">
        <v>1845.58</v>
      </c>
      <c r="G1222" s="4">
        <v>548.84</v>
      </c>
    </row>
    <row r="1223" spans="1:7">
      <c r="A1223" s="69"/>
      <c r="B1223" s="69"/>
      <c r="C1223" s="5" t="s">
        <v>590</v>
      </c>
      <c r="D1223" s="1">
        <v>1845.58</v>
      </c>
      <c r="G1223" s="1">
        <v>548.84</v>
      </c>
    </row>
    <row r="1224" spans="1:7">
      <c r="A1224" s="69"/>
      <c r="B1224" s="73" t="s">
        <v>489</v>
      </c>
      <c r="C1224" s="3" t="s">
        <v>490</v>
      </c>
      <c r="D1224" s="4">
        <v>30485.040000000001</v>
      </c>
      <c r="G1224" s="4">
        <v>177.89</v>
      </c>
    </row>
    <row r="1225" spans="1:7">
      <c r="A1225" s="69"/>
      <c r="B1225" s="69"/>
      <c r="C1225" s="5" t="s">
        <v>491</v>
      </c>
      <c r="D1225" s="1">
        <v>30485.040000000001</v>
      </c>
      <c r="G1225" s="1">
        <v>177.89</v>
      </c>
    </row>
    <row r="1226" spans="1:7">
      <c r="A1226" s="69"/>
      <c r="B1226" s="73" t="s">
        <v>495</v>
      </c>
      <c r="C1226" s="3" t="s">
        <v>496</v>
      </c>
      <c r="D1226" s="4">
        <v>1728.71</v>
      </c>
      <c r="G1226" s="4">
        <v>418.76</v>
      </c>
    </row>
    <row r="1227" spans="1:7">
      <c r="A1227" s="69"/>
      <c r="B1227" s="69"/>
      <c r="C1227" s="5" t="s">
        <v>497</v>
      </c>
      <c r="D1227" s="1">
        <v>1728.71</v>
      </c>
      <c r="G1227" s="1">
        <v>418.76</v>
      </c>
    </row>
    <row r="1228" spans="1:7">
      <c r="A1228" s="69"/>
      <c r="B1228" s="73" t="s">
        <v>474</v>
      </c>
      <c r="C1228" s="3" t="s">
        <v>475</v>
      </c>
      <c r="D1228" s="4">
        <v>3226.16</v>
      </c>
      <c r="G1228" s="4">
        <v>361.2</v>
      </c>
    </row>
    <row r="1229" spans="1:7">
      <c r="A1229" s="69"/>
      <c r="B1229" s="69"/>
      <c r="C1229" s="5" t="s">
        <v>476</v>
      </c>
      <c r="D1229" s="1">
        <v>3226.16</v>
      </c>
      <c r="G1229" s="1">
        <v>361.2</v>
      </c>
    </row>
    <row r="1230" spans="1:7">
      <c r="A1230" s="69"/>
      <c r="B1230" s="73" t="s">
        <v>753</v>
      </c>
      <c r="C1230" s="3" t="s">
        <v>754</v>
      </c>
      <c r="D1230" s="4">
        <v>49819.91</v>
      </c>
      <c r="G1230" s="4">
        <v>1191.8800000000001</v>
      </c>
    </row>
    <row r="1231" spans="1:7">
      <c r="A1231" s="69"/>
      <c r="B1231" s="69"/>
      <c r="C1231" s="5" t="s">
        <v>755</v>
      </c>
      <c r="D1231" s="1">
        <v>49819.91</v>
      </c>
      <c r="G1231" s="1">
        <v>1191.8800000000001</v>
      </c>
    </row>
    <row r="1232" spans="1:7">
      <c r="A1232" s="69"/>
      <c r="B1232" s="73" t="s">
        <v>436</v>
      </c>
      <c r="C1232" s="3" t="s">
        <v>437</v>
      </c>
      <c r="D1232" s="4">
        <v>18233.509999999998</v>
      </c>
      <c r="G1232" s="4">
        <v>586.86</v>
      </c>
    </row>
    <row r="1233" spans="1:8">
      <c r="A1233" s="69"/>
      <c r="B1233" s="69"/>
      <c r="C1233" s="5" t="s">
        <v>438</v>
      </c>
      <c r="D1233" s="1">
        <v>18233.509999999998</v>
      </c>
      <c r="G1233" s="1">
        <v>586.86</v>
      </c>
    </row>
    <row r="1234" spans="1:8">
      <c r="A1234" s="69"/>
      <c r="B1234" s="73" t="s">
        <v>848</v>
      </c>
      <c r="C1234" s="3" t="s">
        <v>849</v>
      </c>
      <c r="G1234" s="4">
        <v>894.32500000000005</v>
      </c>
      <c r="H1234" s="4">
        <v>629.14</v>
      </c>
    </row>
    <row r="1235" spans="1:8">
      <c r="A1235" s="69"/>
      <c r="B1235" s="69"/>
      <c r="C1235" s="5" t="s">
        <v>850</v>
      </c>
      <c r="G1235" s="1">
        <v>894.32500000000005</v>
      </c>
      <c r="H1235" s="1">
        <v>629.14</v>
      </c>
    </row>
    <row r="1236" spans="1:8">
      <c r="A1236" s="69"/>
      <c r="B1236" s="73" t="s">
        <v>1247</v>
      </c>
      <c r="C1236" s="3" t="s">
        <v>1248</v>
      </c>
      <c r="E1236" s="4">
        <v>649.59</v>
      </c>
      <c r="G1236" s="4">
        <v>91.064999999999998</v>
      </c>
      <c r="H1236" s="4">
        <v>92.07</v>
      </c>
    </row>
    <row r="1237" spans="1:8">
      <c r="A1237" s="69"/>
      <c r="B1237" s="69"/>
      <c r="C1237" s="5" t="s">
        <v>1249</v>
      </c>
      <c r="E1237" s="1">
        <v>649.59</v>
      </c>
      <c r="G1237" s="1">
        <v>91.064999999999998</v>
      </c>
      <c r="H1237" s="1">
        <v>92.07</v>
      </c>
    </row>
    <row r="1238" spans="1:8">
      <c r="A1238" s="69"/>
      <c r="B1238" s="73" t="s">
        <v>513</v>
      </c>
      <c r="C1238" s="3" t="s">
        <v>514</v>
      </c>
      <c r="D1238" s="4">
        <v>10143.19</v>
      </c>
      <c r="F1238" s="4">
        <v>29847.49</v>
      </c>
    </row>
    <row r="1239" spans="1:8">
      <c r="A1239" s="69"/>
      <c r="B1239" s="69"/>
      <c r="C1239" s="5" t="s">
        <v>515</v>
      </c>
      <c r="D1239" s="1">
        <v>10143.19</v>
      </c>
      <c r="F1239" s="1">
        <v>29847.49</v>
      </c>
    </row>
    <row r="1240" spans="1:8">
      <c r="A1240" s="69"/>
      <c r="B1240" s="73" t="s">
        <v>528</v>
      </c>
      <c r="C1240" s="3" t="s">
        <v>529</v>
      </c>
      <c r="D1240" s="4">
        <v>22758.58</v>
      </c>
      <c r="F1240" s="4">
        <v>31830.27</v>
      </c>
    </row>
    <row r="1241" spans="1:8">
      <c r="A1241" s="69"/>
      <c r="B1241" s="69"/>
      <c r="C1241" s="5" t="s">
        <v>530</v>
      </c>
      <c r="D1241" s="1">
        <v>22758.58</v>
      </c>
      <c r="F1241" s="1">
        <v>31830.27</v>
      </c>
    </row>
    <row r="1242" spans="1:8">
      <c r="A1242" s="69"/>
      <c r="B1242" s="73" t="s">
        <v>222</v>
      </c>
      <c r="C1242" s="3" t="s">
        <v>223</v>
      </c>
      <c r="D1242" s="4">
        <v>494</v>
      </c>
    </row>
    <row r="1243" spans="1:8">
      <c r="A1243" s="69"/>
      <c r="B1243" s="69"/>
      <c r="C1243" s="5" t="s">
        <v>224</v>
      </c>
      <c r="D1243" s="1">
        <v>494</v>
      </c>
    </row>
    <row r="1244" spans="1:8">
      <c r="A1244" s="69"/>
      <c r="B1244" s="73" t="s">
        <v>231</v>
      </c>
      <c r="C1244" s="3" t="s">
        <v>232</v>
      </c>
      <c r="D1244" s="4">
        <v>8635.08</v>
      </c>
      <c r="F1244" s="4">
        <v>49687.5</v>
      </c>
    </row>
    <row r="1245" spans="1:8">
      <c r="A1245" s="69"/>
      <c r="B1245" s="69"/>
      <c r="C1245" s="5" t="s">
        <v>233</v>
      </c>
      <c r="D1245" s="1">
        <v>8635.08</v>
      </c>
      <c r="F1245" s="1">
        <v>49687.5</v>
      </c>
    </row>
    <row r="1246" spans="1:8">
      <c r="A1246" s="69"/>
      <c r="B1246" s="73" t="s">
        <v>1250</v>
      </c>
      <c r="C1246" s="3" t="s">
        <v>1251</v>
      </c>
      <c r="D1246" s="4">
        <v>5365.69</v>
      </c>
      <c r="F1246" s="4">
        <v>30000</v>
      </c>
    </row>
    <row r="1247" spans="1:8">
      <c r="A1247" s="69"/>
      <c r="B1247" s="69"/>
      <c r="C1247" s="5" t="s">
        <v>1252</v>
      </c>
      <c r="D1247" s="1">
        <v>5365.69</v>
      </c>
      <c r="F1247" s="1">
        <v>30000</v>
      </c>
    </row>
    <row r="1248" spans="1:8">
      <c r="A1248" s="69"/>
      <c r="B1248" s="73" t="s">
        <v>654</v>
      </c>
      <c r="C1248" s="3" t="s">
        <v>655</v>
      </c>
      <c r="D1248" s="4">
        <v>7564.75</v>
      </c>
      <c r="F1248" s="4">
        <v>11120.69</v>
      </c>
    </row>
    <row r="1249" spans="1:6">
      <c r="A1249" s="69"/>
      <c r="B1249" s="69"/>
      <c r="C1249" s="5" t="s">
        <v>656</v>
      </c>
      <c r="D1249" s="1">
        <v>7564.75</v>
      </c>
      <c r="F1249" s="1">
        <v>11120.69</v>
      </c>
    </row>
    <row r="1250" spans="1:6">
      <c r="A1250" s="69"/>
      <c r="B1250" s="73" t="s">
        <v>696</v>
      </c>
      <c r="C1250" s="3" t="s">
        <v>697</v>
      </c>
      <c r="D1250" s="4">
        <v>12435.24</v>
      </c>
      <c r="F1250" s="4">
        <v>36099.699999999997</v>
      </c>
    </row>
    <row r="1251" spans="1:6">
      <c r="A1251" s="69"/>
      <c r="B1251" s="69"/>
      <c r="C1251" s="5" t="s">
        <v>698</v>
      </c>
      <c r="D1251" s="1">
        <v>12435.24</v>
      </c>
      <c r="F1251" s="1">
        <v>36099.699999999997</v>
      </c>
    </row>
    <row r="1252" spans="1:6">
      <c r="A1252" s="69"/>
      <c r="B1252" s="73" t="s">
        <v>729</v>
      </c>
      <c r="C1252" s="3" t="s">
        <v>730</v>
      </c>
      <c r="D1252" s="4">
        <v>3226.59</v>
      </c>
      <c r="F1252" s="4">
        <v>11851.5</v>
      </c>
    </row>
    <row r="1253" spans="1:6">
      <c r="A1253" s="69"/>
      <c r="B1253" s="69"/>
      <c r="C1253" s="5" t="s">
        <v>731</v>
      </c>
      <c r="D1253" s="1">
        <v>3226.59</v>
      </c>
      <c r="F1253" s="1">
        <v>11851.5</v>
      </c>
    </row>
    <row r="1254" spans="1:6">
      <c r="A1254" s="69"/>
      <c r="B1254" s="73" t="s">
        <v>90</v>
      </c>
      <c r="C1254" s="3" t="s">
        <v>91</v>
      </c>
      <c r="D1254" s="4">
        <v>308.24</v>
      </c>
    </row>
    <row r="1255" spans="1:6">
      <c r="A1255" s="69"/>
      <c r="B1255" s="69"/>
      <c r="C1255" s="5" t="s">
        <v>92</v>
      </c>
      <c r="D1255" s="1">
        <v>308.24</v>
      </c>
    </row>
    <row r="1256" spans="1:6">
      <c r="A1256" s="69"/>
      <c r="B1256" s="73" t="s">
        <v>54</v>
      </c>
      <c r="C1256" s="3" t="s">
        <v>55</v>
      </c>
      <c r="D1256" s="4">
        <v>9380.3700000000008</v>
      </c>
      <c r="F1256" s="4">
        <v>25289.66</v>
      </c>
    </row>
    <row r="1257" spans="1:6">
      <c r="A1257" s="69"/>
      <c r="B1257" s="69"/>
      <c r="C1257" s="5" t="s">
        <v>56</v>
      </c>
      <c r="D1257" s="1">
        <v>9380.3700000000008</v>
      </c>
      <c r="F1257" s="1">
        <v>25289.66</v>
      </c>
    </row>
    <row r="1258" spans="1:6">
      <c r="A1258" s="69"/>
      <c r="B1258" s="73" t="s">
        <v>120</v>
      </c>
      <c r="C1258" s="3" t="s">
        <v>121</v>
      </c>
      <c r="D1258" s="4">
        <v>38865.46</v>
      </c>
      <c r="F1258" s="4">
        <v>5701.58</v>
      </c>
    </row>
    <row r="1259" spans="1:6">
      <c r="A1259" s="69"/>
      <c r="B1259" s="69"/>
      <c r="C1259" s="5" t="s">
        <v>122</v>
      </c>
      <c r="D1259" s="1">
        <v>38865.46</v>
      </c>
      <c r="F1259" s="1">
        <v>5701.58</v>
      </c>
    </row>
    <row r="1260" spans="1:6">
      <c r="A1260" s="69"/>
      <c r="B1260" s="73" t="s">
        <v>403</v>
      </c>
      <c r="C1260" s="3" t="s">
        <v>404</v>
      </c>
      <c r="D1260" s="4">
        <v>2856</v>
      </c>
      <c r="F1260" s="4">
        <v>37873.57</v>
      </c>
    </row>
    <row r="1261" spans="1:6">
      <c r="A1261" s="69"/>
      <c r="B1261" s="69"/>
      <c r="C1261" s="5" t="s">
        <v>405</v>
      </c>
      <c r="D1261" s="1">
        <v>2856</v>
      </c>
      <c r="F1261" s="1">
        <v>37873.57</v>
      </c>
    </row>
    <row r="1262" spans="1:6">
      <c r="A1262" s="69"/>
      <c r="B1262" s="73" t="s">
        <v>264</v>
      </c>
      <c r="C1262" s="3" t="s">
        <v>265</v>
      </c>
      <c r="D1262" s="4">
        <v>5867.24</v>
      </c>
      <c r="F1262" s="4">
        <v>8103.62</v>
      </c>
    </row>
    <row r="1263" spans="1:6">
      <c r="A1263" s="69"/>
      <c r="B1263" s="69"/>
      <c r="C1263" s="5" t="s">
        <v>266</v>
      </c>
      <c r="D1263" s="1">
        <v>5867.24</v>
      </c>
      <c r="F1263" s="1">
        <v>8103.62</v>
      </c>
    </row>
    <row r="1264" spans="1:6">
      <c r="A1264" s="69"/>
      <c r="B1264" s="73" t="s">
        <v>558</v>
      </c>
      <c r="C1264" s="3" t="s">
        <v>559</v>
      </c>
      <c r="D1264" s="4">
        <v>4957</v>
      </c>
      <c r="F1264" s="4">
        <v>9608.33</v>
      </c>
    </row>
    <row r="1265" spans="1:6">
      <c r="A1265" s="69"/>
      <c r="B1265" s="69"/>
      <c r="C1265" s="5" t="s">
        <v>560</v>
      </c>
      <c r="D1265" s="1">
        <v>4957</v>
      </c>
      <c r="F1265" s="1">
        <v>9608.33</v>
      </c>
    </row>
    <row r="1266" spans="1:6">
      <c r="A1266" s="69"/>
      <c r="B1266" s="73" t="s">
        <v>1253</v>
      </c>
      <c r="C1266" s="3" t="s">
        <v>1254</v>
      </c>
      <c r="F1266" s="4">
        <v>232.17</v>
      </c>
    </row>
    <row r="1267" spans="1:6">
      <c r="A1267" s="69"/>
      <c r="B1267" s="69"/>
      <c r="C1267" s="5" t="s">
        <v>1255</v>
      </c>
      <c r="F1267" s="1">
        <v>232.17</v>
      </c>
    </row>
    <row r="1268" spans="1:6">
      <c r="A1268" s="69"/>
      <c r="B1268" s="73" t="s">
        <v>1256</v>
      </c>
      <c r="C1268" s="3" t="s">
        <v>1257</v>
      </c>
      <c r="F1268" s="4">
        <v>454.59</v>
      </c>
    </row>
    <row r="1269" spans="1:6">
      <c r="A1269" s="69"/>
      <c r="B1269" s="69"/>
      <c r="C1269" s="5" t="s">
        <v>1258</v>
      </c>
      <c r="F1269" s="1">
        <v>454.59</v>
      </c>
    </row>
    <row r="1270" spans="1:6">
      <c r="A1270" s="69"/>
      <c r="B1270" s="73" t="s">
        <v>321</v>
      </c>
      <c r="C1270" s="3" t="s">
        <v>322</v>
      </c>
      <c r="F1270" s="4">
        <v>40666.6</v>
      </c>
    </row>
    <row r="1271" spans="1:6">
      <c r="A1271" s="69"/>
      <c r="B1271" s="69"/>
      <c r="C1271" s="5" t="s">
        <v>323</v>
      </c>
      <c r="F1271" s="1">
        <v>40666.6</v>
      </c>
    </row>
    <row r="1272" spans="1:6">
      <c r="A1272" s="69"/>
      <c r="B1272" s="73" t="s">
        <v>60</v>
      </c>
      <c r="C1272" s="3" t="s">
        <v>61</v>
      </c>
      <c r="D1272" s="4">
        <v>10135.030000000001</v>
      </c>
      <c r="F1272" s="4">
        <v>668736.82999999996</v>
      </c>
    </row>
    <row r="1273" spans="1:6">
      <c r="A1273" s="69"/>
      <c r="B1273" s="69"/>
      <c r="C1273" s="5" t="s">
        <v>62</v>
      </c>
      <c r="D1273" s="1">
        <v>10135.030000000001</v>
      </c>
      <c r="F1273" s="1">
        <v>668736.82999999996</v>
      </c>
    </row>
    <row r="1274" spans="1:6">
      <c r="A1274" s="69"/>
      <c r="B1274" s="73" t="s">
        <v>866</v>
      </c>
      <c r="C1274" s="3" t="s">
        <v>867</v>
      </c>
      <c r="F1274" s="4">
        <v>37628.04</v>
      </c>
    </row>
    <row r="1275" spans="1:6">
      <c r="A1275" s="69"/>
      <c r="B1275" s="69"/>
      <c r="C1275" s="5" t="s">
        <v>868</v>
      </c>
      <c r="F1275" s="1">
        <v>37628.04</v>
      </c>
    </row>
    <row r="1276" spans="1:6">
      <c r="A1276" s="69"/>
      <c r="B1276" s="73" t="s">
        <v>783</v>
      </c>
      <c r="C1276" s="3" t="s">
        <v>784</v>
      </c>
      <c r="D1276" s="4">
        <v>529</v>
      </c>
      <c r="F1276" s="4">
        <v>24760.560000000001</v>
      </c>
    </row>
    <row r="1277" spans="1:6">
      <c r="A1277" s="69"/>
      <c r="B1277" s="69"/>
      <c r="C1277" s="5" t="s">
        <v>785</v>
      </c>
      <c r="D1277" s="1">
        <v>529</v>
      </c>
      <c r="F1277" s="1">
        <v>24760.560000000001</v>
      </c>
    </row>
    <row r="1278" spans="1:6">
      <c r="A1278" s="69"/>
      <c r="B1278" s="73" t="s">
        <v>1259</v>
      </c>
      <c r="C1278" s="3" t="s">
        <v>1260</v>
      </c>
      <c r="D1278" s="4">
        <v>10651.27</v>
      </c>
    </row>
    <row r="1279" spans="1:6">
      <c r="A1279" s="69"/>
      <c r="B1279" s="69"/>
      <c r="C1279" s="5" t="s">
        <v>1261</v>
      </c>
      <c r="D1279" s="1">
        <v>10651.27</v>
      </c>
    </row>
    <row r="1280" spans="1:6">
      <c r="A1280" s="69"/>
      <c r="B1280" s="73" t="s">
        <v>537</v>
      </c>
      <c r="C1280" s="3" t="s">
        <v>538</v>
      </c>
      <c r="D1280" s="4">
        <v>2270.16</v>
      </c>
      <c r="F1280" s="4">
        <v>40959.24</v>
      </c>
    </row>
    <row r="1281" spans="1:7">
      <c r="A1281" s="69"/>
      <c r="B1281" s="69"/>
      <c r="C1281" s="5" t="s">
        <v>539</v>
      </c>
      <c r="D1281" s="1">
        <v>2270.16</v>
      </c>
      <c r="F1281" s="1">
        <v>40959.24</v>
      </c>
    </row>
    <row r="1282" spans="1:7">
      <c r="A1282" s="69"/>
      <c r="B1282" s="73" t="s">
        <v>171</v>
      </c>
      <c r="C1282" s="3" t="s">
        <v>172</v>
      </c>
      <c r="D1282" s="4">
        <v>4926.42</v>
      </c>
      <c r="E1282" s="4">
        <v>304.8</v>
      </c>
      <c r="F1282" s="4">
        <v>16156.88</v>
      </c>
    </row>
    <row r="1283" spans="1:7">
      <c r="A1283" s="69"/>
      <c r="B1283" s="69"/>
      <c r="C1283" s="5" t="s">
        <v>173</v>
      </c>
      <c r="D1283" s="1">
        <v>4926.42</v>
      </c>
      <c r="E1283" s="1">
        <v>304.8</v>
      </c>
      <c r="F1283" s="1">
        <v>16156.88</v>
      </c>
    </row>
    <row r="1284" spans="1:7">
      <c r="A1284" s="69"/>
      <c r="B1284" s="73" t="s">
        <v>379</v>
      </c>
      <c r="C1284" s="3" t="s">
        <v>380</v>
      </c>
      <c r="D1284" s="4">
        <v>2260</v>
      </c>
      <c r="F1284" s="4">
        <v>5046.32</v>
      </c>
    </row>
    <row r="1285" spans="1:7">
      <c r="A1285" s="69"/>
      <c r="B1285" s="69"/>
      <c r="C1285" s="5" t="s">
        <v>381</v>
      </c>
      <c r="D1285" s="1">
        <v>2260</v>
      </c>
      <c r="F1285" s="1">
        <v>5046.32</v>
      </c>
    </row>
    <row r="1286" spans="1:7">
      <c r="A1286" s="69"/>
      <c r="B1286" s="73" t="s">
        <v>609</v>
      </c>
      <c r="C1286" s="3" t="s">
        <v>610</v>
      </c>
      <c r="D1286" s="4">
        <v>2958.45</v>
      </c>
      <c r="F1286" s="4">
        <v>6700.65</v>
      </c>
    </row>
    <row r="1287" spans="1:7">
      <c r="A1287" s="69"/>
      <c r="B1287" s="69"/>
      <c r="C1287" s="5" t="s">
        <v>611</v>
      </c>
      <c r="D1287" s="1">
        <v>2958.45</v>
      </c>
      <c r="F1287" s="1">
        <v>6700.65</v>
      </c>
    </row>
    <row r="1288" spans="1:7">
      <c r="A1288" s="69"/>
      <c r="B1288" s="73" t="s">
        <v>1262</v>
      </c>
      <c r="C1288" s="3" t="s">
        <v>1263</v>
      </c>
      <c r="F1288" s="4">
        <v>1050.71</v>
      </c>
    </row>
    <row r="1289" spans="1:7">
      <c r="A1289" s="69"/>
      <c r="B1289" s="69"/>
      <c r="C1289" s="5" t="s">
        <v>1264</v>
      </c>
      <c r="F1289" s="1">
        <v>1050.71</v>
      </c>
    </row>
    <row r="1290" spans="1:7">
      <c r="A1290" s="69"/>
      <c r="B1290" s="73" t="s">
        <v>1265</v>
      </c>
      <c r="C1290" s="3" t="s">
        <v>1266</v>
      </c>
      <c r="E1290" s="4">
        <v>132.36000000000001</v>
      </c>
    </row>
    <row r="1291" spans="1:7">
      <c r="A1291" s="69"/>
      <c r="B1291" s="69"/>
      <c r="C1291" s="5" t="s">
        <v>1267</v>
      </c>
      <c r="E1291" s="1">
        <v>132.36000000000001</v>
      </c>
    </row>
    <row r="1292" spans="1:7">
      <c r="A1292" s="69"/>
      <c r="B1292" s="73" t="s">
        <v>219</v>
      </c>
      <c r="C1292" s="3" t="s">
        <v>220</v>
      </c>
      <c r="E1292" s="4">
        <v>184.12</v>
      </c>
    </row>
    <row r="1293" spans="1:7">
      <c r="A1293" s="69"/>
      <c r="B1293" s="69"/>
      <c r="C1293" s="5" t="s">
        <v>221</v>
      </c>
      <c r="E1293" s="1">
        <v>184.12</v>
      </c>
    </row>
    <row r="1294" spans="1:7">
      <c r="A1294" s="69"/>
      <c r="B1294" s="73" t="s">
        <v>591</v>
      </c>
      <c r="C1294" s="3" t="s">
        <v>592</v>
      </c>
      <c r="E1294" s="4">
        <v>98.02</v>
      </c>
      <c r="G1294" s="4">
        <v>450.6</v>
      </c>
    </row>
    <row r="1295" spans="1:7">
      <c r="A1295" s="69"/>
      <c r="B1295" s="69"/>
      <c r="C1295" s="5" t="s">
        <v>593</v>
      </c>
      <c r="E1295" s="1">
        <v>98.02</v>
      </c>
      <c r="G1295" s="1">
        <v>450.6</v>
      </c>
    </row>
    <row r="1296" spans="1:7">
      <c r="A1296" s="69"/>
      <c r="B1296" s="73" t="s">
        <v>156</v>
      </c>
      <c r="C1296" s="3" t="s">
        <v>157</v>
      </c>
      <c r="D1296" s="4">
        <v>3282.99</v>
      </c>
      <c r="E1296" s="4">
        <v>1065.69</v>
      </c>
      <c r="F1296" s="4">
        <v>48566.47</v>
      </c>
      <c r="G1296" s="4">
        <v>60.2</v>
      </c>
    </row>
    <row r="1297" spans="1:7">
      <c r="A1297" s="69"/>
      <c r="B1297" s="69"/>
      <c r="C1297" s="5" t="s">
        <v>158</v>
      </c>
      <c r="D1297" s="1">
        <v>3282.99</v>
      </c>
      <c r="E1297" s="1">
        <v>1065.69</v>
      </c>
      <c r="F1297" s="1">
        <v>48566.47</v>
      </c>
      <c r="G1297" s="1">
        <v>60.2</v>
      </c>
    </row>
    <row r="1298" spans="1:7">
      <c r="A1298" s="69"/>
      <c r="B1298" s="73" t="s">
        <v>1268</v>
      </c>
      <c r="C1298" s="3" t="s">
        <v>1269</v>
      </c>
      <c r="G1298" s="4">
        <v>847.68</v>
      </c>
    </row>
    <row r="1299" spans="1:7">
      <c r="A1299" s="69"/>
      <c r="B1299" s="69"/>
      <c r="C1299" s="5" t="s">
        <v>1270</v>
      </c>
      <c r="G1299" s="1">
        <v>847.68</v>
      </c>
    </row>
    <row r="1300" spans="1:7">
      <c r="A1300" s="69"/>
      <c r="B1300" s="73" t="s">
        <v>1271</v>
      </c>
      <c r="C1300" s="3" t="s">
        <v>1272</v>
      </c>
      <c r="G1300" s="4">
        <v>240.96</v>
      </c>
    </row>
    <row r="1301" spans="1:7">
      <c r="A1301" s="69"/>
      <c r="B1301" s="69"/>
      <c r="C1301" s="5" t="s">
        <v>1273</v>
      </c>
      <c r="G1301" s="1">
        <v>240.96</v>
      </c>
    </row>
    <row r="1302" spans="1:7">
      <c r="A1302" s="69"/>
      <c r="B1302" s="73" t="s">
        <v>1274</v>
      </c>
      <c r="C1302" s="3" t="s">
        <v>1275</v>
      </c>
      <c r="E1302" s="4">
        <v>35740.07</v>
      </c>
      <c r="G1302" s="4">
        <v>417.27</v>
      </c>
    </row>
    <row r="1303" spans="1:7">
      <c r="A1303" s="69"/>
      <c r="B1303" s="69"/>
      <c r="C1303" s="5" t="s">
        <v>1276</v>
      </c>
      <c r="E1303" s="1">
        <v>35740.07</v>
      </c>
      <c r="G1303" s="1">
        <v>417.27</v>
      </c>
    </row>
    <row r="1304" spans="1:7">
      <c r="A1304" s="69"/>
      <c r="B1304" s="73" t="s">
        <v>618</v>
      </c>
      <c r="C1304" s="3" t="s">
        <v>619</v>
      </c>
      <c r="D1304" s="4">
        <v>31373.96</v>
      </c>
      <c r="G1304" s="4">
        <v>2393.3200000000002</v>
      </c>
    </row>
    <row r="1305" spans="1:7">
      <c r="A1305" s="69"/>
      <c r="B1305" s="69"/>
      <c r="C1305" s="5" t="s">
        <v>620</v>
      </c>
      <c r="D1305" s="1">
        <v>31373.96</v>
      </c>
      <c r="G1305" s="1">
        <v>2393.3200000000002</v>
      </c>
    </row>
    <row r="1306" spans="1:7">
      <c r="A1306" s="69"/>
      <c r="B1306" s="73" t="s">
        <v>675</v>
      </c>
      <c r="C1306" s="3" t="s">
        <v>676</v>
      </c>
      <c r="D1306" s="4">
        <v>22718.48</v>
      </c>
      <c r="G1306" s="4">
        <v>409.4</v>
      </c>
    </row>
    <row r="1307" spans="1:7">
      <c r="A1307" s="69"/>
      <c r="B1307" s="69"/>
      <c r="C1307" s="5" t="s">
        <v>677</v>
      </c>
      <c r="D1307" s="1">
        <v>22718.48</v>
      </c>
      <c r="G1307" s="1">
        <v>409.4</v>
      </c>
    </row>
    <row r="1308" spans="1:7">
      <c r="A1308" s="69"/>
      <c r="B1308" s="73" t="s">
        <v>708</v>
      </c>
      <c r="C1308" s="3" t="s">
        <v>709</v>
      </c>
      <c r="G1308" s="4">
        <v>362.07499999999999</v>
      </c>
    </row>
    <row r="1309" spans="1:7">
      <c r="A1309" s="69"/>
      <c r="B1309" s="69"/>
      <c r="C1309" s="5" t="s">
        <v>710</v>
      </c>
      <c r="G1309" s="1">
        <v>362.07499999999999</v>
      </c>
    </row>
    <row r="1310" spans="1:7">
      <c r="A1310" s="69"/>
      <c r="B1310" s="73" t="s">
        <v>358</v>
      </c>
      <c r="C1310" s="3" t="s">
        <v>359</v>
      </c>
      <c r="D1310" s="4">
        <v>12585.59</v>
      </c>
      <c r="G1310" s="4">
        <v>1179.92</v>
      </c>
    </row>
    <row r="1311" spans="1:7">
      <c r="A1311" s="69"/>
      <c r="B1311" s="69"/>
      <c r="C1311" s="5" t="s">
        <v>360</v>
      </c>
      <c r="D1311" s="1">
        <v>12585.59</v>
      </c>
      <c r="G1311" s="1">
        <v>1179.92</v>
      </c>
    </row>
    <row r="1312" spans="1:7">
      <c r="A1312" s="69"/>
      <c r="B1312" s="73" t="s">
        <v>735</v>
      </c>
      <c r="C1312" s="3" t="s">
        <v>736</v>
      </c>
      <c r="G1312" s="4">
        <v>488.12</v>
      </c>
    </row>
    <row r="1313" spans="1:8">
      <c r="A1313" s="69"/>
      <c r="B1313" s="69"/>
      <c r="C1313" s="5" t="s">
        <v>737</v>
      </c>
      <c r="G1313" s="1">
        <v>488.12</v>
      </c>
    </row>
    <row r="1314" spans="1:8">
      <c r="A1314" s="69"/>
      <c r="B1314" s="73" t="s">
        <v>105</v>
      </c>
      <c r="C1314" s="3" t="s">
        <v>106</v>
      </c>
      <c r="G1314" s="4">
        <v>386.46</v>
      </c>
    </row>
    <row r="1315" spans="1:8">
      <c r="A1315" s="69"/>
      <c r="B1315" s="69"/>
      <c r="C1315" s="5" t="s">
        <v>107</v>
      </c>
      <c r="G1315" s="1">
        <v>386.46</v>
      </c>
    </row>
    <row r="1316" spans="1:8">
      <c r="A1316" s="69"/>
      <c r="B1316" s="73" t="s">
        <v>1277</v>
      </c>
      <c r="C1316" s="3" t="s">
        <v>1278</v>
      </c>
      <c r="G1316" s="4">
        <v>5732.2049999999999</v>
      </c>
      <c r="H1316" s="4">
        <v>4000.65</v>
      </c>
    </row>
    <row r="1317" spans="1:8">
      <c r="A1317" s="69"/>
      <c r="B1317" s="69"/>
      <c r="C1317" s="5" t="s">
        <v>1279</v>
      </c>
      <c r="G1317" s="1">
        <v>5732.2049999999999</v>
      </c>
      <c r="H1317" s="1">
        <v>4000.65</v>
      </c>
    </row>
    <row r="1318" spans="1:8">
      <c r="A1318" s="69"/>
      <c r="B1318" s="73" t="s">
        <v>391</v>
      </c>
      <c r="C1318" s="3" t="s">
        <v>392</v>
      </c>
      <c r="D1318" s="4">
        <v>3731.64</v>
      </c>
      <c r="F1318" s="4">
        <v>4234.97</v>
      </c>
    </row>
    <row r="1319" spans="1:8">
      <c r="A1319" s="69"/>
      <c r="B1319" s="69"/>
      <c r="C1319" s="5" t="s">
        <v>393</v>
      </c>
      <c r="D1319" s="1">
        <v>3731.64</v>
      </c>
      <c r="F1319" s="1">
        <v>4234.97</v>
      </c>
    </row>
    <row r="1320" spans="1:8">
      <c r="A1320" s="69"/>
      <c r="B1320" s="73" t="s">
        <v>1049</v>
      </c>
      <c r="C1320" s="3" t="s">
        <v>1050</v>
      </c>
      <c r="D1320" s="4">
        <v>90297.35</v>
      </c>
      <c r="E1320" s="4">
        <v>84347.37</v>
      </c>
    </row>
    <row r="1321" spans="1:8">
      <c r="A1321" s="69"/>
      <c r="B1321" s="69"/>
      <c r="C1321" s="5" t="s">
        <v>1051</v>
      </c>
      <c r="D1321" s="1">
        <v>90297.35</v>
      </c>
      <c r="E1321" s="1">
        <v>84347.37</v>
      </c>
    </row>
    <row r="1322" spans="1:8">
      <c r="A1322" s="69"/>
      <c r="B1322" s="73" t="s">
        <v>180</v>
      </c>
      <c r="C1322" s="3" t="s">
        <v>181</v>
      </c>
      <c r="D1322" s="4">
        <v>5246.34</v>
      </c>
      <c r="F1322" s="4">
        <v>8571.33</v>
      </c>
    </row>
    <row r="1323" spans="1:8">
      <c r="A1323" s="69"/>
      <c r="B1323" s="69"/>
      <c r="C1323" s="5" t="s">
        <v>182</v>
      </c>
      <c r="D1323" s="1">
        <v>5246.34</v>
      </c>
      <c r="F1323" s="1">
        <v>8571.33</v>
      </c>
    </row>
    <row r="1324" spans="1:8">
      <c r="A1324" s="69"/>
      <c r="B1324" s="73" t="s">
        <v>1280</v>
      </c>
      <c r="C1324" s="3" t="s">
        <v>1281</v>
      </c>
      <c r="D1324" s="4">
        <v>400</v>
      </c>
    </row>
    <row r="1325" spans="1:8">
      <c r="A1325" s="69"/>
      <c r="B1325" s="69"/>
      <c r="C1325" s="5" t="s">
        <v>1282</v>
      </c>
      <c r="D1325" s="1">
        <v>400</v>
      </c>
    </row>
    <row r="1326" spans="1:8">
      <c r="A1326" s="69"/>
      <c r="B1326" s="73" t="s">
        <v>561</v>
      </c>
      <c r="C1326" s="3" t="s">
        <v>562</v>
      </c>
      <c r="D1326" s="4">
        <v>23</v>
      </c>
    </row>
    <row r="1327" spans="1:8">
      <c r="A1327" s="69"/>
      <c r="B1327" s="69"/>
      <c r="C1327" s="5" t="s">
        <v>563</v>
      </c>
      <c r="D1327" s="1">
        <v>23</v>
      </c>
    </row>
    <row r="1328" spans="1:8">
      <c r="A1328" s="69"/>
      <c r="B1328" s="73" t="s">
        <v>771</v>
      </c>
      <c r="C1328" s="3" t="s">
        <v>772</v>
      </c>
      <c r="D1328" s="4">
        <v>2705.44</v>
      </c>
      <c r="F1328" s="4">
        <v>5045.47</v>
      </c>
    </row>
    <row r="1329" spans="1:8">
      <c r="A1329" s="69"/>
      <c r="B1329" s="69"/>
      <c r="C1329" s="5" t="s">
        <v>773</v>
      </c>
      <c r="D1329" s="1">
        <v>2705.44</v>
      </c>
      <c r="F1329" s="1">
        <v>5045.47</v>
      </c>
    </row>
    <row r="1330" spans="1:8">
      <c r="A1330" s="69"/>
      <c r="B1330" s="73" t="s">
        <v>765</v>
      </c>
      <c r="C1330" s="3" t="s">
        <v>766</v>
      </c>
      <c r="D1330" s="4">
        <v>1446.54</v>
      </c>
      <c r="F1330" s="4">
        <v>6739.4</v>
      </c>
    </row>
    <row r="1331" spans="1:8">
      <c r="A1331" s="69"/>
      <c r="B1331" s="69"/>
      <c r="C1331" s="5" t="s">
        <v>767</v>
      </c>
      <c r="D1331" s="1">
        <v>1446.54</v>
      </c>
      <c r="F1331" s="1">
        <v>6739.4</v>
      </c>
    </row>
    <row r="1332" spans="1:8">
      <c r="A1332" s="69"/>
      <c r="B1332" s="73" t="s">
        <v>687</v>
      </c>
      <c r="C1332" s="3" t="s">
        <v>688</v>
      </c>
      <c r="D1332" s="4">
        <v>7166.41</v>
      </c>
    </row>
    <row r="1333" spans="1:8">
      <c r="A1333" s="69"/>
      <c r="B1333" s="69"/>
      <c r="C1333" s="5" t="s">
        <v>689</v>
      </c>
      <c r="D1333" s="1">
        <v>7166.41</v>
      </c>
    </row>
    <row r="1334" spans="1:8">
      <c r="A1334" s="69"/>
      <c r="B1334" s="73" t="s">
        <v>341</v>
      </c>
      <c r="C1334" s="3" t="s">
        <v>342</v>
      </c>
      <c r="D1334" s="4">
        <v>5765.2</v>
      </c>
    </row>
    <row r="1335" spans="1:8">
      <c r="A1335" s="69"/>
      <c r="B1335" s="69"/>
      <c r="C1335" s="5" t="s">
        <v>343</v>
      </c>
      <c r="D1335" s="1">
        <v>5765.2</v>
      </c>
    </row>
    <row r="1336" spans="1:8">
      <c r="A1336" s="69"/>
      <c r="B1336" s="73" t="s">
        <v>648</v>
      </c>
      <c r="C1336" s="3" t="s">
        <v>649</v>
      </c>
      <c r="D1336" s="4">
        <v>3153.68</v>
      </c>
      <c r="F1336" s="4">
        <v>41242.42</v>
      </c>
    </row>
    <row r="1337" spans="1:8">
      <c r="A1337" s="69"/>
      <c r="B1337" s="69"/>
      <c r="C1337" s="5" t="s">
        <v>650</v>
      </c>
      <c r="D1337" s="1">
        <v>3153.68</v>
      </c>
      <c r="F1337" s="1">
        <v>41242.42</v>
      </c>
    </row>
    <row r="1338" spans="1:8">
      <c r="A1338" s="69"/>
      <c r="B1338" s="73" t="s">
        <v>87</v>
      </c>
      <c r="C1338" s="3" t="s">
        <v>88</v>
      </c>
      <c r="D1338" s="4">
        <v>3776.9</v>
      </c>
      <c r="E1338" s="4">
        <v>1207.6199999999999</v>
      </c>
      <c r="F1338" s="4">
        <v>29371.58</v>
      </c>
      <c r="G1338" s="4">
        <v>1427.02</v>
      </c>
      <c r="H1338" s="4">
        <v>298.39999999999998</v>
      </c>
    </row>
    <row r="1339" spans="1:8">
      <c r="A1339" s="69"/>
      <c r="B1339" s="69"/>
      <c r="C1339" s="5" t="s">
        <v>89</v>
      </c>
      <c r="D1339" s="1">
        <v>3776.9</v>
      </c>
      <c r="E1339" s="1">
        <v>1207.6199999999999</v>
      </c>
      <c r="F1339" s="1">
        <v>29371.58</v>
      </c>
      <c r="G1339" s="1">
        <v>1427.02</v>
      </c>
      <c r="H1339" s="1">
        <v>298.39999999999998</v>
      </c>
    </row>
    <row r="1340" spans="1:8">
      <c r="A1340" s="69"/>
      <c r="B1340" s="73" t="s">
        <v>504</v>
      </c>
      <c r="C1340" s="3" t="s">
        <v>505</v>
      </c>
      <c r="D1340" s="4">
        <v>4939.28</v>
      </c>
      <c r="F1340" s="4">
        <v>6381.14</v>
      </c>
    </row>
    <row r="1341" spans="1:8">
      <c r="A1341" s="69"/>
      <c r="B1341" s="69"/>
      <c r="C1341" s="5" t="s">
        <v>506</v>
      </c>
      <c r="D1341" s="1">
        <v>4939.28</v>
      </c>
      <c r="F1341" s="1">
        <v>6381.14</v>
      </c>
    </row>
    <row r="1342" spans="1:8">
      <c r="A1342" s="69"/>
      <c r="B1342" s="73" t="s">
        <v>816</v>
      </c>
      <c r="C1342" s="3" t="s">
        <v>817</v>
      </c>
      <c r="D1342" s="4">
        <v>1839.63</v>
      </c>
    </row>
    <row r="1343" spans="1:8">
      <c r="A1343" s="69"/>
      <c r="B1343" s="69"/>
      <c r="C1343" s="5" t="s">
        <v>818</v>
      </c>
      <c r="D1343" s="1">
        <v>1839.63</v>
      </c>
    </row>
    <row r="1344" spans="1:8">
      <c r="A1344" s="69"/>
      <c r="B1344" s="73" t="s">
        <v>1283</v>
      </c>
      <c r="C1344" s="3" t="s">
        <v>1284</v>
      </c>
      <c r="D1344" s="4">
        <v>389</v>
      </c>
    </row>
    <row r="1345" spans="1:7">
      <c r="A1345" s="69"/>
      <c r="B1345" s="69"/>
      <c r="C1345" s="5" t="s">
        <v>1285</v>
      </c>
      <c r="D1345" s="1">
        <v>389</v>
      </c>
    </row>
    <row r="1346" spans="1:7">
      <c r="A1346" s="69"/>
      <c r="B1346" s="73" t="s">
        <v>57</v>
      </c>
      <c r="C1346" s="3" t="s">
        <v>58</v>
      </c>
      <c r="D1346" s="4">
        <v>2971.19</v>
      </c>
      <c r="F1346" s="4">
        <v>8086.39</v>
      </c>
    </row>
    <row r="1347" spans="1:7">
      <c r="A1347" s="69"/>
      <c r="B1347" s="69"/>
      <c r="C1347" s="5" t="s">
        <v>59</v>
      </c>
      <c r="D1347" s="1">
        <v>2971.19</v>
      </c>
      <c r="F1347" s="1">
        <v>8086.39</v>
      </c>
    </row>
    <row r="1348" spans="1:7">
      <c r="A1348" s="69"/>
      <c r="B1348" s="73" t="s">
        <v>1286</v>
      </c>
      <c r="C1348" s="3" t="s">
        <v>1287</v>
      </c>
      <c r="F1348" s="4">
        <v>2500</v>
      </c>
    </row>
    <row r="1349" spans="1:7">
      <c r="A1349" s="69"/>
      <c r="B1349" s="69"/>
      <c r="C1349" s="5" t="s">
        <v>1288</v>
      </c>
      <c r="F1349" s="1">
        <v>2500</v>
      </c>
    </row>
    <row r="1350" spans="1:7">
      <c r="A1350" s="69"/>
      <c r="B1350" s="73" t="s">
        <v>69</v>
      </c>
      <c r="C1350" s="3" t="s">
        <v>70</v>
      </c>
      <c r="D1350" s="4">
        <v>37333.599999999999</v>
      </c>
      <c r="F1350" s="4">
        <v>74384.31</v>
      </c>
    </row>
    <row r="1351" spans="1:7">
      <c r="A1351" s="69"/>
      <c r="B1351" s="69"/>
      <c r="C1351" s="5" t="s">
        <v>71</v>
      </c>
      <c r="D1351" s="1">
        <v>37333.599999999999</v>
      </c>
      <c r="F1351" s="1">
        <v>74384.31</v>
      </c>
    </row>
    <row r="1352" spans="1:7">
      <c r="A1352" s="69"/>
      <c r="B1352" s="73" t="s">
        <v>418</v>
      </c>
      <c r="C1352" s="3" t="s">
        <v>419</v>
      </c>
      <c r="D1352" s="4">
        <v>3893.1</v>
      </c>
      <c r="F1352" s="4">
        <v>44151.25</v>
      </c>
    </row>
    <row r="1353" spans="1:7">
      <c r="A1353" s="69"/>
      <c r="B1353" s="69"/>
      <c r="C1353" s="5" t="s">
        <v>420</v>
      </c>
      <c r="D1353" s="1">
        <v>3893.1</v>
      </c>
      <c r="F1353" s="1">
        <v>44151.25</v>
      </c>
    </row>
    <row r="1354" spans="1:7">
      <c r="A1354" s="69"/>
      <c r="B1354" s="73" t="s">
        <v>186</v>
      </c>
      <c r="C1354" s="3" t="s">
        <v>187</v>
      </c>
      <c r="D1354" s="4">
        <v>3119.38</v>
      </c>
      <c r="F1354" s="4">
        <v>6455.96</v>
      </c>
    </row>
    <row r="1355" spans="1:7">
      <c r="A1355" s="69"/>
      <c r="B1355" s="69"/>
      <c r="C1355" s="5" t="s">
        <v>188</v>
      </c>
      <c r="D1355" s="1">
        <v>3119.38</v>
      </c>
      <c r="F1355" s="1">
        <v>6455.96</v>
      </c>
    </row>
    <row r="1356" spans="1:7">
      <c r="A1356" s="69"/>
      <c r="B1356" s="73" t="s">
        <v>1289</v>
      </c>
      <c r="C1356" s="3" t="s">
        <v>1290</v>
      </c>
      <c r="G1356" s="4">
        <v>827.6</v>
      </c>
    </row>
    <row r="1357" spans="1:7">
      <c r="A1357" s="69"/>
      <c r="B1357" s="69"/>
      <c r="C1357" s="5" t="s">
        <v>1291</v>
      </c>
      <c r="G1357" s="1">
        <v>827.6</v>
      </c>
    </row>
    <row r="1358" spans="1:7">
      <c r="A1358" s="69"/>
      <c r="B1358" s="73" t="s">
        <v>1067</v>
      </c>
      <c r="C1358" s="3" t="s">
        <v>1068</v>
      </c>
      <c r="G1358" s="4">
        <v>1152.22</v>
      </c>
    </row>
    <row r="1359" spans="1:7">
      <c r="A1359" s="69"/>
      <c r="B1359" s="69"/>
      <c r="C1359" s="5" t="s">
        <v>1069</v>
      </c>
      <c r="G1359" s="1">
        <v>1152.22</v>
      </c>
    </row>
    <row r="1360" spans="1:7">
      <c r="A1360" s="69"/>
      <c r="B1360" s="73" t="s">
        <v>75</v>
      </c>
      <c r="C1360" s="3" t="s">
        <v>76</v>
      </c>
      <c r="D1360" s="4">
        <v>86.78</v>
      </c>
    </row>
    <row r="1361" spans="1:7">
      <c r="A1361" s="69"/>
      <c r="B1361" s="69"/>
      <c r="C1361" s="5" t="s">
        <v>77</v>
      </c>
      <c r="D1361" s="1">
        <v>86.78</v>
      </c>
    </row>
    <row r="1362" spans="1:7">
      <c r="A1362" s="69"/>
      <c r="B1362" s="73" t="s">
        <v>108</v>
      </c>
      <c r="C1362" s="3" t="s">
        <v>109</v>
      </c>
      <c r="D1362" s="4">
        <v>15213.2</v>
      </c>
      <c r="G1362" s="4">
        <v>281.92</v>
      </c>
    </row>
    <row r="1363" spans="1:7">
      <c r="A1363" s="69"/>
      <c r="B1363" s="69"/>
      <c r="C1363" s="5" t="s">
        <v>110</v>
      </c>
      <c r="D1363" s="1">
        <v>15213.2</v>
      </c>
      <c r="G1363" s="1">
        <v>281.92</v>
      </c>
    </row>
    <row r="1364" spans="1:7">
      <c r="A1364" s="69"/>
      <c r="B1364" s="73" t="s">
        <v>300</v>
      </c>
      <c r="C1364" s="3" t="s">
        <v>301</v>
      </c>
      <c r="D1364" s="4">
        <v>63835.13</v>
      </c>
    </row>
    <row r="1365" spans="1:7">
      <c r="A1365" s="69"/>
      <c r="B1365" s="69"/>
      <c r="C1365" s="5" t="s">
        <v>302</v>
      </c>
      <c r="D1365" s="1">
        <v>63835.13</v>
      </c>
    </row>
    <row r="1366" spans="1:7">
      <c r="A1366" s="69"/>
      <c r="B1366" s="73" t="s">
        <v>350</v>
      </c>
      <c r="C1366" s="3" t="s">
        <v>351</v>
      </c>
      <c r="D1366" s="4">
        <v>8734.66</v>
      </c>
      <c r="E1366" s="4">
        <v>266.61</v>
      </c>
      <c r="G1366" s="4">
        <v>980.35</v>
      </c>
    </row>
    <row r="1367" spans="1:7">
      <c r="A1367" s="69"/>
      <c r="B1367" s="69"/>
      <c r="C1367" s="5" t="s">
        <v>352</v>
      </c>
      <c r="D1367" s="1">
        <v>8734.66</v>
      </c>
      <c r="E1367" s="1">
        <v>266.61</v>
      </c>
      <c r="G1367" s="1">
        <v>980.35</v>
      </c>
    </row>
    <row r="1368" spans="1:7">
      <c r="A1368" s="69"/>
      <c r="B1368" s="73" t="s">
        <v>66</v>
      </c>
      <c r="C1368" s="3" t="s">
        <v>67</v>
      </c>
      <c r="D1368" s="4">
        <v>2271.8000000000002</v>
      </c>
      <c r="G1368" s="4">
        <v>1035.45</v>
      </c>
    </row>
    <row r="1369" spans="1:7">
      <c r="A1369" s="69"/>
      <c r="B1369" s="69"/>
      <c r="C1369" s="5" t="s">
        <v>68</v>
      </c>
      <c r="D1369" s="1">
        <v>2271.8000000000002</v>
      </c>
      <c r="G1369" s="1">
        <v>1035.45</v>
      </c>
    </row>
    <row r="1370" spans="1:7">
      <c r="A1370" s="69"/>
      <c r="B1370" s="73" t="s">
        <v>312</v>
      </c>
      <c r="C1370" s="3" t="s">
        <v>313</v>
      </c>
      <c r="D1370" s="4">
        <v>1886.85</v>
      </c>
    </row>
    <row r="1371" spans="1:7">
      <c r="A1371" s="69"/>
      <c r="B1371" s="69"/>
      <c r="C1371" s="5" t="s">
        <v>314</v>
      </c>
      <c r="D1371" s="1">
        <v>1886.85</v>
      </c>
    </row>
    <row r="1372" spans="1:7">
      <c r="A1372" s="69"/>
      <c r="B1372" s="73" t="s">
        <v>1040</v>
      </c>
      <c r="C1372" s="3" t="s">
        <v>1041</v>
      </c>
      <c r="D1372" s="4">
        <v>2517</v>
      </c>
    </row>
    <row r="1373" spans="1:7">
      <c r="A1373" s="69"/>
      <c r="B1373" s="69"/>
      <c r="C1373" s="5" t="s">
        <v>1042</v>
      </c>
      <c r="D1373" s="1">
        <v>2517</v>
      </c>
    </row>
    <row r="1374" spans="1:7">
      <c r="A1374" s="69"/>
      <c r="B1374" s="73" t="s">
        <v>324</v>
      </c>
      <c r="C1374" s="3" t="s">
        <v>325</v>
      </c>
      <c r="D1374" s="4">
        <v>8258</v>
      </c>
    </row>
    <row r="1375" spans="1:7">
      <c r="A1375" s="69"/>
      <c r="B1375" s="69"/>
      <c r="C1375" s="5" t="s">
        <v>326</v>
      </c>
      <c r="D1375" s="1">
        <v>8258</v>
      </c>
    </row>
    <row r="1376" spans="1:7">
      <c r="A1376" s="69"/>
      <c r="B1376" s="73" t="s">
        <v>702</v>
      </c>
      <c r="C1376" s="3" t="s">
        <v>703</v>
      </c>
      <c r="D1376" s="4">
        <v>10986.08</v>
      </c>
    </row>
    <row r="1377" spans="1:6">
      <c r="A1377" s="69"/>
      <c r="B1377" s="69"/>
      <c r="C1377" s="5" t="s">
        <v>704</v>
      </c>
      <c r="D1377" s="1">
        <v>10986.08</v>
      </c>
    </row>
    <row r="1378" spans="1:6">
      <c r="A1378" s="69"/>
      <c r="B1378" s="73" t="s">
        <v>1013</v>
      </c>
      <c r="C1378" s="3" t="s">
        <v>1014</v>
      </c>
      <c r="F1378" s="4">
        <v>29000</v>
      </c>
    </row>
    <row r="1379" spans="1:6">
      <c r="A1379" s="69"/>
      <c r="B1379" s="69"/>
      <c r="C1379" s="5" t="s">
        <v>1015</v>
      </c>
      <c r="F1379" s="1">
        <v>29000</v>
      </c>
    </row>
    <row r="1380" spans="1:6">
      <c r="A1380" s="69"/>
      <c r="B1380" s="73" t="s">
        <v>516</v>
      </c>
      <c r="C1380" s="3" t="s">
        <v>517</v>
      </c>
      <c r="D1380" s="4">
        <v>5651.95</v>
      </c>
      <c r="F1380" s="4">
        <v>93849.84</v>
      </c>
    </row>
    <row r="1381" spans="1:6">
      <c r="A1381" s="69"/>
      <c r="B1381" s="69"/>
      <c r="C1381" s="5" t="s">
        <v>518</v>
      </c>
      <c r="D1381" s="1">
        <v>5651.95</v>
      </c>
      <c r="F1381" s="1">
        <v>93849.84</v>
      </c>
    </row>
    <row r="1382" spans="1:6">
      <c r="A1382" s="69"/>
      <c r="B1382" s="73" t="s">
        <v>810</v>
      </c>
      <c r="C1382" s="3" t="s">
        <v>811</v>
      </c>
      <c r="D1382" s="4">
        <v>18332.27</v>
      </c>
    </row>
    <row r="1383" spans="1:6">
      <c r="A1383" s="69"/>
      <c r="B1383" s="69"/>
      <c r="C1383" s="5" t="s">
        <v>812</v>
      </c>
      <c r="D1383" s="1">
        <v>18332.27</v>
      </c>
    </row>
    <row r="1384" spans="1:6">
      <c r="A1384" s="69"/>
      <c r="B1384" s="73" t="s">
        <v>1292</v>
      </c>
      <c r="C1384" s="3" t="s">
        <v>1293</v>
      </c>
      <c r="D1384" s="4">
        <v>1000</v>
      </c>
    </row>
    <row r="1385" spans="1:6">
      <c r="A1385" s="69"/>
      <c r="B1385" s="69"/>
      <c r="C1385" s="5" t="s">
        <v>1294</v>
      </c>
      <c r="D1385" s="1">
        <v>1000</v>
      </c>
    </row>
    <row r="1386" spans="1:6">
      <c r="A1386" s="69"/>
      <c r="B1386" s="73" t="s">
        <v>1055</v>
      </c>
      <c r="C1386" s="3" t="s">
        <v>1056</v>
      </c>
      <c r="F1386" s="4">
        <v>680</v>
      </c>
    </row>
    <row r="1387" spans="1:6">
      <c r="A1387" s="69"/>
      <c r="B1387" s="69"/>
      <c r="C1387" s="5" t="s">
        <v>1057</v>
      </c>
      <c r="F1387" s="1">
        <v>680</v>
      </c>
    </row>
    <row r="1388" spans="1:6">
      <c r="A1388" s="69"/>
      <c r="B1388" s="73" t="s">
        <v>1295</v>
      </c>
      <c r="C1388" s="3" t="s">
        <v>1296</v>
      </c>
      <c r="F1388" s="4">
        <v>5721.76</v>
      </c>
    </row>
    <row r="1389" spans="1:6">
      <c r="A1389" s="69"/>
      <c r="B1389" s="69"/>
      <c r="C1389" s="5" t="s">
        <v>1297</v>
      </c>
      <c r="F1389" s="1">
        <v>5721.76</v>
      </c>
    </row>
    <row r="1390" spans="1:6">
      <c r="A1390" s="69"/>
      <c r="B1390" s="73" t="s">
        <v>1298</v>
      </c>
      <c r="C1390" s="3" t="s">
        <v>1299</v>
      </c>
      <c r="F1390" s="4">
        <v>380</v>
      </c>
    </row>
    <row r="1391" spans="1:6">
      <c r="A1391" s="69"/>
      <c r="B1391" s="69"/>
      <c r="C1391" s="5" t="s">
        <v>1300</v>
      </c>
      <c r="F1391" s="1">
        <v>380</v>
      </c>
    </row>
    <row r="1392" spans="1:6">
      <c r="A1392" s="69"/>
      <c r="B1392" s="73" t="s">
        <v>454</v>
      </c>
      <c r="C1392" s="3" t="s">
        <v>455</v>
      </c>
      <c r="D1392" s="4">
        <v>83827.16</v>
      </c>
      <c r="F1392" s="4">
        <v>479116.5</v>
      </c>
    </row>
    <row r="1393" spans="1:8">
      <c r="A1393" s="69"/>
      <c r="B1393" s="69"/>
      <c r="C1393" s="5" t="s">
        <v>456</v>
      </c>
      <c r="D1393" s="1">
        <v>83827.16</v>
      </c>
      <c r="F1393" s="1">
        <v>479116.5</v>
      </c>
    </row>
    <row r="1394" spans="1:8">
      <c r="A1394" s="69"/>
      <c r="B1394" s="73" t="s">
        <v>923</v>
      </c>
      <c r="C1394" s="3" t="s">
        <v>924</v>
      </c>
      <c r="F1394" s="4">
        <v>-561.41999999999996</v>
      </c>
    </row>
    <row r="1395" spans="1:8">
      <c r="A1395" s="69"/>
      <c r="B1395" s="69"/>
      <c r="C1395" s="5" t="s">
        <v>925</v>
      </c>
      <c r="F1395" s="1">
        <v>-561.41999999999996</v>
      </c>
    </row>
    <row r="1396" spans="1:8">
      <c r="A1396" s="69"/>
      <c r="B1396" s="73" t="s">
        <v>756</v>
      </c>
      <c r="C1396" s="3" t="s">
        <v>757</v>
      </c>
      <c r="E1396" s="4">
        <v>3477.79</v>
      </c>
    </row>
    <row r="1397" spans="1:8">
      <c r="A1397" s="69"/>
      <c r="B1397" s="69"/>
      <c r="C1397" s="5" t="s">
        <v>758</v>
      </c>
      <c r="E1397" s="1">
        <v>3477.79</v>
      </c>
    </row>
    <row r="1398" spans="1:8">
      <c r="A1398" s="69"/>
      <c r="B1398" s="73" t="s">
        <v>1301</v>
      </c>
      <c r="C1398" s="3" t="s">
        <v>1302</v>
      </c>
      <c r="E1398" s="4">
        <v>887.52</v>
      </c>
    </row>
    <row r="1399" spans="1:8">
      <c r="A1399" s="69"/>
      <c r="B1399" s="69"/>
      <c r="C1399" s="5" t="s">
        <v>1303</v>
      </c>
      <c r="E1399" s="1">
        <v>887.52</v>
      </c>
    </row>
    <row r="1400" spans="1:8">
      <c r="A1400" s="69"/>
      <c r="B1400" s="73" t="s">
        <v>1304</v>
      </c>
      <c r="C1400" s="3" t="s">
        <v>1305</v>
      </c>
      <c r="E1400" s="4">
        <v>860</v>
      </c>
    </row>
    <row r="1401" spans="1:8">
      <c r="A1401" s="69"/>
      <c r="B1401" s="69"/>
      <c r="C1401" s="5" t="s">
        <v>1306</v>
      </c>
      <c r="E1401" s="1">
        <v>860</v>
      </c>
    </row>
    <row r="1402" spans="1:8">
      <c r="A1402" s="69"/>
      <c r="B1402" s="73" t="s">
        <v>1046</v>
      </c>
      <c r="C1402" s="3" t="s">
        <v>1047</v>
      </c>
      <c r="E1402" s="4">
        <v>1482.12</v>
      </c>
    </row>
    <row r="1403" spans="1:8">
      <c r="A1403" s="69"/>
      <c r="B1403" s="69"/>
      <c r="C1403" s="5" t="s">
        <v>1048</v>
      </c>
      <c r="E1403" s="1">
        <v>1482.12</v>
      </c>
    </row>
    <row r="1404" spans="1:8">
      <c r="A1404" s="69"/>
      <c r="B1404" s="73" t="s">
        <v>1307</v>
      </c>
      <c r="C1404" s="3" t="s">
        <v>1308</v>
      </c>
      <c r="G1404" s="4">
        <v>397.85</v>
      </c>
      <c r="H1404" s="4">
        <v>62.7</v>
      </c>
    </row>
    <row r="1405" spans="1:8">
      <c r="A1405" s="69"/>
      <c r="B1405" s="69"/>
      <c r="C1405" s="5" t="s">
        <v>1309</v>
      </c>
      <c r="G1405" s="1">
        <v>397.85</v>
      </c>
      <c r="H1405" s="1">
        <v>62.7</v>
      </c>
    </row>
    <row r="1406" spans="1:8">
      <c r="A1406" s="69"/>
      <c r="B1406" s="73" t="s">
        <v>872</v>
      </c>
      <c r="C1406" s="3" t="s">
        <v>873</v>
      </c>
      <c r="G1406" s="4">
        <v>139.38</v>
      </c>
    </row>
    <row r="1407" spans="1:8">
      <c r="A1407" s="69"/>
      <c r="B1407" s="69"/>
      <c r="C1407" s="5" t="s">
        <v>874</v>
      </c>
      <c r="G1407" s="1">
        <v>139.38</v>
      </c>
    </row>
    <row r="1408" spans="1:8">
      <c r="A1408" s="69"/>
      <c r="B1408" s="73" t="s">
        <v>1019</v>
      </c>
      <c r="C1408" s="3" t="s">
        <v>1020</v>
      </c>
      <c r="D1408" s="4">
        <v>2546</v>
      </c>
      <c r="G1408" s="4">
        <v>477.9</v>
      </c>
    </row>
    <row r="1409" spans="1:7">
      <c r="A1409" s="69"/>
      <c r="B1409" s="69"/>
      <c r="C1409" s="5" t="s">
        <v>1021</v>
      </c>
      <c r="D1409" s="1">
        <v>2546</v>
      </c>
      <c r="G1409" s="1">
        <v>477.9</v>
      </c>
    </row>
    <row r="1410" spans="1:7">
      <c r="A1410" s="69"/>
      <c r="B1410" s="73" t="s">
        <v>99</v>
      </c>
      <c r="C1410" s="3" t="s">
        <v>100</v>
      </c>
      <c r="D1410" s="4">
        <v>8537.09</v>
      </c>
      <c r="F1410" s="4">
        <v>28852.47</v>
      </c>
    </row>
    <row r="1411" spans="1:7">
      <c r="A1411" s="69"/>
      <c r="B1411" s="69"/>
      <c r="C1411" s="5" t="s">
        <v>101</v>
      </c>
      <c r="D1411" s="1">
        <v>8537.09</v>
      </c>
      <c r="F1411" s="1">
        <v>28852.47</v>
      </c>
    </row>
    <row r="1412" spans="1:7">
      <c r="A1412" s="69"/>
      <c r="B1412" s="73" t="s">
        <v>917</v>
      </c>
      <c r="C1412" s="3" t="s">
        <v>918</v>
      </c>
      <c r="D1412" s="4">
        <v>6200</v>
      </c>
    </row>
    <row r="1413" spans="1:7">
      <c r="A1413" s="69"/>
      <c r="B1413" s="69"/>
      <c r="C1413" s="5" t="s">
        <v>919</v>
      </c>
      <c r="D1413" s="1">
        <v>6200</v>
      </c>
    </row>
    <row r="1414" spans="1:7">
      <c r="A1414" s="69"/>
      <c r="B1414" s="73" t="s">
        <v>642</v>
      </c>
      <c r="C1414" s="3" t="s">
        <v>643</v>
      </c>
      <c r="D1414" s="4">
        <v>-94.86</v>
      </c>
    </row>
    <row r="1415" spans="1:7">
      <c r="A1415" s="69"/>
      <c r="B1415" s="69"/>
      <c r="C1415" s="5" t="s">
        <v>644</v>
      </c>
      <c r="D1415" s="1">
        <v>-94.86</v>
      </c>
    </row>
    <row r="1416" spans="1:7">
      <c r="A1416" s="69"/>
      <c r="B1416" s="73" t="s">
        <v>1310</v>
      </c>
      <c r="C1416" s="3" t="s">
        <v>1311</v>
      </c>
      <c r="F1416" s="4">
        <v>555</v>
      </c>
    </row>
    <row r="1417" spans="1:7">
      <c r="A1417" s="69"/>
      <c r="B1417" s="69"/>
      <c r="C1417" s="5" t="s">
        <v>1312</v>
      </c>
      <c r="F1417" s="1">
        <v>555</v>
      </c>
    </row>
    <row r="1418" spans="1:7">
      <c r="A1418" s="69"/>
      <c r="B1418" s="73" t="s">
        <v>585</v>
      </c>
      <c r="C1418" s="3" t="s">
        <v>586</v>
      </c>
      <c r="F1418" s="4">
        <v>7102.11</v>
      </c>
    </row>
    <row r="1419" spans="1:7">
      <c r="A1419" s="69"/>
      <c r="B1419" s="69"/>
      <c r="C1419" s="5" t="s">
        <v>587</v>
      </c>
      <c r="F1419" s="1">
        <v>7102.11</v>
      </c>
    </row>
    <row r="1420" spans="1:7">
      <c r="A1420" s="69"/>
      <c r="B1420" s="73" t="s">
        <v>333</v>
      </c>
      <c r="C1420" s="3" t="s">
        <v>334</v>
      </c>
      <c r="E1420" s="4">
        <v>2262.1999999999998</v>
      </c>
    </row>
    <row r="1421" spans="1:7">
      <c r="A1421" s="69"/>
      <c r="B1421" s="69"/>
      <c r="C1421" s="5" t="s">
        <v>335</v>
      </c>
      <c r="E1421" s="1">
        <v>2262.1999999999998</v>
      </c>
    </row>
    <row r="1422" spans="1:7">
      <c r="A1422" s="69"/>
      <c r="B1422" s="73" t="s">
        <v>992</v>
      </c>
      <c r="C1422" s="3" t="s">
        <v>993</v>
      </c>
      <c r="G1422" s="4">
        <v>191.16</v>
      </c>
    </row>
    <row r="1423" spans="1:7">
      <c r="A1423" s="69"/>
      <c r="B1423" s="69"/>
      <c r="C1423" s="5" t="s">
        <v>994</v>
      </c>
      <c r="G1423" s="1">
        <v>191.16</v>
      </c>
    </row>
    <row r="1424" spans="1:7">
      <c r="A1424" s="69"/>
      <c r="B1424" s="73" t="s">
        <v>153</v>
      </c>
      <c r="C1424" s="3" t="s">
        <v>154</v>
      </c>
      <c r="G1424" s="4">
        <v>2379.5700000000002</v>
      </c>
    </row>
    <row r="1425" spans="1:8">
      <c r="A1425" s="69"/>
      <c r="B1425" s="69"/>
      <c r="C1425" s="5" t="s">
        <v>155</v>
      </c>
      <c r="G1425" s="1">
        <v>2379.5700000000002</v>
      </c>
    </row>
    <row r="1426" spans="1:8">
      <c r="A1426" s="73" t="s">
        <v>1313</v>
      </c>
      <c r="B1426" s="72" t="s">
        <v>1314</v>
      </c>
      <c r="C1426" s="69"/>
      <c r="D1426" s="4">
        <v>257804.31</v>
      </c>
      <c r="E1426" s="4">
        <v>4797.55</v>
      </c>
      <c r="F1426" s="4">
        <v>-15109.54</v>
      </c>
      <c r="G1426" s="4">
        <v>2490369.41</v>
      </c>
      <c r="H1426" s="4">
        <v>9610.07</v>
      </c>
    </row>
    <row r="1427" spans="1:8">
      <c r="A1427" s="69"/>
      <c r="B1427" s="73" t="s">
        <v>1315</v>
      </c>
      <c r="C1427" s="3" t="s">
        <v>1316</v>
      </c>
      <c r="D1427" s="4">
        <v>21314.9</v>
      </c>
      <c r="E1427" s="4">
        <v>1127.28</v>
      </c>
      <c r="G1427" s="4">
        <v>48302.93</v>
      </c>
    </row>
    <row r="1428" spans="1:8">
      <c r="A1428" s="69"/>
      <c r="B1428" s="69"/>
      <c r="C1428" s="5" t="s">
        <v>1315</v>
      </c>
      <c r="D1428" s="1">
        <v>21314.9</v>
      </c>
      <c r="E1428" s="1">
        <v>1127.28</v>
      </c>
      <c r="G1428" s="1">
        <v>48302.93</v>
      </c>
    </row>
    <row r="1429" spans="1:8">
      <c r="A1429" s="69"/>
      <c r="B1429" s="73" t="s">
        <v>1317</v>
      </c>
      <c r="C1429" s="3" t="s">
        <v>1318</v>
      </c>
      <c r="D1429" s="4">
        <v>9980</v>
      </c>
    </row>
    <row r="1430" spans="1:8">
      <c r="A1430" s="69"/>
      <c r="B1430" s="69"/>
      <c r="C1430" s="5" t="s">
        <v>1319</v>
      </c>
      <c r="D1430" s="1">
        <v>9980</v>
      </c>
    </row>
    <row r="1431" spans="1:8">
      <c r="A1431" s="69"/>
      <c r="B1431" s="73" t="s">
        <v>1320</v>
      </c>
      <c r="C1431" s="3" t="s">
        <v>1321</v>
      </c>
      <c r="D1431" s="4">
        <v>1722.06</v>
      </c>
      <c r="F1431" s="4">
        <v>244.68</v>
      </c>
    </row>
    <row r="1432" spans="1:8">
      <c r="A1432" s="69"/>
      <c r="B1432" s="69"/>
      <c r="C1432" s="5" t="s">
        <v>1322</v>
      </c>
      <c r="D1432" s="1">
        <v>1722.06</v>
      </c>
      <c r="F1432" s="1">
        <v>244.68</v>
      </c>
    </row>
    <row r="1433" spans="1:8">
      <c r="A1433" s="69"/>
      <c r="B1433" s="73" t="s">
        <v>1323</v>
      </c>
      <c r="C1433" s="3" t="s">
        <v>1324</v>
      </c>
      <c r="D1433" s="4">
        <v>581.84</v>
      </c>
      <c r="F1433" s="4">
        <v>295.42</v>
      </c>
    </row>
    <row r="1434" spans="1:8">
      <c r="A1434" s="69"/>
      <c r="B1434" s="69"/>
      <c r="C1434" s="5" t="s">
        <v>1325</v>
      </c>
      <c r="D1434" s="1">
        <v>581.84</v>
      </c>
      <c r="F1434" s="1">
        <v>295.42</v>
      </c>
    </row>
    <row r="1435" spans="1:8">
      <c r="A1435" s="69"/>
      <c r="B1435" s="73" t="s">
        <v>1326</v>
      </c>
      <c r="C1435" s="3" t="s">
        <v>1327</v>
      </c>
      <c r="D1435" s="4">
        <v>6552.96</v>
      </c>
      <c r="G1435" s="4">
        <v>589.84</v>
      </c>
    </row>
    <row r="1436" spans="1:8">
      <c r="A1436" s="69"/>
      <c r="B1436" s="69"/>
      <c r="C1436" s="5" t="s">
        <v>1328</v>
      </c>
      <c r="D1436" s="1">
        <v>6552.96</v>
      </c>
      <c r="G1436" s="1">
        <v>589.84</v>
      </c>
    </row>
    <row r="1437" spans="1:8">
      <c r="A1437" s="69"/>
      <c r="B1437" s="73" t="s">
        <v>1329</v>
      </c>
      <c r="C1437" s="3" t="s">
        <v>1330</v>
      </c>
      <c r="G1437" s="4">
        <v>16644.88</v>
      </c>
    </row>
    <row r="1438" spans="1:8">
      <c r="A1438" s="69"/>
      <c r="B1438" s="69"/>
      <c r="C1438" s="5" t="s">
        <v>1329</v>
      </c>
      <c r="G1438" s="1">
        <v>16644.88</v>
      </c>
    </row>
    <row r="1439" spans="1:8">
      <c r="A1439" s="69"/>
      <c r="B1439" s="73" t="s">
        <v>457</v>
      </c>
      <c r="C1439" s="3" t="s">
        <v>458</v>
      </c>
      <c r="D1439" s="4">
        <v>2226.48</v>
      </c>
      <c r="E1439" s="4">
        <v>130</v>
      </c>
      <c r="G1439" s="4">
        <v>54315.61</v>
      </c>
    </row>
    <row r="1440" spans="1:8">
      <c r="A1440" s="69"/>
      <c r="B1440" s="69"/>
      <c r="C1440" s="5" t="s">
        <v>457</v>
      </c>
      <c r="D1440" s="1">
        <v>2226.48</v>
      </c>
      <c r="E1440" s="1">
        <v>130</v>
      </c>
      <c r="G1440" s="1">
        <v>54315.61</v>
      </c>
    </row>
    <row r="1441" spans="1:8">
      <c r="A1441" s="69"/>
      <c r="B1441" s="73" t="s">
        <v>1331</v>
      </c>
      <c r="C1441" s="3" t="s">
        <v>1332</v>
      </c>
      <c r="G1441" s="4">
        <v>31.56</v>
      </c>
      <c r="H1441" s="4">
        <v>39.33</v>
      </c>
    </row>
    <row r="1442" spans="1:8">
      <c r="A1442" s="69"/>
      <c r="B1442" s="69"/>
      <c r="C1442" s="5" t="s">
        <v>1333</v>
      </c>
      <c r="G1442" s="1">
        <v>31.56</v>
      </c>
      <c r="H1442" s="1">
        <v>39.33</v>
      </c>
    </row>
    <row r="1443" spans="1:8">
      <c r="A1443" s="69"/>
      <c r="B1443" s="73" t="s">
        <v>1277</v>
      </c>
      <c r="C1443" s="3" t="s">
        <v>1278</v>
      </c>
      <c r="G1443" s="4">
        <v>155.04</v>
      </c>
      <c r="H1443" s="4">
        <v>140.63</v>
      </c>
    </row>
    <row r="1444" spans="1:8">
      <c r="A1444" s="69"/>
      <c r="B1444" s="69"/>
      <c r="C1444" s="5" t="s">
        <v>1279</v>
      </c>
      <c r="G1444" s="1">
        <v>155.04</v>
      </c>
      <c r="H1444" s="1">
        <v>140.63</v>
      </c>
    </row>
    <row r="1445" spans="1:8">
      <c r="A1445" s="69"/>
      <c r="B1445" s="73" t="s">
        <v>1334</v>
      </c>
      <c r="C1445" s="3" t="s">
        <v>1335</v>
      </c>
      <c r="G1445" s="4">
        <v>359.97</v>
      </c>
      <c r="H1445" s="4">
        <v>101.43</v>
      </c>
    </row>
    <row r="1446" spans="1:8">
      <c r="A1446" s="69"/>
      <c r="B1446" s="69"/>
      <c r="C1446" s="5" t="s">
        <v>1336</v>
      </c>
      <c r="G1446" s="1">
        <v>359.97</v>
      </c>
      <c r="H1446" s="1">
        <v>101.43</v>
      </c>
    </row>
    <row r="1447" spans="1:8">
      <c r="A1447" s="69"/>
      <c r="B1447" s="73" t="s">
        <v>1337</v>
      </c>
      <c r="C1447" s="3" t="s">
        <v>1338</v>
      </c>
      <c r="D1447" s="4">
        <v>607.39</v>
      </c>
      <c r="E1447" s="4">
        <v>1877.86</v>
      </c>
      <c r="F1447" s="4">
        <v>9411.9500000000007</v>
      </c>
      <c r="G1447" s="4">
        <v>10522.61</v>
      </c>
      <c r="H1447" s="4">
        <v>46.15</v>
      </c>
    </row>
    <row r="1448" spans="1:8">
      <c r="A1448" s="69"/>
      <c r="B1448" s="69"/>
      <c r="C1448" s="5" t="s">
        <v>1339</v>
      </c>
      <c r="D1448" s="1">
        <v>607.39</v>
      </c>
      <c r="E1448" s="1">
        <v>1877.86</v>
      </c>
      <c r="F1448" s="1">
        <v>9411.9500000000007</v>
      </c>
      <c r="G1448" s="1">
        <v>10522.61</v>
      </c>
      <c r="H1448" s="1">
        <v>46.15</v>
      </c>
    </row>
    <row r="1449" spans="1:8">
      <c r="A1449" s="69"/>
      <c r="B1449" s="73" t="s">
        <v>1340</v>
      </c>
      <c r="C1449" s="3" t="s">
        <v>1341</v>
      </c>
      <c r="D1449" s="4">
        <v>77077.08</v>
      </c>
      <c r="G1449" s="4">
        <v>336.32</v>
      </c>
      <c r="H1449" s="4">
        <v>14</v>
      </c>
    </row>
    <row r="1450" spans="1:8">
      <c r="A1450" s="69"/>
      <c r="B1450" s="69"/>
      <c r="C1450" s="5" t="s">
        <v>1342</v>
      </c>
      <c r="D1450" s="1">
        <v>77077.08</v>
      </c>
      <c r="G1450" s="1">
        <v>336.32</v>
      </c>
      <c r="H1450" s="1">
        <v>14</v>
      </c>
    </row>
    <row r="1451" spans="1:8">
      <c r="A1451" s="69"/>
      <c r="B1451" s="73" t="s">
        <v>1343</v>
      </c>
      <c r="C1451" s="3" t="s">
        <v>1344</v>
      </c>
      <c r="D1451" s="4">
        <v>100</v>
      </c>
    </row>
    <row r="1452" spans="1:8">
      <c r="A1452" s="69"/>
      <c r="B1452" s="69"/>
      <c r="C1452" s="5" t="s">
        <v>1345</v>
      </c>
      <c r="D1452" s="1">
        <v>100</v>
      </c>
    </row>
    <row r="1453" spans="1:8">
      <c r="A1453" s="69"/>
      <c r="B1453" s="73" t="s">
        <v>344</v>
      </c>
      <c r="C1453" s="3" t="s">
        <v>345</v>
      </c>
      <c r="D1453" s="4">
        <v>300</v>
      </c>
    </row>
    <row r="1454" spans="1:8">
      <c r="A1454" s="69"/>
      <c r="B1454" s="69"/>
      <c r="C1454" s="5" t="s">
        <v>346</v>
      </c>
      <c r="D1454" s="1">
        <v>300</v>
      </c>
    </row>
    <row r="1455" spans="1:8">
      <c r="A1455" s="69"/>
      <c r="B1455" s="73" t="s">
        <v>306</v>
      </c>
      <c r="C1455" s="3" t="s">
        <v>307</v>
      </c>
      <c r="D1455" s="4">
        <v>13.42</v>
      </c>
    </row>
    <row r="1456" spans="1:8">
      <c r="A1456" s="69"/>
      <c r="B1456" s="69"/>
      <c r="C1456" s="5" t="s">
        <v>308</v>
      </c>
      <c r="D1456" s="1">
        <v>13.42</v>
      </c>
    </row>
    <row r="1457" spans="1:8">
      <c r="A1457" s="69"/>
      <c r="B1457" s="73" t="s">
        <v>1346</v>
      </c>
      <c r="C1457" s="3" t="s">
        <v>1347</v>
      </c>
      <c r="D1457" s="4">
        <v>339.54</v>
      </c>
    </row>
    <row r="1458" spans="1:8">
      <c r="A1458" s="69"/>
      <c r="B1458" s="69"/>
      <c r="C1458" s="5" t="s">
        <v>1348</v>
      </c>
      <c r="D1458" s="1">
        <v>339.54</v>
      </c>
    </row>
    <row r="1459" spans="1:8">
      <c r="A1459" s="69"/>
      <c r="B1459" s="73" t="s">
        <v>1349</v>
      </c>
      <c r="C1459" s="3" t="s">
        <v>1350</v>
      </c>
      <c r="D1459" s="4">
        <v>60.16</v>
      </c>
      <c r="F1459" s="4">
        <v>32.82</v>
      </c>
    </row>
    <row r="1460" spans="1:8">
      <c r="A1460" s="69"/>
      <c r="B1460" s="69"/>
      <c r="C1460" s="5" t="s">
        <v>1351</v>
      </c>
      <c r="D1460" s="1">
        <v>60.16</v>
      </c>
      <c r="F1460" s="1">
        <v>32.82</v>
      </c>
    </row>
    <row r="1461" spans="1:8">
      <c r="A1461" s="69"/>
      <c r="B1461" s="73" t="s">
        <v>1352</v>
      </c>
      <c r="C1461" s="3" t="s">
        <v>1353</v>
      </c>
      <c r="G1461" s="4">
        <v>101.01</v>
      </c>
      <c r="H1461" s="4">
        <v>25.5</v>
      </c>
    </row>
    <row r="1462" spans="1:8">
      <c r="A1462" s="69"/>
      <c r="B1462" s="69"/>
      <c r="C1462" s="5" t="s">
        <v>1354</v>
      </c>
      <c r="G1462" s="1">
        <v>101.01</v>
      </c>
      <c r="H1462" s="1">
        <v>25.5</v>
      </c>
    </row>
    <row r="1463" spans="1:8">
      <c r="A1463" s="69"/>
      <c r="B1463" s="73" t="s">
        <v>1355</v>
      </c>
      <c r="C1463" s="3" t="s">
        <v>1356</v>
      </c>
      <c r="G1463" s="4">
        <v>58311.834999999999</v>
      </c>
      <c r="H1463" s="4">
        <v>3058.43</v>
      </c>
    </row>
    <row r="1464" spans="1:8">
      <c r="A1464" s="69"/>
      <c r="B1464" s="69"/>
      <c r="C1464" s="5" t="s">
        <v>1355</v>
      </c>
      <c r="G1464" s="1">
        <v>58311.834999999999</v>
      </c>
      <c r="H1464" s="1">
        <v>3058.43</v>
      </c>
    </row>
    <row r="1465" spans="1:8">
      <c r="A1465" s="69"/>
      <c r="B1465" s="73" t="s">
        <v>336</v>
      </c>
      <c r="C1465" s="3" t="s">
        <v>337</v>
      </c>
      <c r="D1465" s="4">
        <v>1207.05</v>
      </c>
      <c r="G1465" s="4">
        <v>50950.614999999998</v>
      </c>
    </row>
    <row r="1466" spans="1:8">
      <c r="A1466" s="69"/>
      <c r="B1466" s="69"/>
      <c r="C1466" s="5" t="s">
        <v>336</v>
      </c>
      <c r="D1466" s="1">
        <v>1207.05</v>
      </c>
      <c r="G1466" s="1">
        <v>50950.614999999998</v>
      </c>
    </row>
    <row r="1467" spans="1:8">
      <c r="A1467" s="69"/>
      <c r="B1467" s="73" t="s">
        <v>1357</v>
      </c>
      <c r="C1467" s="3" t="s">
        <v>1358</v>
      </c>
      <c r="G1467" s="4">
        <v>7424.72</v>
      </c>
    </row>
    <row r="1468" spans="1:8">
      <c r="A1468" s="69"/>
      <c r="B1468" s="69"/>
      <c r="C1468" s="5" t="s">
        <v>1357</v>
      </c>
      <c r="G1468" s="1">
        <v>7424.72</v>
      </c>
    </row>
    <row r="1469" spans="1:8">
      <c r="A1469" s="69"/>
      <c r="B1469" s="73" t="s">
        <v>1359</v>
      </c>
      <c r="C1469" s="3" t="s">
        <v>1360</v>
      </c>
      <c r="D1469" s="4">
        <v>49194.05</v>
      </c>
      <c r="E1469" s="4">
        <v>13.6</v>
      </c>
      <c r="G1469" s="4">
        <v>123078.16</v>
      </c>
    </row>
    <row r="1470" spans="1:8">
      <c r="A1470" s="69"/>
      <c r="B1470" s="69"/>
      <c r="C1470" s="5" t="s">
        <v>1359</v>
      </c>
      <c r="D1470" s="1">
        <v>49194.05</v>
      </c>
      <c r="E1470" s="1">
        <v>13.6</v>
      </c>
      <c r="G1470" s="1">
        <v>123078.16</v>
      </c>
    </row>
    <row r="1471" spans="1:8">
      <c r="A1471" s="69"/>
      <c r="B1471" s="73" t="s">
        <v>353</v>
      </c>
      <c r="C1471" s="3" t="s">
        <v>354</v>
      </c>
      <c r="D1471" s="4">
        <v>33766.69</v>
      </c>
      <c r="G1471" s="4">
        <v>273286.99</v>
      </c>
    </row>
    <row r="1472" spans="1:8">
      <c r="A1472" s="69"/>
      <c r="B1472" s="69"/>
      <c r="C1472" s="5" t="s">
        <v>353</v>
      </c>
      <c r="D1472" s="1">
        <v>33766.69</v>
      </c>
      <c r="G1472" s="1">
        <v>273286.99</v>
      </c>
    </row>
    <row r="1473" spans="1:8">
      <c r="A1473" s="69"/>
      <c r="B1473" s="73" t="s">
        <v>81</v>
      </c>
      <c r="C1473" s="3" t="s">
        <v>82</v>
      </c>
      <c r="D1473" s="4">
        <v>1056.01</v>
      </c>
    </row>
    <row r="1474" spans="1:8">
      <c r="A1474" s="69"/>
      <c r="B1474" s="69"/>
      <c r="C1474" s="5" t="s">
        <v>83</v>
      </c>
      <c r="D1474" s="1">
        <v>1056.01</v>
      </c>
    </row>
    <row r="1475" spans="1:8">
      <c r="A1475" s="69"/>
      <c r="B1475" s="73" t="s">
        <v>1361</v>
      </c>
      <c r="C1475" s="3" t="s">
        <v>1362</v>
      </c>
      <c r="D1475" s="4">
        <v>6374.65</v>
      </c>
      <c r="E1475" s="4">
        <v>1648.81</v>
      </c>
      <c r="F1475" s="4">
        <v>-28560</v>
      </c>
      <c r="G1475" s="4">
        <v>58926.78</v>
      </c>
      <c r="H1475" s="4">
        <v>11.04</v>
      </c>
    </row>
    <row r="1476" spans="1:8">
      <c r="A1476" s="69"/>
      <c r="B1476" s="69"/>
      <c r="C1476" s="5" t="s">
        <v>1363</v>
      </c>
      <c r="D1476" s="1">
        <v>6374.65</v>
      </c>
      <c r="E1476" s="1">
        <v>1648.81</v>
      </c>
      <c r="F1476" s="1">
        <v>-28560</v>
      </c>
      <c r="G1476" s="1">
        <v>58926.78</v>
      </c>
      <c r="H1476" s="1">
        <v>11.04</v>
      </c>
    </row>
    <row r="1477" spans="1:8">
      <c r="A1477" s="69"/>
      <c r="B1477" s="73" t="s">
        <v>1364</v>
      </c>
      <c r="C1477" s="3" t="s">
        <v>1365</v>
      </c>
      <c r="D1477" s="4">
        <v>2724.08</v>
      </c>
      <c r="F1477" s="4">
        <v>1662.3</v>
      </c>
    </row>
    <row r="1478" spans="1:8">
      <c r="A1478" s="69"/>
      <c r="B1478" s="69"/>
      <c r="C1478" s="5" t="s">
        <v>1366</v>
      </c>
      <c r="D1478" s="1">
        <v>2724.08</v>
      </c>
      <c r="F1478" s="1">
        <v>1662.3</v>
      </c>
    </row>
    <row r="1479" spans="1:8">
      <c r="A1479" s="69"/>
      <c r="B1479" s="73" t="s">
        <v>555</v>
      </c>
      <c r="C1479" s="3" t="s">
        <v>556</v>
      </c>
      <c r="D1479" s="4">
        <v>28.38</v>
      </c>
    </row>
    <row r="1480" spans="1:8">
      <c r="A1480" s="69"/>
      <c r="B1480" s="69"/>
      <c r="C1480" s="5" t="s">
        <v>557</v>
      </c>
      <c r="D1480" s="1">
        <v>28.38</v>
      </c>
    </row>
    <row r="1481" spans="1:8">
      <c r="A1481" s="69"/>
      <c r="B1481" s="73" t="s">
        <v>1367</v>
      </c>
      <c r="C1481" s="3" t="s">
        <v>1368</v>
      </c>
      <c r="D1481" s="4">
        <v>2151.59</v>
      </c>
    </row>
    <row r="1482" spans="1:8">
      <c r="A1482" s="69"/>
      <c r="B1482" s="69"/>
      <c r="C1482" s="5" t="s">
        <v>1367</v>
      </c>
      <c r="D1482" s="1">
        <v>2151.59</v>
      </c>
    </row>
    <row r="1483" spans="1:8">
      <c r="A1483" s="69"/>
      <c r="B1483" s="73" t="s">
        <v>1369</v>
      </c>
      <c r="C1483" s="3" t="s">
        <v>1370</v>
      </c>
      <c r="D1483" s="4">
        <v>134.12</v>
      </c>
      <c r="F1483" s="4">
        <v>1411.55</v>
      </c>
    </row>
    <row r="1484" spans="1:8">
      <c r="A1484" s="69"/>
      <c r="B1484" s="69"/>
      <c r="C1484" s="5" t="s">
        <v>1371</v>
      </c>
      <c r="D1484" s="1">
        <v>134.12</v>
      </c>
      <c r="F1484" s="1">
        <v>1411.55</v>
      </c>
    </row>
    <row r="1485" spans="1:8">
      <c r="A1485" s="69"/>
      <c r="B1485" s="73" t="s">
        <v>1372</v>
      </c>
      <c r="C1485" s="3" t="s">
        <v>1373</v>
      </c>
      <c r="D1485" s="4">
        <v>2692.53</v>
      </c>
      <c r="G1485" s="4">
        <v>1475425.12</v>
      </c>
      <c r="H1485" s="4">
        <v>6173.56</v>
      </c>
    </row>
    <row r="1486" spans="1:8">
      <c r="A1486" s="69"/>
      <c r="B1486" s="69"/>
      <c r="C1486" s="5" t="s">
        <v>1372</v>
      </c>
      <c r="D1486" s="1">
        <v>2692.53</v>
      </c>
      <c r="G1486" s="1">
        <v>1475425.12</v>
      </c>
      <c r="H1486" s="1">
        <v>6173.56</v>
      </c>
    </row>
    <row r="1487" spans="1:8">
      <c r="A1487" s="69"/>
      <c r="B1487" s="73" t="s">
        <v>288</v>
      </c>
      <c r="C1487" s="3" t="s">
        <v>289</v>
      </c>
      <c r="D1487" s="4">
        <v>-44.78</v>
      </c>
    </row>
    <row r="1488" spans="1:8">
      <c r="A1488" s="69"/>
      <c r="B1488" s="69"/>
      <c r="C1488" s="5" t="s">
        <v>290</v>
      </c>
      <c r="D1488" s="1">
        <v>-44.78</v>
      </c>
    </row>
    <row r="1489" spans="1:6">
      <c r="A1489" s="69"/>
      <c r="B1489" s="73" t="s">
        <v>1374</v>
      </c>
      <c r="C1489" s="3" t="s">
        <v>1375</v>
      </c>
      <c r="D1489" s="4">
        <v>11410.12</v>
      </c>
    </row>
    <row r="1490" spans="1:6">
      <c r="A1490" s="69"/>
      <c r="B1490" s="69"/>
      <c r="C1490" s="5" t="s">
        <v>1374</v>
      </c>
      <c r="D1490" s="1">
        <v>11410.12</v>
      </c>
    </row>
    <row r="1491" spans="1:6">
      <c r="A1491" s="69"/>
      <c r="B1491" s="73" t="s">
        <v>1376</v>
      </c>
      <c r="C1491" s="3" t="s">
        <v>1377</v>
      </c>
      <c r="D1491" s="4">
        <v>18846.05</v>
      </c>
    </row>
    <row r="1492" spans="1:6">
      <c r="A1492" s="69"/>
      <c r="B1492" s="69"/>
      <c r="C1492" s="5" t="s">
        <v>1376</v>
      </c>
      <c r="D1492" s="1">
        <v>18846.05</v>
      </c>
    </row>
    <row r="1493" spans="1:6">
      <c r="A1493" s="69"/>
      <c r="B1493" s="73" t="s">
        <v>1378</v>
      </c>
      <c r="C1493" s="3" t="s">
        <v>1379</v>
      </c>
      <c r="D1493" s="4">
        <v>244</v>
      </c>
    </row>
    <row r="1494" spans="1:6">
      <c r="A1494" s="69"/>
      <c r="B1494" s="69"/>
      <c r="C1494" s="5" t="s">
        <v>1380</v>
      </c>
      <c r="D1494" s="1">
        <v>244</v>
      </c>
    </row>
    <row r="1495" spans="1:6">
      <c r="A1495" s="69"/>
      <c r="B1495" s="73" t="s">
        <v>1170</v>
      </c>
      <c r="C1495" s="3" t="s">
        <v>1171</v>
      </c>
      <c r="D1495" s="4">
        <v>1426.05</v>
      </c>
      <c r="F1495" s="4">
        <v>97.82</v>
      </c>
    </row>
    <row r="1496" spans="1:6">
      <c r="A1496" s="69"/>
      <c r="B1496" s="69"/>
      <c r="C1496" s="5" t="s">
        <v>1172</v>
      </c>
      <c r="D1496" s="1">
        <v>1426.05</v>
      </c>
      <c r="F1496" s="1">
        <v>97.82</v>
      </c>
    </row>
    <row r="1497" spans="1:6">
      <c r="A1497" s="69"/>
      <c r="B1497" s="73" t="s">
        <v>1381</v>
      </c>
      <c r="C1497" s="3" t="s">
        <v>1382</v>
      </c>
      <c r="D1497" s="4">
        <v>518.48</v>
      </c>
    </row>
    <row r="1498" spans="1:6">
      <c r="A1498" s="69"/>
      <c r="B1498" s="69"/>
      <c r="C1498" s="5" t="s">
        <v>1383</v>
      </c>
      <c r="D1498" s="1">
        <v>518.48</v>
      </c>
    </row>
    <row r="1499" spans="1:6">
      <c r="A1499" s="69"/>
      <c r="B1499" s="73" t="s">
        <v>1384</v>
      </c>
      <c r="C1499" s="3" t="s">
        <v>1385</v>
      </c>
      <c r="D1499" s="4">
        <v>599.20000000000005</v>
      </c>
      <c r="F1499" s="4">
        <v>293.92</v>
      </c>
    </row>
    <row r="1500" spans="1:6">
      <c r="A1500" s="69"/>
      <c r="B1500" s="69"/>
      <c r="C1500" s="5" t="s">
        <v>1386</v>
      </c>
      <c r="D1500" s="1">
        <v>599.20000000000005</v>
      </c>
      <c r="F1500" s="1">
        <v>293.92</v>
      </c>
    </row>
    <row r="1501" spans="1:6">
      <c r="A1501" s="69"/>
      <c r="B1501" s="73" t="s">
        <v>669</v>
      </c>
      <c r="C1501" s="3" t="s">
        <v>670</v>
      </c>
      <c r="D1501" s="4">
        <v>221.49</v>
      </c>
    </row>
    <row r="1502" spans="1:6">
      <c r="A1502" s="69"/>
      <c r="B1502" s="69"/>
      <c r="C1502" s="5" t="s">
        <v>671</v>
      </c>
      <c r="D1502" s="1">
        <v>221.49</v>
      </c>
    </row>
    <row r="1503" spans="1:6">
      <c r="A1503" s="69"/>
      <c r="B1503" s="73" t="s">
        <v>1226</v>
      </c>
      <c r="C1503" s="3" t="s">
        <v>1227</v>
      </c>
      <c r="D1503" s="4">
        <v>4278.72</v>
      </c>
    </row>
    <row r="1504" spans="1:6">
      <c r="A1504" s="69"/>
      <c r="B1504" s="69"/>
      <c r="C1504" s="5" t="s">
        <v>1228</v>
      </c>
      <c r="D1504" s="1">
        <v>4278.72</v>
      </c>
    </row>
    <row r="1505" spans="1:8">
      <c r="A1505" s="69"/>
      <c r="B1505" s="73" t="s">
        <v>1387</v>
      </c>
      <c r="C1505" s="3" t="s">
        <v>1388</v>
      </c>
      <c r="G1505" s="4">
        <v>250558.27</v>
      </c>
    </row>
    <row r="1506" spans="1:8">
      <c r="A1506" s="69"/>
      <c r="B1506" s="69"/>
      <c r="C1506" s="5" t="s">
        <v>1387</v>
      </c>
      <c r="G1506" s="1">
        <v>250558.27</v>
      </c>
    </row>
    <row r="1507" spans="1:8">
      <c r="A1507" s="69"/>
      <c r="B1507" s="73" t="s">
        <v>1389</v>
      </c>
      <c r="C1507" s="3" t="s">
        <v>1390</v>
      </c>
      <c r="D1507" s="4">
        <v>100</v>
      </c>
    </row>
    <row r="1508" spans="1:8">
      <c r="A1508" s="69"/>
      <c r="B1508" s="69"/>
      <c r="C1508" s="5" t="s">
        <v>1391</v>
      </c>
      <c r="D1508" s="1">
        <v>100</v>
      </c>
    </row>
    <row r="1509" spans="1:8">
      <c r="A1509" s="69"/>
      <c r="B1509" s="73" t="s">
        <v>1392</v>
      </c>
      <c r="C1509" s="3" t="s">
        <v>1393</v>
      </c>
      <c r="G1509" s="4">
        <v>221.19</v>
      </c>
    </row>
    <row r="1510" spans="1:8">
      <c r="A1510" s="69"/>
      <c r="B1510" s="69"/>
      <c r="C1510" s="5" t="s">
        <v>1394</v>
      </c>
      <c r="G1510" s="1">
        <v>221.19</v>
      </c>
    </row>
    <row r="1511" spans="1:8">
      <c r="A1511" s="69"/>
      <c r="B1511" s="73" t="s">
        <v>1395</v>
      </c>
      <c r="C1511" s="3" t="s">
        <v>1396</v>
      </c>
      <c r="G1511" s="4">
        <v>5374.95</v>
      </c>
    </row>
    <row r="1512" spans="1:8">
      <c r="A1512" s="69"/>
      <c r="B1512" s="69"/>
      <c r="C1512" s="5" t="s">
        <v>1395</v>
      </c>
      <c r="G1512" s="1">
        <v>5374.95</v>
      </c>
    </row>
    <row r="1513" spans="1:8">
      <c r="A1513" s="69"/>
      <c r="B1513" s="73" t="s">
        <v>1397</v>
      </c>
      <c r="C1513" s="3" t="s">
        <v>1398</v>
      </c>
      <c r="G1513" s="4">
        <v>55451.01</v>
      </c>
    </row>
    <row r="1514" spans="1:8">
      <c r="A1514" s="69"/>
      <c r="B1514" s="69"/>
      <c r="C1514" s="5" t="s">
        <v>1397</v>
      </c>
      <c r="G1514" s="1">
        <v>55451.01</v>
      </c>
    </row>
    <row r="1515" spans="1:8">
      <c r="A1515" s="73" t="s">
        <v>1399</v>
      </c>
      <c r="B1515" s="72" t="s">
        <v>1400</v>
      </c>
      <c r="C1515" s="69"/>
      <c r="D1515" s="4">
        <v>156099.87</v>
      </c>
      <c r="G1515" s="4">
        <v>23118.52</v>
      </c>
      <c r="H1515" s="4">
        <v>14106.36</v>
      </c>
    </row>
    <row r="1516" spans="1:8">
      <c r="A1516" s="69"/>
      <c r="B1516" s="73" t="s">
        <v>1401</v>
      </c>
      <c r="C1516" s="3" t="s">
        <v>1402</v>
      </c>
      <c r="D1516" s="4">
        <v>14734.72</v>
      </c>
    </row>
    <row r="1517" spans="1:8">
      <c r="A1517" s="69"/>
      <c r="B1517" s="69"/>
      <c r="C1517" s="5" t="s">
        <v>1403</v>
      </c>
      <c r="D1517" s="1">
        <v>14734.72</v>
      </c>
    </row>
    <row r="1518" spans="1:8">
      <c r="A1518" s="69"/>
      <c r="B1518" s="73" t="s">
        <v>1244</v>
      </c>
      <c r="C1518" s="3" t="s">
        <v>1245</v>
      </c>
      <c r="G1518" s="4">
        <v>337.13</v>
      </c>
      <c r="H1518" s="4">
        <v>227.23</v>
      </c>
    </row>
    <row r="1519" spans="1:8">
      <c r="A1519" s="69"/>
      <c r="B1519" s="69"/>
      <c r="C1519" s="5" t="s">
        <v>1246</v>
      </c>
      <c r="G1519" s="1">
        <v>337.13</v>
      </c>
      <c r="H1519" s="1">
        <v>227.23</v>
      </c>
    </row>
    <row r="1520" spans="1:8">
      <c r="A1520" s="69"/>
      <c r="B1520" s="73" t="s">
        <v>1129</v>
      </c>
      <c r="C1520" s="3" t="s">
        <v>1130</v>
      </c>
      <c r="G1520" s="4">
        <v>145.755</v>
      </c>
      <c r="H1520" s="4">
        <v>424.84</v>
      </c>
    </row>
    <row r="1521" spans="1:8">
      <c r="A1521" s="69"/>
      <c r="B1521" s="69"/>
      <c r="C1521" s="5" t="s">
        <v>1131</v>
      </c>
      <c r="G1521" s="1">
        <v>145.755</v>
      </c>
      <c r="H1521" s="1">
        <v>424.84</v>
      </c>
    </row>
    <row r="1522" spans="1:8">
      <c r="A1522" s="69"/>
      <c r="B1522" s="73" t="s">
        <v>1126</v>
      </c>
      <c r="C1522" s="3" t="s">
        <v>1127</v>
      </c>
      <c r="G1522" s="4">
        <v>211.92</v>
      </c>
      <c r="H1522" s="4">
        <v>372.84</v>
      </c>
    </row>
    <row r="1523" spans="1:8">
      <c r="A1523" s="69"/>
      <c r="B1523" s="69"/>
      <c r="C1523" s="5" t="s">
        <v>1128</v>
      </c>
      <c r="G1523" s="1">
        <v>211.92</v>
      </c>
      <c r="H1523" s="1">
        <v>372.84</v>
      </c>
    </row>
    <row r="1524" spans="1:8">
      <c r="A1524" s="69"/>
      <c r="B1524" s="73" t="s">
        <v>1404</v>
      </c>
      <c r="C1524" s="3" t="s">
        <v>1405</v>
      </c>
      <c r="G1524" s="4">
        <v>973.83</v>
      </c>
    </row>
    <row r="1525" spans="1:8">
      <c r="A1525" s="69"/>
      <c r="B1525" s="69"/>
      <c r="C1525" s="5" t="s">
        <v>1406</v>
      </c>
      <c r="G1525" s="1">
        <v>973.83</v>
      </c>
    </row>
    <row r="1526" spans="1:8">
      <c r="A1526" s="69"/>
      <c r="B1526" s="73" t="s">
        <v>1407</v>
      </c>
      <c r="C1526" s="3" t="s">
        <v>1408</v>
      </c>
      <c r="G1526" s="4">
        <v>454.4</v>
      </c>
    </row>
    <row r="1527" spans="1:8">
      <c r="A1527" s="69"/>
      <c r="B1527" s="69"/>
      <c r="C1527" s="5" t="s">
        <v>1409</v>
      </c>
      <c r="G1527" s="1">
        <v>454.4</v>
      </c>
    </row>
    <row r="1528" spans="1:8">
      <c r="A1528" s="69"/>
      <c r="B1528" s="73" t="s">
        <v>555</v>
      </c>
      <c r="C1528" s="3" t="s">
        <v>556</v>
      </c>
      <c r="G1528" s="4">
        <v>1247.635</v>
      </c>
      <c r="H1528" s="4">
        <v>1321.69</v>
      </c>
    </row>
    <row r="1529" spans="1:8">
      <c r="A1529" s="69"/>
      <c r="B1529" s="69"/>
      <c r="C1529" s="5" t="s">
        <v>557</v>
      </c>
      <c r="G1529" s="1">
        <v>1247.635</v>
      </c>
      <c r="H1529" s="1">
        <v>1321.69</v>
      </c>
    </row>
    <row r="1530" spans="1:8">
      <c r="A1530" s="69"/>
      <c r="B1530" s="73" t="s">
        <v>1099</v>
      </c>
      <c r="C1530" s="3" t="s">
        <v>1100</v>
      </c>
      <c r="H1530" s="4">
        <v>1344.74</v>
      </c>
    </row>
    <row r="1531" spans="1:8">
      <c r="A1531" s="69"/>
      <c r="B1531" s="69"/>
      <c r="C1531" s="5" t="s">
        <v>1101</v>
      </c>
      <c r="H1531" s="1">
        <v>1344.74</v>
      </c>
    </row>
    <row r="1532" spans="1:8">
      <c r="A1532" s="69"/>
      <c r="B1532" s="73" t="s">
        <v>1410</v>
      </c>
      <c r="C1532" s="3" t="s">
        <v>1411</v>
      </c>
      <c r="D1532" s="4">
        <v>9413.7999999999993</v>
      </c>
    </row>
    <row r="1533" spans="1:8">
      <c r="A1533" s="69"/>
      <c r="B1533" s="69"/>
      <c r="C1533" s="5" t="s">
        <v>1412</v>
      </c>
      <c r="D1533" s="1">
        <v>9413.7999999999993</v>
      </c>
    </row>
    <row r="1534" spans="1:8">
      <c r="A1534" s="69"/>
      <c r="B1534" s="73" t="s">
        <v>1413</v>
      </c>
      <c r="C1534" s="3" t="s">
        <v>1414</v>
      </c>
      <c r="D1534" s="4">
        <v>2500</v>
      </c>
    </row>
    <row r="1535" spans="1:8">
      <c r="A1535" s="69"/>
      <c r="B1535" s="69"/>
      <c r="C1535" s="5" t="s">
        <v>1415</v>
      </c>
      <c r="D1535" s="1">
        <v>2500</v>
      </c>
    </row>
    <row r="1536" spans="1:8">
      <c r="A1536" s="69"/>
      <c r="B1536" s="73" t="s">
        <v>1416</v>
      </c>
      <c r="C1536" s="3" t="s">
        <v>1417</v>
      </c>
      <c r="G1536" s="4">
        <v>239.84</v>
      </c>
    </row>
    <row r="1537" spans="1:8">
      <c r="A1537" s="69"/>
      <c r="B1537" s="69"/>
      <c r="C1537" s="5" t="s">
        <v>1418</v>
      </c>
      <c r="G1537" s="1">
        <v>239.84</v>
      </c>
    </row>
    <row r="1538" spans="1:8">
      <c r="A1538" s="69"/>
      <c r="B1538" s="73" t="s">
        <v>1419</v>
      </c>
      <c r="C1538" s="3" t="s">
        <v>1420</v>
      </c>
      <c r="D1538" s="4">
        <v>18</v>
      </c>
      <c r="G1538" s="4">
        <v>933.86</v>
      </c>
    </row>
    <row r="1539" spans="1:8">
      <c r="A1539" s="69"/>
      <c r="B1539" s="69"/>
      <c r="C1539" s="5" t="s">
        <v>1421</v>
      </c>
      <c r="D1539" s="1">
        <v>18</v>
      </c>
      <c r="G1539" s="1">
        <v>933.86</v>
      </c>
    </row>
    <row r="1540" spans="1:8">
      <c r="A1540" s="69"/>
      <c r="B1540" s="73" t="s">
        <v>1422</v>
      </c>
      <c r="C1540" s="3" t="s">
        <v>1423</v>
      </c>
      <c r="G1540" s="4">
        <v>71</v>
      </c>
    </row>
    <row r="1541" spans="1:8">
      <c r="A1541" s="69"/>
      <c r="B1541" s="69"/>
      <c r="C1541" s="5" t="s">
        <v>1424</v>
      </c>
      <c r="G1541" s="1">
        <v>71</v>
      </c>
    </row>
    <row r="1542" spans="1:8">
      <c r="A1542" s="69"/>
      <c r="B1542" s="73" t="s">
        <v>723</v>
      </c>
      <c r="C1542" s="3" t="s">
        <v>724</v>
      </c>
      <c r="G1542" s="4">
        <v>2318.5749999999998</v>
      </c>
      <c r="H1542" s="4">
        <v>2702.43</v>
      </c>
    </row>
    <row r="1543" spans="1:8">
      <c r="A1543" s="69"/>
      <c r="B1543" s="69"/>
      <c r="C1543" s="5" t="s">
        <v>725</v>
      </c>
      <c r="G1543" s="1">
        <v>2318.5749999999998</v>
      </c>
      <c r="H1543" s="1">
        <v>2702.43</v>
      </c>
    </row>
    <row r="1544" spans="1:8">
      <c r="A1544" s="69"/>
      <c r="B1544" s="73" t="s">
        <v>1425</v>
      </c>
      <c r="C1544" s="3" t="s">
        <v>1426</v>
      </c>
      <c r="D1544" s="4">
        <v>290</v>
      </c>
      <c r="G1544" s="4">
        <v>1482.37</v>
      </c>
    </row>
    <row r="1545" spans="1:8">
      <c r="A1545" s="69"/>
      <c r="B1545" s="69"/>
      <c r="C1545" s="5" t="s">
        <v>1427</v>
      </c>
      <c r="D1545" s="1">
        <v>290</v>
      </c>
      <c r="G1545" s="1">
        <v>1482.37</v>
      </c>
    </row>
    <row r="1546" spans="1:8">
      <c r="A1546" s="69"/>
      <c r="B1546" s="73" t="s">
        <v>543</v>
      </c>
      <c r="C1546" s="3" t="s">
        <v>544</v>
      </c>
      <c r="G1546" s="4">
        <v>423.84</v>
      </c>
    </row>
    <row r="1547" spans="1:8">
      <c r="A1547" s="69"/>
      <c r="B1547" s="69"/>
      <c r="C1547" s="5" t="s">
        <v>545</v>
      </c>
      <c r="G1547" s="1">
        <v>423.84</v>
      </c>
    </row>
    <row r="1548" spans="1:8">
      <c r="A1548" s="69"/>
      <c r="B1548" s="73" t="s">
        <v>1428</v>
      </c>
      <c r="C1548" s="3" t="s">
        <v>1429</v>
      </c>
      <c r="G1548" s="4">
        <v>573.6</v>
      </c>
      <c r="H1548" s="4">
        <v>178.56</v>
      </c>
    </row>
    <row r="1549" spans="1:8">
      <c r="A1549" s="69"/>
      <c r="B1549" s="69"/>
      <c r="C1549" s="5" t="s">
        <v>1430</v>
      </c>
      <c r="G1549" s="1">
        <v>573.6</v>
      </c>
      <c r="H1549" s="1">
        <v>178.56</v>
      </c>
    </row>
    <row r="1550" spans="1:8">
      <c r="A1550" s="69"/>
      <c r="B1550" s="73" t="s">
        <v>1123</v>
      </c>
      <c r="C1550" s="3" t="s">
        <v>1124</v>
      </c>
      <c r="G1550" s="4">
        <v>520.02</v>
      </c>
      <c r="H1550" s="4">
        <v>1404.44</v>
      </c>
    </row>
    <row r="1551" spans="1:8">
      <c r="A1551" s="69"/>
      <c r="B1551" s="69"/>
      <c r="C1551" s="5" t="s">
        <v>1125</v>
      </c>
      <c r="G1551" s="1">
        <v>520.02</v>
      </c>
      <c r="H1551" s="1">
        <v>1404.44</v>
      </c>
    </row>
    <row r="1552" spans="1:8">
      <c r="A1552" s="69"/>
      <c r="B1552" s="73" t="s">
        <v>1102</v>
      </c>
      <c r="C1552" s="3" t="s">
        <v>1103</v>
      </c>
      <c r="G1552" s="4">
        <v>211.13</v>
      </c>
      <c r="H1552" s="4">
        <v>532.79999999999995</v>
      </c>
    </row>
    <row r="1553" spans="1:8">
      <c r="A1553" s="69"/>
      <c r="B1553" s="69"/>
      <c r="C1553" s="5" t="s">
        <v>1104</v>
      </c>
      <c r="G1553" s="1">
        <v>211.13</v>
      </c>
      <c r="H1553" s="1">
        <v>532.79999999999995</v>
      </c>
    </row>
    <row r="1554" spans="1:8">
      <c r="A1554" s="69"/>
      <c r="B1554" s="73" t="s">
        <v>681</v>
      </c>
      <c r="C1554" s="3" t="s">
        <v>682</v>
      </c>
      <c r="G1554" s="4">
        <v>1551.7049999999999</v>
      </c>
    </row>
    <row r="1555" spans="1:8">
      <c r="A1555" s="69"/>
      <c r="B1555" s="69"/>
      <c r="C1555" s="5" t="s">
        <v>683</v>
      </c>
      <c r="G1555" s="1">
        <v>1551.7049999999999</v>
      </c>
    </row>
    <row r="1556" spans="1:8">
      <c r="A1556" s="69"/>
      <c r="B1556" s="73" t="s">
        <v>1431</v>
      </c>
      <c r="C1556" s="3" t="s">
        <v>1432</v>
      </c>
      <c r="G1556" s="4">
        <v>627.20000000000005</v>
      </c>
    </row>
    <row r="1557" spans="1:8">
      <c r="A1557" s="69"/>
      <c r="B1557" s="69"/>
      <c r="C1557" s="5" t="s">
        <v>1433</v>
      </c>
      <c r="G1557" s="1">
        <v>627.20000000000005</v>
      </c>
    </row>
    <row r="1558" spans="1:8">
      <c r="A1558" s="69"/>
      <c r="B1558" s="73" t="s">
        <v>288</v>
      </c>
      <c r="C1558" s="3" t="s">
        <v>289</v>
      </c>
      <c r="G1558" s="4">
        <v>469.82</v>
      </c>
      <c r="H1558" s="4">
        <v>2339.73</v>
      </c>
    </row>
    <row r="1559" spans="1:8">
      <c r="A1559" s="69"/>
      <c r="B1559" s="69"/>
      <c r="C1559" s="5" t="s">
        <v>290</v>
      </c>
      <c r="G1559" s="1">
        <v>469.82</v>
      </c>
      <c r="H1559" s="1">
        <v>2339.73</v>
      </c>
    </row>
    <row r="1560" spans="1:8">
      <c r="A1560" s="69"/>
      <c r="B1560" s="73" t="s">
        <v>1434</v>
      </c>
      <c r="C1560" s="3" t="s">
        <v>1435</v>
      </c>
      <c r="D1560" s="4">
        <v>6367.45</v>
      </c>
    </row>
    <row r="1561" spans="1:8">
      <c r="A1561" s="69"/>
      <c r="B1561" s="69"/>
      <c r="C1561" s="5" t="s">
        <v>1436</v>
      </c>
      <c r="D1561" s="1">
        <v>6367.45</v>
      </c>
    </row>
    <row r="1562" spans="1:8">
      <c r="A1562" s="69"/>
      <c r="B1562" s="73" t="s">
        <v>1437</v>
      </c>
      <c r="C1562" s="3" t="s">
        <v>1438</v>
      </c>
      <c r="D1562" s="4">
        <v>7280</v>
      </c>
    </row>
    <row r="1563" spans="1:8">
      <c r="A1563" s="69"/>
      <c r="B1563" s="69"/>
      <c r="C1563" s="5" t="s">
        <v>1439</v>
      </c>
      <c r="D1563" s="1">
        <v>7280</v>
      </c>
    </row>
    <row r="1564" spans="1:8">
      <c r="A1564" s="69"/>
      <c r="B1564" s="73" t="s">
        <v>1440</v>
      </c>
      <c r="C1564" s="3" t="s">
        <v>1441</v>
      </c>
      <c r="D1564" s="4">
        <v>16640</v>
      </c>
    </row>
    <row r="1565" spans="1:8">
      <c r="A1565" s="69"/>
      <c r="B1565" s="69"/>
      <c r="C1565" s="5" t="s">
        <v>1442</v>
      </c>
      <c r="D1565" s="1">
        <v>16640</v>
      </c>
    </row>
    <row r="1566" spans="1:8">
      <c r="A1566" s="69"/>
      <c r="B1566" s="73" t="s">
        <v>1443</v>
      </c>
      <c r="C1566" s="3" t="s">
        <v>1444</v>
      </c>
      <c r="D1566" s="4">
        <v>95992</v>
      </c>
      <c r="G1566" s="4">
        <v>74.959999999999994</v>
      </c>
    </row>
    <row r="1567" spans="1:8">
      <c r="A1567" s="69"/>
      <c r="B1567" s="69"/>
      <c r="C1567" s="5" t="s">
        <v>1445</v>
      </c>
      <c r="D1567" s="1">
        <v>95992</v>
      </c>
      <c r="G1567" s="1">
        <v>74.959999999999994</v>
      </c>
    </row>
    <row r="1568" spans="1:8">
      <c r="A1568" s="69"/>
      <c r="B1568" s="73" t="s">
        <v>72</v>
      </c>
      <c r="C1568" s="3" t="s">
        <v>73</v>
      </c>
      <c r="G1568" s="4">
        <v>60.95</v>
      </c>
    </row>
    <row r="1569" spans="1:8">
      <c r="A1569" s="69"/>
      <c r="B1569" s="69"/>
      <c r="C1569" s="5" t="s">
        <v>74</v>
      </c>
      <c r="G1569" s="1">
        <v>60.95</v>
      </c>
    </row>
    <row r="1570" spans="1:8">
      <c r="A1570" s="69"/>
      <c r="B1570" s="73" t="s">
        <v>1446</v>
      </c>
      <c r="C1570" s="3" t="s">
        <v>1447</v>
      </c>
      <c r="G1570" s="4">
        <v>425.97</v>
      </c>
      <c r="H1570" s="4">
        <v>35.75</v>
      </c>
    </row>
    <row r="1571" spans="1:8">
      <c r="A1571" s="69"/>
      <c r="B1571" s="69"/>
      <c r="C1571" s="5" t="s">
        <v>1448</v>
      </c>
      <c r="G1571" s="1">
        <v>425.97</v>
      </c>
      <c r="H1571" s="1">
        <v>35.75</v>
      </c>
    </row>
    <row r="1572" spans="1:8">
      <c r="A1572" s="69"/>
      <c r="B1572" s="73" t="s">
        <v>1449</v>
      </c>
      <c r="C1572" s="3" t="s">
        <v>1450</v>
      </c>
      <c r="G1572" s="4">
        <v>2196.1799999999998</v>
      </c>
    </row>
    <row r="1573" spans="1:8">
      <c r="A1573" s="69"/>
      <c r="B1573" s="69"/>
      <c r="C1573" s="5" t="s">
        <v>1451</v>
      </c>
      <c r="G1573" s="1">
        <v>2196.1799999999998</v>
      </c>
    </row>
    <row r="1574" spans="1:8">
      <c r="A1574" s="69"/>
      <c r="B1574" s="73" t="s">
        <v>1452</v>
      </c>
      <c r="C1574" s="3" t="s">
        <v>1453</v>
      </c>
      <c r="G1574" s="4">
        <v>1347.44</v>
      </c>
    </row>
    <row r="1575" spans="1:8">
      <c r="A1575" s="69"/>
      <c r="B1575" s="69"/>
      <c r="C1575" s="5" t="s">
        <v>1454</v>
      </c>
      <c r="G1575" s="1">
        <v>1347.44</v>
      </c>
    </row>
    <row r="1576" spans="1:8">
      <c r="A1576" s="69"/>
      <c r="B1576" s="73" t="s">
        <v>1455</v>
      </c>
      <c r="C1576" s="3" t="s">
        <v>1456</v>
      </c>
      <c r="G1576" s="4">
        <v>290.27999999999997</v>
      </c>
    </row>
    <row r="1577" spans="1:8">
      <c r="A1577" s="69"/>
      <c r="B1577" s="69"/>
      <c r="C1577" s="5" t="s">
        <v>1457</v>
      </c>
      <c r="G1577" s="1">
        <v>290.27999999999997</v>
      </c>
    </row>
    <row r="1578" spans="1:8">
      <c r="A1578" s="69"/>
      <c r="B1578" s="73" t="s">
        <v>1334</v>
      </c>
      <c r="C1578" s="3" t="s">
        <v>1335</v>
      </c>
      <c r="G1578" s="4">
        <v>30.21</v>
      </c>
    </row>
    <row r="1579" spans="1:8">
      <c r="A1579" s="69"/>
      <c r="B1579" s="69"/>
      <c r="C1579" s="5" t="s">
        <v>1336</v>
      </c>
      <c r="G1579" s="1">
        <v>30.21</v>
      </c>
    </row>
    <row r="1580" spans="1:8">
      <c r="A1580" s="69"/>
      <c r="B1580" s="73" t="s">
        <v>1108</v>
      </c>
      <c r="C1580" s="3" t="s">
        <v>1109</v>
      </c>
      <c r="G1580" s="4">
        <v>1823.79</v>
      </c>
      <c r="H1580" s="4">
        <v>1501.49</v>
      </c>
    </row>
    <row r="1581" spans="1:8">
      <c r="A1581" s="69"/>
      <c r="B1581" s="69"/>
      <c r="C1581" s="5" t="s">
        <v>1110</v>
      </c>
      <c r="G1581" s="1">
        <v>1823.79</v>
      </c>
      <c r="H1581" s="1">
        <v>1501.49</v>
      </c>
    </row>
    <row r="1582" spans="1:8">
      <c r="A1582" s="69"/>
      <c r="B1582" s="73" t="s">
        <v>1458</v>
      </c>
      <c r="C1582" s="3" t="s">
        <v>1459</v>
      </c>
      <c r="G1582" s="4">
        <v>694.24</v>
      </c>
    </row>
    <row r="1583" spans="1:8">
      <c r="A1583" s="69"/>
      <c r="B1583" s="69"/>
      <c r="C1583" s="5" t="s">
        <v>1460</v>
      </c>
      <c r="G1583" s="1">
        <v>694.24</v>
      </c>
    </row>
    <row r="1584" spans="1:8">
      <c r="A1584" s="69"/>
      <c r="B1584" s="73" t="s">
        <v>1461</v>
      </c>
      <c r="C1584" s="3" t="s">
        <v>1462</v>
      </c>
      <c r="G1584" s="4">
        <v>119.92</v>
      </c>
    </row>
    <row r="1585" spans="1:7">
      <c r="A1585" s="69"/>
      <c r="B1585" s="69"/>
      <c r="C1585" s="5" t="s">
        <v>1463</v>
      </c>
      <c r="G1585" s="1">
        <v>119.92</v>
      </c>
    </row>
    <row r="1586" spans="1:7">
      <c r="A1586" s="69"/>
      <c r="B1586" s="73" t="s">
        <v>1464</v>
      </c>
      <c r="C1586" s="3" t="s">
        <v>1465</v>
      </c>
      <c r="D1586" s="4">
        <v>0</v>
      </c>
    </row>
    <row r="1587" spans="1:7">
      <c r="A1587" s="69"/>
      <c r="B1587" s="69"/>
      <c r="C1587" s="5" t="s">
        <v>1466</v>
      </c>
      <c r="D1587" s="1">
        <v>0</v>
      </c>
    </row>
    <row r="1588" spans="1:7">
      <c r="A1588" s="69"/>
      <c r="B1588" s="73" t="s">
        <v>186</v>
      </c>
      <c r="C1588" s="3" t="s">
        <v>187</v>
      </c>
      <c r="G1588" s="4">
        <v>772.8</v>
      </c>
    </row>
    <row r="1589" spans="1:7">
      <c r="A1589" s="69"/>
      <c r="B1589" s="69"/>
      <c r="C1589" s="5" t="s">
        <v>188</v>
      </c>
      <c r="G1589" s="1">
        <v>772.8</v>
      </c>
    </row>
    <row r="1590" spans="1:7">
      <c r="A1590" s="69"/>
      <c r="B1590" s="73" t="s">
        <v>1307</v>
      </c>
      <c r="C1590" s="3" t="s">
        <v>1308</v>
      </c>
      <c r="G1590" s="4">
        <v>6.85</v>
      </c>
    </row>
    <row r="1591" spans="1:7">
      <c r="A1591" s="69"/>
      <c r="B1591" s="69"/>
      <c r="C1591" s="5" t="s">
        <v>1309</v>
      </c>
      <c r="G1591" s="1">
        <v>6.85</v>
      </c>
    </row>
    <row r="1592" spans="1:7">
      <c r="A1592" s="69"/>
      <c r="B1592" s="73" t="s">
        <v>1467</v>
      </c>
      <c r="C1592" s="3" t="s">
        <v>1468</v>
      </c>
      <c r="D1592" s="4">
        <v>2643.9</v>
      </c>
    </row>
    <row r="1593" spans="1:7">
      <c r="A1593" s="69"/>
      <c r="B1593" s="69"/>
      <c r="C1593" s="5" t="s">
        <v>1469</v>
      </c>
      <c r="D1593" s="1">
        <v>2643.9</v>
      </c>
    </row>
    <row r="1594" spans="1:7">
      <c r="A1594" s="69"/>
      <c r="B1594" s="73" t="s">
        <v>1470</v>
      </c>
      <c r="C1594" s="3" t="s">
        <v>1471</v>
      </c>
      <c r="D1594" s="4">
        <v>220</v>
      </c>
    </row>
    <row r="1595" spans="1:7">
      <c r="A1595" s="69"/>
      <c r="B1595" s="69"/>
      <c r="C1595" s="5" t="s">
        <v>1472</v>
      </c>
      <c r="D1595" s="1">
        <v>220</v>
      </c>
    </row>
    <row r="1596" spans="1:7">
      <c r="A1596" s="69"/>
      <c r="B1596" s="73" t="s">
        <v>630</v>
      </c>
      <c r="C1596" s="3" t="s">
        <v>631</v>
      </c>
      <c r="G1596" s="4">
        <v>216.72</v>
      </c>
    </row>
    <row r="1597" spans="1:7">
      <c r="A1597" s="69"/>
      <c r="B1597" s="69"/>
      <c r="C1597" s="5" t="s">
        <v>632</v>
      </c>
      <c r="G1597" s="1">
        <v>216.72</v>
      </c>
    </row>
    <row r="1598" spans="1:7">
      <c r="A1598" s="69"/>
      <c r="B1598" s="73" t="s">
        <v>1326</v>
      </c>
      <c r="C1598" s="3" t="s">
        <v>1327</v>
      </c>
      <c r="G1598" s="4">
        <v>80.56</v>
      </c>
    </row>
    <row r="1599" spans="1:7">
      <c r="A1599" s="69"/>
      <c r="B1599" s="69"/>
      <c r="C1599" s="5" t="s">
        <v>1328</v>
      </c>
      <c r="G1599" s="1">
        <v>80.56</v>
      </c>
    </row>
    <row r="1600" spans="1:7">
      <c r="A1600" s="69"/>
      <c r="B1600" s="73" t="s">
        <v>373</v>
      </c>
      <c r="C1600" s="3" t="s">
        <v>374</v>
      </c>
      <c r="G1600" s="4">
        <v>552</v>
      </c>
    </row>
    <row r="1601" spans="1:8">
      <c r="A1601" s="69"/>
      <c r="B1601" s="69"/>
      <c r="C1601" s="5" t="s">
        <v>375</v>
      </c>
      <c r="G1601" s="1">
        <v>552</v>
      </c>
    </row>
    <row r="1602" spans="1:8">
      <c r="A1602" s="69"/>
      <c r="B1602" s="73" t="s">
        <v>1392</v>
      </c>
      <c r="C1602" s="3" t="s">
        <v>1393</v>
      </c>
      <c r="G1602" s="4">
        <v>30.21</v>
      </c>
    </row>
    <row r="1603" spans="1:8">
      <c r="A1603" s="69"/>
      <c r="B1603" s="69"/>
      <c r="C1603" s="5" t="s">
        <v>1394</v>
      </c>
      <c r="G1603" s="1">
        <v>30.21</v>
      </c>
    </row>
    <row r="1604" spans="1:8">
      <c r="A1604" s="69"/>
      <c r="B1604" s="73" t="s">
        <v>1105</v>
      </c>
      <c r="C1604" s="3" t="s">
        <v>1106</v>
      </c>
      <c r="G1604" s="4">
        <v>1361.01</v>
      </c>
      <c r="H1604" s="4">
        <v>1719.82</v>
      </c>
    </row>
    <row r="1605" spans="1:8">
      <c r="A1605" s="69"/>
      <c r="B1605" s="69"/>
      <c r="C1605" s="5" t="s">
        <v>1107</v>
      </c>
      <c r="G1605" s="1">
        <v>1361.01</v>
      </c>
      <c r="H1605" s="1">
        <v>1719.82</v>
      </c>
    </row>
    <row r="1606" spans="1:8">
      <c r="A1606" s="69"/>
      <c r="B1606" s="73" t="s">
        <v>546</v>
      </c>
      <c r="C1606" s="3" t="s">
        <v>547</v>
      </c>
      <c r="G1606" s="4">
        <v>240.8</v>
      </c>
    </row>
    <row r="1607" spans="1:8">
      <c r="A1607" s="69"/>
      <c r="B1607" s="69"/>
      <c r="C1607" s="5" t="s">
        <v>548</v>
      </c>
      <c r="G1607" s="1">
        <v>240.8</v>
      </c>
    </row>
    <row r="1608" spans="1:8">
      <c r="A1608" s="73" t="s">
        <v>1473</v>
      </c>
      <c r="B1608" s="72" t="s">
        <v>1474</v>
      </c>
      <c r="C1608" s="69"/>
      <c r="D1608" s="4">
        <v>1385480.36</v>
      </c>
      <c r="G1608" s="4">
        <v>49228.665000000001</v>
      </c>
      <c r="H1608" s="4">
        <v>236.53</v>
      </c>
    </row>
    <row r="1609" spans="1:8">
      <c r="A1609" s="69"/>
      <c r="B1609" s="73" t="s">
        <v>1475</v>
      </c>
      <c r="C1609" s="3" t="s">
        <v>1476</v>
      </c>
      <c r="D1609" s="4">
        <v>5632.08</v>
      </c>
    </row>
    <row r="1610" spans="1:8">
      <c r="A1610" s="69"/>
      <c r="B1610" s="69"/>
      <c r="C1610" s="5" t="s">
        <v>1477</v>
      </c>
      <c r="D1610" s="1">
        <v>5632.08</v>
      </c>
    </row>
    <row r="1611" spans="1:8">
      <c r="A1611" s="69"/>
      <c r="B1611" s="73" t="s">
        <v>1478</v>
      </c>
      <c r="C1611" s="3" t="s">
        <v>1479</v>
      </c>
      <c r="D1611" s="4">
        <v>11940</v>
      </c>
    </row>
    <row r="1612" spans="1:8">
      <c r="A1612" s="69"/>
      <c r="B1612" s="69"/>
      <c r="C1612" s="5" t="s">
        <v>1480</v>
      </c>
      <c r="D1612" s="1">
        <v>11940</v>
      </c>
    </row>
    <row r="1613" spans="1:8">
      <c r="A1613" s="69"/>
      <c r="B1613" s="73" t="s">
        <v>1481</v>
      </c>
      <c r="C1613" s="3" t="s">
        <v>1482</v>
      </c>
      <c r="D1613" s="4">
        <v>8583.7000000000007</v>
      </c>
      <c r="G1613" s="4">
        <v>467.005</v>
      </c>
    </row>
    <row r="1614" spans="1:8">
      <c r="A1614" s="69"/>
      <c r="B1614" s="69"/>
      <c r="C1614" s="5" t="s">
        <v>1483</v>
      </c>
      <c r="D1614" s="1">
        <v>8583.7000000000007</v>
      </c>
      <c r="G1614" s="1">
        <v>467.005</v>
      </c>
    </row>
    <row r="1615" spans="1:8">
      <c r="A1615" s="69"/>
      <c r="B1615" s="73" t="s">
        <v>1484</v>
      </c>
      <c r="C1615" s="3" t="s">
        <v>1485</v>
      </c>
      <c r="D1615" s="4">
        <v>19735</v>
      </c>
      <c r="G1615" s="4">
        <v>671.66</v>
      </c>
    </row>
    <row r="1616" spans="1:8">
      <c r="A1616" s="69"/>
      <c r="B1616" s="69"/>
      <c r="C1616" s="5" t="s">
        <v>1486</v>
      </c>
      <c r="D1616" s="1">
        <v>19735</v>
      </c>
      <c r="G1616" s="1">
        <v>671.66</v>
      </c>
    </row>
    <row r="1617" spans="1:8">
      <c r="A1617" s="69"/>
      <c r="B1617" s="73" t="s">
        <v>1487</v>
      </c>
      <c r="C1617" s="3" t="s">
        <v>1488</v>
      </c>
      <c r="D1617" s="4">
        <v>2600</v>
      </c>
    </row>
    <row r="1618" spans="1:8">
      <c r="A1618" s="69"/>
      <c r="B1618" s="69"/>
      <c r="C1618" s="5" t="s">
        <v>1489</v>
      </c>
      <c r="D1618" s="1">
        <v>2600</v>
      </c>
    </row>
    <row r="1619" spans="1:8">
      <c r="A1619" s="69"/>
      <c r="B1619" s="73" t="s">
        <v>1443</v>
      </c>
      <c r="C1619" s="3" t="s">
        <v>1444</v>
      </c>
      <c r="D1619" s="4">
        <v>7670</v>
      </c>
      <c r="G1619" s="4">
        <v>1911.2</v>
      </c>
    </row>
    <row r="1620" spans="1:8">
      <c r="A1620" s="69"/>
      <c r="B1620" s="69"/>
      <c r="C1620" s="5" t="s">
        <v>1445</v>
      </c>
      <c r="D1620" s="1">
        <v>7670</v>
      </c>
      <c r="G1620" s="1">
        <v>1911.2</v>
      </c>
    </row>
    <row r="1621" spans="1:8">
      <c r="A1621" s="69"/>
      <c r="B1621" s="73" t="s">
        <v>1434</v>
      </c>
      <c r="C1621" s="3" t="s">
        <v>1435</v>
      </c>
      <c r="D1621" s="4">
        <v>6876.97</v>
      </c>
    </row>
    <row r="1622" spans="1:8">
      <c r="A1622" s="69"/>
      <c r="B1622" s="69"/>
      <c r="C1622" s="5" t="s">
        <v>1436</v>
      </c>
      <c r="D1622" s="1">
        <v>6876.97</v>
      </c>
    </row>
    <row r="1623" spans="1:8">
      <c r="A1623" s="69"/>
      <c r="B1623" s="73" t="s">
        <v>1428</v>
      </c>
      <c r="C1623" s="3" t="s">
        <v>1429</v>
      </c>
      <c r="D1623" s="4">
        <v>1388</v>
      </c>
      <c r="G1623" s="4">
        <v>1931.67</v>
      </c>
    </row>
    <row r="1624" spans="1:8">
      <c r="A1624" s="69"/>
      <c r="B1624" s="69"/>
      <c r="C1624" s="5" t="s">
        <v>1430</v>
      </c>
      <c r="D1624" s="1">
        <v>1388</v>
      </c>
      <c r="G1624" s="1">
        <v>1931.67</v>
      </c>
    </row>
    <row r="1625" spans="1:8">
      <c r="A1625" s="69"/>
      <c r="B1625" s="73" t="s">
        <v>1490</v>
      </c>
      <c r="C1625" s="3" t="s">
        <v>1491</v>
      </c>
      <c r="D1625" s="4">
        <v>0</v>
      </c>
    </row>
    <row r="1626" spans="1:8">
      <c r="A1626" s="69"/>
      <c r="B1626" s="69"/>
      <c r="C1626" s="5" t="s">
        <v>1492</v>
      </c>
      <c r="D1626" s="1">
        <v>0</v>
      </c>
    </row>
    <row r="1627" spans="1:8">
      <c r="A1627" s="69"/>
      <c r="B1627" s="73" t="s">
        <v>1493</v>
      </c>
      <c r="C1627" s="3" t="s">
        <v>1494</v>
      </c>
      <c r="D1627" s="4">
        <v>50</v>
      </c>
      <c r="G1627" s="4">
        <v>1490.925</v>
      </c>
      <c r="H1627" s="4">
        <v>236.53</v>
      </c>
    </row>
    <row r="1628" spans="1:8">
      <c r="A1628" s="69"/>
      <c r="B1628" s="69"/>
      <c r="C1628" s="5" t="s">
        <v>1495</v>
      </c>
      <c r="D1628" s="1">
        <v>50</v>
      </c>
      <c r="G1628" s="1">
        <v>1490.925</v>
      </c>
      <c r="H1628" s="1">
        <v>236.53</v>
      </c>
    </row>
    <row r="1629" spans="1:8">
      <c r="A1629" s="69"/>
      <c r="B1629" s="73" t="s">
        <v>1425</v>
      </c>
      <c r="C1629" s="3" t="s">
        <v>1426</v>
      </c>
      <c r="D1629" s="4">
        <v>517</v>
      </c>
      <c r="G1629" s="4">
        <v>2478.59</v>
      </c>
    </row>
    <row r="1630" spans="1:8">
      <c r="A1630" s="69"/>
      <c r="B1630" s="69"/>
      <c r="C1630" s="5" t="s">
        <v>1427</v>
      </c>
      <c r="D1630" s="1">
        <v>517</v>
      </c>
      <c r="G1630" s="1">
        <v>2478.59</v>
      </c>
    </row>
    <row r="1631" spans="1:8">
      <c r="A1631" s="69"/>
      <c r="B1631" s="73" t="s">
        <v>1496</v>
      </c>
      <c r="C1631" s="3" t="s">
        <v>1497</v>
      </c>
      <c r="D1631" s="4">
        <v>7622.89</v>
      </c>
    </row>
    <row r="1632" spans="1:8">
      <c r="A1632" s="69"/>
      <c r="B1632" s="69"/>
      <c r="C1632" s="5" t="s">
        <v>1498</v>
      </c>
      <c r="D1632" s="1">
        <v>7622.89</v>
      </c>
    </row>
    <row r="1633" spans="1:7">
      <c r="A1633" s="69"/>
      <c r="B1633" s="73" t="s">
        <v>192</v>
      </c>
      <c r="C1633" s="3" t="s">
        <v>193</v>
      </c>
      <c r="G1633" s="4">
        <v>211.76</v>
      </c>
    </row>
    <row r="1634" spans="1:7">
      <c r="A1634" s="69"/>
      <c r="B1634" s="69"/>
      <c r="C1634" s="5" t="s">
        <v>194</v>
      </c>
      <c r="G1634" s="1">
        <v>211.76</v>
      </c>
    </row>
    <row r="1635" spans="1:7">
      <c r="A1635" s="69"/>
      <c r="B1635" s="73" t="s">
        <v>1499</v>
      </c>
      <c r="C1635" s="3" t="s">
        <v>1500</v>
      </c>
      <c r="D1635" s="4">
        <v>13674.63</v>
      </c>
      <c r="G1635" s="4">
        <v>807.875</v>
      </c>
    </row>
    <row r="1636" spans="1:7">
      <c r="A1636" s="69"/>
      <c r="B1636" s="69"/>
      <c r="C1636" s="5" t="s">
        <v>1501</v>
      </c>
      <c r="D1636" s="1">
        <v>13674.63</v>
      </c>
      <c r="G1636" s="1">
        <v>807.875</v>
      </c>
    </row>
    <row r="1637" spans="1:7">
      <c r="A1637" s="69"/>
      <c r="B1637" s="73" t="s">
        <v>412</v>
      </c>
      <c r="C1637" s="3" t="s">
        <v>413</v>
      </c>
      <c r="G1637" s="4">
        <v>78.180000000000007</v>
      </c>
    </row>
    <row r="1638" spans="1:7">
      <c r="A1638" s="69"/>
      <c r="B1638" s="69"/>
      <c r="C1638" s="5" t="s">
        <v>414</v>
      </c>
      <c r="G1638" s="1">
        <v>78.180000000000007</v>
      </c>
    </row>
    <row r="1639" spans="1:7">
      <c r="A1639" s="69"/>
      <c r="B1639" s="73" t="s">
        <v>1470</v>
      </c>
      <c r="C1639" s="3" t="s">
        <v>1471</v>
      </c>
      <c r="D1639" s="4">
        <v>15000</v>
      </c>
      <c r="G1639" s="4">
        <v>1127.095</v>
      </c>
    </row>
    <row r="1640" spans="1:7">
      <c r="A1640" s="69"/>
      <c r="B1640" s="69"/>
      <c r="C1640" s="5" t="s">
        <v>1472</v>
      </c>
      <c r="D1640" s="1">
        <v>15000</v>
      </c>
      <c r="G1640" s="1">
        <v>1127.095</v>
      </c>
    </row>
    <row r="1641" spans="1:7">
      <c r="A1641" s="69"/>
      <c r="B1641" s="73" t="s">
        <v>1449</v>
      </c>
      <c r="C1641" s="3" t="s">
        <v>1450</v>
      </c>
      <c r="D1641" s="4">
        <v>800</v>
      </c>
      <c r="G1641" s="4">
        <v>2117.5700000000002</v>
      </c>
    </row>
    <row r="1642" spans="1:7">
      <c r="A1642" s="69"/>
      <c r="B1642" s="69"/>
      <c r="C1642" s="5" t="s">
        <v>1451</v>
      </c>
      <c r="D1642" s="1">
        <v>800</v>
      </c>
      <c r="G1642" s="1">
        <v>2117.5700000000002</v>
      </c>
    </row>
    <row r="1643" spans="1:7">
      <c r="A1643" s="69"/>
      <c r="B1643" s="73" t="s">
        <v>1502</v>
      </c>
      <c r="C1643" s="3" t="s">
        <v>1503</v>
      </c>
      <c r="D1643" s="4">
        <v>7589.77</v>
      </c>
      <c r="G1643" s="4">
        <v>797.78</v>
      </c>
    </row>
    <row r="1644" spans="1:7">
      <c r="A1644" s="69"/>
      <c r="B1644" s="69"/>
      <c r="C1644" s="5" t="s">
        <v>1504</v>
      </c>
      <c r="D1644" s="1">
        <v>7589.77</v>
      </c>
      <c r="G1644" s="1">
        <v>797.78</v>
      </c>
    </row>
    <row r="1645" spans="1:7">
      <c r="A1645" s="69"/>
      <c r="B1645" s="73" t="s">
        <v>1505</v>
      </c>
      <c r="C1645" s="3" t="s">
        <v>1506</v>
      </c>
      <c r="D1645" s="4">
        <v>13622.5</v>
      </c>
      <c r="G1645" s="4">
        <v>682.245</v>
      </c>
    </row>
    <row r="1646" spans="1:7">
      <c r="A1646" s="69"/>
      <c r="B1646" s="69"/>
      <c r="C1646" s="5" t="s">
        <v>1507</v>
      </c>
      <c r="D1646" s="1">
        <v>13622.5</v>
      </c>
      <c r="G1646" s="1">
        <v>682.245</v>
      </c>
    </row>
    <row r="1647" spans="1:7">
      <c r="A1647" s="69"/>
      <c r="B1647" s="73" t="s">
        <v>1508</v>
      </c>
      <c r="C1647" s="3" t="s">
        <v>1509</v>
      </c>
      <c r="D1647" s="4">
        <v>9342.4</v>
      </c>
      <c r="G1647" s="4">
        <v>240.23</v>
      </c>
    </row>
    <row r="1648" spans="1:7">
      <c r="A1648" s="69"/>
      <c r="B1648" s="69"/>
      <c r="C1648" s="5" t="s">
        <v>1510</v>
      </c>
      <c r="D1648" s="1">
        <v>9342.4</v>
      </c>
      <c r="G1648" s="1">
        <v>240.23</v>
      </c>
    </row>
    <row r="1649" spans="1:7">
      <c r="A1649" s="69"/>
      <c r="B1649" s="73" t="s">
        <v>1511</v>
      </c>
      <c r="C1649" s="3" t="s">
        <v>1512</v>
      </c>
      <c r="D1649" s="4">
        <v>800</v>
      </c>
    </row>
    <row r="1650" spans="1:7">
      <c r="A1650" s="69"/>
      <c r="B1650" s="69"/>
      <c r="C1650" s="5" t="s">
        <v>1513</v>
      </c>
      <c r="D1650" s="1">
        <v>800</v>
      </c>
    </row>
    <row r="1651" spans="1:7">
      <c r="A1651" s="69"/>
      <c r="B1651" s="73" t="s">
        <v>114</v>
      </c>
      <c r="C1651" s="3" t="s">
        <v>115</v>
      </c>
      <c r="D1651" s="4">
        <v>16800</v>
      </c>
    </row>
    <row r="1652" spans="1:7">
      <c r="A1652" s="69"/>
      <c r="B1652" s="69"/>
      <c r="C1652" s="5" t="s">
        <v>116</v>
      </c>
      <c r="D1652" s="1">
        <v>16800</v>
      </c>
    </row>
    <row r="1653" spans="1:7">
      <c r="A1653" s="69"/>
      <c r="B1653" s="73" t="s">
        <v>1514</v>
      </c>
      <c r="C1653" s="3" t="s">
        <v>1515</v>
      </c>
      <c r="D1653" s="4">
        <v>500</v>
      </c>
    </row>
    <row r="1654" spans="1:7">
      <c r="A1654" s="69"/>
      <c r="B1654" s="69"/>
      <c r="C1654" s="5" t="s">
        <v>1516</v>
      </c>
      <c r="D1654" s="1">
        <v>500</v>
      </c>
    </row>
    <row r="1655" spans="1:7">
      <c r="A1655" s="69"/>
      <c r="B1655" s="73" t="s">
        <v>1517</v>
      </c>
      <c r="C1655" s="3" t="s">
        <v>1518</v>
      </c>
      <c r="D1655" s="4">
        <v>760</v>
      </c>
      <c r="G1655" s="4">
        <v>1008.475</v>
      </c>
    </row>
    <row r="1656" spans="1:7">
      <c r="A1656" s="69"/>
      <c r="B1656" s="69"/>
      <c r="C1656" s="5" t="s">
        <v>1519</v>
      </c>
      <c r="D1656" s="1">
        <v>760</v>
      </c>
      <c r="G1656" s="1">
        <v>1008.475</v>
      </c>
    </row>
    <row r="1657" spans="1:7">
      <c r="A1657" s="69"/>
      <c r="B1657" s="73" t="s">
        <v>1520</v>
      </c>
      <c r="C1657" s="3" t="s">
        <v>1521</v>
      </c>
      <c r="D1657" s="4">
        <v>45276.9</v>
      </c>
      <c r="G1657" s="4">
        <v>769.36500000000001</v>
      </c>
    </row>
    <row r="1658" spans="1:7">
      <c r="A1658" s="69"/>
      <c r="B1658" s="69"/>
      <c r="C1658" s="5" t="s">
        <v>1522</v>
      </c>
      <c r="D1658" s="1">
        <v>45276.9</v>
      </c>
      <c r="G1658" s="1">
        <v>769.36500000000001</v>
      </c>
    </row>
    <row r="1659" spans="1:7">
      <c r="A1659" s="69"/>
      <c r="B1659" s="73" t="s">
        <v>1523</v>
      </c>
      <c r="C1659" s="3" t="s">
        <v>1524</v>
      </c>
      <c r="D1659" s="4">
        <v>3424.5</v>
      </c>
    </row>
    <row r="1660" spans="1:7">
      <c r="A1660" s="69"/>
      <c r="B1660" s="69"/>
      <c r="C1660" s="5" t="s">
        <v>1525</v>
      </c>
      <c r="D1660" s="1">
        <v>3424.5</v>
      </c>
    </row>
    <row r="1661" spans="1:7">
      <c r="A1661" s="69"/>
      <c r="B1661" s="73" t="s">
        <v>1111</v>
      </c>
      <c r="C1661" s="3" t="s">
        <v>1112</v>
      </c>
      <c r="D1661" s="4">
        <v>24000</v>
      </c>
    </row>
    <row r="1662" spans="1:7">
      <c r="A1662" s="69"/>
      <c r="B1662" s="69"/>
      <c r="C1662" s="5" t="s">
        <v>1113</v>
      </c>
      <c r="D1662" s="1">
        <v>24000</v>
      </c>
    </row>
    <row r="1663" spans="1:7">
      <c r="A1663" s="69"/>
      <c r="B1663" s="73" t="s">
        <v>1437</v>
      </c>
      <c r="C1663" s="3" t="s">
        <v>1438</v>
      </c>
      <c r="D1663" s="4">
        <v>3000</v>
      </c>
    </row>
    <row r="1664" spans="1:7">
      <c r="A1664" s="69"/>
      <c r="B1664" s="69"/>
      <c r="C1664" s="5" t="s">
        <v>1439</v>
      </c>
      <c r="D1664" s="1">
        <v>3000</v>
      </c>
    </row>
    <row r="1665" spans="1:7">
      <c r="A1665" s="69"/>
      <c r="B1665" s="73" t="s">
        <v>1526</v>
      </c>
      <c r="C1665" s="3" t="s">
        <v>1527</v>
      </c>
      <c r="D1665" s="4">
        <v>4800</v>
      </c>
    </row>
    <row r="1666" spans="1:7">
      <c r="A1666" s="69"/>
      <c r="B1666" s="69"/>
      <c r="C1666" s="5" t="s">
        <v>1528</v>
      </c>
      <c r="D1666" s="1">
        <v>4800</v>
      </c>
    </row>
    <row r="1667" spans="1:7">
      <c r="A1667" s="69"/>
      <c r="B1667" s="73" t="s">
        <v>1529</v>
      </c>
      <c r="C1667" s="3" t="s">
        <v>1530</v>
      </c>
      <c r="D1667" s="4">
        <v>5681.51</v>
      </c>
    </row>
    <row r="1668" spans="1:7">
      <c r="A1668" s="69"/>
      <c r="B1668" s="69"/>
      <c r="C1668" s="5" t="s">
        <v>1531</v>
      </c>
      <c r="D1668" s="1">
        <v>5681.51</v>
      </c>
    </row>
    <row r="1669" spans="1:7">
      <c r="A1669" s="69"/>
      <c r="B1669" s="73" t="s">
        <v>1532</v>
      </c>
      <c r="C1669" s="3" t="s">
        <v>1533</v>
      </c>
      <c r="G1669" s="4">
        <v>302.93</v>
      </c>
    </row>
    <row r="1670" spans="1:7">
      <c r="A1670" s="69"/>
      <c r="B1670" s="69"/>
      <c r="C1670" s="5" t="s">
        <v>1534</v>
      </c>
      <c r="G1670" s="1">
        <v>302.93</v>
      </c>
    </row>
    <row r="1671" spans="1:7">
      <c r="A1671" s="69"/>
      <c r="B1671" s="73" t="s">
        <v>117</v>
      </c>
      <c r="C1671" s="3" t="s">
        <v>118</v>
      </c>
      <c r="D1671" s="4">
        <v>622.5</v>
      </c>
      <c r="G1671" s="4">
        <v>36.96</v>
      </c>
    </row>
    <row r="1672" spans="1:7">
      <c r="A1672" s="69"/>
      <c r="B1672" s="69"/>
      <c r="C1672" s="5" t="s">
        <v>119</v>
      </c>
      <c r="D1672" s="1">
        <v>622.5</v>
      </c>
      <c r="G1672" s="1">
        <v>36.96</v>
      </c>
    </row>
    <row r="1673" spans="1:7">
      <c r="A1673" s="69"/>
      <c r="B1673" s="73" t="s">
        <v>681</v>
      </c>
      <c r="C1673" s="3" t="s">
        <v>682</v>
      </c>
      <c r="D1673" s="4">
        <v>10857.08</v>
      </c>
      <c r="G1673" s="4">
        <v>423.69</v>
      </c>
    </row>
    <row r="1674" spans="1:7">
      <c r="A1674" s="69"/>
      <c r="B1674" s="69"/>
      <c r="C1674" s="5" t="s">
        <v>683</v>
      </c>
      <c r="D1674" s="1">
        <v>10857.08</v>
      </c>
      <c r="G1674" s="1">
        <v>423.69</v>
      </c>
    </row>
    <row r="1675" spans="1:7">
      <c r="A1675" s="69"/>
      <c r="B1675" s="73" t="s">
        <v>492</v>
      </c>
      <c r="C1675" s="3" t="s">
        <v>493</v>
      </c>
      <c r="G1675" s="4">
        <v>385.28</v>
      </c>
    </row>
    <row r="1676" spans="1:7">
      <c r="A1676" s="69"/>
      <c r="B1676" s="69"/>
      <c r="C1676" s="5" t="s">
        <v>494</v>
      </c>
      <c r="G1676" s="1">
        <v>385.28</v>
      </c>
    </row>
    <row r="1677" spans="1:7">
      <c r="A1677" s="69"/>
      <c r="B1677" s="73" t="s">
        <v>1535</v>
      </c>
      <c r="C1677" s="3" t="s">
        <v>1536</v>
      </c>
      <c r="D1677" s="4">
        <v>11049.5</v>
      </c>
      <c r="G1677" s="4">
        <v>374.70499999999998</v>
      </c>
    </row>
    <row r="1678" spans="1:7">
      <c r="A1678" s="69"/>
      <c r="B1678" s="69"/>
      <c r="C1678" s="5" t="s">
        <v>1537</v>
      </c>
      <c r="D1678" s="1">
        <v>11049.5</v>
      </c>
      <c r="G1678" s="1">
        <v>374.70499999999998</v>
      </c>
    </row>
    <row r="1679" spans="1:7">
      <c r="A1679" s="69"/>
      <c r="B1679" s="73" t="s">
        <v>1538</v>
      </c>
      <c r="C1679" s="3" t="s">
        <v>1539</v>
      </c>
      <c r="D1679" s="4">
        <v>15537.3</v>
      </c>
      <c r="G1679" s="4">
        <v>545.91999999999996</v>
      </c>
    </row>
    <row r="1680" spans="1:7">
      <c r="A1680" s="69"/>
      <c r="B1680" s="69"/>
      <c r="C1680" s="5" t="s">
        <v>1540</v>
      </c>
      <c r="D1680" s="1">
        <v>15537.3</v>
      </c>
      <c r="G1680" s="1">
        <v>545.91999999999996</v>
      </c>
    </row>
    <row r="1681" spans="1:7">
      <c r="A1681" s="69"/>
      <c r="B1681" s="73" t="s">
        <v>1541</v>
      </c>
      <c r="C1681" s="3" t="s">
        <v>1542</v>
      </c>
      <c r="D1681" s="4">
        <v>760</v>
      </c>
      <c r="G1681" s="4">
        <v>467.09500000000003</v>
      </c>
    </row>
    <row r="1682" spans="1:7">
      <c r="A1682" s="69"/>
      <c r="B1682" s="69"/>
      <c r="C1682" s="5" t="s">
        <v>1543</v>
      </c>
      <c r="D1682" s="1">
        <v>760</v>
      </c>
      <c r="G1682" s="1">
        <v>467.09500000000003</v>
      </c>
    </row>
    <row r="1683" spans="1:7">
      <c r="A1683" s="69"/>
      <c r="B1683" s="73" t="s">
        <v>1544</v>
      </c>
      <c r="C1683" s="3" t="s">
        <v>1545</v>
      </c>
      <c r="D1683" s="4">
        <v>500</v>
      </c>
    </row>
    <row r="1684" spans="1:7">
      <c r="A1684" s="69"/>
      <c r="B1684" s="69"/>
      <c r="C1684" s="5" t="s">
        <v>1546</v>
      </c>
      <c r="D1684" s="1">
        <v>500</v>
      </c>
    </row>
    <row r="1685" spans="1:7">
      <c r="A1685" s="69"/>
      <c r="B1685" s="73" t="s">
        <v>1547</v>
      </c>
      <c r="C1685" s="3" t="s">
        <v>1548</v>
      </c>
      <c r="D1685" s="4">
        <v>260</v>
      </c>
      <c r="G1685" s="4">
        <v>424.82</v>
      </c>
    </row>
    <row r="1686" spans="1:7">
      <c r="A1686" s="69"/>
      <c r="B1686" s="69"/>
      <c r="C1686" s="5" t="s">
        <v>1549</v>
      </c>
      <c r="D1686" s="1">
        <v>260</v>
      </c>
      <c r="G1686" s="1">
        <v>424.82</v>
      </c>
    </row>
    <row r="1687" spans="1:7">
      <c r="A1687" s="69"/>
      <c r="B1687" s="73" t="s">
        <v>1550</v>
      </c>
      <c r="C1687" s="3" t="s">
        <v>1551</v>
      </c>
      <c r="D1687" s="4">
        <v>15667.2</v>
      </c>
      <c r="G1687" s="4">
        <v>288.04000000000002</v>
      </c>
    </row>
    <row r="1688" spans="1:7">
      <c r="A1688" s="69"/>
      <c r="B1688" s="69"/>
      <c r="C1688" s="5" t="s">
        <v>1552</v>
      </c>
      <c r="D1688" s="1">
        <v>15667.2</v>
      </c>
      <c r="G1688" s="1">
        <v>288.04000000000002</v>
      </c>
    </row>
    <row r="1689" spans="1:7">
      <c r="A1689" s="69"/>
      <c r="B1689" s="73" t="s">
        <v>1553</v>
      </c>
      <c r="C1689" s="3" t="s">
        <v>1554</v>
      </c>
      <c r="D1689" s="4">
        <v>6669.6</v>
      </c>
      <c r="G1689" s="4">
        <v>247.065</v>
      </c>
    </row>
    <row r="1690" spans="1:7">
      <c r="A1690" s="69"/>
      <c r="B1690" s="69"/>
      <c r="C1690" s="5" t="s">
        <v>1555</v>
      </c>
      <c r="D1690" s="1">
        <v>6669.6</v>
      </c>
      <c r="G1690" s="1">
        <v>247.065</v>
      </c>
    </row>
    <row r="1691" spans="1:7">
      <c r="A1691" s="69"/>
      <c r="B1691" s="73" t="s">
        <v>1556</v>
      </c>
      <c r="C1691" s="3" t="s">
        <v>1557</v>
      </c>
      <c r="D1691" s="4">
        <v>4939.2</v>
      </c>
    </row>
    <row r="1692" spans="1:7">
      <c r="A1692" s="69"/>
      <c r="B1692" s="69"/>
      <c r="C1692" s="5" t="s">
        <v>1558</v>
      </c>
      <c r="D1692" s="1">
        <v>4939.2</v>
      </c>
    </row>
    <row r="1693" spans="1:7">
      <c r="A1693" s="69"/>
      <c r="B1693" s="73" t="s">
        <v>1559</v>
      </c>
      <c r="C1693" s="3" t="s">
        <v>1560</v>
      </c>
      <c r="G1693" s="4">
        <v>431.04</v>
      </c>
    </row>
    <row r="1694" spans="1:7">
      <c r="A1694" s="69"/>
      <c r="B1694" s="69"/>
      <c r="C1694" s="5" t="s">
        <v>1561</v>
      </c>
      <c r="G1694" s="1">
        <v>431.04</v>
      </c>
    </row>
    <row r="1695" spans="1:7">
      <c r="A1695" s="69"/>
      <c r="B1695" s="73" t="s">
        <v>1562</v>
      </c>
      <c r="C1695" s="3" t="s">
        <v>1563</v>
      </c>
      <c r="G1695" s="4">
        <v>2272.1950000000002</v>
      </c>
    </row>
    <row r="1696" spans="1:7">
      <c r="A1696" s="69"/>
      <c r="B1696" s="69"/>
      <c r="C1696" s="5" t="s">
        <v>1564</v>
      </c>
      <c r="G1696" s="1">
        <v>2272.1950000000002</v>
      </c>
    </row>
    <row r="1697" spans="1:7">
      <c r="A1697" s="69"/>
      <c r="B1697" s="73" t="s">
        <v>1565</v>
      </c>
      <c r="C1697" s="3" t="s">
        <v>1566</v>
      </c>
      <c r="D1697" s="4">
        <v>19239.400000000001</v>
      </c>
      <c r="G1697" s="4">
        <v>961.29</v>
      </c>
    </row>
    <row r="1698" spans="1:7">
      <c r="A1698" s="69"/>
      <c r="B1698" s="69"/>
      <c r="C1698" s="5" t="s">
        <v>1567</v>
      </c>
      <c r="D1698" s="1">
        <v>19239.400000000001</v>
      </c>
      <c r="G1698" s="1">
        <v>961.29</v>
      </c>
    </row>
    <row r="1699" spans="1:7">
      <c r="A1699" s="69"/>
      <c r="B1699" s="73" t="s">
        <v>1292</v>
      </c>
      <c r="C1699" s="3" t="s">
        <v>1293</v>
      </c>
      <c r="D1699" s="4">
        <v>1267</v>
      </c>
      <c r="G1699" s="4">
        <v>3451.77</v>
      </c>
    </row>
    <row r="1700" spans="1:7">
      <c r="A1700" s="69"/>
      <c r="B1700" s="69"/>
      <c r="C1700" s="5" t="s">
        <v>1294</v>
      </c>
      <c r="D1700" s="1">
        <v>1267</v>
      </c>
      <c r="G1700" s="1">
        <v>3451.77</v>
      </c>
    </row>
    <row r="1701" spans="1:7">
      <c r="A1701" s="69"/>
      <c r="B1701" s="73" t="s">
        <v>1568</v>
      </c>
      <c r="C1701" s="3" t="s">
        <v>1569</v>
      </c>
      <c r="D1701" s="4">
        <v>936</v>
      </c>
    </row>
    <row r="1702" spans="1:7">
      <c r="A1702" s="69"/>
      <c r="B1702" s="69"/>
      <c r="C1702" s="5" t="s">
        <v>1570</v>
      </c>
      <c r="D1702" s="1">
        <v>936</v>
      </c>
    </row>
    <row r="1703" spans="1:7">
      <c r="A1703" s="69"/>
      <c r="B1703" s="73" t="s">
        <v>1571</v>
      </c>
      <c r="C1703" s="3" t="s">
        <v>1572</v>
      </c>
      <c r="D1703" s="4">
        <v>3411.9</v>
      </c>
    </row>
    <row r="1704" spans="1:7">
      <c r="A1704" s="69"/>
      <c r="B1704" s="69"/>
      <c r="C1704" s="5" t="s">
        <v>1573</v>
      </c>
      <c r="D1704" s="1">
        <v>3411.9</v>
      </c>
    </row>
    <row r="1705" spans="1:7">
      <c r="A1705" s="69"/>
      <c r="B1705" s="73" t="s">
        <v>347</v>
      </c>
      <c r="C1705" s="3" t="s">
        <v>348</v>
      </c>
      <c r="D1705" s="4">
        <v>61360</v>
      </c>
      <c r="G1705" s="4">
        <v>1263.6600000000001</v>
      </c>
    </row>
    <row r="1706" spans="1:7">
      <c r="A1706" s="69"/>
      <c r="B1706" s="69"/>
      <c r="C1706" s="5" t="s">
        <v>349</v>
      </c>
      <c r="D1706" s="1">
        <v>61360</v>
      </c>
      <c r="G1706" s="1">
        <v>1263.6600000000001</v>
      </c>
    </row>
    <row r="1707" spans="1:7">
      <c r="A1707" s="69"/>
      <c r="B1707" s="73" t="s">
        <v>1574</v>
      </c>
      <c r="C1707" s="3" t="s">
        <v>1575</v>
      </c>
      <c r="D1707" s="4">
        <v>19333.64</v>
      </c>
    </row>
    <row r="1708" spans="1:7">
      <c r="A1708" s="69"/>
      <c r="B1708" s="69"/>
      <c r="C1708" s="5" t="s">
        <v>1576</v>
      </c>
      <c r="D1708" s="1">
        <v>19333.64</v>
      </c>
    </row>
    <row r="1709" spans="1:7">
      <c r="A1709" s="69"/>
      <c r="B1709" s="73" t="s">
        <v>1577</v>
      </c>
      <c r="C1709" s="3" t="s">
        <v>1578</v>
      </c>
      <c r="D1709" s="4">
        <v>833</v>
      </c>
    </row>
    <row r="1710" spans="1:7">
      <c r="A1710" s="69"/>
      <c r="B1710" s="69"/>
      <c r="C1710" s="5" t="s">
        <v>1579</v>
      </c>
      <c r="D1710" s="1">
        <v>833</v>
      </c>
    </row>
    <row r="1711" spans="1:7">
      <c r="A1711" s="69"/>
      <c r="B1711" s="73" t="s">
        <v>1580</v>
      </c>
      <c r="C1711" s="3" t="s">
        <v>1581</v>
      </c>
      <c r="D1711" s="4">
        <v>0</v>
      </c>
    </row>
    <row r="1712" spans="1:7">
      <c r="A1712" s="69"/>
      <c r="B1712" s="69"/>
      <c r="C1712" s="5" t="s">
        <v>1582</v>
      </c>
      <c r="D1712" s="1">
        <v>0</v>
      </c>
    </row>
    <row r="1713" spans="1:7">
      <c r="A1713" s="69"/>
      <c r="B1713" s="73" t="s">
        <v>1583</v>
      </c>
      <c r="C1713" s="3" t="s">
        <v>1584</v>
      </c>
      <c r="D1713" s="4">
        <v>455</v>
      </c>
      <c r="G1713" s="4">
        <v>200.42</v>
      </c>
    </row>
    <row r="1714" spans="1:7">
      <c r="A1714" s="69"/>
      <c r="B1714" s="69"/>
      <c r="C1714" s="5" t="s">
        <v>1585</v>
      </c>
      <c r="D1714" s="1">
        <v>455</v>
      </c>
      <c r="G1714" s="1">
        <v>200.42</v>
      </c>
    </row>
    <row r="1715" spans="1:7">
      <c r="A1715" s="69"/>
      <c r="B1715" s="73" t="s">
        <v>1586</v>
      </c>
      <c r="C1715" s="3" t="s">
        <v>1587</v>
      </c>
      <c r="G1715" s="4">
        <v>495.55</v>
      </c>
    </row>
    <row r="1716" spans="1:7">
      <c r="A1716" s="69"/>
      <c r="B1716" s="69"/>
      <c r="C1716" s="5" t="s">
        <v>1588</v>
      </c>
      <c r="G1716" s="1">
        <v>495.55</v>
      </c>
    </row>
    <row r="1717" spans="1:7">
      <c r="A1717" s="69"/>
      <c r="B1717" s="73" t="s">
        <v>264</v>
      </c>
      <c r="C1717" s="3" t="s">
        <v>265</v>
      </c>
      <c r="G1717" s="4">
        <v>44.02</v>
      </c>
    </row>
    <row r="1718" spans="1:7">
      <c r="A1718" s="69"/>
      <c r="B1718" s="69"/>
      <c r="C1718" s="5" t="s">
        <v>266</v>
      </c>
      <c r="G1718" s="1">
        <v>44.02</v>
      </c>
    </row>
    <row r="1719" spans="1:7">
      <c r="A1719" s="69"/>
      <c r="B1719" s="73" t="s">
        <v>147</v>
      </c>
      <c r="C1719" s="3" t="s">
        <v>148</v>
      </c>
      <c r="D1719" s="4">
        <v>760</v>
      </c>
      <c r="G1719" s="4">
        <v>151.82</v>
      </c>
    </row>
    <row r="1720" spans="1:7">
      <c r="A1720" s="69"/>
      <c r="B1720" s="69"/>
      <c r="C1720" s="5" t="s">
        <v>149</v>
      </c>
      <c r="D1720" s="1">
        <v>760</v>
      </c>
      <c r="G1720" s="1">
        <v>151.82</v>
      </c>
    </row>
    <row r="1721" spans="1:7">
      <c r="A1721" s="69"/>
      <c r="B1721" s="73" t="s">
        <v>1589</v>
      </c>
      <c r="C1721" s="3" t="s">
        <v>1590</v>
      </c>
      <c r="G1721" s="4">
        <v>556.79999999999995</v>
      </c>
    </row>
    <row r="1722" spans="1:7">
      <c r="A1722" s="69"/>
      <c r="B1722" s="69"/>
      <c r="C1722" s="5" t="s">
        <v>1591</v>
      </c>
      <c r="G1722" s="1">
        <v>556.79999999999995</v>
      </c>
    </row>
    <row r="1723" spans="1:7">
      <c r="A1723" s="69"/>
      <c r="B1723" s="73" t="s">
        <v>1416</v>
      </c>
      <c r="C1723" s="3" t="s">
        <v>1417</v>
      </c>
      <c r="D1723" s="4">
        <v>10315.700000000001</v>
      </c>
      <c r="G1723" s="4">
        <v>431.815</v>
      </c>
    </row>
    <row r="1724" spans="1:7">
      <c r="A1724" s="69"/>
      <c r="B1724" s="69"/>
      <c r="C1724" s="5" t="s">
        <v>1418</v>
      </c>
      <c r="D1724" s="1">
        <v>10315.700000000001</v>
      </c>
      <c r="G1724" s="1">
        <v>431.815</v>
      </c>
    </row>
    <row r="1725" spans="1:7">
      <c r="A1725" s="69"/>
      <c r="B1725" s="73" t="s">
        <v>627</v>
      </c>
      <c r="C1725" s="3" t="s">
        <v>628</v>
      </c>
      <c r="G1725" s="4">
        <v>144.55000000000001</v>
      </c>
    </row>
    <row r="1726" spans="1:7">
      <c r="A1726" s="69"/>
      <c r="B1726" s="69"/>
      <c r="C1726" s="5" t="s">
        <v>629</v>
      </c>
      <c r="G1726" s="1">
        <v>144.55000000000001</v>
      </c>
    </row>
    <row r="1727" spans="1:7">
      <c r="A1727" s="69"/>
      <c r="B1727" s="73" t="s">
        <v>1592</v>
      </c>
      <c r="C1727" s="3" t="s">
        <v>1593</v>
      </c>
      <c r="G1727" s="4">
        <v>530.16</v>
      </c>
    </row>
    <row r="1728" spans="1:7">
      <c r="A1728" s="69"/>
      <c r="B1728" s="69"/>
      <c r="C1728" s="5" t="s">
        <v>1594</v>
      </c>
      <c r="G1728" s="1">
        <v>530.16</v>
      </c>
    </row>
    <row r="1729" spans="1:7">
      <c r="A1729" s="69"/>
      <c r="B1729" s="73" t="s">
        <v>1595</v>
      </c>
      <c r="C1729" s="3" t="s">
        <v>1596</v>
      </c>
      <c r="D1729" s="4">
        <v>34720</v>
      </c>
      <c r="G1729" s="4">
        <v>347.12</v>
      </c>
    </row>
    <row r="1730" spans="1:7">
      <c r="A1730" s="69"/>
      <c r="B1730" s="69"/>
      <c r="C1730" s="5" t="s">
        <v>1597</v>
      </c>
      <c r="D1730" s="1">
        <v>34720</v>
      </c>
      <c r="G1730" s="1">
        <v>347.12</v>
      </c>
    </row>
    <row r="1731" spans="1:7">
      <c r="A1731" s="69"/>
      <c r="B1731" s="73" t="s">
        <v>1598</v>
      </c>
      <c r="C1731" s="3" t="s">
        <v>1599</v>
      </c>
      <c r="D1731" s="4">
        <v>2777.04</v>
      </c>
    </row>
    <row r="1732" spans="1:7">
      <c r="A1732" s="69"/>
      <c r="B1732" s="69"/>
      <c r="C1732" s="5" t="s">
        <v>1600</v>
      </c>
      <c r="D1732" s="1">
        <v>2777.04</v>
      </c>
    </row>
    <row r="1733" spans="1:7">
      <c r="A1733" s="69"/>
      <c r="B1733" s="73" t="s">
        <v>1601</v>
      </c>
      <c r="C1733" s="3" t="s">
        <v>1602</v>
      </c>
      <c r="D1733" s="4">
        <v>18811.099999999999</v>
      </c>
    </row>
    <row r="1734" spans="1:7">
      <c r="A1734" s="69"/>
      <c r="B1734" s="69"/>
      <c r="C1734" s="5" t="s">
        <v>1603</v>
      </c>
      <c r="D1734" s="1">
        <v>18811.099999999999</v>
      </c>
    </row>
    <row r="1735" spans="1:7">
      <c r="A1735" s="69"/>
      <c r="B1735" s="73" t="s">
        <v>1604</v>
      </c>
      <c r="C1735" s="3" t="s">
        <v>1605</v>
      </c>
      <c r="D1735" s="4">
        <v>36771.019999999997</v>
      </c>
    </row>
    <row r="1736" spans="1:7">
      <c r="A1736" s="69"/>
      <c r="B1736" s="69"/>
      <c r="C1736" s="5" t="s">
        <v>1606</v>
      </c>
      <c r="D1736" s="1">
        <v>36771.019999999997</v>
      </c>
    </row>
    <row r="1737" spans="1:7">
      <c r="A1737" s="69"/>
      <c r="B1737" s="73" t="s">
        <v>1607</v>
      </c>
      <c r="C1737" s="3" t="s">
        <v>1608</v>
      </c>
      <c r="D1737" s="4">
        <v>760</v>
      </c>
      <c r="G1737" s="4">
        <v>1661.46</v>
      </c>
    </row>
    <row r="1738" spans="1:7">
      <c r="A1738" s="69"/>
      <c r="B1738" s="69"/>
      <c r="C1738" s="5" t="s">
        <v>1609</v>
      </c>
      <c r="D1738" s="1">
        <v>760</v>
      </c>
      <c r="G1738" s="1">
        <v>1661.46</v>
      </c>
    </row>
    <row r="1739" spans="1:7">
      <c r="A1739" s="69"/>
      <c r="B1739" s="73" t="s">
        <v>1610</v>
      </c>
      <c r="C1739" s="3" t="s">
        <v>1611</v>
      </c>
      <c r="D1739" s="4">
        <v>1485</v>
      </c>
    </row>
    <row r="1740" spans="1:7">
      <c r="A1740" s="69"/>
      <c r="B1740" s="69"/>
      <c r="C1740" s="5" t="s">
        <v>1612</v>
      </c>
      <c r="D1740" s="1">
        <v>1485</v>
      </c>
    </row>
    <row r="1741" spans="1:7">
      <c r="A1741" s="69"/>
      <c r="B1741" s="73" t="s">
        <v>1613</v>
      </c>
      <c r="C1741" s="3" t="s">
        <v>1614</v>
      </c>
      <c r="D1741" s="4">
        <v>20000</v>
      </c>
    </row>
    <row r="1742" spans="1:7">
      <c r="A1742" s="69"/>
      <c r="B1742" s="69"/>
      <c r="C1742" s="5" t="s">
        <v>1615</v>
      </c>
      <c r="D1742" s="1">
        <v>20000</v>
      </c>
    </row>
    <row r="1743" spans="1:7">
      <c r="A1743" s="69"/>
      <c r="B1743" s="73" t="s">
        <v>1616</v>
      </c>
      <c r="C1743" s="3" t="s">
        <v>1617</v>
      </c>
      <c r="D1743" s="4">
        <v>9828</v>
      </c>
    </row>
    <row r="1744" spans="1:7">
      <c r="A1744" s="69"/>
      <c r="B1744" s="69"/>
      <c r="C1744" s="5" t="s">
        <v>1618</v>
      </c>
      <c r="D1744" s="1">
        <v>9828</v>
      </c>
    </row>
    <row r="1745" spans="1:7">
      <c r="A1745" s="69"/>
      <c r="B1745" s="73" t="s">
        <v>1129</v>
      </c>
      <c r="C1745" s="3" t="s">
        <v>1130</v>
      </c>
      <c r="D1745" s="4">
        <v>311003</v>
      </c>
    </row>
    <row r="1746" spans="1:7">
      <c r="A1746" s="69"/>
      <c r="B1746" s="69"/>
      <c r="C1746" s="5" t="s">
        <v>1131</v>
      </c>
      <c r="D1746" s="1">
        <v>311003</v>
      </c>
    </row>
    <row r="1747" spans="1:7">
      <c r="A1747" s="69"/>
      <c r="B1747" s="73" t="s">
        <v>1619</v>
      </c>
      <c r="C1747" s="3" t="s">
        <v>1620</v>
      </c>
      <c r="D1747" s="4">
        <v>19738.68</v>
      </c>
    </row>
    <row r="1748" spans="1:7">
      <c r="A1748" s="69"/>
      <c r="B1748" s="69"/>
      <c r="C1748" s="5" t="s">
        <v>1621</v>
      </c>
      <c r="D1748" s="1">
        <v>19738.68</v>
      </c>
    </row>
    <row r="1749" spans="1:7">
      <c r="A1749" s="69"/>
      <c r="B1749" s="73" t="s">
        <v>1622</v>
      </c>
      <c r="C1749" s="3" t="s">
        <v>1623</v>
      </c>
      <c r="D1749" s="4">
        <v>2126.25</v>
      </c>
    </row>
    <row r="1750" spans="1:7">
      <c r="A1750" s="69"/>
      <c r="B1750" s="69"/>
      <c r="C1750" s="5" t="s">
        <v>1624</v>
      </c>
      <c r="D1750" s="1">
        <v>2126.25</v>
      </c>
    </row>
    <row r="1751" spans="1:7">
      <c r="A1751" s="69"/>
      <c r="B1751" s="73" t="s">
        <v>513</v>
      </c>
      <c r="C1751" s="3" t="s">
        <v>514</v>
      </c>
      <c r="G1751" s="4">
        <v>143.33000000000001</v>
      </c>
    </row>
    <row r="1752" spans="1:7">
      <c r="A1752" s="69"/>
      <c r="B1752" s="69"/>
      <c r="C1752" s="5" t="s">
        <v>515</v>
      </c>
      <c r="G1752" s="1">
        <v>143.33000000000001</v>
      </c>
    </row>
    <row r="1753" spans="1:7">
      <c r="A1753" s="69"/>
      <c r="B1753" s="73" t="s">
        <v>75</v>
      </c>
      <c r="C1753" s="3" t="s">
        <v>76</v>
      </c>
      <c r="G1753" s="4">
        <v>1234.585</v>
      </c>
    </row>
    <row r="1754" spans="1:7">
      <c r="A1754" s="69"/>
      <c r="B1754" s="69"/>
      <c r="C1754" s="5" t="s">
        <v>77</v>
      </c>
      <c r="G1754" s="1">
        <v>1234.585</v>
      </c>
    </row>
    <row r="1755" spans="1:7">
      <c r="A1755" s="69"/>
      <c r="B1755" s="73" t="s">
        <v>1625</v>
      </c>
      <c r="C1755" s="3" t="s">
        <v>1626</v>
      </c>
      <c r="D1755" s="4">
        <v>1520</v>
      </c>
      <c r="G1755" s="4">
        <v>61.38</v>
      </c>
    </row>
    <row r="1756" spans="1:7">
      <c r="A1756" s="69"/>
      <c r="B1756" s="69"/>
      <c r="C1756" s="5" t="s">
        <v>1627</v>
      </c>
      <c r="D1756" s="1">
        <v>1520</v>
      </c>
      <c r="G1756" s="1">
        <v>61.38</v>
      </c>
    </row>
    <row r="1757" spans="1:7">
      <c r="A1757" s="69"/>
      <c r="B1757" s="73" t="s">
        <v>1628</v>
      </c>
      <c r="C1757" s="3" t="s">
        <v>1629</v>
      </c>
      <c r="D1757" s="4">
        <v>800</v>
      </c>
      <c r="G1757" s="4">
        <v>408.05500000000001</v>
      </c>
    </row>
    <row r="1758" spans="1:7">
      <c r="A1758" s="69"/>
      <c r="B1758" s="69"/>
      <c r="C1758" s="5" t="s">
        <v>1630</v>
      </c>
      <c r="D1758" s="1">
        <v>800</v>
      </c>
      <c r="G1758" s="1">
        <v>408.05500000000001</v>
      </c>
    </row>
    <row r="1759" spans="1:7">
      <c r="A1759" s="69"/>
      <c r="B1759" s="73" t="s">
        <v>1631</v>
      </c>
      <c r="C1759" s="3" t="s">
        <v>1632</v>
      </c>
      <c r="D1759" s="4">
        <v>4342.6000000000004</v>
      </c>
      <c r="G1759" s="4">
        <v>837.07</v>
      </c>
    </row>
    <row r="1760" spans="1:7">
      <c r="A1760" s="69"/>
      <c r="B1760" s="69"/>
      <c r="C1760" s="5" t="s">
        <v>1633</v>
      </c>
      <c r="D1760" s="1">
        <v>4342.6000000000004</v>
      </c>
      <c r="G1760" s="1">
        <v>837.07</v>
      </c>
    </row>
    <row r="1761" spans="1:7">
      <c r="A1761" s="69"/>
      <c r="B1761" s="73" t="s">
        <v>1634</v>
      </c>
      <c r="C1761" s="3" t="s">
        <v>1635</v>
      </c>
      <c r="D1761" s="4">
        <v>1060</v>
      </c>
      <c r="G1761" s="4">
        <v>1767.655</v>
      </c>
    </row>
    <row r="1762" spans="1:7">
      <c r="A1762" s="69"/>
      <c r="B1762" s="69"/>
      <c r="C1762" s="5" t="s">
        <v>1636</v>
      </c>
      <c r="D1762" s="1">
        <v>1060</v>
      </c>
      <c r="G1762" s="1">
        <v>1767.655</v>
      </c>
    </row>
    <row r="1763" spans="1:7">
      <c r="A1763" s="69"/>
      <c r="B1763" s="73" t="s">
        <v>1637</v>
      </c>
      <c r="C1763" s="3" t="s">
        <v>1638</v>
      </c>
      <c r="D1763" s="4">
        <v>1546</v>
      </c>
      <c r="G1763" s="4">
        <v>5156.915</v>
      </c>
    </row>
    <row r="1764" spans="1:7">
      <c r="A1764" s="69"/>
      <c r="B1764" s="69"/>
      <c r="C1764" s="5" t="s">
        <v>1639</v>
      </c>
      <c r="D1764" s="1">
        <v>1546</v>
      </c>
      <c r="G1764" s="1">
        <v>5156.915</v>
      </c>
    </row>
    <row r="1765" spans="1:7">
      <c r="A1765" s="69"/>
      <c r="B1765" s="73" t="s">
        <v>1640</v>
      </c>
      <c r="C1765" s="3" t="s">
        <v>1641</v>
      </c>
      <c r="D1765" s="4">
        <v>16959</v>
      </c>
      <c r="G1765" s="4">
        <v>622.46</v>
      </c>
    </row>
    <row r="1766" spans="1:7">
      <c r="A1766" s="69"/>
      <c r="B1766" s="69"/>
      <c r="C1766" s="5" t="s">
        <v>1642</v>
      </c>
      <c r="D1766" s="1">
        <v>16959</v>
      </c>
      <c r="G1766" s="1">
        <v>622.46</v>
      </c>
    </row>
    <row r="1767" spans="1:7">
      <c r="A1767" s="69"/>
      <c r="B1767" s="73" t="s">
        <v>1643</v>
      </c>
      <c r="C1767" s="3" t="s">
        <v>1644</v>
      </c>
      <c r="D1767" s="4">
        <v>15000</v>
      </c>
    </row>
    <row r="1768" spans="1:7">
      <c r="A1768" s="69"/>
      <c r="B1768" s="69"/>
      <c r="C1768" s="5" t="s">
        <v>1645</v>
      </c>
      <c r="D1768" s="1">
        <v>15000</v>
      </c>
    </row>
    <row r="1769" spans="1:7">
      <c r="A1769" s="69"/>
      <c r="B1769" s="73" t="s">
        <v>1646</v>
      </c>
      <c r="C1769" s="3" t="s">
        <v>1647</v>
      </c>
      <c r="D1769" s="4">
        <v>500</v>
      </c>
    </row>
    <row r="1770" spans="1:7">
      <c r="A1770" s="69"/>
      <c r="B1770" s="69"/>
      <c r="C1770" s="5" t="s">
        <v>1648</v>
      </c>
      <c r="D1770" s="1">
        <v>500</v>
      </c>
    </row>
    <row r="1771" spans="1:7">
      <c r="A1771" s="69"/>
      <c r="B1771" s="73" t="s">
        <v>1649</v>
      </c>
      <c r="C1771" s="3" t="s">
        <v>1650</v>
      </c>
      <c r="D1771" s="4">
        <v>4407.8999999999996</v>
      </c>
    </row>
    <row r="1772" spans="1:7">
      <c r="A1772" s="69"/>
      <c r="B1772" s="69"/>
      <c r="C1772" s="5" t="s">
        <v>1651</v>
      </c>
      <c r="D1772" s="1">
        <v>4407.8999999999996</v>
      </c>
    </row>
    <row r="1773" spans="1:7">
      <c r="A1773" s="69"/>
      <c r="B1773" s="73" t="s">
        <v>1652</v>
      </c>
      <c r="C1773" s="3" t="s">
        <v>1653</v>
      </c>
      <c r="D1773" s="4">
        <v>10096.89</v>
      </c>
      <c r="G1773" s="4">
        <v>240.23</v>
      </c>
    </row>
    <row r="1774" spans="1:7">
      <c r="A1774" s="69"/>
      <c r="B1774" s="69"/>
      <c r="C1774" s="5" t="s">
        <v>1654</v>
      </c>
      <c r="D1774" s="1">
        <v>10096.89</v>
      </c>
      <c r="G1774" s="1">
        <v>240.23</v>
      </c>
    </row>
    <row r="1775" spans="1:7">
      <c r="A1775" s="69"/>
      <c r="B1775" s="73" t="s">
        <v>1655</v>
      </c>
      <c r="C1775" s="3" t="s">
        <v>1656</v>
      </c>
      <c r="D1775" s="4">
        <v>34144</v>
      </c>
      <c r="G1775" s="4">
        <v>319.36</v>
      </c>
    </row>
    <row r="1776" spans="1:7">
      <c r="A1776" s="69"/>
      <c r="B1776" s="69"/>
      <c r="C1776" s="5" t="s">
        <v>1657</v>
      </c>
      <c r="D1776" s="1">
        <v>34144</v>
      </c>
      <c r="G1776" s="1">
        <v>319.36</v>
      </c>
    </row>
    <row r="1777" spans="1:7">
      <c r="A1777" s="69"/>
      <c r="B1777" s="73" t="s">
        <v>1658</v>
      </c>
      <c r="C1777" s="3" t="s">
        <v>1659</v>
      </c>
      <c r="D1777" s="4">
        <v>1300</v>
      </c>
    </row>
    <row r="1778" spans="1:7">
      <c r="A1778" s="69"/>
      <c r="B1778" s="69"/>
      <c r="C1778" s="5" t="s">
        <v>1660</v>
      </c>
      <c r="D1778" s="1">
        <v>1300</v>
      </c>
    </row>
    <row r="1779" spans="1:7">
      <c r="A1779" s="69"/>
      <c r="B1779" s="73" t="s">
        <v>1464</v>
      </c>
      <c r="C1779" s="3" t="s">
        <v>1465</v>
      </c>
      <c r="D1779" s="4">
        <v>1551</v>
      </c>
    </row>
    <row r="1780" spans="1:7">
      <c r="A1780" s="69"/>
      <c r="B1780" s="69"/>
      <c r="C1780" s="5" t="s">
        <v>1466</v>
      </c>
      <c r="D1780" s="1">
        <v>1551</v>
      </c>
    </row>
    <row r="1781" spans="1:7">
      <c r="A1781" s="69"/>
      <c r="B1781" s="73" t="s">
        <v>1422</v>
      </c>
      <c r="C1781" s="3" t="s">
        <v>1423</v>
      </c>
      <c r="D1781" s="4">
        <v>14892.3</v>
      </c>
      <c r="G1781" s="4">
        <v>662.88</v>
      </c>
    </row>
    <row r="1782" spans="1:7">
      <c r="A1782" s="69"/>
      <c r="B1782" s="69"/>
      <c r="C1782" s="5" t="s">
        <v>1424</v>
      </c>
      <c r="D1782" s="1">
        <v>14892.3</v>
      </c>
      <c r="G1782" s="1">
        <v>662.88</v>
      </c>
    </row>
    <row r="1783" spans="1:7">
      <c r="A1783" s="69"/>
      <c r="B1783" s="73" t="s">
        <v>1440</v>
      </c>
      <c r="C1783" s="3" t="s">
        <v>1441</v>
      </c>
      <c r="D1783" s="4">
        <v>16640</v>
      </c>
    </row>
    <row r="1784" spans="1:7">
      <c r="A1784" s="69"/>
      <c r="B1784" s="69"/>
      <c r="C1784" s="5" t="s">
        <v>1442</v>
      </c>
      <c r="D1784" s="1">
        <v>16640</v>
      </c>
    </row>
    <row r="1785" spans="1:7">
      <c r="A1785" s="69"/>
      <c r="B1785" s="73" t="s">
        <v>1661</v>
      </c>
      <c r="C1785" s="3" t="s">
        <v>1662</v>
      </c>
      <c r="D1785" s="4">
        <v>1527</v>
      </c>
      <c r="G1785" s="4">
        <v>1212.57</v>
      </c>
    </row>
    <row r="1786" spans="1:7">
      <c r="A1786" s="69"/>
      <c r="B1786" s="69"/>
      <c r="C1786" s="5" t="s">
        <v>1663</v>
      </c>
      <c r="D1786" s="1">
        <v>1527</v>
      </c>
      <c r="G1786" s="1">
        <v>1212.57</v>
      </c>
    </row>
    <row r="1787" spans="1:7">
      <c r="A1787" s="69"/>
      <c r="B1787" s="73" t="s">
        <v>1268</v>
      </c>
      <c r="C1787" s="3" t="s">
        <v>1269</v>
      </c>
      <c r="G1787" s="4">
        <v>350.74</v>
      </c>
    </row>
    <row r="1788" spans="1:7">
      <c r="A1788" s="69"/>
      <c r="B1788" s="69"/>
      <c r="C1788" s="5" t="s">
        <v>1270</v>
      </c>
      <c r="G1788" s="1">
        <v>350.74</v>
      </c>
    </row>
    <row r="1789" spans="1:7">
      <c r="A1789" s="69"/>
      <c r="B1789" s="73" t="s">
        <v>1664</v>
      </c>
      <c r="C1789" s="3" t="s">
        <v>1665</v>
      </c>
      <c r="D1789" s="4">
        <v>760</v>
      </c>
      <c r="G1789" s="4">
        <v>254.095</v>
      </c>
    </row>
    <row r="1790" spans="1:7">
      <c r="A1790" s="69"/>
      <c r="B1790" s="69"/>
      <c r="C1790" s="5" t="s">
        <v>1666</v>
      </c>
      <c r="D1790" s="1">
        <v>760</v>
      </c>
      <c r="G1790" s="1">
        <v>254.095</v>
      </c>
    </row>
    <row r="1791" spans="1:7">
      <c r="A1791" s="69"/>
      <c r="B1791" s="73" t="s">
        <v>1667</v>
      </c>
      <c r="C1791" s="3" t="s">
        <v>1668</v>
      </c>
      <c r="G1791" s="4">
        <v>439.17</v>
      </c>
    </row>
    <row r="1792" spans="1:7">
      <c r="A1792" s="69"/>
      <c r="B1792" s="69"/>
      <c r="C1792" s="5" t="s">
        <v>1669</v>
      </c>
      <c r="G1792" s="1">
        <v>439.17</v>
      </c>
    </row>
    <row r="1793" spans="1:7">
      <c r="A1793" s="69"/>
      <c r="B1793" s="73" t="s">
        <v>1431</v>
      </c>
      <c r="C1793" s="3" t="s">
        <v>1432</v>
      </c>
      <c r="D1793" s="4">
        <v>12961.9</v>
      </c>
      <c r="G1793" s="4">
        <v>489.76</v>
      </c>
    </row>
    <row r="1794" spans="1:7">
      <c r="A1794" s="69"/>
      <c r="B1794" s="69"/>
      <c r="C1794" s="5" t="s">
        <v>1433</v>
      </c>
      <c r="D1794" s="1">
        <v>12961.9</v>
      </c>
      <c r="G1794" s="1">
        <v>489.76</v>
      </c>
    </row>
    <row r="1795" spans="1:7">
      <c r="A1795" s="69"/>
      <c r="B1795" s="73" t="s">
        <v>1670</v>
      </c>
      <c r="C1795" s="3" t="s">
        <v>1671</v>
      </c>
      <c r="D1795" s="4">
        <v>2183.64</v>
      </c>
    </row>
    <row r="1796" spans="1:7">
      <c r="A1796" s="69"/>
      <c r="B1796" s="69"/>
      <c r="C1796" s="5" t="s">
        <v>1672</v>
      </c>
      <c r="D1796" s="1">
        <v>2183.64</v>
      </c>
    </row>
    <row r="1797" spans="1:7">
      <c r="A1797" s="69"/>
      <c r="B1797" s="73" t="s">
        <v>1673</v>
      </c>
      <c r="C1797" s="3" t="s">
        <v>1674</v>
      </c>
      <c r="D1797" s="4">
        <v>5089.5</v>
      </c>
    </row>
    <row r="1798" spans="1:7">
      <c r="A1798" s="69"/>
      <c r="B1798" s="69"/>
      <c r="C1798" s="5" t="s">
        <v>1675</v>
      </c>
      <c r="D1798" s="1">
        <v>5089.5</v>
      </c>
    </row>
    <row r="1799" spans="1:7">
      <c r="A1799" s="69"/>
      <c r="B1799" s="73" t="s">
        <v>1676</v>
      </c>
      <c r="C1799" s="3" t="s">
        <v>1677</v>
      </c>
      <c r="D1799" s="4">
        <v>4173.84</v>
      </c>
    </row>
    <row r="1800" spans="1:7">
      <c r="A1800" s="69"/>
      <c r="B1800" s="69"/>
      <c r="C1800" s="5" t="s">
        <v>1678</v>
      </c>
      <c r="D1800" s="1">
        <v>4173.84</v>
      </c>
    </row>
    <row r="1801" spans="1:7">
      <c r="A1801" s="69"/>
      <c r="B1801" s="73" t="s">
        <v>1679</v>
      </c>
      <c r="C1801" s="3" t="s">
        <v>1680</v>
      </c>
      <c r="D1801" s="4">
        <v>500</v>
      </c>
    </row>
    <row r="1802" spans="1:7">
      <c r="A1802" s="69"/>
      <c r="B1802" s="69"/>
      <c r="C1802" s="5" t="s">
        <v>1681</v>
      </c>
      <c r="D1802" s="1">
        <v>500</v>
      </c>
    </row>
    <row r="1803" spans="1:7">
      <c r="A1803" s="69"/>
      <c r="B1803" s="73" t="s">
        <v>1446</v>
      </c>
      <c r="C1803" s="3" t="s">
        <v>1447</v>
      </c>
      <c r="D1803" s="4">
        <v>760</v>
      </c>
    </row>
    <row r="1804" spans="1:7">
      <c r="A1804" s="69"/>
      <c r="B1804" s="69"/>
      <c r="C1804" s="5" t="s">
        <v>1448</v>
      </c>
      <c r="D1804" s="1">
        <v>760</v>
      </c>
    </row>
    <row r="1805" spans="1:7">
      <c r="A1805" s="69"/>
      <c r="B1805" s="73" t="s">
        <v>1682</v>
      </c>
      <c r="C1805" s="3" t="s">
        <v>1683</v>
      </c>
      <c r="D1805" s="4">
        <v>500</v>
      </c>
    </row>
    <row r="1806" spans="1:7">
      <c r="A1806" s="69"/>
      <c r="B1806" s="69"/>
      <c r="C1806" s="5" t="s">
        <v>1684</v>
      </c>
      <c r="D1806" s="1">
        <v>500</v>
      </c>
    </row>
    <row r="1807" spans="1:7">
      <c r="A1807" s="69"/>
      <c r="B1807" s="73" t="s">
        <v>1685</v>
      </c>
      <c r="C1807" s="3" t="s">
        <v>1686</v>
      </c>
      <c r="D1807" s="4">
        <v>1144</v>
      </c>
    </row>
    <row r="1808" spans="1:7">
      <c r="A1808" s="69"/>
      <c r="B1808" s="69"/>
      <c r="C1808" s="5" t="s">
        <v>1687</v>
      </c>
      <c r="D1808" s="1">
        <v>1144</v>
      </c>
    </row>
    <row r="1809" spans="1:7">
      <c r="A1809" s="69"/>
      <c r="B1809" s="73" t="s">
        <v>338</v>
      </c>
      <c r="C1809" s="3" t="s">
        <v>339</v>
      </c>
      <c r="D1809" s="4">
        <v>250</v>
      </c>
    </row>
    <row r="1810" spans="1:7">
      <c r="A1810" s="69"/>
      <c r="B1810" s="69"/>
      <c r="C1810" s="5" t="s">
        <v>340</v>
      </c>
      <c r="D1810" s="1">
        <v>250</v>
      </c>
    </row>
    <row r="1811" spans="1:7">
      <c r="A1811" s="69"/>
      <c r="B1811" s="73" t="s">
        <v>243</v>
      </c>
      <c r="C1811" s="3" t="s">
        <v>244</v>
      </c>
      <c r="D1811" s="4">
        <v>500</v>
      </c>
      <c r="G1811" s="4">
        <v>780.67499999999995</v>
      </c>
    </row>
    <row r="1812" spans="1:7">
      <c r="A1812" s="69"/>
      <c r="B1812" s="69"/>
      <c r="C1812" s="5" t="s">
        <v>245</v>
      </c>
      <c r="D1812" s="1">
        <v>500</v>
      </c>
      <c r="G1812" s="1">
        <v>780.67499999999995</v>
      </c>
    </row>
    <row r="1813" spans="1:7">
      <c r="A1813" s="69"/>
      <c r="B1813" s="73" t="s">
        <v>1688</v>
      </c>
      <c r="C1813" s="3" t="s">
        <v>1689</v>
      </c>
      <c r="D1813" s="4">
        <v>38199.699999999997</v>
      </c>
    </row>
    <row r="1814" spans="1:7">
      <c r="A1814" s="69"/>
      <c r="B1814" s="69"/>
      <c r="C1814" s="5" t="s">
        <v>1690</v>
      </c>
      <c r="D1814" s="1">
        <v>38199.699999999997</v>
      </c>
    </row>
    <row r="1815" spans="1:7">
      <c r="A1815" s="69"/>
      <c r="B1815" s="73" t="s">
        <v>1691</v>
      </c>
      <c r="C1815" s="3" t="s">
        <v>1692</v>
      </c>
      <c r="D1815" s="4">
        <v>26000</v>
      </c>
    </row>
    <row r="1816" spans="1:7">
      <c r="A1816" s="69"/>
      <c r="B1816" s="69"/>
      <c r="C1816" s="5" t="s">
        <v>1693</v>
      </c>
      <c r="D1816" s="1">
        <v>26000</v>
      </c>
    </row>
    <row r="1817" spans="1:7">
      <c r="A1817" s="69"/>
      <c r="B1817" s="73" t="s">
        <v>1694</v>
      </c>
      <c r="C1817" s="3" t="s">
        <v>1695</v>
      </c>
      <c r="D1817" s="4">
        <v>8407.36</v>
      </c>
    </row>
    <row r="1818" spans="1:7">
      <c r="A1818" s="69"/>
      <c r="B1818" s="69"/>
      <c r="C1818" s="5" t="s">
        <v>1696</v>
      </c>
      <c r="D1818" s="1">
        <v>8407.36</v>
      </c>
    </row>
    <row r="1819" spans="1:7">
      <c r="A1819" s="69"/>
      <c r="B1819" s="73" t="s">
        <v>1407</v>
      </c>
      <c r="C1819" s="3" t="s">
        <v>1408</v>
      </c>
      <c r="D1819" s="4">
        <v>13526.07</v>
      </c>
    </row>
    <row r="1820" spans="1:7">
      <c r="A1820" s="69"/>
      <c r="B1820" s="69"/>
      <c r="C1820" s="5" t="s">
        <v>1409</v>
      </c>
      <c r="D1820" s="1">
        <v>13526.07</v>
      </c>
    </row>
    <row r="1821" spans="1:7">
      <c r="A1821" s="69"/>
      <c r="B1821" s="73" t="s">
        <v>1697</v>
      </c>
      <c r="C1821" s="3" t="s">
        <v>1698</v>
      </c>
      <c r="D1821" s="4">
        <v>7029.38</v>
      </c>
    </row>
    <row r="1822" spans="1:7">
      <c r="A1822" s="69"/>
      <c r="B1822" s="69"/>
      <c r="C1822" s="5" t="s">
        <v>1699</v>
      </c>
      <c r="D1822" s="1">
        <v>7029.38</v>
      </c>
    </row>
    <row r="1823" spans="1:7">
      <c r="A1823" s="69"/>
      <c r="B1823" s="73" t="s">
        <v>1458</v>
      </c>
      <c r="C1823" s="3" t="s">
        <v>1459</v>
      </c>
      <c r="D1823" s="4">
        <v>83</v>
      </c>
    </row>
    <row r="1824" spans="1:7">
      <c r="A1824" s="69"/>
      <c r="B1824" s="69"/>
      <c r="C1824" s="5" t="s">
        <v>1460</v>
      </c>
      <c r="D1824" s="1">
        <v>83</v>
      </c>
    </row>
    <row r="1825" spans="1:7">
      <c r="A1825" s="69"/>
      <c r="B1825" s="73" t="s">
        <v>99</v>
      </c>
      <c r="C1825" s="3" t="s">
        <v>100</v>
      </c>
      <c r="G1825" s="4">
        <v>276.48</v>
      </c>
    </row>
    <row r="1826" spans="1:7">
      <c r="A1826" s="69"/>
      <c r="B1826" s="69"/>
      <c r="C1826" s="5" t="s">
        <v>101</v>
      </c>
      <c r="G1826" s="1">
        <v>276.48</v>
      </c>
    </row>
    <row r="1827" spans="1:7">
      <c r="A1827" s="69"/>
      <c r="B1827" s="73" t="s">
        <v>1700</v>
      </c>
      <c r="C1827" s="3" t="s">
        <v>1701</v>
      </c>
      <c r="D1827" s="4">
        <v>10400</v>
      </c>
    </row>
    <row r="1828" spans="1:7">
      <c r="A1828" s="69"/>
      <c r="B1828" s="69"/>
      <c r="C1828" s="5" t="s">
        <v>1702</v>
      </c>
      <c r="D1828" s="1">
        <v>10400</v>
      </c>
    </row>
    <row r="1829" spans="1:7">
      <c r="A1829" s="69"/>
      <c r="B1829" s="73" t="s">
        <v>546</v>
      </c>
      <c r="C1829" s="3" t="s">
        <v>547</v>
      </c>
      <c r="D1829" s="4">
        <v>1575</v>
      </c>
    </row>
    <row r="1830" spans="1:7">
      <c r="A1830" s="69"/>
      <c r="B1830" s="69"/>
      <c r="C1830" s="5" t="s">
        <v>548</v>
      </c>
      <c r="D1830" s="1">
        <v>1575</v>
      </c>
    </row>
    <row r="1831" spans="1:7">
      <c r="A1831" s="69"/>
      <c r="B1831" s="73" t="s">
        <v>1703</v>
      </c>
      <c r="C1831" s="3" t="s">
        <v>1704</v>
      </c>
      <c r="D1831" s="4">
        <v>18241.3</v>
      </c>
    </row>
    <row r="1832" spans="1:7">
      <c r="A1832" s="69"/>
      <c r="B1832" s="69"/>
      <c r="C1832" s="5" t="s">
        <v>1705</v>
      </c>
      <c r="D1832" s="1">
        <v>18241.3</v>
      </c>
    </row>
    <row r="1833" spans="1:7">
      <c r="A1833" s="69"/>
      <c r="B1833" s="73" t="s">
        <v>678</v>
      </c>
      <c r="C1833" s="3" t="s">
        <v>679</v>
      </c>
      <c r="D1833" s="4">
        <v>3150</v>
      </c>
    </row>
    <row r="1834" spans="1:7">
      <c r="A1834" s="69"/>
      <c r="B1834" s="69"/>
      <c r="C1834" s="5" t="s">
        <v>680</v>
      </c>
      <c r="D1834" s="1">
        <v>3150</v>
      </c>
    </row>
    <row r="1835" spans="1:7">
      <c r="A1835" s="69"/>
      <c r="B1835" s="73" t="s">
        <v>1706</v>
      </c>
      <c r="C1835" s="3" t="s">
        <v>1707</v>
      </c>
      <c r="D1835" s="4">
        <v>27495.58</v>
      </c>
    </row>
    <row r="1836" spans="1:7">
      <c r="A1836" s="69"/>
      <c r="B1836" s="69"/>
      <c r="C1836" s="5" t="s">
        <v>1708</v>
      </c>
      <c r="D1836" s="1">
        <v>27495.58</v>
      </c>
    </row>
    <row r="1837" spans="1:7">
      <c r="A1837" s="69"/>
      <c r="B1837" s="73" t="s">
        <v>1709</v>
      </c>
      <c r="C1837" s="3" t="s">
        <v>1710</v>
      </c>
      <c r="D1837" s="4">
        <v>27583.439999999999</v>
      </c>
    </row>
    <row r="1838" spans="1:7">
      <c r="A1838" s="69"/>
      <c r="B1838" s="69"/>
      <c r="C1838" s="5" t="s">
        <v>1711</v>
      </c>
      <c r="D1838" s="1">
        <v>27583.439999999999</v>
      </c>
    </row>
    <row r="1839" spans="1:7">
      <c r="A1839" s="69"/>
      <c r="B1839" s="73" t="s">
        <v>288</v>
      </c>
      <c r="C1839" s="3" t="s">
        <v>289</v>
      </c>
      <c r="D1839" s="4">
        <v>168198</v>
      </c>
    </row>
    <row r="1840" spans="1:7">
      <c r="A1840" s="69"/>
      <c r="B1840" s="69"/>
      <c r="C1840" s="5" t="s">
        <v>290</v>
      </c>
      <c r="D1840" s="1">
        <v>168198</v>
      </c>
    </row>
    <row r="1841" spans="1:8">
      <c r="A1841" s="69"/>
      <c r="B1841" s="73" t="s">
        <v>558</v>
      </c>
      <c r="C1841" s="3" t="s">
        <v>559</v>
      </c>
      <c r="G1841" s="4">
        <v>6.5149999999999997</v>
      </c>
    </row>
    <row r="1842" spans="1:8">
      <c r="A1842" s="69"/>
      <c r="B1842" s="69"/>
      <c r="C1842" s="5" t="s">
        <v>560</v>
      </c>
      <c r="G1842" s="1">
        <v>6.5149999999999997</v>
      </c>
    </row>
    <row r="1843" spans="1:8">
      <c r="A1843" s="69"/>
      <c r="B1843" s="73" t="s">
        <v>1712</v>
      </c>
      <c r="C1843" s="3" t="s">
        <v>1713</v>
      </c>
      <c r="G1843" s="4">
        <v>732.94</v>
      </c>
    </row>
    <row r="1844" spans="1:8">
      <c r="A1844" s="69"/>
      <c r="B1844" s="69"/>
      <c r="C1844" s="5" t="s">
        <v>1714</v>
      </c>
      <c r="G1844" s="1">
        <v>732.94</v>
      </c>
    </row>
    <row r="1845" spans="1:8">
      <c r="A1845" s="73" t="s">
        <v>1715</v>
      </c>
      <c r="B1845" s="72" t="s">
        <v>1716</v>
      </c>
      <c r="C1845" s="69"/>
      <c r="D1845" s="4">
        <v>967582.87</v>
      </c>
      <c r="E1845" s="4">
        <v>942204.96</v>
      </c>
      <c r="F1845" s="4">
        <v>38858.720000000001</v>
      </c>
      <c r="G1845" s="4">
        <v>521686.45</v>
      </c>
      <c r="H1845" s="4">
        <v>70132.259999999995</v>
      </c>
    </row>
    <row r="1846" spans="1:8">
      <c r="A1846" s="69"/>
      <c r="B1846" s="73" t="s">
        <v>231</v>
      </c>
      <c r="C1846" s="3" t="s">
        <v>232</v>
      </c>
      <c r="D1846" s="4">
        <v>400</v>
      </c>
    </row>
    <row r="1847" spans="1:8">
      <c r="A1847" s="69"/>
      <c r="B1847" s="69"/>
      <c r="C1847" s="5" t="s">
        <v>233</v>
      </c>
      <c r="D1847" s="1">
        <v>400</v>
      </c>
    </row>
    <row r="1848" spans="1:8">
      <c r="A1848" s="69"/>
      <c r="B1848" s="73" t="s">
        <v>192</v>
      </c>
      <c r="C1848" s="3" t="s">
        <v>193</v>
      </c>
      <c r="D1848" s="4">
        <v>520</v>
      </c>
      <c r="E1848" s="4">
        <v>382.13</v>
      </c>
      <c r="G1848" s="4">
        <v>3143.0749999999998</v>
      </c>
      <c r="H1848" s="4">
        <v>1196.6600000000001</v>
      </c>
    </row>
    <row r="1849" spans="1:8">
      <c r="A1849" s="69"/>
      <c r="B1849" s="69"/>
      <c r="C1849" s="5" t="s">
        <v>194</v>
      </c>
      <c r="D1849" s="1">
        <v>520</v>
      </c>
      <c r="E1849" s="1">
        <v>382.13</v>
      </c>
      <c r="G1849" s="1">
        <v>3143.0749999999998</v>
      </c>
      <c r="H1849" s="1">
        <v>1196.6600000000001</v>
      </c>
    </row>
    <row r="1850" spans="1:8">
      <c r="A1850" s="69"/>
      <c r="B1850" s="73" t="s">
        <v>723</v>
      </c>
      <c r="C1850" s="3" t="s">
        <v>724</v>
      </c>
      <c r="D1850" s="4">
        <v>17017.13</v>
      </c>
      <c r="E1850" s="4">
        <v>119.54</v>
      </c>
      <c r="G1850" s="4">
        <v>5543.335</v>
      </c>
      <c r="H1850" s="4">
        <v>1742.94</v>
      </c>
    </row>
    <row r="1851" spans="1:8">
      <c r="A1851" s="69"/>
      <c r="B1851" s="69"/>
      <c r="C1851" s="5" t="s">
        <v>725</v>
      </c>
      <c r="D1851" s="1">
        <v>17017.13</v>
      </c>
      <c r="E1851" s="1">
        <v>119.54</v>
      </c>
      <c r="G1851" s="1">
        <v>5543.335</v>
      </c>
      <c r="H1851" s="1">
        <v>1742.94</v>
      </c>
    </row>
    <row r="1852" spans="1:8">
      <c r="A1852" s="69"/>
      <c r="B1852" s="73" t="s">
        <v>159</v>
      </c>
      <c r="C1852" s="3" t="s">
        <v>160</v>
      </c>
      <c r="D1852" s="4">
        <v>3770.08</v>
      </c>
      <c r="G1852" s="4">
        <v>132.06</v>
      </c>
    </row>
    <row r="1853" spans="1:8">
      <c r="A1853" s="69"/>
      <c r="B1853" s="69"/>
      <c r="C1853" s="5" t="s">
        <v>161</v>
      </c>
      <c r="D1853" s="1">
        <v>3770.08</v>
      </c>
      <c r="G1853" s="1">
        <v>132.06</v>
      </c>
    </row>
    <row r="1854" spans="1:8">
      <c r="A1854" s="69"/>
      <c r="B1854" s="73" t="s">
        <v>1129</v>
      </c>
      <c r="C1854" s="3" t="s">
        <v>1130</v>
      </c>
      <c r="D1854" s="4">
        <v>63802.2</v>
      </c>
      <c r="E1854" s="4">
        <v>32919.54</v>
      </c>
      <c r="G1854" s="4">
        <v>294.41000000000003</v>
      </c>
    </row>
    <row r="1855" spans="1:8">
      <c r="A1855" s="69"/>
      <c r="B1855" s="69"/>
      <c r="C1855" s="5" t="s">
        <v>1131</v>
      </c>
      <c r="D1855" s="1">
        <v>63802.2</v>
      </c>
      <c r="E1855" s="1">
        <v>32919.54</v>
      </c>
      <c r="G1855" s="1">
        <v>294.41000000000003</v>
      </c>
    </row>
    <row r="1856" spans="1:8">
      <c r="A1856" s="69"/>
      <c r="B1856" s="73" t="s">
        <v>186</v>
      </c>
      <c r="C1856" s="3" t="s">
        <v>187</v>
      </c>
      <c r="D1856" s="4">
        <v>3028.95</v>
      </c>
      <c r="E1856" s="4">
        <v>61.58</v>
      </c>
      <c r="G1856" s="4">
        <v>3727.7350000000001</v>
      </c>
      <c r="H1856" s="4">
        <v>409.82</v>
      </c>
    </row>
    <row r="1857" spans="1:8">
      <c r="A1857" s="69"/>
      <c r="B1857" s="69"/>
      <c r="C1857" s="5" t="s">
        <v>188</v>
      </c>
      <c r="D1857" s="1">
        <v>3028.95</v>
      </c>
      <c r="E1857" s="1">
        <v>61.58</v>
      </c>
      <c r="G1857" s="1">
        <v>3727.7350000000001</v>
      </c>
      <c r="H1857" s="1">
        <v>409.82</v>
      </c>
    </row>
    <row r="1858" spans="1:8">
      <c r="A1858" s="69"/>
      <c r="B1858" s="73" t="s">
        <v>804</v>
      </c>
      <c r="C1858" s="3" t="s">
        <v>805</v>
      </c>
      <c r="D1858" s="4">
        <v>3500</v>
      </c>
      <c r="E1858" s="4">
        <v>272</v>
      </c>
      <c r="G1858" s="4">
        <v>3523.8850000000002</v>
      </c>
      <c r="H1858" s="4">
        <v>100.1</v>
      </c>
    </row>
    <row r="1859" spans="1:8">
      <c r="A1859" s="69"/>
      <c r="B1859" s="69"/>
      <c r="C1859" s="5" t="s">
        <v>806</v>
      </c>
      <c r="D1859" s="1">
        <v>3500</v>
      </c>
      <c r="E1859" s="1">
        <v>272</v>
      </c>
      <c r="G1859" s="1">
        <v>3523.8850000000002</v>
      </c>
      <c r="H1859" s="1">
        <v>100.1</v>
      </c>
    </row>
    <row r="1860" spans="1:8">
      <c r="A1860" s="69"/>
      <c r="B1860" s="73" t="s">
        <v>525</v>
      </c>
      <c r="C1860" s="3" t="s">
        <v>526</v>
      </c>
      <c r="D1860" s="4">
        <v>50000</v>
      </c>
    </row>
    <row r="1861" spans="1:8">
      <c r="A1861" s="69"/>
      <c r="B1861" s="69"/>
      <c r="C1861" s="5" t="s">
        <v>527</v>
      </c>
      <c r="D1861" s="1">
        <v>50000</v>
      </c>
    </row>
    <row r="1862" spans="1:8">
      <c r="A1862" s="69"/>
      <c r="B1862" s="73" t="s">
        <v>264</v>
      </c>
      <c r="C1862" s="3" t="s">
        <v>265</v>
      </c>
      <c r="D1862" s="4">
        <v>0</v>
      </c>
      <c r="E1862" s="4">
        <v>22402.5</v>
      </c>
      <c r="G1862" s="4">
        <v>89.625</v>
      </c>
    </row>
    <row r="1863" spans="1:8">
      <c r="A1863" s="69"/>
      <c r="B1863" s="69"/>
      <c r="C1863" s="5" t="s">
        <v>266</v>
      </c>
      <c r="D1863" s="1">
        <v>0</v>
      </c>
      <c r="E1863" s="1">
        <v>22402.5</v>
      </c>
      <c r="G1863" s="1">
        <v>89.625</v>
      </c>
    </row>
    <row r="1864" spans="1:8">
      <c r="A1864" s="69"/>
      <c r="B1864" s="73" t="s">
        <v>792</v>
      </c>
      <c r="C1864" s="3" t="s">
        <v>793</v>
      </c>
      <c r="D1864" s="4">
        <v>5000</v>
      </c>
      <c r="E1864" s="4">
        <v>17583.27</v>
      </c>
    </row>
    <row r="1865" spans="1:8">
      <c r="A1865" s="69"/>
      <c r="B1865" s="69"/>
      <c r="C1865" s="5" t="s">
        <v>794</v>
      </c>
      <c r="D1865" s="1">
        <v>5000</v>
      </c>
      <c r="E1865" s="1">
        <v>17583.27</v>
      </c>
    </row>
    <row r="1866" spans="1:8">
      <c r="A1866" s="69"/>
      <c r="B1866" s="73" t="s">
        <v>654</v>
      </c>
      <c r="C1866" s="3" t="s">
        <v>655</v>
      </c>
      <c r="E1866" s="4">
        <v>3036.72</v>
      </c>
      <c r="G1866" s="4">
        <v>5398.085</v>
      </c>
    </row>
    <row r="1867" spans="1:8">
      <c r="A1867" s="69"/>
      <c r="B1867" s="69"/>
      <c r="C1867" s="5" t="s">
        <v>656</v>
      </c>
      <c r="E1867" s="1">
        <v>3036.72</v>
      </c>
      <c r="G1867" s="1">
        <v>5398.085</v>
      </c>
    </row>
    <row r="1868" spans="1:8">
      <c r="A1868" s="69"/>
      <c r="B1868" s="73" t="s">
        <v>513</v>
      </c>
      <c r="C1868" s="3" t="s">
        <v>514</v>
      </c>
      <c r="D1868" s="4">
        <v>500</v>
      </c>
      <c r="E1868" s="4">
        <v>-3376.6</v>
      </c>
      <c r="G1868" s="4">
        <v>21677.505000000001</v>
      </c>
      <c r="H1868" s="4">
        <v>1628.11</v>
      </c>
    </row>
    <row r="1869" spans="1:8">
      <c r="A1869" s="69"/>
      <c r="B1869" s="69"/>
      <c r="C1869" s="5" t="s">
        <v>515</v>
      </c>
      <c r="D1869" s="1">
        <v>500</v>
      </c>
      <c r="E1869" s="1">
        <v>-3376.6</v>
      </c>
      <c r="G1869" s="1">
        <v>21677.505000000001</v>
      </c>
      <c r="H1869" s="1">
        <v>1628.11</v>
      </c>
    </row>
    <row r="1870" spans="1:8">
      <c r="A1870" s="69"/>
      <c r="B1870" s="73" t="s">
        <v>370</v>
      </c>
      <c r="C1870" s="3" t="s">
        <v>371</v>
      </c>
      <c r="G1870" s="4">
        <v>3284.71</v>
      </c>
      <c r="H1870" s="4">
        <v>1819.52</v>
      </c>
    </row>
    <row r="1871" spans="1:8">
      <c r="A1871" s="69"/>
      <c r="B1871" s="69"/>
      <c r="C1871" s="5" t="s">
        <v>372</v>
      </c>
      <c r="G1871" s="1">
        <v>3284.71</v>
      </c>
      <c r="H1871" s="1">
        <v>1819.52</v>
      </c>
    </row>
    <row r="1872" spans="1:8">
      <c r="A1872" s="69"/>
      <c r="B1872" s="73" t="s">
        <v>448</v>
      </c>
      <c r="C1872" s="3" t="s">
        <v>449</v>
      </c>
      <c r="D1872" s="4">
        <v>38063.980000000003</v>
      </c>
      <c r="E1872" s="4">
        <v>6112.61</v>
      </c>
      <c r="G1872" s="4">
        <v>8089.4849999999997</v>
      </c>
      <c r="H1872" s="4">
        <v>807.2</v>
      </c>
    </row>
    <row r="1873" spans="1:8">
      <c r="A1873" s="69"/>
      <c r="B1873" s="69"/>
      <c r="C1873" s="5" t="s">
        <v>450</v>
      </c>
      <c r="D1873" s="1">
        <v>38063.980000000003</v>
      </c>
      <c r="E1873" s="1">
        <v>6112.61</v>
      </c>
      <c r="G1873" s="1">
        <v>8089.4849999999997</v>
      </c>
      <c r="H1873" s="1">
        <v>807.2</v>
      </c>
    </row>
    <row r="1874" spans="1:8">
      <c r="A1874" s="69"/>
      <c r="B1874" s="73" t="s">
        <v>99</v>
      </c>
      <c r="C1874" s="3" t="s">
        <v>100</v>
      </c>
      <c r="G1874" s="4">
        <v>14755.004999999999</v>
      </c>
      <c r="H1874" s="4">
        <v>1941.03</v>
      </c>
    </row>
    <row r="1875" spans="1:8">
      <c r="A1875" s="69"/>
      <c r="B1875" s="69"/>
      <c r="C1875" s="5" t="s">
        <v>101</v>
      </c>
      <c r="G1875" s="1">
        <v>14755.004999999999</v>
      </c>
      <c r="H1875" s="1">
        <v>1941.03</v>
      </c>
    </row>
    <row r="1876" spans="1:8">
      <c r="A1876" s="69"/>
      <c r="B1876" s="73" t="s">
        <v>48</v>
      </c>
      <c r="C1876" s="3" t="s">
        <v>49</v>
      </c>
      <c r="D1876" s="4">
        <v>250</v>
      </c>
      <c r="G1876" s="4">
        <v>739.89</v>
      </c>
      <c r="H1876" s="4">
        <v>137.02000000000001</v>
      </c>
    </row>
    <row r="1877" spans="1:8">
      <c r="A1877" s="69"/>
      <c r="B1877" s="69"/>
      <c r="C1877" s="5" t="s">
        <v>50</v>
      </c>
      <c r="D1877" s="1">
        <v>250</v>
      </c>
      <c r="G1877" s="1">
        <v>739.89</v>
      </c>
      <c r="H1877" s="1">
        <v>137.02000000000001</v>
      </c>
    </row>
    <row r="1878" spans="1:8">
      <c r="A1878" s="69"/>
      <c r="B1878" s="73" t="s">
        <v>636</v>
      </c>
      <c r="C1878" s="3" t="s">
        <v>637</v>
      </c>
      <c r="D1878" s="4">
        <v>14052.8</v>
      </c>
      <c r="G1878" s="4">
        <v>6365.61</v>
      </c>
      <c r="H1878" s="4">
        <v>840</v>
      </c>
    </row>
    <row r="1879" spans="1:8">
      <c r="A1879" s="69"/>
      <c r="B1879" s="69"/>
      <c r="C1879" s="5" t="s">
        <v>638</v>
      </c>
      <c r="D1879" s="1">
        <v>14052.8</v>
      </c>
      <c r="G1879" s="1">
        <v>6365.61</v>
      </c>
      <c r="H1879" s="1">
        <v>840</v>
      </c>
    </row>
    <row r="1880" spans="1:8">
      <c r="A1880" s="69"/>
      <c r="B1880" s="73" t="s">
        <v>72</v>
      </c>
      <c r="C1880" s="3" t="s">
        <v>73</v>
      </c>
      <c r="G1880" s="4">
        <v>67.72</v>
      </c>
    </row>
    <row r="1881" spans="1:8">
      <c r="A1881" s="69"/>
      <c r="B1881" s="69"/>
      <c r="C1881" s="5" t="s">
        <v>74</v>
      </c>
      <c r="G1881" s="1">
        <v>67.72</v>
      </c>
    </row>
    <row r="1882" spans="1:8">
      <c r="A1882" s="69"/>
      <c r="B1882" s="73" t="s">
        <v>78</v>
      </c>
      <c r="C1882" s="3" t="s">
        <v>79</v>
      </c>
      <c r="E1882" s="4">
        <v>11379.78</v>
      </c>
      <c r="G1882" s="4">
        <v>75.349999999999994</v>
      </c>
    </row>
    <row r="1883" spans="1:8">
      <c r="A1883" s="69"/>
      <c r="B1883" s="69"/>
      <c r="C1883" s="5" t="s">
        <v>80</v>
      </c>
      <c r="E1883" s="1">
        <v>11379.78</v>
      </c>
      <c r="G1883" s="1">
        <v>75.349999999999994</v>
      </c>
    </row>
    <row r="1884" spans="1:8">
      <c r="A1884" s="69"/>
      <c r="B1884" s="73" t="s">
        <v>504</v>
      </c>
      <c r="C1884" s="3" t="s">
        <v>505</v>
      </c>
      <c r="D1884" s="4">
        <v>1500</v>
      </c>
      <c r="G1884" s="4">
        <v>3040.4650000000001</v>
      </c>
    </row>
    <row r="1885" spans="1:8">
      <c r="A1885" s="69"/>
      <c r="B1885" s="69"/>
      <c r="C1885" s="5" t="s">
        <v>506</v>
      </c>
      <c r="D1885" s="1">
        <v>1500</v>
      </c>
      <c r="G1885" s="1">
        <v>3040.4650000000001</v>
      </c>
    </row>
    <row r="1886" spans="1:8">
      <c r="A1886" s="69"/>
      <c r="B1886" s="73" t="s">
        <v>555</v>
      </c>
      <c r="C1886" s="3" t="s">
        <v>556</v>
      </c>
      <c r="E1886" s="4">
        <v>119.54</v>
      </c>
      <c r="G1886" s="4">
        <v>14264.8</v>
      </c>
      <c r="H1886" s="4">
        <v>4873.9399999999996</v>
      </c>
    </row>
    <row r="1887" spans="1:8">
      <c r="A1887" s="69"/>
      <c r="B1887" s="69"/>
      <c r="C1887" s="5" t="s">
        <v>557</v>
      </c>
      <c r="E1887" s="1">
        <v>119.54</v>
      </c>
      <c r="G1887" s="1">
        <v>14264.8</v>
      </c>
      <c r="H1887" s="1">
        <v>4873.9399999999996</v>
      </c>
    </row>
    <row r="1888" spans="1:8">
      <c r="A1888" s="69"/>
      <c r="B1888" s="73" t="s">
        <v>552</v>
      </c>
      <c r="C1888" s="3" t="s">
        <v>553</v>
      </c>
      <c r="G1888" s="4">
        <v>1083.5999999999999</v>
      </c>
    </row>
    <row r="1889" spans="1:8">
      <c r="A1889" s="69"/>
      <c r="B1889" s="69"/>
      <c r="C1889" s="5" t="s">
        <v>554</v>
      </c>
      <c r="G1889" s="1">
        <v>1083.5999999999999</v>
      </c>
    </row>
    <row r="1890" spans="1:8">
      <c r="A1890" s="69"/>
      <c r="B1890" s="73" t="s">
        <v>18</v>
      </c>
      <c r="C1890" s="3" t="s">
        <v>19</v>
      </c>
      <c r="G1890" s="4">
        <v>963.2</v>
      </c>
    </row>
    <row r="1891" spans="1:8">
      <c r="A1891" s="69"/>
      <c r="B1891" s="69"/>
      <c r="C1891" s="5" t="s">
        <v>20</v>
      </c>
      <c r="G1891" s="1">
        <v>963.2</v>
      </c>
    </row>
    <row r="1892" spans="1:8">
      <c r="A1892" s="69"/>
      <c r="B1892" s="73" t="s">
        <v>1126</v>
      </c>
      <c r="C1892" s="3" t="s">
        <v>1127</v>
      </c>
      <c r="D1892" s="4">
        <v>20443.48</v>
      </c>
      <c r="E1892" s="4">
        <v>119.54</v>
      </c>
      <c r="G1892" s="4">
        <v>3688.91</v>
      </c>
    </row>
    <row r="1893" spans="1:8">
      <c r="A1893" s="69"/>
      <c r="B1893" s="69"/>
      <c r="C1893" s="5" t="s">
        <v>1128</v>
      </c>
      <c r="D1893" s="1">
        <v>20443.48</v>
      </c>
      <c r="E1893" s="1">
        <v>119.54</v>
      </c>
      <c r="G1893" s="1">
        <v>3688.91</v>
      </c>
    </row>
    <row r="1894" spans="1:8">
      <c r="A1894" s="69"/>
      <c r="B1894" s="73" t="s">
        <v>498</v>
      </c>
      <c r="C1894" s="3" t="s">
        <v>499</v>
      </c>
      <c r="G1894" s="4">
        <v>2682.68</v>
      </c>
    </row>
    <row r="1895" spans="1:8">
      <c r="A1895" s="69"/>
      <c r="B1895" s="69"/>
      <c r="C1895" s="5" t="s">
        <v>500</v>
      </c>
      <c r="G1895" s="1">
        <v>2682.68</v>
      </c>
    </row>
    <row r="1896" spans="1:8">
      <c r="A1896" s="69"/>
      <c r="B1896" s="73" t="s">
        <v>303</v>
      </c>
      <c r="C1896" s="3" t="s">
        <v>304</v>
      </c>
      <c r="D1896" s="4">
        <v>146300</v>
      </c>
      <c r="E1896" s="4">
        <v>730.4</v>
      </c>
      <c r="G1896" s="4">
        <v>10702.08</v>
      </c>
    </row>
    <row r="1897" spans="1:8">
      <c r="A1897" s="69"/>
      <c r="B1897" s="69"/>
      <c r="C1897" s="5" t="s">
        <v>305</v>
      </c>
      <c r="D1897" s="1">
        <v>146300</v>
      </c>
      <c r="E1897" s="1">
        <v>730.4</v>
      </c>
      <c r="G1897" s="1">
        <v>10702.08</v>
      </c>
    </row>
    <row r="1898" spans="1:8">
      <c r="A1898" s="69"/>
      <c r="B1898" s="73" t="s">
        <v>681</v>
      </c>
      <c r="C1898" s="3" t="s">
        <v>682</v>
      </c>
      <c r="E1898" s="4">
        <v>5210.9399999999996</v>
      </c>
      <c r="G1898" s="4">
        <v>396.18</v>
      </c>
    </row>
    <row r="1899" spans="1:8">
      <c r="A1899" s="69"/>
      <c r="B1899" s="69"/>
      <c r="C1899" s="5" t="s">
        <v>683</v>
      </c>
      <c r="E1899" s="1">
        <v>5210.9399999999996</v>
      </c>
      <c r="G1899" s="1">
        <v>396.18</v>
      </c>
    </row>
    <row r="1900" spans="1:8">
      <c r="A1900" s="69"/>
      <c r="B1900" s="73" t="s">
        <v>21</v>
      </c>
      <c r="C1900" s="3" t="s">
        <v>22</v>
      </c>
      <c r="G1900" s="4">
        <v>157.19999999999999</v>
      </c>
    </row>
    <row r="1901" spans="1:8">
      <c r="A1901" s="69"/>
      <c r="B1901" s="69"/>
      <c r="C1901" s="5" t="s">
        <v>23</v>
      </c>
      <c r="G1901" s="1">
        <v>157.19999999999999</v>
      </c>
    </row>
    <row r="1902" spans="1:8">
      <c r="A1902" s="69"/>
      <c r="B1902" s="73" t="s">
        <v>240</v>
      </c>
      <c r="C1902" s="3" t="s">
        <v>241</v>
      </c>
      <c r="G1902" s="4">
        <v>142.02000000000001</v>
      </c>
      <c r="H1902" s="4">
        <v>68.5</v>
      </c>
    </row>
    <row r="1903" spans="1:8">
      <c r="A1903" s="69"/>
      <c r="B1903" s="69"/>
      <c r="C1903" s="5" t="s">
        <v>242</v>
      </c>
      <c r="G1903" s="1">
        <v>142.02000000000001</v>
      </c>
      <c r="H1903" s="1">
        <v>68.5</v>
      </c>
    </row>
    <row r="1904" spans="1:8">
      <c r="A1904" s="69"/>
      <c r="B1904" s="73" t="s">
        <v>81</v>
      </c>
      <c r="C1904" s="3" t="s">
        <v>82</v>
      </c>
      <c r="D1904" s="4">
        <v>7800</v>
      </c>
      <c r="G1904" s="4">
        <v>1901.0050000000001</v>
      </c>
      <c r="H1904" s="4">
        <v>64.05</v>
      </c>
    </row>
    <row r="1905" spans="1:8">
      <c r="A1905" s="69"/>
      <c r="B1905" s="69"/>
      <c r="C1905" s="5" t="s">
        <v>83</v>
      </c>
      <c r="D1905" s="1">
        <v>7800</v>
      </c>
      <c r="G1905" s="1">
        <v>1901.0050000000001</v>
      </c>
      <c r="H1905" s="1">
        <v>64.05</v>
      </c>
    </row>
    <row r="1906" spans="1:8">
      <c r="A1906" s="69"/>
      <c r="B1906" s="73" t="s">
        <v>1446</v>
      </c>
      <c r="C1906" s="3" t="s">
        <v>1447</v>
      </c>
      <c r="G1906" s="4">
        <v>728.1</v>
      </c>
      <c r="H1906" s="4">
        <v>83.05</v>
      </c>
    </row>
    <row r="1907" spans="1:8">
      <c r="A1907" s="69"/>
      <c r="B1907" s="69"/>
      <c r="C1907" s="5" t="s">
        <v>1448</v>
      </c>
      <c r="G1907" s="1">
        <v>728.1</v>
      </c>
      <c r="H1907" s="1">
        <v>83.05</v>
      </c>
    </row>
    <row r="1908" spans="1:8">
      <c r="A1908" s="69"/>
      <c r="B1908" s="73" t="s">
        <v>344</v>
      </c>
      <c r="C1908" s="3" t="s">
        <v>345</v>
      </c>
      <c r="D1908" s="4">
        <v>15257.55</v>
      </c>
      <c r="G1908" s="4">
        <v>1877.59</v>
      </c>
      <c r="H1908" s="4">
        <v>224.76</v>
      </c>
    </row>
    <row r="1909" spans="1:8">
      <c r="A1909" s="69"/>
      <c r="B1909" s="69"/>
      <c r="C1909" s="5" t="s">
        <v>346</v>
      </c>
      <c r="D1909" s="1">
        <v>15257.55</v>
      </c>
      <c r="G1909" s="1">
        <v>1877.59</v>
      </c>
      <c r="H1909" s="1">
        <v>224.76</v>
      </c>
    </row>
    <row r="1910" spans="1:8">
      <c r="A1910" s="69"/>
      <c r="B1910" s="73" t="s">
        <v>651</v>
      </c>
      <c r="C1910" s="3" t="s">
        <v>652</v>
      </c>
      <c r="D1910" s="4">
        <v>1118.8</v>
      </c>
    </row>
    <row r="1911" spans="1:8">
      <c r="A1911" s="69"/>
      <c r="B1911" s="69"/>
      <c r="C1911" s="5" t="s">
        <v>653</v>
      </c>
      <c r="D1911" s="1">
        <v>1118.8</v>
      </c>
    </row>
    <row r="1912" spans="1:8">
      <c r="A1912" s="69"/>
      <c r="B1912" s="73" t="s">
        <v>57</v>
      </c>
      <c r="C1912" s="3" t="s">
        <v>58</v>
      </c>
      <c r="D1912" s="4">
        <v>2800</v>
      </c>
    </row>
    <row r="1913" spans="1:8">
      <c r="A1913" s="69"/>
      <c r="B1913" s="69"/>
      <c r="C1913" s="5" t="s">
        <v>59</v>
      </c>
      <c r="D1913" s="1">
        <v>2800</v>
      </c>
    </row>
    <row r="1914" spans="1:8">
      <c r="A1914" s="69"/>
      <c r="B1914" s="73" t="s">
        <v>657</v>
      </c>
      <c r="C1914" s="3" t="s">
        <v>658</v>
      </c>
      <c r="D1914" s="4">
        <v>22130.75</v>
      </c>
      <c r="E1914" s="4">
        <v>1588.06</v>
      </c>
    </row>
    <row r="1915" spans="1:8">
      <c r="A1915" s="69"/>
      <c r="B1915" s="69"/>
      <c r="C1915" s="5" t="s">
        <v>659</v>
      </c>
      <c r="D1915" s="1">
        <v>22130.75</v>
      </c>
      <c r="E1915" s="1">
        <v>1588.06</v>
      </c>
    </row>
    <row r="1916" spans="1:8">
      <c r="A1916" s="69"/>
      <c r="B1916" s="73" t="s">
        <v>1108</v>
      </c>
      <c r="C1916" s="3" t="s">
        <v>1109</v>
      </c>
      <c r="D1916" s="4">
        <v>117.6</v>
      </c>
      <c r="G1916" s="4">
        <v>2539.9749999999999</v>
      </c>
      <c r="H1916" s="4">
        <v>402</v>
      </c>
    </row>
    <row r="1917" spans="1:8">
      <c r="A1917" s="69"/>
      <c r="B1917" s="69"/>
      <c r="C1917" s="5" t="s">
        <v>1110</v>
      </c>
      <c r="D1917" s="1">
        <v>117.6</v>
      </c>
      <c r="G1917" s="1">
        <v>2539.9749999999999</v>
      </c>
      <c r="H1917" s="1">
        <v>402</v>
      </c>
    </row>
    <row r="1918" spans="1:8">
      <c r="A1918" s="69"/>
      <c r="B1918" s="73" t="s">
        <v>63</v>
      </c>
      <c r="C1918" s="3" t="s">
        <v>64</v>
      </c>
      <c r="D1918" s="4">
        <v>12086.83</v>
      </c>
      <c r="E1918" s="4">
        <v>1407.6</v>
      </c>
    </row>
    <row r="1919" spans="1:8">
      <c r="A1919" s="69"/>
      <c r="B1919" s="69"/>
      <c r="C1919" s="5" t="s">
        <v>65</v>
      </c>
      <c r="D1919" s="1">
        <v>12086.83</v>
      </c>
      <c r="E1919" s="1">
        <v>1407.6</v>
      </c>
    </row>
    <row r="1920" spans="1:8">
      <c r="A1920" s="69"/>
      <c r="B1920" s="73" t="s">
        <v>630</v>
      </c>
      <c r="C1920" s="3" t="s">
        <v>631</v>
      </c>
      <c r="D1920" s="4">
        <v>372.17</v>
      </c>
      <c r="G1920" s="4">
        <v>67.72</v>
      </c>
    </row>
    <row r="1921" spans="1:8">
      <c r="A1921" s="69"/>
      <c r="B1921" s="69"/>
      <c r="C1921" s="5" t="s">
        <v>632</v>
      </c>
      <c r="D1921" s="1">
        <v>372.17</v>
      </c>
      <c r="G1921" s="1">
        <v>67.72</v>
      </c>
    </row>
    <row r="1922" spans="1:8">
      <c r="A1922" s="69"/>
      <c r="B1922" s="73" t="s">
        <v>1099</v>
      </c>
      <c r="C1922" s="3" t="s">
        <v>1100</v>
      </c>
      <c r="D1922" s="4">
        <v>117.6</v>
      </c>
      <c r="E1922" s="4">
        <v>974.54</v>
      </c>
      <c r="G1922" s="4">
        <v>4986.99</v>
      </c>
      <c r="H1922" s="4">
        <v>3497.93</v>
      </c>
    </row>
    <row r="1923" spans="1:8">
      <c r="A1923" s="69"/>
      <c r="B1923" s="69"/>
      <c r="C1923" s="5" t="s">
        <v>1101</v>
      </c>
      <c r="D1923" s="1">
        <v>117.6</v>
      </c>
      <c r="E1923" s="1">
        <v>974.54</v>
      </c>
      <c r="G1923" s="1">
        <v>4986.99</v>
      </c>
      <c r="H1923" s="1">
        <v>3497.93</v>
      </c>
    </row>
    <row r="1924" spans="1:8">
      <c r="A1924" s="69"/>
      <c r="B1924" s="73" t="s">
        <v>612</v>
      </c>
      <c r="C1924" s="3" t="s">
        <v>613</v>
      </c>
      <c r="D1924" s="4">
        <v>0</v>
      </c>
    </row>
    <row r="1925" spans="1:8">
      <c r="A1925" s="69"/>
      <c r="B1925" s="69"/>
      <c r="C1925" s="5" t="s">
        <v>614</v>
      </c>
      <c r="D1925" s="1">
        <v>0</v>
      </c>
    </row>
    <row r="1926" spans="1:8">
      <c r="A1926" s="69"/>
      <c r="B1926" s="73" t="s">
        <v>222</v>
      </c>
      <c r="C1926" s="3" t="s">
        <v>223</v>
      </c>
      <c r="F1926" s="4">
        <v>1065.56</v>
      </c>
    </row>
    <row r="1927" spans="1:8">
      <c r="A1927" s="69"/>
      <c r="B1927" s="69"/>
      <c r="C1927" s="5" t="s">
        <v>224</v>
      </c>
      <c r="F1927" s="1">
        <v>1065.56</v>
      </c>
    </row>
    <row r="1928" spans="1:8">
      <c r="A1928" s="69"/>
      <c r="B1928" s="73" t="s">
        <v>624</v>
      </c>
      <c r="C1928" s="3" t="s">
        <v>625</v>
      </c>
      <c r="D1928" s="4">
        <v>10000</v>
      </c>
      <c r="G1928" s="4">
        <v>7116.9</v>
      </c>
      <c r="H1928" s="4">
        <v>2576.4499999999998</v>
      </c>
    </row>
    <row r="1929" spans="1:8">
      <c r="A1929" s="69"/>
      <c r="B1929" s="69"/>
      <c r="C1929" s="5" t="s">
        <v>626</v>
      </c>
      <c r="D1929" s="1">
        <v>10000</v>
      </c>
      <c r="G1929" s="1">
        <v>7116.9</v>
      </c>
      <c r="H1929" s="1">
        <v>2576.4499999999998</v>
      </c>
    </row>
    <row r="1930" spans="1:8">
      <c r="A1930" s="69"/>
      <c r="B1930" s="73" t="s">
        <v>355</v>
      </c>
      <c r="C1930" s="3" t="s">
        <v>356</v>
      </c>
      <c r="E1930" s="4">
        <v>2158.46</v>
      </c>
    </row>
    <row r="1931" spans="1:8">
      <c r="A1931" s="69"/>
      <c r="B1931" s="69"/>
      <c r="C1931" s="5" t="s">
        <v>357</v>
      </c>
      <c r="E1931" s="1">
        <v>2158.46</v>
      </c>
    </row>
    <row r="1932" spans="1:8">
      <c r="A1932" s="69"/>
      <c r="B1932" s="73" t="s">
        <v>696</v>
      </c>
      <c r="C1932" s="3" t="s">
        <v>697</v>
      </c>
      <c r="E1932" s="4">
        <v>7439.25</v>
      </c>
      <c r="G1932" s="4">
        <v>14438.13</v>
      </c>
      <c r="H1932" s="4">
        <v>712.63</v>
      </c>
    </row>
    <row r="1933" spans="1:8">
      <c r="A1933" s="69"/>
      <c r="B1933" s="69"/>
      <c r="C1933" s="5" t="s">
        <v>698</v>
      </c>
      <c r="E1933" s="1">
        <v>7439.25</v>
      </c>
      <c r="G1933" s="1">
        <v>14438.13</v>
      </c>
      <c r="H1933" s="1">
        <v>712.63</v>
      </c>
    </row>
    <row r="1934" spans="1:8">
      <c r="A1934" s="69"/>
      <c r="B1934" s="73" t="s">
        <v>285</v>
      </c>
      <c r="C1934" s="3" t="s">
        <v>286</v>
      </c>
      <c r="D1934" s="4">
        <v>6416.35</v>
      </c>
      <c r="E1934" s="4">
        <v>6225.49</v>
      </c>
      <c r="G1934" s="4">
        <v>21836.305</v>
      </c>
      <c r="H1934" s="4">
        <v>827.57</v>
      </c>
    </row>
    <row r="1935" spans="1:8">
      <c r="A1935" s="69"/>
      <c r="B1935" s="69"/>
      <c r="C1935" s="5" t="s">
        <v>287</v>
      </c>
      <c r="D1935" s="1">
        <v>6416.35</v>
      </c>
      <c r="E1935" s="1">
        <v>6225.49</v>
      </c>
      <c r="G1935" s="1">
        <v>21836.305</v>
      </c>
      <c r="H1935" s="1">
        <v>827.57</v>
      </c>
    </row>
    <row r="1936" spans="1:8">
      <c r="A1936" s="69"/>
      <c r="B1936" s="73" t="s">
        <v>69</v>
      </c>
      <c r="C1936" s="3" t="s">
        <v>70</v>
      </c>
      <c r="D1936" s="4">
        <v>111561.7</v>
      </c>
      <c r="E1936" s="4">
        <v>28731.16</v>
      </c>
      <c r="G1936" s="4">
        <v>15976.76</v>
      </c>
    </row>
    <row r="1937" spans="1:8">
      <c r="A1937" s="69"/>
      <c r="B1937" s="69"/>
      <c r="C1937" s="5" t="s">
        <v>71</v>
      </c>
      <c r="D1937" s="1">
        <v>111561.7</v>
      </c>
      <c r="E1937" s="1">
        <v>28731.16</v>
      </c>
      <c r="G1937" s="1">
        <v>15976.76</v>
      </c>
    </row>
    <row r="1938" spans="1:8">
      <c r="A1938" s="69"/>
      <c r="B1938" s="73" t="s">
        <v>717</v>
      </c>
      <c r="C1938" s="3" t="s">
        <v>718</v>
      </c>
      <c r="G1938" s="4">
        <v>511.28</v>
      </c>
    </row>
    <row r="1939" spans="1:8">
      <c r="A1939" s="69"/>
      <c r="B1939" s="69"/>
      <c r="C1939" s="5" t="s">
        <v>719</v>
      </c>
      <c r="G1939" s="1">
        <v>511.28</v>
      </c>
    </row>
    <row r="1940" spans="1:8">
      <c r="A1940" s="69"/>
      <c r="B1940" s="73" t="s">
        <v>45</v>
      </c>
      <c r="C1940" s="3" t="s">
        <v>46</v>
      </c>
      <c r="G1940" s="4">
        <v>1270.8599999999999</v>
      </c>
    </row>
    <row r="1941" spans="1:8">
      <c r="A1941" s="69"/>
      <c r="B1941" s="69"/>
      <c r="C1941" s="5" t="s">
        <v>47</v>
      </c>
      <c r="G1941" s="1">
        <v>1270.8599999999999</v>
      </c>
    </row>
    <row r="1942" spans="1:8">
      <c r="A1942" s="69"/>
      <c r="B1942" s="73" t="s">
        <v>252</v>
      </c>
      <c r="C1942" s="3" t="s">
        <v>253</v>
      </c>
      <c r="D1942" s="4">
        <v>0</v>
      </c>
      <c r="G1942" s="4">
        <v>9741.56</v>
      </c>
      <c r="H1942" s="4">
        <v>2431.0500000000002</v>
      </c>
    </row>
    <row r="1943" spans="1:8">
      <c r="A1943" s="69"/>
      <c r="B1943" s="69"/>
      <c r="C1943" s="5" t="s">
        <v>254</v>
      </c>
      <c r="D1943" s="1">
        <v>0</v>
      </c>
      <c r="G1943" s="1">
        <v>9741.56</v>
      </c>
      <c r="H1943" s="1">
        <v>2431.0500000000002</v>
      </c>
    </row>
    <row r="1944" spans="1:8">
      <c r="A1944" s="69"/>
      <c r="B1944" s="73" t="s">
        <v>558</v>
      </c>
      <c r="C1944" s="3" t="s">
        <v>559</v>
      </c>
      <c r="G1944" s="4">
        <v>16705.345000000001</v>
      </c>
    </row>
    <row r="1945" spans="1:8">
      <c r="A1945" s="69"/>
      <c r="B1945" s="69"/>
      <c r="C1945" s="5" t="s">
        <v>560</v>
      </c>
      <c r="G1945" s="1">
        <v>16705.345000000001</v>
      </c>
    </row>
    <row r="1946" spans="1:8">
      <c r="A1946" s="69"/>
      <c r="B1946" s="73" t="s">
        <v>258</v>
      </c>
      <c r="C1946" s="3" t="s">
        <v>259</v>
      </c>
      <c r="E1946" s="4">
        <v>1252.93</v>
      </c>
      <c r="G1946" s="4">
        <v>52014.625</v>
      </c>
      <c r="H1946" s="4">
        <v>11633.17</v>
      </c>
    </row>
    <row r="1947" spans="1:8">
      <c r="A1947" s="69"/>
      <c r="B1947" s="69"/>
      <c r="C1947" s="5" t="s">
        <v>260</v>
      </c>
      <c r="E1947" s="1">
        <v>1252.93</v>
      </c>
      <c r="G1947" s="1">
        <v>52014.625</v>
      </c>
      <c r="H1947" s="1">
        <v>11633.17</v>
      </c>
    </row>
    <row r="1948" spans="1:8">
      <c r="A1948" s="69"/>
      <c r="B1948" s="73" t="s">
        <v>418</v>
      </c>
      <c r="C1948" s="3" t="s">
        <v>419</v>
      </c>
      <c r="D1948" s="4">
        <v>450</v>
      </c>
      <c r="G1948" s="4">
        <v>211.92</v>
      </c>
    </row>
    <row r="1949" spans="1:8">
      <c r="A1949" s="69"/>
      <c r="B1949" s="69"/>
      <c r="C1949" s="5" t="s">
        <v>420</v>
      </c>
      <c r="D1949" s="1">
        <v>450</v>
      </c>
      <c r="G1949" s="1">
        <v>211.92</v>
      </c>
    </row>
    <row r="1950" spans="1:8">
      <c r="A1950" s="69"/>
      <c r="B1950" s="73" t="s">
        <v>543</v>
      </c>
      <c r="C1950" s="3" t="s">
        <v>544</v>
      </c>
      <c r="D1950" s="4">
        <v>90636</v>
      </c>
      <c r="E1950" s="4">
        <v>1259.54</v>
      </c>
      <c r="G1950" s="4">
        <v>2839.16</v>
      </c>
    </row>
    <row r="1951" spans="1:8">
      <c r="A1951" s="69"/>
      <c r="B1951" s="69"/>
      <c r="C1951" s="5" t="s">
        <v>545</v>
      </c>
      <c r="D1951" s="1">
        <v>90636</v>
      </c>
      <c r="E1951" s="1">
        <v>1259.54</v>
      </c>
      <c r="G1951" s="1">
        <v>2839.16</v>
      </c>
    </row>
    <row r="1952" spans="1:8">
      <c r="A1952" s="69"/>
      <c r="B1952" s="73" t="s">
        <v>135</v>
      </c>
      <c r="C1952" s="3" t="s">
        <v>136</v>
      </c>
      <c r="G1952" s="4">
        <v>90.99</v>
      </c>
    </row>
    <row r="1953" spans="1:8">
      <c r="A1953" s="69"/>
      <c r="B1953" s="69"/>
      <c r="C1953" s="5" t="s">
        <v>137</v>
      </c>
      <c r="G1953" s="1">
        <v>90.99</v>
      </c>
    </row>
    <row r="1954" spans="1:8">
      <c r="A1954" s="69"/>
      <c r="B1954" s="73" t="s">
        <v>492</v>
      </c>
      <c r="C1954" s="3" t="s">
        <v>493</v>
      </c>
      <c r="D1954" s="4">
        <v>262</v>
      </c>
      <c r="E1954" s="4">
        <v>8621.39</v>
      </c>
      <c r="G1954" s="4">
        <v>23718.33</v>
      </c>
    </row>
    <row r="1955" spans="1:8">
      <c r="A1955" s="69"/>
      <c r="B1955" s="69"/>
      <c r="C1955" s="5" t="s">
        <v>494</v>
      </c>
      <c r="D1955" s="1">
        <v>262</v>
      </c>
      <c r="E1955" s="1">
        <v>8621.39</v>
      </c>
      <c r="G1955" s="1">
        <v>23718.33</v>
      </c>
    </row>
    <row r="1956" spans="1:8">
      <c r="A1956" s="69"/>
      <c r="B1956" s="73" t="s">
        <v>84</v>
      </c>
      <c r="C1956" s="3" t="s">
        <v>85</v>
      </c>
      <c r="E1956" s="4">
        <v>1940.64</v>
      </c>
      <c r="G1956" s="4">
        <v>31327.73</v>
      </c>
      <c r="H1956" s="4">
        <v>4778.6400000000003</v>
      </c>
    </row>
    <row r="1957" spans="1:8">
      <c r="A1957" s="69"/>
      <c r="B1957" s="69"/>
      <c r="C1957" s="5" t="s">
        <v>86</v>
      </c>
      <c r="E1957" s="1">
        <v>1940.64</v>
      </c>
      <c r="G1957" s="1">
        <v>31327.73</v>
      </c>
      <c r="H1957" s="1">
        <v>4778.6400000000003</v>
      </c>
    </row>
    <row r="1958" spans="1:8">
      <c r="A1958" s="69"/>
      <c r="B1958" s="73" t="s">
        <v>60</v>
      </c>
      <c r="C1958" s="3" t="s">
        <v>61</v>
      </c>
      <c r="D1958" s="4">
        <v>45550.93</v>
      </c>
      <c r="G1958" s="4">
        <v>35179.885000000002</v>
      </c>
    </row>
    <row r="1959" spans="1:8">
      <c r="A1959" s="69"/>
      <c r="B1959" s="69"/>
      <c r="C1959" s="5" t="s">
        <v>62</v>
      </c>
      <c r="D1959" s="1">
        <v>45550.93</v>
      </c>
      <c r="G1959" s="1">
        <v>35179.885000000002</v>
      </c>
    </row>
    <row r="1960" spans="1:8">
      <c r="A1960" s="69"/>
      <c r="B1960" s="73" t="s">
        <v>367</v>
      </c>
      <c r="C1960" s="3" t="s">
        <v>368</v>
      </c>
      <c r="D1960" s="4">
        <v>28</v>
      </c>
      <c r="E1960" s="4">
        <v>15005.57</v>
      </c>
    </row>
    <row r="1961" spans="1:8">
      <c r="A1961" s="69"/>
      <c r="B1961" s="69"/>
      <c r="C1961" s="5" t="s">
        <v>369</v>
      </c>
      <c r="D1961" s="1">
        <v>28</v>
      </c>
      <c r="E1961" s="1">
        <v>15005.57</v>
      </c>
    </row>
    <row r="1962" spans="1:8">
      <c r="A1962" s="69"/>
      <c r="B1962" s="73" t="s">
        <v>1144</v>
      </c>
      <c r="C1962" s="3" t="s">
        <v>1145</v>
      </c>
      <c r="D1962" s="4">
        <v>145272.75</v>
      </c>
    </row>
    <row r="1963" spans="1:8">
      <c r="A1963" s="69"/>
      <c r="B1963" s="69"/>
      <c r="C1963" s="5" t="s">
        <v>1146</v>
      </c>
      <c r="D1963" s="1">
        <v>145272.75</v>
      </c>
    </row>
    <row r="1964" spans="1:8">
      <c r="A1964" s="69"/>
      <c r="B1964" s="73" t="s">
        <v>180</v>
      </c>
      <c r="C1964" s="3" t="s">
        <v>181</v>
      </c>
      <c r="D1964" s="4">
        <v>0</v>
      </c>
      <c r="G1964" s="4">
        <v>4726.76</v>
      </c>
      <c r="H1964" s="4">
        <v>373.1</v>
      </c>
    </row>
    <row r="1965" spans="1:8">
      <c r="A1965" s="69"/>
      <c r="B1965" s="69"/>
      <c r="C1965" s="5" t="s">
        <v>182</v>
      </c>
      <c r="D1965" s="1">
        <v>0</v>
      </c>
      <c r="G1965" s="1">
        <v>4726.76</v>
      </c>
      <c r="H1965" s="1">
        <v>373.1</v>
      </c>
    </row>
    <row r="1966" spans="1:8">
      <c r="A1966" s="69"/>
      <c r="B1966" s="73" t="s">
        <v>762</v>
      </c>
      <c r="C1966" s="3" t="s">
        <v>763</v>
      </c>
      <c r="D1966" s="4">
        <v>305</v>
      </c>
      <c r="E1966" s="4">
        <v>-60.92</v>
      </c>
      <c r="G1966" s="4">
        <v>199.65</v>
      </c>
    </row>
    <row r="1967" spans="1:8">
      <c r="A1967" s="69"/>
      <c r="B1967" s="69"/>
      <c r="C1967" s="5" t="s">
        <v>764</v>
      </c>
      <c r="D1967" s="1">
        <v>305</v>
      </c>
      <c r="E1967" s="1">
        <v>-60.92</v>
      </c>
      <c r="G1967" s="1">
        <v>199.65</v>
      </c>
    </row>
    <row r="1968" spans="1:8">
      <c r="A1968" s="69"/>
      <c r="B1968" s="73" t="s">
        <v>1167</v>
      </c>
      <c r="C1968" s="3" t="s">
        <v>1168</v>
      </c>
      <c r="D1968" s="4">
        <v>115</v>
      </c>
    </row>
    <row r="1969" spans="1:8">
      <c r="A1969" s="69"/>
      <c r="B1969" s="69"/>
      <c r="C1969" s="5" t="s">
        <v>1169</v>
      </c>
      <c r="D1969" s="1">
        <v>115</v>
      </c>
    </row>
    <row r="1970" spans="1:8">
      <c r="A1970" s="69"/>
      <c r="B1970" s="73" t="s">
        <v>373</v>
      </c>
      <c r="C1970" s="3" t="s">
        <v>374</v>
      </c>
      <c r="D1970" s="4">
        <v>10516.34</v>
      </c>
      <c r="E1970" s="4">
        <v>420</v>
      </c>
      <c r="G1970" s="4">
        <v>214.9</v>
      </c>
    </row>
    <row r="1971" spans="1:8">
      <c r="A1971" s="69"/>
      <c r="B1971" s="69"/>
      <c r="C1971" s="5" t="s">
        <v>375</v>
      </c>
      <c r="D1971" s="1">
        <v>10516.34</v>
      </c>
      <c r="E1971" s="1">
        <v>420</v>
      </c>
      <c r="G1971" s="1">
        <v>214.9</v>
      </c>
    </row>
    <row r="1972" spans="1:8">
      <c r="A1972" s="69"/>
      <c r="B1972" s="73" t="s">
        <v>315</v>
      </c>
      <c r="C1972" s="3" t="s">
        <v>316</v>
      </c>
      <c r="E1972" s="4">
        <v>794.71</v>
      </c>
      <c r="G1972" s="4">
        <v>24121.96</v>
      </c>
      <c r="H1972" s="4">
        <v>9257.52</v>
      </c>
    </row>
    <row r="1973" spans="1:8">
      <c r="A1973" s="69"/>
      <c r="B1973" s="69"/>
      <c r="C1973" s="5" t="s">
        <v>317</v>
      </c>
      <c r="E1973" s="1">
        <v>794.71</v>
      </c>
      <c r="G1973" s="1">
        <v>24121.96</v>
      </c>
      <c r="H1973" s="1">
        <v>9257.52</v>
      </c>
    </row>
    <row r="1974" spans="1:8">
      <c r="A1974" s="69"/>
      <c r="B1974" s="73" t="s">
        <v>1102</v>
      </c>
      <c r="C1974" s="3" t="s">
        <v>1103</v>
      </c>
      <c r="D1974" s="4">
        <v>38577.800000000003</v>
      </c>
      <c r="E1974" s="4">
        <v>123882.74</v>
      </c>
      <c r="G1974" s="4">
        <v>1376.9449999999999</v>
      </c>
      <c r="H1974" s="4">
        <v>288</v>
      </c>
    </row>
    <row r="1975" spans="1:8">
      <c r="A1975" s="69"/>
      <c r="B1975" s="69"/>
      <c r="C1975" s="5" t="s">
        <v>1104</v>
      </c>
      <c r="D1975" s="1">
        <v>38577.800000000003</v>
      </c>
      <c r="E1975" s="1">
        <v>123882.74</v>
      </c>
      <c r="G1975" s="1">
        <v>1376.9449999999999</v>
      </c>
      <c r="H1975" s="1">
        <v>288</v>
      </c>
    </row>
    <row r="1976" spans="1:8">
      <c r="A1976" s="69"/>
      <c r="B1976" s="73" t="s">
        <v>759</v>
      </c>
      <c r="C1976" s="3" t="s">
        <v>760</v>
      </c>
      <c r="D1976" s="4">
        <v>313.75</v>
      </c>
      <c r="E1976" s="4">
        <v>2781.42</v>
      </c>
      <c r="G1976" s="4">
        <v>12524.575000000001</v>
      </c>
      <c r="H1976" s="4">
        <v>979.83</v>
      </c>
    </row>
    <row r="1977" spans="1:8">
      <c r="A1977" s="69"/>
      <c r="B1977" s="69"/>
      <c r="C1977" s="5" t="s">
        <v>761</v>
      </c>
      <c r="D1977" s="1">
        <v>313.75</v>
      </c>
      <c r="E1977" s="1">
        <v>2781.42</v>
      </c>
      <c r="G1977" s="1">
        <v>12524.575000000001</v>
      </c>
      <c r="H1977" s="1">
        <v>979.83</v>
      </c>
    </row>
    <row r="1978" spans="1:8">
      <c r="A1978" s="69"/>
      <c r="B1978" s="73" t="s">
        <v>771</v>
      </c>
      <c r="C1978" s="3" t="s">
        <v>772</v>
      </c>
      <c r="D1978" s="4">
        <v>150</v>
      </c>
      <c r="G1978" s="4">
        <v>1462.645</v>
      </c>
      <c r="H1978" s="4">
        <v>155.76</v>
      </c>
    </row>
    <row r="1979" spans="1:8">
      <c r="A1979" s="69"/>
      <c r="B1979" s="69"/>
      <c r="C1979" s="5" t="s">
        <v>773</v>
      </c>
      <c r="D1979" s="1">
        <v>150</v>
      </c>
      <c r="G1979" s="1">
        <v>1462.645</v>
      </c>
      <c r="H1979" s="1">
        <v>155.76</v>
      </c>
    </row>
    <row r="1980" spans="1:8">
      <c r="A1980" s="69"/>
      <c r="B1980" s="73" t="s">
        <v>1717</v>
      </c>
      <c r="C1980" s="3" t="s">
        <v>1718</v>
      </c>
      <c r="G1980" s="4">
        <v>60.96</v>
      </c>
    </row>
    <row r="1981" spans="1:8">
      <c r="A1981" s="69"/>
      <c r="B1981" s="69"/>
      <c r="C1981" s="5" t="s">
        <v>1719</v>
      </c>
      <c r="G1981" s="1">
        <v>60.96</v>
      </c>
    </row>
    <row r="1982" spans="1:8">
      <c r="A1982" s="69"/>
      <c r="B1982" s="73" t="s">
        <v>207</v>
      </c>
      <c r="C1982" s="3" t="s">
        <v>208</v>
      </c>
      <c r="G1982" s="4">
        <v>4490.79</v>
      </c>
      <c r="H1982" s="4">
        <v>1122.72</v>
      </c>
    </row>
    <row r="1983" spans="1:8">
      <c r="A1983" s="69"/>
      <c r="B1983" s="69"/>
      <c r="C1983" s="5" t="s">
        <v>209</v>
      </c>
      <c r="G1983" s="1">
        <v>4490.79</v>
      </c>
      <c r="H1983" s="1">
        <v>1122.72</v>
      </c>
    </row>
    <row r="1984" spans="1:8">
      <c r="A1984" s="69"/>
      <c r="B1984" s="73" t="s">
        <v>459</v>
      </c>
      <c r="C1984" s="3" t="s">
        <v>460</v>
      </c>
      <c r="D1984" s="4">
        <v>34147.78</v>
      </c>
      <c r="E1984" s="4">
        <v>3497.7</v>
      </c>
      <c r="G1984" s="4">
        <v>9075.1350000000002</v>
      </c>
      <c r="H1984" s="4">
        <v>336.66</v>
      </c>
    </row>
    <row r="1985" spans="1:8">
      <c r="A1985" s="69"/>
      <c r="B1985" s="69"/>
      <c r="C1985" s="5" t="s">
        <v>461</v>
      </c>
      <c r="D1985" s="1">
        <v>34147.78</v>
      </c>
      <c r="E1985" s="1">
        <v>3497.7</v>
      </c>
      <c r="G1985" s="1">
        <v>9075.1350000000002</v>
      </c>
      <c r="H1985" s="1">
        <v>336.66</v>
      </c>
    </row>
    <row r="1986" spans="1:8">
      <c r="A1986" s="69"/>
      <c r="B1986" s="73" t="s">
        <v>1123</v>
      </c>
      <c r="C1986" s="3" t="s">
        <v>1124</v>
      </c>
      <c r="D1986" s="4">
        <v>9040</v>
      </c>
      <c r="E1986" s="4">
        <v>119.54</v>
      </c>
      <c r="G1986" s="4">
        <v>6336.0550000000003</v>
      </c>
      <c r="H1986" s="4">
        <v>582.05999999999995</v>
      </c>
    </row>
    <row r="1987" spans="1:8">
      <c r="A1987" s="69"/>
      <c r="B1987" s="69"/>
      <c r="C1987" s="5" t="s">
        <v>1125</v>
      </c>
      <c r="D1987" s="1">
        <v>9040</v>
      </c>
      <c r="E1987" s="1">
        <v>119.54</v>
      </c>
      <c r="G1987" s="1">
        <v>6336.0550000000003</v>
      </c>
      <c r="H1987" s="1">
        <v>582.05999999999995</v>
      </c>
    </row>
    <row r="1988" spans="1:8">
      <c r="A1988" s="69"/>
      <c r="B1988" s="73" t="s">
        <v>120</v>
      </c>
      <c r="C1988" s="3" t="s">
        <v>121</v>
      </c>
      <c r="D1988" s="4">
        <v>3585</v>
      </c>
    </row>
    <row r="1989" spans="1:8">
      <c r="A1989" s="69"/>
      <c r="B1989" s="69"/>
      <c r="C1989" s="5" t="s">
        <v>122</v>
      </c>
      <c r="D1989" s="1">
        <v>3585</v>
      </c>
    </row>
    <row r="1990" spans="1:8">
      <c r="A1990" s="69"/>
      <c r="B1990" s="73" t="s">
        <v>516</v>
      </c>
      <c r="C1990" s="3" t="s">
        <v>517</v>
      </c>
      <c r="D1990" s="4">
        <v>4035.51</v>
      </c>
      <c r="E1990" s="4">
        <v>782.17</v>
      </c>
      <c r="G1990" s="4">
        <v>25298.28</v>
      </c>
      <c r="H1990" s="4">
        <v>8026.88</v>
      </c>
    </row>
    <row r="1991" spans="1:8">
      <c r="A1991" s="69"/>
      <c r="B1991" s="69"/>
      <c r="C1991" s="5" t="s">
        <v>518</v>
      </c>
      <c r="D1991" s="1">
        <v>4035.51</v>
      </c>
      <c r="E1991" s="1">
        <v>782.17</v>
      </c>
      <c r="G1991" s="1">
        <v>25298.28</v>
      </c>
      <c r="H1991" s="1">
        <v>8026.88</v>
      </c>
    </row>
    <row r="1992" spans="1:8">
      <c r="A1992" s="69"/>
      <c r="B1992" s="73" t="s">
        <v>510</v>
      </c>
      <c r="C1992" s="3" t="s">
        <v>511</v>
      </c>
      <c r="D1992" s="4">
        <v>21993.5</v>
      </c>
      <c r="E1992" s="4">
        <v>17490</v>
      </c>
    </row>
    <row r="1993" spans="1:8">
      <c r="A1993" s="69"/>
      <c r="B1993" s="69"/>
      <c r="C1993" s="5" t="s">
        <v>512</v>
      </c>
      <c r="D1993" s="1">
        <v>21993.5</v>
      </c>
      <c r="E1993" s="1">
        <v>17490</v>
      </c>
    </row>
    <row r="1994" spans="1:8">
      <c r="A1994" s="69"/>
      <c r="B1994" s="73" t="s">
        <v>225</v>
      </c>
      <c r="C1994" s="3" t="s">
        <v>226</v>
      </c>
      <c r="E1994" s="4">
        <v>1578.49</v>
      </c>
      <c r="G1994" s="4">
        <v>223.28</v>
      </c>
    </row>
    <row r="1995" spans="1:8">
      <c r="A1995" s="69"/>
      <c r="B1995" s="69"/>
      <c r="C1995" s="5" t="s">
        <v>227</v>
      </c>
      <c r="E1995" s="1">
        <v>1578.49</v>
      </c>
      <c r="G1995" s="1">
        <v>223.28</v>
      </c>
    </row>
    <row r="1996" spans="1:8">
      <c r="A1996" s="69"/>
      <c r="B1996" s="73" t="s">
        <v>609</v>
      </c>
      <c r="C1996" s="3" t="s">
        <v>610</v>
      </c>
      <c r="E1996" s="4">
        <v>420</v>
      </c>
      <c r="G1996" s="4">
        <v>3164.29</v>
      </c>
    </row>
    <row r="1997" spans="1:8">
      <c r="A1997" s="69"/>
      <c r="B1997" s="69"/>
      <c r="C1997" s="5" t="s">
        <v>611</v>
      </c>
      <c r="E1997" s="1">
        <v>420</v>
      </c>
      <c r="G1997" s="1">
        <v>3164.29</v>
      </c>
    </row>
    <row r="1998" spans="1:8">
      <c r="A1998" s="69"/>
      <c r="B1998" s="73" t="s">
        <v>1105</v>
      </c>
      <c r="C1998" s="3" t="s">
        <v>1106</v>
      </c>
      <c r="D1998" s="4">
        <v>-383191.14</v>
      </c>
      <c r="E1998" s="4">
        <v>501892.73</v>
      </c>
      <c r="G1998" s="4">
        <v>1700.3050000000001</v>
      </c>
    </row>
    <row r="1999" spans="1:8">
      <c r="A1999" s="69"/>
      <c r="B1999" s="69"/>
      <c r="C1999" s="5" t="s">
        <v>1107</v>
      </c>
      <c r="D1999" s="1">
        <v>-383191.14</v>
      </c>
      <c r="E1999" s="1">
        <v>501892.73</v>
      </c>
      <c r="G1999" s="1">
        <v>1700.3050000000001</v>
      </c>
    </row>
    <row r="2000" spans="1:8">
      <c r="A2000" s="69"/>
      <c r="B2000" s="73" t="s">
        <v>594</v>
      </c>
      <c r="C2000" s="3" t="s">
        <v>595</v>
      </c>
      <c r="G2000" s="4">
        <v>353.12</v>
      </c>
    </row>
    <row r="2001" spans="1:8">
      <c r="A2001" s="69"/>
      <c r="B2001" s="69"/>
      <c r="C2001" s="5" t="s">
        <v>596</v>
      </c>
      <c r="G2001" s="1">
        <v>353.12</v>
      </c>
    </row>
    <row r="2002" spans="1:8">
      <c r="A2002" s="69"/>
      <c r="B2002" s="73" t="s">
        <v>288</v>
      </c>
      <c r="C2002" s="3" t="s">
        <v>289</v>
      </c>
      <c r="D2002" s="4">
        <v>3031.24</v>
      </c>
      <c r="E2002" s="4">
        <v>1000.14</v>
      </c>
      <c r="G2002" s="4">
        <v>16486.375</v>
      </c>
      <c r="H2002" s="4">
        <v>3992.34</v>
      </c>
    </row>
    <row r="2003" spans="1:8">
      <c r="A2003" s="69"/>
      <c r="B2003" s="69"/>
      <c r="C2003" s="5" t="s">
        <v>290</v>
      </c>
      <c r="D2003" s="1">
        <v>3031.24</v>
      </c>
      <c r="E2003" s="1">
        <v>1000.14</v>
      </c>
      <c r="G2003" s="1">
        <v>16486.375</v>
      </c>
      <c r="H2003" s="1">
        <v>3992.34</v>
      </c>
    </row>
    <row r="2004" spans="1:8">
      <c r="A2004" s="69"/>
      <c r="B2004" s="73" t="s">
        <v>333</v>
      </c>
      <c r="C2004" s="3" t="s">
        <v>334</v>
      </c>
      <c r="G2004" s="4">
        <v>3881.05</v>
      </c>
    </row>
    <row r="2005" spans="1:8">
      <c r="A2005" s="69"/>
      <c r="B2005" s="69"/>
      <c r="C2005" s="5" t="s">
        <v>335</v>
      </c>
      <c r="G2005" s="1">
        <v>3881.05</v>
      </c>
    </row>
    <row r="2006" spans="1:8">
      <c r="A2006" s="69"/>
      <c r="B2006" s="73" t="s">
        <v>627</v>
      </c>
      <c r="C2006" s="3" t="s">
        <v>628</v>
      </c>
      <c r="E2006" s="4">
        <v>1894.91</v>
      </c>
      <c r="G2006" s="4">
        <v>4756.3999999999996</v>
      </c>
    </row>
    <row r="2007" spans="1:8">
      <c r="A2007" s="69"/>
      <c r="B2007" s="69"/>
      <c r="C2007" s="5" t="s">
        <v>629</v>
      </c>
      <c r="E2007" s="1">
        <v>1894.91</v>
      </c>
      <c r="G2007" s="1">
        <v>4756.3999999999996</v>
      </c>
    </row>
    <row r="2008" spans="1:8">
      <c r="A2008" s="69"/>
      <c r="B2008" s="73" t="s">
        <v>54</v>
      </c>
      <c r="C2008" s="3" t="s">
        <v>55</v>
      </c>
      <c r="G2008" s="4">
        <v>1292.43</v>
      </c>
      <c r="H2008" s="4">
        <v>346.32</v>
      </c>
    </row>
    <row r="2009" spans="1:8">
      <c r="A2009" s="69"/>
      <c r="B2009" s="69"/>
      <c r="C2009" s="5" t="s">
        <v>56</v>
      </c>
      <c r="G2009" s="1">
        <v>1292.43</v>
      </c>
      <c r="H2009" s="1">
        <v>346.32</v>
      </c>
    </row>
    <row r="2010" spans="1:8">
      <c r="A2010" s="69"/>
      <c r="B2010" s="73" t="s">
        <v>388</v>
      </c>
      <c r="C2010" s="3" t="s">
        <v>389</v>
      </c>
      <c r="G2010" s="4">
        <v>1616.4649999999999</v>
      </c>
      <c r="H2010" s="4">
        <v>709.59</v>
      </c>
    </row>
    <row r="2011" spans="1:8">
      <c r="A2011" s="69"/>
      <c r="B2011" s="69"/>
      <c r="C2011" s="5" t="s">
        <v>390</v>
      </c>
      <c r="G2011" s="1">
        <v>1616.4649999999999</v>
      </c>
      <c r="H2011" s="1">
        <v>709.59</v>
      </c>
    </row>
    <row r="2012" spans="1:8">
      <c r="A2012" s="69"/>
      <c r="B2012" s="73" t="s">
        <v>270</v>
      </c>
      <c r="C2012" s="3" t="s">
        <v>271</v>
      </c>
      <c r="G2012" s="4">
        <v>1198.8900000000001</v>
      </c>
      <c r="H2012" s="4">
        <v>273.73</v>
      </c>
    </row>
    <row r="2013" spans="1:8">
      <c r="A2013" s="69"/>
      <c r="B2013" s="69"/>
      <c r="C2013" s="5" t="s">
        <v>272</v>
      </c>
      <c r="G2013" s="1">
        <v>1198.8900000000001</v>
      </c>
      <c r="H2013" s="1">
        <v>273.73</v>
      </c>
    </row>
    <row r="2014" spans="1:8">
      <c r="A2014" s="69"/>
      <c r="B2014" s="73" t="s">
        <v>672</v>
      </c>
      <c r="C2014" s="3" t="s">
        <v>673</v>
      </c>
      <c r="F2014" s="4">
        <v>3961.92</v>
      </c>
    </row>
    <row r="2015" spans="1:8">
      <c r="A2015" s="69"/>
      <c r="B2015" s="69"/>
      <c r="C2015" s="5" t="s">
        <v>674</v>
      </c>
      <c r="F2015" s="1">
        <v>3961.92</v>
      </c>
    </row>
    <row r="2016" spans="1:8">
      <c r="A2016" s="69"/>
      <c r="B2016" s="73" t="s">
        <v>324</v>
      </c>
      <c r="C2016" s="3" t="s">
        <v>325</v>
      </c>
      <c r="F2016" s="4">
        <v>30120.28</v>
      </c>
    </row>
    <row r="2017" spans="1:8">
      <c r="A2017" s="69"/>
      <c r="B2017" s="69"/>
      <c r="C2017" s="5" t="s">
        <v>326</v>
      </c>
      <c r="F2017" s="1">
        <v>30120.28</v>
      </c>
    </row>
    <row r="2018" spans="1:8">
      <c r="A2018" s="69"/>
      <c r="B2018" s="73" t="s">
        <v>1292</v>
      </c>
      <c r="C2018" s="3" t="s">
        <v>1293</v>
      </c>
      <c r="D2018" s="4">
        <v>61823.88</v>
      </c>
    </row>
    <row r="2019" spans="1:8">
      <c r="A2019" s="69"/>
      <c r="B2019" s="69"/>
      <c r="C2019" s="5" t="s">
        <v>1294</v>
      </c>
      <c r="D2019" s="1">
        <v>61823.88</v>
      </c>
    </row>
    <row r="2020" spans="1:8">
      <c r="A2020" s="69"/>
      <c r="B2020" s="73" t="s">
        <v>156</v>
      </c>
      <c r="C2020" s="3" t="s">
        <v>157</v>
      </c>
      <c r="E2020" s="4">
        <v>22631.119999999999</v>
      </c>
    </row>
    <row r="2021" spans="1:8">
      <c r="A2021" s="69"/>
      <c r="B2021" s="69"/>
      <c r="C2021" s="5" t="s">
        <v>158</v>
      </c>
      <c r="E2021" s="1">
        <v>22631.119999999999</v>
      </c>
    </row>
    <row r="2022" spans="1:8">
      <c r="A2022" s="69"/>
      <c r="B2022" s="73" t="s">
        <v>415</v>
      </c>
      <c r="C2022" s="3" t="s">
        <v>416</v>
      </c>
      <c r="G2022" s="4">
        <v>6221.33</v>
      </c>
    </row>
    <row r="2023" spans="1:8">
      <c r="A2023" s="69"/>
      <c r="B2023" s="69"/>
      <c r="C2023" s="5" t="s">
        <v>417</v>
      </c>
      <c r="G2023" s="1">
        <v>6221.33</v>
      </c>
    </row>
    <row r="2024" spans="1:8">
      <c r="A2024" s="69"/>
      <c r="B2024" s="73" t="s">
        <v>699</v>
      </c>
      <c r="C2024" s="3" t="s">
        <v>700</v>
      </c>
      <c r="G2024" s="4">
        <v>750.72500000000002</v>
      </c>
    </row>
    <row r="2025" spans="1:8">
      <c r="A2025" s="69"/>
      <c r="B2025" s="69"/>
      <c r="C2025" s="5" t="s">
        <v>701</v>
      </c>
      <c r="G2025" s="1">
        <v>750.72500000000002</v>
      </c>
    </row>
    <row r="2026" spans="1:8">
      <c r="A2026" s="69"/>
      <c r="B2026" s="73" t="s">
        <v>177</v>
      </c>
      <c r="C2026" s="3" t="s">
        <v>178</v>
      </c>
      <c r="G2026" s="4">
        <v>772.26499999999999</v>
      </c>
      <c r="H2026" s="4">
        <v>79.89</v>
      </c>
    </row>
    <row r="2027" spans="1:8">
      <c r="A2027" s="69"/>
      <c r="B2027" s="69"/>
      <c r="C2027" s="5" t="s">
        <v>179</v>
      </c>
      <c r="G2027" s="1">
        <v>772.26499999999999</v>
      </c>
      <c r="H2027" s="1">
        <v>79.89</v>
      </c>
    </row>
    <row r="2028" spans="1:8">
      <c r="A2028" s="69"/>
      <c r="B2028" s="73" t="s">
        <v>1114</v>
      </c>
      <c r="C2028" s="3" t="s">
        <v>1115</v>
      </c>
      <c r="D2028" s="4">
        <v>13091.6</v>
      </c>
      <c r="E2028" s="4">
        <v>33219.54</v>
      </c>
    </row>
    <row r="2029" spans="1:8">
      <c r="A2029" s="69"/>
      <c r="B2029" s="69"/>
      <c r="C2029" s="5" t="s">
        <v>1116</v>
      </c>
      <c r="D2029" s="1">
        <v>13091.6</v>
      </c>
      <c r="E2029" s="1">
        <v>33219.54</v>
      </c>
    </row>
    <row r="2030" spans="1:8">
      <c r="A2030" s="69"/>
      <c r="B2030" s="73" t="s">
        <v>1720</v>
      </c>
      <c r="C2030" s="3" t="s">
        <v>1721</v>
      </c>
      <c r="D2030" s="4">
        <v>134001.07999999999</v>
      </c>
    </row>
    <row r="2031" spans="1:8">
      <c r="A2031" s="69"/>
      <c r="B2031" s="69"/>
      <c r="C2031" s="5" t="s">
        <v>1722</v>
      </c>
      <c r="D2031" s="1">
        <v>134001.07999999999</v>
      </c>
    </row>
    <row r="2032" spans="1:8">
      <c r="A2032" s="69"/>
      <c r="B2032" s="73" t="s">
        <v>24</v>
      </c>
      <c r="C2032" s="3" t="s">
        <v>25</v>
      </c>
      <c r="D2032" s="4">
        <v>0</v>
      </c>
    </row>
    <row r="2033" spans="1:7">
      <c r="A2033" s="69"/>
      <c r="B2033" s="69"/>
      <c r="C2033" s="5" t="s">
        <v>26</v>
      </c>
      <c r="D2033" s="1">
        <v>0</v>
      </c>
    </row>
    <row r="2034" spans="1:7">
      <c r="A2034" s="69"/>
      <c r="B2034" s="73" t="s">
        <v>702</v>
      </c>
      <c r="C2034" s="3" t="s">
        <v>703</v>
      </c>
      <c r="F2034" s="4">
        <v>3710.96</v>
      </c>
    </row>
    <row r="2035" spans="1:7">
      <c r="A2035" s="69"/>
      <c r="B2035" s="69"/>
      <c r="C2035" s="5" t="s">
        <v>704</v>
      </c>
      <c r="F2035" s="1">
        <v>3710.96</v>
      </c>
    </row>
    <row r="2036" spans="1:7">
      <c r="A2036" s="69"/>
      <c r="B2036" s="73" t="s">
        <v>400</v>
      </c>
      <c r="C2036" s="3" t="s">
        <v>401</v>
      </c>
      <c r="D2036" s="4">
        <v>5000</v>
      </c>
    </row>
    <row r="2037" spans="1:7">
      <c r="A2037" s="69"/>
      <c r="B2037" s="69"/>
      <c r="C2037" s="5" t="s">
        <v>402</v>
      </c>
      <c r="D2037" s="1">
        <v>5000</v>
      </c>
    </row>
    <row r="2038" spans="1:7">
      <c r="A2038" s="69"/>
      <c r="B2038" s="73" t="s">
        <v>189</v>
      </c>
      <c r="C2038" s="3" t="s">
        <v>190</v>
      </c>
      <c r="G2038" s="4">
        <v>211.92</v>
      </c>
    </row>
    <row r="2039" spans="1:7">
      <c r="A2039" s="69"/>
      <c r="B2039" s="69"/>
      <c r="C2039" s="5" t="s">
        <v>191</v>
      </c>
      <c r="G2039" s="1">
        <v>211.92</v>
      </c>
    </row>
    <row r="2040" spans="1:7">
      <c r="A2040" s="69"/>
      <c r="B2040" s="73" t="s">
        <v>210</v>
      </c>
      <c r="C2040" s="3" t="s">
        <v>211</v>
      </c>
      <c r="G2040" s="4">
        <v>115.12</v>
      </c>
    </row>
    <row r="2041" spans="1:7">
      <c r="A2041" s="69"/>
      <c r="B2041" s="69"/>
      <c r="C2041" s="5" t="s">
        <v>212</v>
      </c>
      <c r="G2041" s="1">
        <v>115.12</v>
      </c>
    </row>
    <row r="2042" spans="1:7">
      <c r="A2042" s="69"/>
      <c r="B2042" s="73" t="s">
        <v>385</v>
      </c>
      <c r="C2042" s="3" t="s">
        <v>386</v>
      </c>
      <c r="G2042" s="4">
        <v>53.22</v>
      </c>
    </row>
    <row r="2043" spans="1:7">
      <c r="A2043" s="69"/>
      <c r="B2043" s="69"/>
      <c r="C2043" s="5" t="s">
        <v>387</v>
      </c>
      <c r="G2043" s="1">
        <v>53.22</v>
      </c>
    </row>
    <row r="2044" spans="1:7">
      <c r="A2044" s="69"/>
      <c r="B2044" s="73" t="s">
        <v>255</v>
      </c>
      <c r="C2044" s="3" t="s">
        <v>256</v>
      </c>
      <c r="G2044" s="4">
        <v>140.96</v>
      </c>
    </row>
    <row r="2045" spans="1:7">
      <c r="A2045" s="69"/>
      <c r="B2045" s="69"/>
      <c r="C2045" s="5" t="s">
        <v>257</v>
      </c>
      <c r="G2045" s="1">
        <v>140.96</v>
      </c>
    </row>
    <row r="2046" spans="1:7">
      <c r="A2046" s="69"/>
      <c r="B2046" s="73" t="s">
        <v>195</v>
      </c>
      <c r="C2046" s="3" t="s">
        <v>196</v>
      </c>
      <c r="D2046" s="4">
        <v>525</v>
      </c>
      <c r="G2046" s="4">
        <v>1083.5999999999999</v>
      </c>
    </row>
    <row r="2047" spans="1:7">
      <c r="A2047" s="69"/>
      <c r="B2047" s="69"/>
      <c r="C2047" s="5" t="s">
        <v>197</v>
      </c>
      <c r="D2047" s="1">
        <v>525</v>
      </c>
      <c r="G2047" s="1">
        <v>1083.5999999999999</v>
      </c>
    </row>
    <row r="2048" spans="1:7">
      <c r="A2048" s="69"/>
      <c r="B2048" s="73" t="s">
        <v>108</v>
      </c>
      <c r="C2048" s="3" t="s">
        <v>109</v>
      </c>
      <c r="G2048" s="4">
        <v>7969.34</v>
      </c>
    </row>
    <row r="2049" spans="1:7">
      <c r="A2049" s="69"/>
      <c r="B2049" s="69"/>
      <c r="C2049" s="5" t="s">
        <v>110</v>
      </c>
      <c r="G2049" s="1">
        <v>7969.34</v>
      </c>
    </row>
    <row r="2050" spans="1:7">
      <c r="A2050" s="69"/>
      <c r="B2050" s="73" t="s">
        <v>582</v>
      </c>
      <c r="C2050" s="3" t="s">
        <v>583</v>
      </c>
      <c r="G2050" s="4">
        <v>28.78</v>
      </c>
    </row>
    <row r="2051" spans="1:7">
      <c r="A2051" s="69"/>
      <c r="B2051" s="69"/>
      <c r="C2051" s="5" t="s">
        <v>584</v>
      </c>
      <c r="G2051" s="1">
        <v>28.78</v>
      </c>
    </row>
    <row r="2052" spans="1:7">
      <c r="A2052" s="69"/>
      <c r="B2052" s="73" t="s">
        <v>1117</v>
      </c>
      <c r="C2052" s="3" t="s">
        <v>1118</v>
      </c>
      <c r="D2052" s="4">
        <v>12015.13</v>
      </c>
    </row>
    <row r="2053" spans="1:7">
      <c r="A2053" s="69"/>
      <c r="B2053" s="69"/>
      <c r="C2053" s="5" t="s">
        <v>1119</v>
      </c>
      <c r="D2053" s="1">
        <v>12015.13</v>
      </c>
    </row>
    <row r="2054" spans="1:7">
      <c r="A2054" s="69"/>
      <c r="B2054" s="73" t="s">
        <v>291</v>
      </c>
      <c r="C2054" s="3" t="s">
        <v>292</v>
      </c>
      <c r="D2054" s="4">
        <v>715.42</v>
      </c>
    </row>
    <row r="2055" spans="1:7">
      <c r="A2055" s="69"/>
      <c r="B2055" s="69"/>
      <c r="C2055" s="5" t="s">
        <v>293</v>
      </c>
      <c r="D2055" s="1">
        <v>715.42</v>
      </c>
    </row>
    <row r="2056" spans="1:7">
      <c r="A2056" s="69"/>
      <c r="B2056" s="73" t="s">
        <v>338</v>
      </c>
      <c r="C2056" s="3" t="s">
        <v>339</v>
      </c>
      <c r="D2056" s="4">
        <v>26793.43</v>
      </c>
    </row>
    <row r="2057" spans="1:7">
      <c r="A2057" s="69"/>
      <c r="B2057" s="69"/>
      <c r="C2057" s="5" t="s">
        <v>340</v>
      </c>
      <c r="D2057" s="1">
        <v>26793.43</v>
      </c>
    </row>
    <row r="2058" spans="1:7">
      <c r="A2058" s="69"/>
      <c r="B2058" s="73" t="s">
        <v>615</v>
      </c>
      <c r="C2058" s="3" t="s">
        <v>616</v>
      </c>
      <c r="D2058" s="4">
        <v>66190.399999999994</v>
      </c>
    </row>
    <row r="2059" spans="1:7">
      <c r="A2059" s="69"/>
      <c r="B2059" s="69"/>
      <c r="C2059" s="5" t="s">
        <v>617</v>
      </c>
      <c r="D2059" s="1">
        <v>66190.399999999994</v>
      </c>
    </row>
    <row r="2060" spans="1:7">
      <c r="A2060" s="69"/>
      <c r="B2060" s="73" t="s">
        <v>1274</v>
      </c>
      <c r="C2060" s="3" t="s">
        <v>1275</v>
      </c>
      <c r="E2060" s="4">
        <v>68.989999999999995</v>
      </c>
    </row>
    <row r="2061" spans="1:7">
      <c r="A2061" s="69"/>
      <c r="B2061" s="69"/>
      <c r="C2061" s="5" t="s">
        <v>1276</v>
      </c>
      <c r="E2061" s="1">
        <v>68.989999999999995</v>
      </c>
    </row>
    <row r="2062" spans="1:7">
      <c r="A2062" s="69"/>
      <c r="B2062" s="73" t="s">
        <v>267</v>
      </c>
      <c r="C2062" s="3" t="s">
        <v>268</v>
      </c>
      <c r="E2062" s="4">
        <v>1000.67</v>
      </c>
    </row>
    <row r="2063" spans="1:7">
      <c r="A2063" s="69"/>
      <c r="B2063" s="69"/>
      <c r="C2063" s="5" t="s">
        <v>269</v>
      </c>
      <c r="E2063" s="1">
        <v>1000.67</v>
      </c>
    </row>
    <row r="2064" spans="1:7">
      <c r="A2064" s="69"/>
      <c r="B2064" s="73" t="s">
        <v>412</v>
      </c>
      <c r="C2064" s="3" t="s">
        <v>413</v>
      </c>
      <c r="G2064" s="4">
        <v>215.87</v>
      </c>
    </row>
    <row r="2065" spans="1:7">
      <c r="A2065" s="69"/>
      <c r="B2065" s="69"/>
      <c r="C2065" s="5" t="s">
        <v>414</v>
      </c>
      <c r="G2065" s="1">
        <v>215.87</v>
      </c>
    </row>
    <row r="2066" spans="1:7">
      <c r="A2066" s="69"/>
      <c r="B2066" s="73" t="s">
        <v>537</v>
      </c>
      <c r="C2066" s="3" t="s">
        <v>538</v>
      </c>
      <c r="D2066" s="4">
        <v>0</v>
      </c>
      <c r="G2066" s="4">
        <v>211.92</v>
      </c>
    </row>
    <row r="2067" spans="1:7">
      <c r="A2067" s="69"/>
      <c r="B2067" s="69"/>
      <c r="C2067" s="5" t="s">
        <v>539</v>
      </c>
      <c r="D2067" s="1">
        <v>0</v>
      </c>
      <c r="G2067" s="1">
        <v>211.92</v>
      </c>
    </row>
    <row r="2068" spans="1:7">
      <c r="A2068" s="69"/>
      <c r="B2068" s="73" t="s">
        <v>729</v>
      </c>
      <c r="C2068" s="3" t="s">
        <v>730</v>
      </c>
      <c r="G2068" s="4">
        <v>1152.78</v>
      </c>
    </row>
    <row r="2069" spans="1:7">
      <c r="A2069" s="69"/>
      <c r="B2069" s="69"/>
      <c r="C2069" s="5" t="s">
        <v>731</v>
      </c>
      <c r="G2069" s="1">
        <v>1152.78</v>
      </c>
    </row>
    <row r="2070" spans="1:7">
      <c r="A2070" s="69"/>
      <c r="B2070" s="73" t="s">
        <v>30</v>
      </c>
      <c r="C2070" s="3" t="s">
        <v>31</v>
      </c>
      <c r="D2070" s="4">
        <v>5541.5</v>
      </c>
      <c r="G2070" s="4">
        <v>268.66000000000003</v>
      </c>
    </row>
    <row r="2071" spans="1:7">
      <c r="A2071" s="69"/>
      <c r="B2071" s="69"/>
      <c r="C2071" s="5" t="s">
        <v>32</v>
      </c>
      <c r="D2071" s="1">
        <v>5541.5</v>
      </c>
      <c r="G2071" s="1">
        <v>268.66000000000003</v>
      </c>
    </row>
    <row r="2072" spans="1:7">
      <c r="A2072" s="69"/>
      <c r="B2072" s="73" t="s">
        <v>162</v>
      </c>
      <c r="C2072" s="3" t="s">
        <v>163</v>
      </c>
      <c r="D2072" s="4">
        <v>2951.75</v>
      </c>
    </row>
    <row r="2073" spans="1:7">
      <c r="A2073" s="69"/>
      <c r="B2073" s="69"/>
      <c r="C2073" s="5" t="s">
        <v>164</v>
      </c>
      <c r="D2073" s="1">
        <v>2951.75</v>
      </c>
    </row>
    <row r="2074" spans="1:7">
      <c r="A2074" s="69"/>
      <c r="B2074" s="73" t="s">
        <v>1111</v>
      </c>
      <c r="C2074" s="3" t="s">
        <v>1112</v>
      </c>
      <c r="D2074" s="4">
        <v>56186.25</v>
      </c>
    </row>
    <row r="2075" spans="1:7">
      <c r="A2075" s="69"/>
      <c r="B2075" s="69"/>
      <c r="C2075" s="5" t="s">
        <v>1113</v>
      </c>
      <c r="D2075" s="1">
        <v>56186.25</v>
      </c>
    </row>
    <row r="2076" spans="1:7">
      <c r="A2076" s="69"/>
      <c r="B2076" s="73" t="s">
        <v>330</v>
      </c>
      <c r="C2076" s="3" t="s">
        <v>331</v>
      </c>
      <c r="E2076" s="4">
        <v>2217.69</v>
      </c>
    </row>
    <row r="2077" spans="1:7">
      <c r="A2077" s="69"/>
      <c r="B2077" s="69"/>
      <c r="C2077" s="5" t="s">
        <v>332</v>
      </c>
      <c r="E2077" s="1">
        <v>2217.69</v>
      </c>
    </row>
    <row r="2078" spans="1:7">
      <c r="A2078" s="69"/>
      <c r="B2078" s="73" t="s">
        <v>341</v>
      </c>
      <c r="C2078" s="3" t="s">
        <v>342</v>
      </c>
      <c r="E2078" s="4">
        <v>52895.199999999997</v>
      </c>
    </row>
    <row r="2079" spans="1:7">
      <c r="A2079" s="69"/>
      <c r="B2079" s="69"/>
      <c r="C2079" s="5" t="s">
        <v>343</v>
      </c>
      <c r="E2079" s="1">
        <v>52895.199999999997</v>
      </c>
    </row>
    <row r="2080" spans="1:7">
      <c r="A2080" s="69"/>
      <c r="B2080" s="73" t="s">
        <v>507</v>
      </c>
      <c r="C2080" s="3" t="s">
        <v>508</v>
      </c>
      <c r="G2080" s="4">
        <v>4065.94</v>
      </c>
    </row>
    <row r="2081" spans="1:8">
      <c r="A2081" s="69"/>
      <c r="B2081" s="69"/>
      <c r="C2081" s="5" t="s">
        <v>509</v>
      </c>
      <c r="G2081" s="1">
        <v>4065.94</v>
      </c>
    </row>
    <row r="2082" spans="1:8">
      <c r="A2082" s="69"/>
      <c r="B2082" s="73" t="s">
        <v>666</v>
      </c>
      <c r="C2082" s="3" t="s">
        <v>667</v>
      </c>
      <c r="G2082" s="4">
        <v>14252.4</v>
      </c>
    </row>
    <row r="2083" spans="1:8">
      <c r="A2083" s="69"/>
      <c r="B2083" s="69"/>
      <c r="C2083" s="5" t="s">
        <v>668</v>
      </c>
      <c r="G2083" s="1">
        <v>14252.4</v>
      </c>
    </row>
    <row r="2084" spans="1:8">
      <c r="A2084" s="69"/>
      <c r="B2084" s="73" t="s">
        <v>468</v>
      </c>
      <c r="C2084" s="3" t="s">
        <v>469</v>
      </c>
      <c r="G2084" s="4">
        <v>500.58</v>
      </c>
      <c r="H2084" s="4">
        <v>811.72</v>
      </c>
    </row>
    <row r="2085" spans="1:8">
      <c r="A2085" s="69"/>
      <c r="B2085" s="69"/>
      <c r="C2085" s="5" t="s">
        <v>470</v>
      </c>
      <c r="G2085" s="1">
        <v>500.58</v>
      </c>
      <c r="H2085" s="1">
        <v>811.72</v>
      </c>
    </row>
    <row r="2086" spans="1:8">
      <c r="A2086" s="73" t="s">
        <v>1723</v>
      </c>
      <c r="B2086" s="72" t="s">
        <v>1724</v>
      </c>
      <c r="C2086" s="69"/>
      <c r="D2086" s="4">
        <v>2699084.59</v>
      </c>
      <c r="E2086" s="4">
        <v>1645850.06</v>
      </c>
      <c r="F2086" s="4">
        <v>45893.02</v>
      </c>
    </row>
    <row r="2087" spans="1:8">
      <c r="A2087" s="69"/>
      <c r="B2087" s="73" t="s">
        <v>252</v>
      </c>
      <c r="C2087" s="3" t="s">
        <v>253</v>
      </c>
      <c r="D2087" s="4">
        <v>9813.09</v>
      </c>
      <c r="E2087" s="4">
        <v>10239.23</v>
      </c>
    </row>
    <row r="2088" spans="1:8">
      <c r="A2088" s="69"/>
      <c r="B2088" s="69"/>
      <c r="C2088" s="5" t="s">
        <v>254</v>
      </c>
      <c r="D2088" s="1">
        <v>9813.09</v>
      </c>
      <c r="E2088" s="1">
        <v>10239.23</v>
      </c>
    </row>
    <row r="2089" spans="1:8">
      <c r="A2089" s="69"/>
      <c r="B2089" s="73" t="s">
        <v>63</v>
      </c>
      <c r="C2089" s="3" t="s">
        <v>64</v>
      </c>
      <c r="D2089" s="4">
        <v>21838.97</v>
      </c>
      <c r="E2089" s="4">
        <v>244812.02</v>
      </c>
    </row>
    <row r="2090" spans="1:8">
      <c r="A2090" s="69"/>
      <c r="B2090" s="69"/>
      <c r="C2090" s="5" t="s">
        <v>65</v>
      </c>
      <c r="D2090" s="1">
        <v>21838.97</v>
      </c>
      <c r="E2090" s="1">
        <v>244812.02</v>
      </c>
    </row>
    <row r="2091" spans="1:8">
      <c r="A2091" s="69"/>
      <c r="B2091" s="73" t="s">
        <v>84</v>
      </c>
      <c r="C2091" s="3" t="s">
        <v>85</v>
      </c>
      <c r="D2091" s="4">
        <v>20323.86</v>
      </c>
      <c r="E2091" s="4">
        <v>7902.55</v>
      </c>
    </row>
    <row r="2092" spans="1:8">
      <c r="A2092" s="69"/>
      <c r="B2092" s="69"/>
      <c r="C2092" s="5" t="s">
        <v>86</v>
      </c>
      <c r="D2092" s="1">
        <v>20323.86</v>
      </c>
      <c r="E2092" s="1">
        <v>7902.55</v>
      </c>
    </row>
    <row r="2093" spans="1:8">
      <c r="A2093" s="69"/>
      <c r="B2093" s="73" t="s">
        <v>186</v>
      </c>
      <c r="C2093" s="3" t="s">
        <v>187</v>
      </c>
      <c r="D2093" s="4">
        <v>28514.32</v>
      </c>
      <c r="E2093" s="4">
        <v>-1399.01</v>
      </c>
    </row>
    <row r="2094" spans="1:8">
      <c r="A2094" s="69"/>
      <c r="B2094" s="69"/>
      <c r="C2094" s="5" t="s">
        <v>188</v>
      </c>
      <c r="D2094" s="1">
        <v>28514.32</v>
      </c>
      <c r="E2094" s="1">
        <v>-1399.01</v>
      </c>
    </row>
    <row r="2095" spans="1:8">
      <c r="A2095" s="69"/>
      <c r="B2095" s="73" t="s">
        <v>355</v>
      </c>
      <c r="C2095" s="3" t="s">
        <v>356</v>
      </c>
      <c r="D2095" s="4">
        <v>263806.83</v>
      </c>
      <c r="E2095" s="4">
        <v>15610.26</v>
      </c>
    </row>
    <row r="2096" spans="1:8">
      <c r="A2096" s="69"/>
      <c r="B2096" s="69"/>
      <c r="C2096" s="5" t="s">
        <v>357</v>
      </c>
      <c r="D2096" s="1">
        <v>263806.83</v>
      </c>
      <c r="E2096" s="1">
        <v>15610.26</v>
      </c>
    </row>
    <row r="2097" spans="1:5">
      <c r="A2097" s="69"/>
      <c r="B2097" s="73" t="s">
        <v>660</v>
      </c>
      <c r="C2097" s="3" t="s">
        <v>661</v>
      </c>
      <c r="D2097" s="4">
        <v>1500</v>
      </c>
    </row>
    <row r="2098" spans="1:5">
      <c r="A2098" s="69"/>
      <c r="B2098" s="69"/>
      <c r="C2098" s="5" t="s">
        <v>662</v>
      </c>
      <c r="D2098" s="1">
        <v>1500</v>
      </c>
    </row>
    <row r="2099" spans="1:5">
      <c r="A2099" s="69"/>
      <c r="B2099" s="73" t="s">
        <v>459</v>
      </c>
      <c r="C2099" s="3" t="s">
        <v>460</v>
      </c>
      <c r="D2099" s="4">
        <v>20383.64</v>
      </c>
      <c r="E2099" s="4">
        <v>554.66999999999996</v>
      </c>
    </row>
    <row r="2100" spans="1:5">
      <c r="A2100" s="69"/>
      <c r="B2100" s="69"/>
      <c r="C2100" s="5" t="s">
        <v>461</v>
      </c>
      <c r="D2100" s="1">
        <v>20383.64</v>
      </c>
      <c r="E2100" s="1">
        <v>554.66999999999996</v>
      </c>
    </row>
    <row r="2101" spans="1:5">
      <c r="A2101" s="69"/>
      <c r="B2101" s="73" t="s">
        <v>513</v>
      </c>
      <c r="C2101" s="3" t="s">
        <v>514</v>
      </c>
      <c r="D2101" s="4">
        <v>2144</v>
      </c>
      <c r="E2101" s="4">
        <v>24940.89</v>
      </c>
    </row>
    <row r="2102" spans="1:5">
      <c r="A2102" s="69"/>
      <c r="B2102" s="69"/>
      <c r="C2102" s="5" t="s">
        <v>515</v>
      </c>
      <c r="D2102" s="1">
        <v>2144</v>
      </c>
      <c r="E2102" s="1">
        <v>24940.89</v>
      </c>
    </row>
    <row r="2103" spans="1:5">
      <c r="A2103" s="69"/>
      <c r="B2103" s="73" t="s">
        <v>418</v>
      </c>
      <c r="C2103" s="3" t="s">
        <v>419</v>
      </c>
      <c r="D2103" s="4">
        <v>0</v>
      </c>
    </row>
    <row r="2104" spans="1:5">
      <c r="A2104" s="69"/>
      <c r="B2104" s="69"/>
      <c r="C2104" s="5" t="s">
        <v>420</v>
      </c>
      <c r="D2104" s="1">
        <v>0</v>
      </c>
    </row>
    <row r="2105" spans="1:5">
      <c r="A2105" s="69"/>
      <c r="B2105" s="73" t="s">
        <v>69</v>
      </c>
      <c r="C2105" s="3" t="s">
        <v>70</v>
      </c>
      <c r="D2105" s="4">
        <v>291392.86</v>
      </c>
      <c r="E2105" s="4">
        <v>81643.72</v>
      </c>
    </row>
    <row r="2106" spans="1:5">
      <c r="A2106" s="69"/>
      <c r="B2106" s="69"/>
      <c r="C2106" s="5" t="s">
        <v>71</v>
      </c>
      <c r="D2106" s="1">
        <v>291392.86</v>
      </c>
      <c r="E2106" s="1">
        <v>81643.72</v>
      </c>
    </row>
    <row r="2107" spans="1:5">
      <c r="A2107" s="69"/>
      <c r="B2107" s="73" t="s">
        <v>394</v>
      </c>
      <c r="C2107" s="3" t="s">
        <v>395</v>
      </c>
      <c r="D2107" s="4">
        <v>600</v>
      </c>
    </row>
    <row r="2108" spans="1:5">
      <c r="A2108" s="69"/>
      <c r="B2108" s="69"/>
      <c r="C2108" s="5" t="s">
        <v>396</v>
      </c>
      <c r="D2108" s="1">
        <v>600</v>
      </c>
    </row>
    <row r="2109" spans="1:5">
      <c r="A2109" s="69"/>
      <c r="B2109" s="73" t="s">
        <v>615</v>
      </c>
      <c r="C2109" s="3" t="s">
        <v>616</v>
      </c>
      <c r="E2109" s="4">
        <v>598.52</v>
      </c>
    </row>
    <row r="2110" spans="1:5">
      <c r="A2110" s="69"/>
      <c r="B2110" s="69"/>
      <c r="C2110" s="5" t="s">
        <v>617</v>
      </c>
      <c r="E2110" s="1">
        <v>598.52</v>
      </c>
    </row>
    <row r="2111" spans="1:5">
      <c r="A2111" s="69"/>
      <c r="B2111" s="73" t="s">
        <v>1725</v>
      </c>
      <c r="C2111" s="3" t="s">
        <v>1726</v>
      </c>
      <c r="D2111" s="4">
        <v>303</v>
      </c>
    </row>
    <row r="2112" spans="1:5">
      <c r="A2112" s="69"/>
      <c r="B2112" s="69"/>
      <c r="C2112" s="5" t="s">
        <v>1727</v>
      </c>
      <c r="D2112" s="1">
        <v>303</v>
      </c>
    </row>
    <row r="2113" spans="1:5">
      <c r="A2113" s="69"/>
      <c r="B2113" s="73" t="s">
        <v>30</v>
      </c>
      <c r="C2113" s="3" t="s">
        <v>31</v>
      </c>
      <c r="D2113" s="4">
        <v>22155.75</v>
      </c>
      <c r="E2113" s="4">
        <v>13364.16</v>
      </c>
    </row>
    <row r="2114" spans="1:5">
      <c r="A2114" s="69"/>
      <c r="B2114" s="69"/>
      <c r="C2114" s="5" t="s">
        <v>32</v>
      </c>
      <c r="D2114" s="1">
        <v>22155.75</v>
      </c>
      <c r="E2114" s="1">
        <v>13364.16</v>
      </c>
    </row>
    <row r="2115" spans="1:5">
      <c r="A2115" s="69"/>
      <c r="B2115" s="73" t="s">
        <v>759</v>
      </c>
      <c r="C2115" s="3" t="s">
        <v>760</v>
      </c>
      <c r="D2115" s="4">
        <v>10671.37</v>
      </c>
      <c r="E2115" s="4">
        <v>21944.639999999999</v>
      </c>
    </row>
    <row r="2116" spans="1:5">
      <c r="A2116" s="69"/>
      <c r="B2116" s="69"/>
      <c r="C2116" s="5" t="s">
        <v>761</v>
      </c>
      <c r="D2116" s="1">
        <v>10671.37</v>
      </c>
      <c r="E2116" s="1">
        <v>21944.639999999999</v>
      </c>
    </row>
    <row r="2117" spans="1:5">
      <c r="A2117" s="69"/>
      <c r="B2117" s="73" t="s">
        <v>285</v>
      </c>
      <c r="C2117" s="3" t="s">
        <v>286</v>
      </c>
      <c r="D2117" s="4">
        <v>16365</v>
      </c>
      <c r="E2117" s="4">
        <v>7584.95</v>
      </c>
    </row>
    <row r="2118" spans="1:5">
      <c r="A2118" s="69"/>
      <c r="B2118" s="69"/>
      <c r="C2118" s="5" t="s">
        <v>287</v>
      </c>
      <c r="D2118" s="1">
        <v>16365</v>
      </c>
      <c r="E2118" s="1">
        <v>7584.95</v>
      </c>
    </row>
    <row r="2119" spans="1:5">
      <c r="A2119" s="69"/>
      <c r="B2119" s="73" t="s">
        <v>552</v>
      </c>
      <c r="C2119" s="3" t="s">
        <v>553</v>
      </c>
      <c r="D2119" s="4">
        <v>2250</v>
      </c>
      <c r="E2119" s="4">
        <v>4839.8500000000004</v>
      </c>
    </row>
    <row r="2120" spans="1:5">
      <c r="A2120" s="69"/>
      <c r="B2120" s="69"/>
      <c r="C2120" s="5" t="s">
        <v>554</v>
      </c>
      <c r="D2120" s="1">
        <v>2250</v>
      </c>
      <c r="E2120" s="1">
        <v>4839.8500000000004</v>
      </c>
    </row>
    <row r="2121" spans="1:5">
      <c r="A2121" s="69"/>
      <c r="B2121" s="73" t="s">
        <v>207</v>
      </c>
      <c r="C2121" s="3" t="s">
        <v>208</v>
      </c>
      <c r="D2121" s="4">
        <v>564</v>
      </c>
      <c r="E2121" s="4">
        <v>3383.08</v>
      </c>
    </row>
    <row r="2122" spans="1:5">
      <c r="A2122" s="69"/>
      <c r="B2122" s="69"/>
      <c r="C2122" s="5" t="s">
        <v>209</v>
      </c>
      <c r="D2122" s="1">
        <v>564</v>
      </c>
      <c r="E2122" s="1">
        <v>3383.08</v>
      </c>
    </row>
    <row r="2123" spans="1:5">
      <c r="A2123" s="69"/>
      <c r="B2123" s="73" t="s">
        <v>609</v>
      </c>
      <c r="C2123" s="3" t="s">
        <v>610</v>
      </c>
      <c r="D2123" s="4">
        <v>12625.14</v>
      </c>
      <c r="E2123" s="4">
        <v>10388.44</v>
      </c>
    </row>
    <row r="2124" spans="1:5">
      <c r="A2124" s="69"/>
      <c r="B2124" s="69"/>
      <c r="C2124" s="5" t="s">
        <v>611</v>
      </c>
      <c r="D2124" s="1">
        <v>12625.14</v>
      </c>
      <c r="E2124" s="1">
        <v>10388.44</v>
      </c>
    </row>
    <row r="2125" spans="1:5">
      <c r="A2125" s="69"/>
      <c r="B2125" s="73" t="s">
        <v>525</v>
      </c>
      <c r="C2125" s="3" t="s">
        <v>526</v>
      </c>
      <c r="D2125" s="4">
        <v>7968</v>
      </c>
      <c r="E2125" s="4">
        <v>897.96</v>
      </c>
    </row>
    <row r="2126" spans="1:5">
      <c r="A2126" s="69"/>
      <c r="B2126" s="69"/>
      <c r="C2126" s="5" t="s">
        <v>527</v>
      </c>
      <c r="D2126" s="1">
        <v>7968</v>
      </c>
      <c r="E2126" s="1">
        <v>897.96</v>
      </c>
    </row>
    <row r="2127" spans="1:5">
      <c r="A2127" s="69"/>
      <c r="B2127" s="73" t="s">
        <v>603</v>
      </c>
      <c r="C2127" s="3" t="s">
        <v>604</v>
      </c>
      <c r="E2127" s="4">
        <v>6784.95</v>
      </c>
    </row>
    <row r="2128" spans="1:5">
      <c r="A2128" s="69"/>
      <c r="B2128" s="69"/>
      <c r="C2128" s="5" t="s">
        <v>605</v>
      </c>
      <c r="E2128" s="1">
        <v>6784.95</v>
      </c>
    </row>
    <row r="2129" spans="1:5">
      <c r="A2129" s="69"/>
      <c r="B2129" s="73" t="s">
        <v>630</v>
      </c>
      <c r="C2129" s="3" t="s">
        <v>631</v>
      </c>
      <c r="D2129" s="4">
        <v>21233.26</v>
      </c>
      <c r="E2129" s="4">
        <v>16384.240000000002</v>
      </c>
    </row>
    <row r="2130" spans="1:5">
      <c r="A2130" s="69"/>
      <c r="B2130" s="69"/>
      <c r="C2130" s="5" t="s">
        <v>632</v>
      </c>
      <c r="D2130" s="1">
        <v>21233.26</v>
      </c>
      <c r="E2130" s="1">
        <v>16384.240000000002</v>
      </c>
    </row>
    <row r="2131" spans="1:5">
      <c r="A2131" s="69"/>
      <c r="B2131" s="73" t="s">
        <v>180</v>
      </c>
      <c r="C2131" s="3" t="s">
        <v>181</v>
      </c>
      <c r="D2131" s="4">
        <v>24980.36</v>
      </c>
      <c r="E2131" s="4">
        <v>10565.54</v>
      </c>
    </row>
    <row r="2132" spans="1:5">
      <c r="A2132" s="69"/>
      <c r="B2132" s="69"/>
      <c r="C2132" s="5" t="s">
        <v>182</v>
      </c>
      <c r="D2132" s="1">
        <v>24980.36</v>
      </c>
      <c r="E2132" s="1">
        <v>10565.54</v>
      </c>
    </row>
    <row r="2133" spans="1:5">
      <c r="A2133" s="69"/>
      <c r="B2133" s="73" t="s">
        <v>60</v>
      </c>
      <c r="C2133" s="3" t="s">
        <v>61</v>
      </c>
      <c r="D2133" s="4">
        <v>795004.16</v>
      </c>
      <c r="E2133" s="4">
        <v>423893.69</v>
      </c>
    </row>
    <row r="2134" spans="1:5">
      <c r="A2134" s="69"/>
      <c r="B2134" s="69"/>
      <c r="C2134" s="5" t="s">
        <v>62</v>
      </c>
      <c r="D2134" s="1">
        <v>795004.16</v>
      </c>
      <c r="E2134" s="1">
        <v>423893.69</v>
      </c>
    </row>
    <row r="2135" spans="1:5">
      <c r="A2135" s="69"/>
      <c r="B2135" s="73" t="s">
        <v>492</v>
      </c>
      <c r="C2135" s="3" t="s">
        <v>493</v>
      </c>
      <c r="D2135" s="4">
        <v>237.55</v>
      </c>
      <c r="E2135" s="4">
        <v>69741.820000000007</v>
      </c>
    </row>
    <row r="2136" spans="1:5">
      <c r="A2136" s="69"/>
      <c r="B2136" s="69"/>
      <c r="C2136" s="5" t="s">
        <v>494</v>
      </c>
      <c r="D2136" s="1">
        <v>237.55</v>
      </c>
      <c r="E2136" s="1">
        <v>69741.820000000007</v>
      </c>
    </row>
    <row r="2137" spans="1:5">
      <c r="A2137" s="69"/>
      <c r="B2137" s="73" t="s">
        <v>666</v>
      </c>
      <c r="C2137" s="3" t="s">
        <v>667</v>
      </c>
      <c r="D2137" s="4">
        <v>76887.16</v>
      </c>
      <c r="E2137" s="4">
        <v>51827.72</v>
      </c>
    </row>
    <row r="2138" spans="1:5">
      <c r="A2138" s="69"/>
      <c r="B2138" s="69"/>
      <c r="C2138" s="5" t="s">
        <v>668</v>
      </c>
      <c r="D2138" s="1">
        <v>76887.16</v>
      </c>
      <c r="E2138" s="1">
        <v>51827.72</v>
      </c>
    </row>
    <row r="2139" spans="1:5">
      <c r="A2139" s="69"/>
      <c r="B2139" s="73" t="s">
        <v>291</v>
      </c>
      <c r="C2139" s="3" t="s">
        <v>292</v>
      </c>
      <c r="D2139" s="4">
        <v>5007.9399999999996</v>
      </c>
      <c r="E2139" s="4">
        <v>12774</v>
      </c>
    </row>
    <row r="2140" spans="1:5">
      <c r="A2140" s="69"/>
      <c r="B2140" s="69"/>
      <c r="C2140" s="5" t="s">
        <v>293</v>
      </c>
      <c r="D2140" s="1">
        <v>5007.9399999999996</v>
      </c>
      <c r="E2140" s="1">
        <v>12774</v>
      </c>
    </row>
    <row r="2141" spans="1:5">
      <c r="A2141" s="69"/>
      <c r="B2141" s="73" t="s">
        <v>315</v>
      </c>
      <c r="C2141" s="3" t="s">
        <v>316</v>
      </c>
      <c r="D2141" s="4">
        <v>59281.47</v>
      </c>
      <c r="E2141" s="4">
        <v>18437.669999999998</v>
      </c>
    </row>
    <row r="2142" spans="1:5">
      <c r="A2142" s="69"/>
      <c r="B2142" s="69"/>
      <c r="C2142" s="5" t="s">
        <v>317</v>
      </c>
      <c r="D2142" s="1">
        <v>59281.47</v>
      </c>
      <c r="E2142" s="1">
        <v>18437.669999999998</v>
      </c>
    </row>
    <row r="2143" spans="1:5">
      <c r="A2143" s="69"/>
      <c r="B2143" s="73" t="s">
        <v>558</v>
      </c>
      <c r="C2143" s="3" t="s">
        <v>559</v>
      </c>
      <c r="D2143" s="4">
        <v>26237.279999999999</v>
      </c>
      <c r="E2143" s="4">
        <v>-1191.49</v>
      </c>
    </row>
    <row r="2144" spans="1:5">
      <c r="A2144" s="69"/>
      <c r="B2144" s="69"/>
      <c r="C2144" s="5" t="s">
        <v>560</v>
      </c>
      <c r="D2144" s="1">
        <v>26237.279999999999</v>
      </c>
      <c r="E2144" s="1">
        <v>-1191.49</v>
      </c>
    </row>
    <row r="2145" spans="1:5">
      <c r="A2145" s="69"/>
      <c r="B2145" s="73" t="s">
        <v>72</v>
      </c>
      <c r="C2145" s="3" t="s">
        <v>73</v>
      </c>
      <c r="D2145" s="4">
        <v>9860</v>
      </c>
      <c r="E2145" s="4">
        <v>20310.5</v>
      </c>
    </row>
    <row r="2146" spans="1:5">
      <c r="A2146" s="69"/>
      <c r="B2146" s="69"/>
      <c r="C2146" s="5" t="s">
        <v>74</v>
      </c>
      <c r="D2146" s="1">
        <v>9860</v>
      </c>
      <c r="E2146" s="1">
        <v>20310.5</v>
      </c>
    </row>
    <row r="2147" spans="1:5">
      <c r="A2147" s="69"/>
      <c r="B2147" s="73" t="s">
        <v>300</v>
      </c>
      <c r="C2147" s="3" t="s">
        <v>301</v>
      </c>
      <c r="D2147" s="4">
        <v>103333.33</v>
      </c>
    </row>
    <row r="2148" spans="1:5">
      <c r="A2148" s="69"/>
      <c r="B2148" s="69"/>
      <c r="C2148" s="5" t="s">
        <v>302</v>
      </c>
      <c r="D2148" s="1">
        <v>103333.33</v>
      </c>
    </row>
    <row r="2149" spans="1:5">
      <c r="A2149" s="69"/>
      <c r="B2149" s="73" t="s">
        <v>376</v>
      </c>
      <c r="C2149" s="3" t="s">
        <v>377</v>
      </c>
      <c r="D2149" s="4">
        <v>3172.12</v>
      </c>
    </row>
    <row r="2150" spans="1:5">
      <c r="A2150" s="69"/>
      <c r="B2150" s="69"/>
      <c r="C2150" s="5" t="s">
        <v>378</v>
      </c>
      <c r="D2150" s="1">
        <v>3172.12</v>
      </c>
    </row>
    <row r="2151" spans="1:5">
      <c r="A2151" s="69"/>
      <c r="B2151" s="73" t="s">
        <v>177</v>
      </c>
      <c r="C2151" s="3" t="s">
        <v>178</v>
      </c>
      <c r="D2151" s="4">
        <v>6580</v>
      </c>
      <c r="E2151" s="4">
        <v>1055.44</v>
      </c>
    </row>
    <row r="2152" spans="1:5">
      <c r="A2152" s="69"/>
      <c r="B2152" s="69"/>
      <c r="C2152" s="5" t="s">
        <v>179</v>
      </c>
      <c r="D2152" s="1">
        <v>6580</v>
      </c>
      <c r="E2152" s="1">
        <v>1055.44</v>
      </c>
    </row>
    <row r="2153" spans="1:5">
      <c r="A2153" s="69"/>
      <c r="B2153" s="73" t="s">
        <v>762</v>
      </c>
      <c r="C2153" s="3" t="s">
        <v>763</v>
      </c>
      <c r="D2153" s="4">
        <v>7792.56</v>
      </c>
      <c r="E2153" s="4">
        <v>14941.95</v>
      </c>
    </row>
    <row r="2154" spans="1:5">
      <c r="A2154" s="69"/>
      <c r="B2154" s="69"/>
      <c r="C2154" s="5" t="s">
        <v>764</v>
      </c>
      <c r="D2154" s="1">
        <v>7792.56</v>
      </c>
      <c r="E2154" s="1">
        <v>14941.95</v>
      </c>
    </row>
    <row r="2155" spans="1:5">
      <c r="A2155" s="69"/>
      <c r="B2155" s="73" t="s">
        <v>48</v>
      </c>
      <c r="C2155" s="3" t="s">
        <v>49</v>
      </c>
      <c r="D2155" s="4">
        <v>8320</v>
      </c>
    </row>
    <row r="2156" spans="1:5">
      <c r="A2156" s="69"/>
      <c r="B2156" s="69"/>
      <c r="C2156" s="5" t="s">
        <v>50</v>
      </c>
      <c r="D2156" s="1">
        <v>8320</v>
      </c>
    </row>
    <row r="2157" spans="1:5">
      <c r="A2157" s="69"/>
      <c r="B2157" s="73" t="s">
        <v>297</v>
      </c>
      <c r="C2157" s="3" t="s">
        <v>298</v>
      </c>
      <c r="D2157" s="4">
        <v>19500</v>
      </c>
    </row>
    <row r="2158" spans="1:5">
      <c r="A2158" s="69"/>
      <c r="B2158" s="69"/>
      <c r="C2158" s="5" t="s">
        <v>299</v>
      </c>
      <c r="D2158" s="1">
        <v>19500</v>
      </c>
    </row>
    <row r="2159" spans="1:5">
      <c r="A2159" s="69"/>
      <c r="B2159" s="73" t="s">
        <v>382</v>
      </c>
      <c r="C2159" s="3" t="s">
        <v>383</v>
      </c>
      <c r="D2159" s="4">
        <v>0</v>
      </c>
    </row>
    <row r="2160" spans="1:5">
      <c r="A2160" s="69"/>
      <c r="B2160" s="69"/>
      <c r="C2160" s="5" t="s">
        <v>384</v>
      </c>
      <c r="D2160" s="1">
        <v>0</v>
      </c>
    </row>
    <row r="2161" spans="1:6">
      <c r="A2161" s="69"/>
      <c r="B2161" s="73" t="s">
        <v>189</v>
      </c>
      <c r="C2161" s="3" t="s">
        <v>190</v>
      </c>
      <c r="D2161" s="4">
        <v>0</v>
      </c>
    </row>
    <row r="2162" spans="1:6">
      <c r="A2162" s="69"/>
      <c r="B2162" s="69"/>
      <c r="C2162" s="5" t="s">
        <v>191</v>
      </c>
      <c r="D2162" s="1">
        <v>0</v>
      </c>
    </row>
    <row r="2163" spans="1:6">
      <c r="A2163" s="69"/>
      <c r="B2163" s="73" t="s">
        <v>454</v>
      </c>
      <c r="C2163" s="3" t="s">
        <v>455</v>
      </c>
      <c r="D2163" s="4">
        <v>80076.039999999994</v>
      </c>
      <c r="E2163" s="4">
        <v>9139.2900000000009</v>
      </c>
      <c r="F2163" s="4">
        <v>45893.02</v>
      </c>
    </row>
    <row r="2164" spans="1:6">
      <c r="A2164" s="69"/>
      <c r="B2164" s="69"/>
      <c r="C2164" s="5" t="s">
        <v>456</v>
      </c>
      <c r="D2164" s="1">
        <v>80076.039999999994</v>
      </c>
      <c r="E2164" s="1">
        <v>9139.2900000000009</v>
      </c>
      <c r="F2164" s="1">
        <v>45893.02</v>
      </c>
    </row>
    <row r="2165" spans="1:6">
      <c r="A2165" s="69"/>
      <c r="B2165" s="73" t="s">
        <v>192</v>
      </c>
      <c r="C2165" s="3" t="s">
        <v>193</v>
      </c>
      <c r="D2165" s="4">
        <v>200</v>
      </c>
      <c r="E2165" s="4">
        <v>1437.67</v>
      </c>
    </row>
    <row r="2166" spans="1:6">
      <c r="A2166" s="69"/>
      <c r="B2166" s="69"/>
      <c r="C2166" s="5" t="s">
        <v>194</v>
      </c>
      <c r="D2166" s="1">
        <v>200</v>
      </c>
      <c r="E2166" s="1">
        <v>1437.67</v>
      </c>
    </row>
    <row r="2167" spans="1:6">
      <c r="A2167" s="69"/>
      <c r="B2167" s="73" t="s">
        <v>373</v>
      </c>
      <c r="C2167" s="3" t="s">
        <v>374</v>
      </c>
      <c r="D2167" s="4">
        <v>2129.19</v>
      </c>
      <c r="E2167" s="4">
        <v>16916.310000000001</v>
      </c>
    </row>
    <row r="2168" spans="1:6">
      <c r="A2168" s="69"/>
      <c r="B2168" s="69"/>
      <c r="C2168" s="5" t="s">
        <v>375</v>
      </c>
      <c r="D2168" s="1">
        <v>2129.19</v>
      </c>
      <c r="E2168" s="1">
        <v>16916.310000000001</v>
      </c>
    </row>
    <row r="2169" spans="1:6">
      <c r="A2169" s="69"/>
      <c r="B2169" s="73" t="s">
        <v>651</v>
      </c>
      <c r="C2169" s="3" t="s">
        <v>652</v>
      </c>
      <c r="D2169" s="4">
        <v>14503.3</v>
      </c>
      <c r="E2169" s="4">
        <v>3140.15</v>
      </c>
    </row>
    <row r="2170" spans="1:6">
      <c r="A2170" s="69"/>
      <c r="B2170" s="69"/>
      <c r="C2170" s="5" t="s">
        <v>653</v>
      </c>
      <c r="D2170" s="1">
        <v>14503.3</v>
      </c>
      <c r="E2170" s="1">
        <v>3140.15</v>
      </c>
    </row>
    <row r="2171" spans="1:6">
      <c r="A2171" s="69"/>
      <c r="B2171" s="73" t="s">
        <v>729</v>
      </c>
      <c r="C2171" s="3" t="s">
        <v>730</v>
      </c>
      <c r="D2171" s="4">
        <v>0</v>
      </c>
      <c r="E2171" s="4">
        <v>1953.59</v>
      </c>
    </row>
    <row r="2172" spans="1:6">
      <c r="A2172" s="69"/>
      <c r="B2172" s="69"/>
      <c r="C2172" s="5" t="s">
        <v>731</v>
      </c>
      <c r="D2172" s="1">
        <v>0</v>
      </c>
      <c r="E2172" s="1">
        <v>1953.59</v>
      </c>
    </row>
    <row r="2173" spans="1:6">
      <c r="A2173" s="69"/>
      <c r="B2173" s="73" t="s">
        <v>792</v>
      </c>
      <c r="C2173" s="3" t="s">
        <v>793</v>
      </c>
      <c r="E2173" s="4">
        <v>10137.299999999999</v>
      </c>
    </row>
    <row r="2174" spans="1:6">
      <c r="A2174" s="69"/>
      <c r="B2174" s="69"/>
      <c r="C2174" s="5" t="s">
        <v>794</v>
      </c>
      <c r="E2174" s="1">
        <v>10137.299999999999</v>
      </c>
    </row>
    <row r="2175" spans="1:6">
      <c r="A2175" s="69"/>
      <c r="B2175" s="73" t="s">
        <v>421</v>
      </c>
      <c r="C2175" s="3" t="s">
        <v>422</v>
      </c>
      <c r="E2175" s="4">
        <v>94.05</v>
      </c>
    </row>
    <row r="2176" spans="1:6">
      <c r="A2176" s="69"/>
      <c r="B2176" s="69"/>
      <c r="C2176" s="5" t="s">
        <v>423</v>
      </c>
      <c r="E2176" s="1">
        <v>94.05</v>
      </c>
    </row>
    <row r="2177" spans="1:5">
      <c r="A2177" s="69"/>
      <c r="B2177" s="73" t="s">
        <v>159</v>
      </c>
      <c r="C2177" s="3" t="s">
        <v>160</v>
      </c>
      <c r="D2177" s="4">
        <v>9204</v>
      </c>
      <c r="E2177" s="4">
        <v>1155.2</v>
      </c>
    </row>
    <row r="2178" spans="1:5">
      <c r="A2178" s="69"/>
      <c r="B2178" s="69"/>
      <c r="C2178" s="5" t="s">
        <v>161</v>
      </c>
      <c r="D2178" s="1">
        <v>9204</v>
      </c>
      <c r="E2178" s="1">
        <v>1155.2</v>
      </c>
    </row>
    <row r="2179" spans="1:5">
      <c r="A2179" s="69"/>
      <c r="B2179" s="73" t="s">
        <v>210</v>
      </c>
      <c r="C2179" s="3" t="s">
        <v>211</v>
      </c>
      <c r="D2179" s="4">
        <v>6050</v>
      </c>
    </row>
    <row r="2180" spans="1:5">
      <c r="A2180" s="69"/>
      <c r="B2180" s="69"/>
      <c r="C2180" s="5" t="s">
        <v>212</v>
      </c>
      <c r="D2180" s="1">
        <v>6050</v>
      </c>
    </row>
    <row r="2181" spans="1:5">
      <c r="A2181" s="69"/>
      <c r="B2181" s="73" t="s">
        <v>415</v>
      </c>
      <c r="C2181" s="3" t="s">
        <v>416</v>
      </c>
      <c r="D2181" s="4">
        <v>13193.3</v>
      </c>
    </row>
    <row r="2182" spans="1:5">
      <c r="A2182" s="69"/>
      <c r="B2182" s="69"/>
      <c r="C2182" s="5" t="s">
        <v>417</v>
      </c>
      <c r="D2182" s="1">
        <v>13193.3</v>
      </c>
    </row>
    <row r="2183" spans="1:5">
      <c r="A2183" s="69"/>
      <c r="B2183" s="73" t="s">
        <v>156</v>
      </c>
      <c r="C2183" s="3" t="s">
        <v>157</v>
      </c>
      <c r="D2183" s="4">
        <v>71939.990000000005</v>
      </c>
      <c r="E2183" s="4">
        <v>1132.8699999999999</v>
      </c>
    </row>
    <row r="2184" spans="1:5">
      <c r="A2184" s="69"/>
      <c r="B2184" s="69"/>
      <c r="C2184" s="5" t="s">
        <v>158</v>
      </c>
      <c r="D2184" s="1">
        <v>71939.990000000005</v>
      </c>
      <c r="E2184" s="1">
        <v>1132.8699999999999</v>
      </c>
    </row>
    <row r="2185" spans="1:5">
      <c r="A2185" s="69"/>
      <c r="B2185" s="73" t="s">
        <v>54</v>
      </c>
      <c r="C2185" s="3" t="s">
        <v>55</v>
      </c>
      <c r="D2185" s="4">
        <v>18200</v>
      </c>
    </row>
    <row r="2186" spans="1:5">
      <c r="A2186" s="69"/>
      <c r="B2186" s="69"/>
      <c r="C2186" s="5" t="s">
        <v>56</v>
      </c>
      <c r="D2186" s="1">
        <v>18200</v>
      </c>
    </row>
    <row r="2187" spans="1:5">
      <c r="A2187" s="69"/>
      <c r="B2187" s="73" t="s">
        <v>264</v>
      </c>
      <c r="C2187" s="3" t="s">
        <v>265</v>
      </c>
      <c r="D2187" s="4">
        <v>5275</v>
      </c>
    </row>
    <row r="2188" spans="1:5">
      <c r="A2188" s="69"/>
      <c r="B2188" s="69"/>
      <c r="C2188" s="5" t="s">
        <v>266</v>
      </c>
      <c r="D2188" s="1">
        <v>5275</v>
      </c>
    </row>
    <row r="2189" spans="1:5">
      <c r="A2189" s="69"/>
      <c r="B2189" s="73" t="s">
        <v>507</v>
      </c>
      <c r="C2189" s="3" t="s">
        <v>508</v>
      </c>
      <c r="D2189" s="4">
        <v>3389.82</v>
      </c>
      <c r="E2189" s="4">
        <v>2252.33</v>
      </c>
    </row>
    <row r="2190" spans="1:5">
      <c r="A2190" s="69"/>
      <c r="B2190" s="69"/>
      <c r="C2190" s="5" t="s">
        <v>509</v>
      </c>
      <c r="D2190" s="1">
        <v>3389.82</v>
      </c>
      <c r="E2190" s="1">
        <v>2252.33</v>
      </c>
    </row>
    <row r="2191" spans="1:5">
      <c r="A2191" s="69"/>
      <c r="B2191" s="73" t="s">
        <v>370</v>
      </c>
      <c r="C2191" s="3" t="s">
        <v>371</v>
      </c>
      <c r="D2191" s="4">
        <v>0</v>
      </c>
      <c r="E2191" s="4">
        <v>450</v>
      </c>
    </row>
    <row r="2192" spans="1:5">
      <c r="A2192" s="69"/>
      <c r="B2192" s="69"/>
      <c r="C2192" s="5" t="s">
        <v>372</v>
      </c>
      <c r="D2192" s="1">
        <v>0</v>
      </c>
      <c r="E2192" s="1">
        <v>450</v>
      </c>
    </row>
    <row r="2193" spans="1:5">
      <c r="A2193" s="69"/>
      <c r="B2193" s="73" t="s">
        <v>445</v>
      </c>
      <c r="C2193" s="3" t="s">
        <v>446</v>
      </c>
      <c r="D2193" s="4">
        <v>5389.73</v>
      </c>
    </row>
    <row r="2194" spans="1:5">
      <c r="A2194" s="69"/>
      <c r="B2194" s="69"/>
      <c r="C2194" s="5" t="s">
        <v>447</v>
      </c>
      <c r="D2194" s="1">
        <v>5389.73</v>
      </c>
    </row>
    <row r="2195" spans="1:5">
      <c r="A2195" s="69"/>
      <c r="B2195" s="73" t="s">
        <v>258</v>
      </c>
      <c r="C2195" s="3" t="s">
        <v>259</v>
      </c>
      <c r="E2195" s="4">
        <v>5283.82</v>
      </c>
    </row>
    <row r="2196" spans="1:5">
      <c r="A2196" s="69"/>
      <c r="B2196" s="69"/>
      <c r="C2196" s="5" t="s">
        <v>260</v>
      </c>
      <c r="E2196" s="1">
        <v>5283.82</v>
      </c>
    </row>
    <row r="2197" spans="1:5">
      <c r="A2197" s="69"/>
      <c r="B2197" s="73" t="s">
        <v>624</v>
      </c>
      <c r="C2197" s="3" t="s">
        <v>625</v>
      </c>
      <c r="D2197" s="4">
        <v>4185</v>
      </c>
      <c r="E2197" s="4">
        <v>4154.3999999999996</v>
      </c>
    </row>
    <row r="2198" spans="1:5">
      <c r="A2198" s="69"/>
      <c r="B2198" s="69"/>
      <c r="C2198" s="5" t="s">
        <v>626</v>
      </c>
      <c r="D2198" s="1">
        <v>4185</v>
      </c>
      <c r="E2198" s="1">
        <v>4154.3999999999996</v>
      </c>
    </row>
    <row r="2199" spans="1:5">
      <c r="A2199" s="69"/>
      <c r="B2199" s="73" t="s">
        <v>771</v>
      </c>
      <c r="C2199" s="3" t="s">
        <v>772</v>
      </c>
      <c r="E2199" s="4">
        <v>8423.0499999999993</v>
      </c>
    </row>
    <row r="2200" spans="1:5">
      <c r="A2200" s="69"/>
      <c r="B2200" s="69"/>
      <c r="C2200" s="5" t="s">
        <v>773</v>
      </c>
      <c r="E2200" s="1">
        <v>8423.0499999999993</v>
      </c>
    </row>
    <row r="2201" spans="1:5">
      <c r="A2201" s="69"/>
      <c r="B2201" s="73" t="s">
        <v>510</v>
      </c>
      <c r="C2201" s="3" t="s">
        <v>511</v>
      </c>
      <c r="E2201" s="4">
        <v>11491.69</v>
      </c>
    </row>
    <row r="2202" spans="1:5">
      <c r="A2202" s="69"/>
      <c r="B2202" s="69"/>
      <c r="C2202" s="5" t="s">
        <v>512</v>
      </c>
      <c r="E2202" s="1">
        <v>11491.69</v>
      </c>
    </row>
    <row r="2203" spans="1:5">
      <c r="A2203" s="69"/>
      <c r="B2203" s="73" t="s">
        <v>108</v>
      </c>
      <c r="C2203" s="3" t="s">
        <v>109</v>
      </c>
      <c r="D2203" s="4">
        <v>2355.4</v>
      </c>
      <c r="E2203" s="4">
        <v>4108</v>
      </c>
    </row>
    <row r="2204" spans="1:5">
      <c r="A2204" s="69"/>
      <c r="B2204" s="69"/>
      <c r="C2204" s="5" t="s">
        <v>110</v>
      </c>
      <c r="D2204" s="1">
        <v>2355.4</v>
      </c>
      <c r="E2204" s="1">
        <v>4108</v>
      </c>
    </row>
    <row r="2205" spans="1:5">
      <c r="A2205" s="69"/>
      <c r="B2205" s="73" t="s">
        <v>612</v>
      </c>
      <c r="C2205" s="3" t="s">
        <v>613</v>
      </c>
      <c r="D2205" s="4">
        <v>2000</v>
      </c>
    </row>
    <row r="2206" spans="1:5">
      <c r="A2206" s="69"/>
      <c r="B2206" s="69"/>
      <c r="C2206" s="5" t="s">
        <v>614</v>
      </c>
      <c r="D2206" s="1">
        <v>2000</v>
      </c>
    </row>
    <row r="2207" spans="1:5">
      <c r="A2207" s="69"/>
      <c r="B2207" s="73" t="s">
        <v>696</v>
      </c>
      <c r="C2207" s="3" t="s">
        <v>697</v>
      </c>
      <c r="D2207" s="4">
        <v>34920.67</v>
      </c>
      <c r="E2207" s="4">
        <v>-27117.77</v>
      </c>
    </row>
    <row r="2208" spans="1:5">
      <c r="A2208" s="69"/>
      <c r="B2208" s="69"/>
      <c r="C2208" s="5" t="s">
        <v>698</v>
      </c>
      <c r="D2208" s="1">
        <v>34920.67</v>
      </c>
      <c r="E2208" s="1">
        <v>-27117.77</v>
      </c>
    </row>
    <row r="2209" spans="1:5">
      <c r="A2209" s="69"/>
      <c r="B2209" s="73" t="s">
        <v>738</v>
      </c>
      <c r="C2209" s="3" t="s">
        <v>739</v>
      </c>
      <c r="D2209" s="4">
        <v>10184.11</v>
      </c>
    </row>
    <row r="2210" spans="1:5">
      <c r="A2210" s="69"/>
      <c r="B2210" s="69"/>
      <c r="C2210" s="5" t="s">
        <v>740</v>
      </c>
      <c r="D2210" s="1">
        <v>10184.11</v>
      </c>
    </row>
    <row r="2211" spans="1:5">
      <c r="A2211" s="69"/>
      <c r="B2211" s="73" t="s">
        <v>468</v>
      </c>
      <c r="C2211" s="3" t="s">
        <v>469</v>
      </c>
      <c r="D2211" s="4">
        <v>10740</v>
      </c>
      <c r="E2211" s="4">
        <v>19723.3</v>
      </c>
    </row>
    <row r="2212" spans="1:5">
      <c r="A2212" s="69"/>
      <c r="B2212" s="69"/>
      <c r="C2212" s="5" t="s">
        <v>470</v>
      </c>
      <c r="D2212" s="1">
        <v>10740</v>
      </c>
      <c r="E2212" s="1">
        <v>19723.3</v>
      </c>
    </row>
    <row r="2213" spans="1:5">
      <c r="A2213" s="69"/>
      <c r="B2213" s="73" t="s">
        <v>324</v>
      </c>
      <c r="C2213" s="3" t="s">
        <v>325</v>
      </c>
      <c r="D2213" s="4">
        <v>6900</v>
      </c>
    </row>
    <row r="2214" spans="1:5">
      <c r="A2214" s="69"/>
      <c r="B2214" s="69"/>
      <c r="C2214" s="5" t="s">
        <v>326</v>
      </c>
      <c r="D2214" s="1">
        <v>6900</v>
      </c>
    </row>
    <row r="2215" spans="1:5">
      <c r="A2215" s="69"/>
      <c r="B2215" s="73" t="s">
        <v>27</v>
      </c>
      <c r="C2215" s="3" t="s">
        <v>28</v>
      </c>
      <c r="D2215" s="4">
        <v>620.20000000000005</v>
      </c>
    </row>
    <row r="2216" spans="1:5">
      <c r="A2216" s="69"/>
      <c r="B2216" s="69"/>
      <c r="C2216" s="5" t="s">
        <v>29</v>
      </c>
      <c r="D2216" s="1">
        <v>620.20000000000005</v>
      </c>
    </row>
    <row r="2217" spans="1:5">
      <c r="A2217" s="69"/>
      <c r="B2217" s="73" t="s">
        <v>385</v>
      </c>
      <c r="C2217" s="3" t="s">
        <v>386</v>
      </c>
      <c r="D2217" s="4">
        <v>538.35</v>
      </c>
    </row>
    <row r="2218" spans="1:5">
      <c r="A2218" s="69"/>
      <c r="B2218" s="69"/>
      <c r="C2218" s="5" t="s">
        <v>387</v>
      </c>
      <c r="D2218" s="1">
        <v>538.35</v>
      </c>
    </row>
    <row r="2219" spans="1:5">
      <c r="A2219" s="69"/>
      <c r="B2219" s="73" t="s">
        <v>654</v>
      </c>
      <c r="C2219" s="3" t="s">
        <v>655</v>
      </c>
      <c r="D2219" s="4">
        <v>20868.97</v>
      </c>
      <c r="E2219" s="4">
        <v>10662.92</v>
      </c>
    </row>
    <row r="2220" spans="1:5">
      <c r="A2220" s="69"/>
      <c r="B2220" s="69"/>
      <c r="C2220" s="5" t="s">
        <v>656</v>
      </c>
      <c r="D2220" s="1">
        <v>20868.97</v>
      </c>
      <c r="E2220" s="1">
        <v>10662.92</v>
      </c>
    </row>
    <row r="2221" spans="1:5">
      <c r="A2221" s="69"/>
      <c r="B2221" s="73" t="s">
        <v>24</v>
      </c>
      <c r="C2221" s="3" t="s">
        <v>25</v>
      </c>
      <c r="D2221" s="4">
        <v>1700</v>
      </c>
    </row>
    <row r="2222" spans="1:5">
      <c r="A2222" s="69"/>
      <c r="B2222" s="69"/>
      <c r="C2222" s="5" t="s">
        <v>26</v>
      </c>
      <c r="D2222" s="1">
        <v>1700</v>
      </c>
    </row>
    <row r="2223" spans="1:5">
      <c r="A2223" s="69"/>
      <c r="B2223" s="73" t="s">
        <v>537</v>
      </c>
      <c r="C2223" s="3" t="s">
        <v>538</v>
      </c>
      <c r="D2223" s="4">
        <v>54374.99</v>
      </c>
      <c r="E2223" s="4">
        <v>2954.3</v>
      </c>
    </row>
    <row r="2224" spans="1:5">
      <c r="A2224" s="69"/>
      <c r="B2224" s="69"/>
      <c r="C2224" s="5" t="s">
        <v>539</v>
      </c>
      <c r="D2224" s="1">
        <v>54374.99</v>
      </c>
      <c r="E2224" s="1">
        <v>2954.3</v>
      </c>
    </row>
    <row r="2225" spans="1:5">
      <c r="A2225" s="69"/>
      <c r="B2225" s="73" t="s">
        <v>99</v>
      </c>
      <c r="C2225" s="3" t="s">
        <v>100</v>
      </c>
      <c r="D2225" s="4">
        <v>22500</v>
      </c>
      <c r="E2225" s="4">
        <v>35237.32</v>
      </c>
    </row>
    <row r="2226" spans="1:5">
      <c r="A2226" s="69"/>
      <c r="B2226" s="69"/>
      <c r="C2226" s="5" t="s">
        <v>101</v>
      </c>
      <c r="D2226" s="1">
        <v>22500</v>
      </c>
      <c r="E2226" s="1">
        <v>35237.32</v>
      </c>
    </row>
    <row r="2227" spans="1:5">
      <c r="A2227" s="69"/>
      <c r="B2227" s="73" t="s">
        <v>338</v>
      </c>
      <c r="C2227" s="3" t="s">
        <v>339</v>
      </c>
      <c r="D2227" s="4">
        <v>87118.51</v>
      </c>
      <c r="E2227" s="4">
        <v>273389.64</v>
      </c>
    </row>
    <row r="2228" spans="1:5">
      <c r="A2228" s="69"/>
      <c r="B2228" s="69"/>
      <c r="C2228" s="5" t="s">
        <v>340</v>
      </c>
      <c r="D2228" s="1">
        <v>87118.51</v>
      </c>
      <c r="E2228" s="1">
        <v>273389.64</v>
      </c>
    </row>
    <row r="2229" spans="1:5">
      <c r="A2229" s="69"/>
      <c r="B2229" s="73" t="s">
        <v>627</v>
      </c>
      <c r="C2229" s="3" t="s">
        <v>628</v>
      </c>
      <c r="E2229" s="4">
        <v>3498.75</v>
      </c>
    </row>
    <row r="2230" spans="1:5">
      <c r="A2230" s="69"/>
      <c r="B2230" s="69"/>
      <c r="C2230" s="5" t="s">
        <v>629</v>
      </c>
      <c r="E2230" s="1">
        <v>3498.75</v>
      </c>
    </row>
    <row r="2231" spans="1:5">
      <c r="A2231" s="69"/>
      <c r="B2231" s="73" t="s">
        <v>165</v>
      </c>
      <c r="C2231" s="3" t="s">
        <v>166</v>
      </c>
      <c r="D2231" s="4">
        <v>17125.490000000002</v>
      </c>
    </row>
    <row r="2232" spans="1:5">
      <c r="A2232" s="69"/>
      <c r="B2232" s="69"/>
      <c r="C2232" s="5" t="s">
        <v>167</v>
      </c>
      <c r="D2232" s="1">
        <v>17125.490000000002</v>
      </c>
    </row>
    <row r="2233" spans="1:5">
      <c r="A2233" s="69"/>
      <c r="B2233" s="73" t="s">
        <v>57</v>
      </c>
      <c r="C2233" s="3" t="s">
        <v>58</v>
      </c>
      <c r="D2233" s="4">
        <v>1571.66</v>
      </c>
    </row>
    <row r="2234" spans="1:5">
      <c r="A2234" s="69"/>
      <c r="B2234" s="69"/>
      <c r="C2234" s="5" t="s">
        <v>59</v>
      </c>
      <c r="D2234" s="1">
        <v>1571.66</v>
      </c>
    </row>
    <row r="2235" spans="1:5">
      <c r="A2235" s="69"/>
      <c r="B2235" s="73" t="s">
        <v>448</v>
      </c>
      <c r="C2235" s="3" t="s">
        <v>449</v>
      </c>
      <c r="D2235" s="4">
        <v>27598.35</v>
      </c>
    </row>
    <row r="2236" spans="1:5">
      <c r="A2236" s="69"/>
      <c r="B2236" s="69"/>
      <c r="C2236" s="5" t="s">
        <v>450</v>
      </c>
      <c r="D2236" s="1">
        <v>27598.35</v>
      </c>
    </row>
    <row r="2237" spans="1:5">
      <c r="A2237" s="69"/>
      <c r="B2237" s="73" t="s">
        <v>657</v>
      </c>
      <c r="C2237" s="3" t="s">
        <v>658</v>
      </c>
      <c r="D2237" s="4">
        <v>145174.73000000001</v>
      </c>
      <c r="E2237" s="4">
        <v>79117.67</v>
      </c>
    </row>
    <row r="2238" spans="1:5">
      <c r="A2238" s="69"/>
      <c r="B2238" s="69"/>
      <c r="C2238" s="5" t="s">
        <v>659</v>
      </c>
      <c r="D2238" s="1">
        <v>145174.73000000001</v>
      </c>
      <c r="E2238" s="1">
        <v>79117.67</v>
      </c>
    </row>
    <row r="2239" spans="1:5">
      <c r="A2239" s="69"/>
      <c r="B2239" s="73" t="s">
        <v>765</v>
      </c>
      <c r="C2239" s="3" t="s">
        <v>766</v>
      </c>
      <c r="D2239" s="4">
        <v>1396</v>
      </c>
      <c r="E2239" s="4">
        <v>951.81</v>
      </c>
    </row>
    <row r="2240" spans="1:5">
      <c r="A2240" s="69"/>
      <c r="B2240" s="69"/>
      <c r="C2240" s="5" t="s">
        <v>767</v>
      </c>
      <c r="D2240" s="1">
        <v>1396</v>
      </c>
      <c r="E2240" s="1">
        <v>951.81</v>
      </c>
    </row>
    <row r="2241" spans="1:5">
      <c r="A2241" s="69"/>
      <c r="B2241" s="73" t="s">
        <v>195</v>
      </c>
      <c r="C2241" s="3" t="s">
        <v>196</v>
      </c>
      <c r="D2241" s="4">
        <v>1298</v>
      </c>
      <c r="E2241" s="4">
        <v>1042.52</v>
      </c>
    </row>
    <row r="2242" spans="1:5">
      <c r="A2242" s="69"/>
      <c r="B2242" s="69"/>
      <c r="C2242" s="5" t="s">
        <v>197</v>
      </c>
      <c r="D2242" s="1">
        <v>1298</v>
      </c>
      <c r="E2242" s="1">
        <v>1042.52</v>
      </c>
    </row>
    <row r="2243" spans="1:5">
      <c r="A2243" s="69"/>
      <c r="B2243" s="73" t="s">
        <v>333</v>
      </c>
      <c r="C2243" s="3" t="s">
        <v>334</v>
      </c>
      <c r="D2243" s="4">
        <v>2496</v>
      </c>
      <c r="E2243" s="4">
        <v>5433.98</v>
      </c>
    </row>
    <row r="2244" spans="1:5">
      <c r="A2244" s="69"/>
      <c r="B2244" s="69"/>
      <c r="C2244" s="5" t="s">
        <v>335</v>
      </c>
      <c r="D2244" s="1">
        <v>2496</v>
      </c>
      <c r="E2244" s="1">
        <v>5433.98</v>
      </c>
    </row>
    <row r="2245" spans="1:5">
      <c r="A2245" s="69"/>
      <c r="B2245" s="73" t="s">
        <v>303</v>
      </c>
      <c r="C2245" s="3" t="s">
        <v>304</v>
      </c>
      <c r="D2245" s="4">
        <v>85</v>
      </c>
    </row>
    <row r="2246" spans="1:5">
      <c r="A2246" s="69"/>
      <c r="B2246" s="69"/>
      <c r="C2246" s="5" t="s">
        <v>305</v>
      </c>
      <c r="D2246" s="1">
        <v>85</v>
      </c>
    </row>
    <row r="2247" spans="1:5">
      <c r="A2247" s="69"/>
      <c r="B2247" s="73" t="s">
        <v>267</v>
      </c>
      <c r="C2247" s="3" t="s">
        <v>268</v>
      </c>
      <c r="E2247" s="4">
        <v>6498.79</v>
      </c>
    </row>
    <row r="2248" spans="1:5">
      <c r="A2248" s="69"/>
      <c r="B2248" s="69"/>
      <c r="C2248" s="5" t="s">
        <v>269</v>
      </c>
      <c r="E2248" s="1">
        <v>6498.79</v>
      </c>
    </row>
    <row r="2249" spans="1:5">
      <c r="A2249" s="69"/>
      <c r="B2249" s="73" t="s">
        <v>1114</v>
      </c>
      <c r="C2249" s="3" t="s">
        <v>1115</v>
      </c>
      <c r="E2249" s="4">
        <v>3410</v>
      </c>
    </row>
    <row r="2250" spans="1:5">
      <c r="A2250" s="69"/>
      <c r="B2250" s="69"/>
      <c r="C2250" s="5" t="s">
        <v>1116</v>
      </c>
      <c r="E2250" s="1">
        <v>3410</v>
      </c>
    </row>
    <row r="2251" spans="1:5">
      <c r="A2251" s="69"/>
      <c r="B2251" s="73" t="s">
        <v>498</v>
      </c>
      <c r="C2251" s="3" t="s">
        <v>499</v>
      </c>
      <c r="D2251" s="4">
        <v>5335.68</v>
      </c>
    </row>
    <row r="2252" spans="1:5">
      <c r="A2252" s="69"/>
      <c r="B2252" s="69"/>
      <c r="C2252" s="5" t="s">
        <v>500</v>
      </c>
      <c r="D2252" s="1">
        <v>5335.68</v>
      </c>
    </row>
    <row r="2253" spans="1:5">
      <c r="A2253" s="69"/>
      <c r="B2253" s="73" t="s">
        <v>504</v>
      </c>
      <c r="C2253" s="3" t="s">
        <v>505</v>
      </c>
      <c r="D2253" s="4">
        <v>22250.99</v>
      </c>
      <c r="E2253" s="4">
        <v>21714.82</v>
      </c>
    </row>
    <row r="2254" spans="1:5">
      <c r="A2254" s="69"/>
      <c r="B2254" s="69"/>
      <c r="C2254" s="5" t="s">
        <v>506</v>
      </c>
      <c r="D2254" s="1">
        <v>22250.99</v>
      </c>
      <c r="E2254" s="1">
        <v>21714.82</v>
      </c>
    </row>
    <row r="2255" spans="1:5">
      <c r="A2255" s="69"/>
      <c r="B2255" s="73" t="s">
        <v>45</v>
      </c>
      <c r="C2255" s="3" t="s">
        <v>46</v>
      </c>
      <c r="D2255" s="4">
        <v>15600</v>
      </c>
    </row>
    <row r="2256" spans="1:5">
      <c r="A2256" s="69"/>
      <c r="B2256" s="69"/>
      <c r="C2256" s="5" t="s">
        <v>47</v>
      </c>
      <c r="D2256" s="1">
        <v>15600</v>
      </c>
    </row>
    <row r="2257" spans="1:5">
      <c r="A2257" s="69"/>
      <c r="B2257" s="73" t="s">
        <v>231</v>
      </c>
      <c r="C2257" s="3" t="s">
        <v>232</v>
      </c>
      <c r="D2257" s="4">
        <v>252</v>
      </c>
      <c r="E2257" s="4">
        <v>30900</v>
      </c>
    </row>
    <row r="2258" spans="1:5">
      <c r="A2258" s="69"/>
      <c r="B2258" s="69"/>
      <c r="C2258" s="5" t="s">
        <v>233</v>
      </c>
      <c r="D2258" s="1">
        <v>252</v>
      </c>
      <c r="E2258" s="1">
        <v>30900</v>
      </c>
    </row>
    <row r="2259" spans="1:5">
      <c r="A2259" s="69"/>
      <c r="B2259" s="73" t="s">
        <v>681</v>
      </c>
      <c r="C2259" s="3" t="s">
        <v>682</v>
      </c>
      <c r="E2259" s="4">
        <v>536.4</v>
      </c>
    </row>
    <row r="2260" spans="1:5">
      <c r="A2260" s="69"/>
      <c r="B2260" s="69"/>
      <c r="C2260" s="5" t="s">
        <v>683</v>
      </c>
      <c r="E2260" s="1">
        <v>536.4</v>
      </c>
    </row>
    <row r="2261" spans="1:5">
      <c r="A2261" s="69"/>
      <c r="B2261" s="73" t="s">
        <v>397</v>
      </c>
      <c r="C2261" s="3" t="s">
        <v>398</v>
      </c>
      <c r="D2261" s="4">
        <v>800</v>
      </c>
    </row>
    <row r="2262" spans="1:5">
      <c r="A2262" s="69"/>
      <c r="B2262" s="69"/>
      <c r="C2262" s="5" t="s">
        <v>399</v>
      </c>
      <c r="D2262" s="1">
        <v>800</v>
      </c>
    </row>
    <row r="2263" spans="1:5">
      <c r="A2263" s="69"/>
      <c r="B2263" s="73" t="s">
        <v>87</v>
      </c>
      <c r="C2263" s="3" t="s">
        <v>88</v>
      </c>
      <c r="D2263" s="4">
        <v>9000</v>
      </c>
    </row>
    <row r="2264" spans="1:5">
      <c r="A2264" s="69"/>
      <c r="B2264" s="69"/>
      <c r="C2264" s="5" t="s">
        <v>89</v>
      </c>
      <c r="D2264" s="1">
        <v>9000</v>
      </c>
    </row>
    <row r="2265" spans="1:5">
      <c r="A2265" s="69"/>
      <c r="B2265" s="73" t="s">
        <v>81</v>
      </c>
      <c r="C2265" s="3" t="s">
        <v>82</v>
      </c>
      <c r="D2265" s="4">
        <v>1163.6400000000001</v>
      </c>
    </row>
    <row r="2266" spans="1:5">
      <c r="A2266" s="69"/>
      <c r="B2266" s="69"/>
      <c r="C2266" s="5" t="s">
        <v>83</v>
      </c>
      <c r="D2266" s="1">
        <v>1163.6400000000001</v>
      </c>
    </row>
    <row r="2267" spans="1:5">
      <c r="A2267" s="69"/>
      <c r="B2267" s="73" t="s">
        <v>225</v>
      </c>
      <c r="C2267" s="3" t="s">
        <v>226</v>
      </c>
      <c r="D2267" s="4">
        <v>12000</v>
      </c>
    </row>
    <row r="2268" spans="1:5">
      <c r="A2268" s="69"/>
      <c r="B2268" s="69"/>
      <c r="C2268" s="5" t="s">
        <v>227</v>
      </c>
      <c r="D2268" s="1">
        <v>12000</v>
      </c>
    </row>
    <row r="2269" spans="1:5">
      <c r="A2269" s="69"/>
      <c r="B2269" s="73" t="s">
        <v>1728</v>
      </c>
      <c r="C2269" s="3" t="s">
        <v>1729</v>
      </c>
      <c r="D2269" s="4">
        <v>33626.03</v>
      </c>
    </row>
    <row r="2270" spans="1:5">
      <c r="A2270" s="69"/>
      <c r="B2270" s="69"/>
      <c r="C2270" s="5" t="s">
        <v>1730</v>
      </c>
      <c r="D2270" s="1">
        <v>33626.03</v>
      </c>
    </row>
    <row r="2271" spans="1:5">
      <c r="A2271" s="69"/>
      <c r="B2271" s="73" t="s">
        <v>388</v>
      </c>
      <c r="C2271" s="3" t="s">
        <v>389</v>
      </c>
      <c r="D2271" s="4">
        <v>1478.75</v>
      </c>
    </row>
    <row r="2272" spans="1:5">
      <c r="A2272" s="69"/>
      <c r="B2272" s="69"/>
      <c r="C2272" s="5" t="s">
        <v>390</v>
      </c>
      <c r="D2272" s="1">
        <v>1478.75</v>
      </c>
    </row>
    <row r="2273" spans="1:8">
      <c r="A2273" s="69"/>
      <c r="B2273" s="73" t="s">
        <v>528</v>
      </c>
      <c r="C2273" s="3" t="s">
        <v>529</v>
      </c>
      <c r="D2273" s="4">
        <v>6343.01</v>
      </c>
      <c r="E2273" s="4">
        <v>1228.57</v>
      </c>
    </row>
    <row r="2274" spans="1:8">
      <c r="A2274" s="69"/>
      <c r="B2274" s="69"/>
      <c r="C2274" s="5" t="s">
        <v>530</v>
      </c>
      <c r="D2274" s="1">
        <v>6343.01</v>
      </c>
      <c r="E2274" s="1">
        <v>1228.57</v>
      </c>
    </row>
    <row r="2275" spans="1:8">
      <c r="A2275" s="69"/>
      <c r="B2275" s="73" t="s">
        <v>240</v>
      </c>
      <c r="C2275" s="3" t="s">
        <v>241</v>
      </c>
      <c r="D2275" s="4">
        <v>3000</v>
      </c>
    </row>
    <row r="2276" spans="1:8">
      <c r="A2276" s="69"/>
      <c r="B2276" s="69"/>
      <c r="C2276" s="5" t="s">
        <v>242</v>
      </c>
      <c r="D2276" s="1">
        <v>3000</v>
      </c>
    </row>
    <row r="2277" spans="1:8">
      <c r="A2277" s="69"/>
      <c r="B2277" s="73" t="s">
        <v>1731</v>
      </c>
      <c r="C2277" s="3" t="s">
        <v>1732</v>
      </c>
      <c r="D2277" s="4">
        <v>2285.67</v>
      </c>
    </row>
    <row r="2278" spans="1:8">
      <c r="A2278" s="69"/>
      <c r="B2278" s="69"/>
      <c r="C2278" s="5" t="s">
        <v>1733</v>
      </c>
      <c r="D2278" s="1">
        <v>2285.67</v>
      </c>
    </row>
    <row r="2279" spans="1:8">
      <c r="A2279" s="69"/>
      <c r="B2279" s="73" t="s">
        <v>367</v>
      </c>
      <c r="C2279" s="3" t="s">
        <v>368</v>
      </c>
      <c r="E2279" s="4">
        <v>1965.36</v>
      </c>
    </row>
    <row r="2280" spans="1:8">
      <c r="A2280" s="69"/>
      <c r="B2280" s="69"/>
      <c r="C2280" s="5" t="s">
        <v>369</v>
      </c>
      <c r="E2280" s="1">
        <v>1965.36</v>
      </c>
    </row>
    <row r="2281" spans="1:8">
      <c r="A2281" s="69"/>
      <c r="B2281" s="73" t="s">
        <v>309</v>
      </c>
      <c r="C2281" s="3" t="s">
        <v>310</v>
      </c>
      <c r="E2281" s="4">
        <v>600</v>
      </c>
    </row>
    <row r="2282" spans="1:8">
      <c r="A2282" s="69"/>
      <c r="B2282" s="69"/>
      <c r="C2282" s="5" t="s">
        <v>311</v>
      </c>
      <c r="E2282" s="1">
        <v>600</v>
      </c>
    </row>
    <row r="2283" spans="1:8">
      <c r="A2283" s="73" t="s">
        <v>1734</v>
      </c>
      <c r="B2283" s="72" t="s">
        <v>1735</v>
      </c>
      <c r="C2283" s="69"/>
      <c r="D2283" s="4">
        <v>434756.15</v>
      </c>
      <c r="E2283" s="4">
        <v>442084.31</v>
      </c>
      <c r="F2283" s="4">
        <v>940413.82</v>
      </c>
      <c r="G2283" s="4">
        <v>91093.755000000005</v>
      </c>
      <c r="H2283" s="4">
        <v>10064.26</v>
      </c>
    </row>
    <row r="2284" spans="1:8">
      <c r="A2284" s="69"/>
      <c r="B2284" s="73" t="s">
        <v>1247</v>
      </c>
      <c r="C2284" s="3" t="s">
        <v>1248</v>
      </c>
      <c r="D2284" s="4">
        <v>2145.36</v>
      </c>
      <c r="E2284" s="4">
        <v>1487.84</v>
      </c>
      <c r="G2284" s="4">
        <v>3095.81</v>
      </c>
      <c r="H2284" s="4">
        <v>1096.8800000000001</v>
      </c>
    </row>
    <row r="2285" spans="1:8">
      <c r="A2285" s="69"/>
      <c r="B2285" s="69"/>
      <c r="C2285" s="5" t="s">
        <v>1249</v>
      </c>
      <c r="D2285" s="1">
        <v>2145.36</v>
      </c>
      <c r="E2285" s="1">
        <v>1487.84</v>
      </c>
      <c r="G2285" s="1">
        <v>3095.81</v>
      </c>
      <c r="H2285" s="1">
        <v>1096.8800000000001</v>
      </c>
    </row>
    <row r="2286" spans="1:8">
      <c r="A2286" s="69"/>
      <c r="B2286" s="73" t="s">
        <v>1167</v>
      </c>
      <c r="C2286" s="3" t="s">
        <v>1168</v>
      </c>
      <c r="D2286" s="4">
        <v>0</v>
      </c>
      <c r="G2286" s="4">
        <v>1778.12</v>
      </c>
    </row>
    <row r="2287" spans="1:8">
      <c r="A2287" s="69"/>
      <c r="B2287" s="69"/>
      <c r="C2287" s="5" t="s">
        <v>1169</v>
      </c>
      <c r="D2287" s="1">
        <v>0</v>
      </c>
      <c r="G2287" s="1">
        <v>1778.12</v>
      </c>
    </row>
    <row r="2288" spans="1:8">
      <c r="A2288" s="69"/>
      <c r="B2288" s="73" t="s">
        <v>1736</v>
      </c>
      <c r="C2288" s="3" t="s">
        <v>1737</v>
      </c>
      <c r="F2288" s="4">
        <v>732</v>
      </c>
    </row>
    <row r="2289" spans="1:8">
      <c r="A2289" s="69"/>
      <c r="B2289" s="69"/>
      <c r="C2289" s="5" t="s">
        <v>1738</v>
      </c>
      <c r="F2289" s="1">
        <v>732</v>
      </c>
    </row>
    <row r="2290" spans="1:8">
      <c r="A2290" s="69"/>
      <c r="B2290" s="73" t="s">
        <v>845</v>
      </c>
      <c r="C2290" s="3" t="s">
        <v>846</v>
      </c>
      <c r="F2290" s="4">
        <v>3933.13</v>
      </c>
    </row>
    <row r="2291" spans="1:8">
      <c r="A2291" s="69"/>
      <c r="B2291" s="69"/>
      <c r="C2291" s="5" t="s">
        <v>847</v>
      </c>
      <c r="F2291" s="1">
        <v>3933.13</v>
      </c>
    </row>
    <row r="2292" spans="1:8">
      <c r="A2292" s="69"/>
      <c r="B2292" s="73" t="s">
        <v>1194</v>
      </c>
      <c r="C2292" s="3" t="s">
        <v>1195</v>
      </c>
      <c r="E2292" s="4">
        <v>7382.41</v>
      </c>
      <c r="F2292" s="4">
        <v>19098.48</v>
      </c>
      <c r="G2292" s="4">
        <v>1882.89</v>
      </c>
      <c r="H2292" s="4">
        <v>294.83</v>
      </c>
    </row>
    <row r="2293" spans="1:8">
      <c r="A2293" s="69"/>
      <c r="B2293" s="69"/>
      <c r="C2293" s="5" t="s">
        <v>1196</v>
      </c>
      <c r="E2293" s="1">
        <v>7382.41</v>
      </c>
      <c r="F2293" s="1">
        <v>19098.48</v>
      </c>
      <c r="G2293" s="1">
        <v>1882.89</v>
      </c>
      <c r="H2293" s="1">
        <v>294.83</v>
      </c>
    </row>
    <row r="2294" spans="1:8">
      <c r="A2294" s="69"/>
      <c r="B2294" s="73" t="s">
        <v>1739</v>
      </c>
      <c r="C2294" s="3" t="s">
        <v>1740</v>
      </c>
      <c r="F2294" s="4">
        <v>1179.0999999999999</v>
      </c>
    </row>
    <row r="2295" spans="1:8">
      <c r="A2295" s="69"/>
      <c r="B2295" s="69"/>
      <c r="C2295" s="5" t="s">
        <v>1741</v>
      </c>
      <c r="F2295" s="1">
        <v>1179.0999999999999</v>
      </c>
    </row>
    <row r="2296" spans="1:8">
      <c r="A2296" s="69"/>
      <c r="B2296" s="73" t="s">
        <v>1742</v>
      </c>
      <c r="C2296" s="3" t="s">
        <v>1743</v>
      </c>
      <c r="F2296" s="4">
        <v>1571.73</v>
      </c>
    </row>
    <row r="2297" spans="1:8">
      <c r="A2297" s="69"/>
      <c r="B2297" s="69"/>
      <c r="C2297" s="5" t="s">
        <v>1744</v>
      </c>
      <c r="F2297" s="1">
        <v>993.36</v>
      </c>
    </row>
    <row r="2298" spans="1:8">
      <c r="A2298" s="69"/>
      <c r="B2298" s="69"/>
      <c r="C2298" s="5" t="s">
        <v>1745</v>
      </c>
      <c r="F2298" s="1">
        <v>578.37</v>
      </c>
    </row>
    <row r="2299" spans="1:8">
      <c r="A2299" s="69"/>
      <c r="B2299" s="73" t="s">
        <v>1746</v>
      </c>
      <c r="C2299" s="3" t="s">
        <v>1747</v>
      </c>
      <c r="F2299" s="4">
        <v>772.5</v>
      </c>
    </row>
    <row r="2300" spans="1:8">
      <c r="A2300" s="69"/>
      <c r="B2300" s="69"/>
      <c r="C2300" s="5" t="s">
        <v>1748</v>
      </c>
      <c r="F2300" s="1">
        <v>772.5</v>
      </c>
    </row>
    <row r="2301" spans="1:8">
      <c r="A2301" s="69"/>
      <c r="B2301" s="73" t="s">
        <v>833</v>
      </c>
      <c r="C2301" s="3" t="s">
        <v>834</v>
      </c>
      <c r="E2301" s="4">
        <v>1128.05</v>
      </c>
      <c r="F2301" s="4">
        <v>3036</v>
      </c>
    </row>
    <row r="2302" spans="1:8">
      <c r="A2302" s="69"/>
      <c r="B2302" s="69"/>
      <c r="C2302" s="5" t="s">
        <v>835</v>
      </c>
      <c r="E2302" s="1">
        <v>1128.05</v>
      </c>
      <c r="F2302" s="1">
        <v>3036</v>
      </c>
    </row>
    <row r="2303" spans="1:8">
      <c r="A2303" s="69"/>
      <c r="B2303" s="73" t="s">
        <v>1749</v>
      </c>
      <c r="C2303" s="3" t="s">
        <v>1750</v>
      </c>
      <c r="E2303" s="4">
        <v>652.57000000000005</v>
      </c>
    </row>
    <row r="2304" spans="1:8">
      <c r="A2304" s="69"/>
      <c r="B2304" s="69"/>
      <c r="C2304" s="5" t="s">
        <v>1751</v>
      </c>
      <c r="E2304" s="1">
        <v>652.57000000000005</v>
      </c>
    </row>
    <row r="2305" spans="1:8">
      <c r="A2305" s="69"/>
      <c r="B2305" s="73" t="s">
        <v>1752</v>
      </c>
      <c r="C2305" s="3" t="s">
        <v>1753</v>
      </c>
      <c r="E2305" s="4">
        <v>615.69000000000005</v>
      </c>
      <c r="G2305" s="4">
        <v>1320.78</v>
      </c>
    </row>
    <row r="2306" spans="1:8">
      <c r="A2306" s="69"/>
      <c r="B2306" s="69"/>
      <c r="C2306" s="5" t="s">
        <v>1754</v>
      </c>
      <c r="E2306" s="1">
        <v>615.69000000000005</v>
      </c>
      <c r="G2306" s="1">
        <v>1320.78</v>
      </c>
    </row>
    <row r="2307" spans="1:8">
      <c r="A2307" s="69"/>
      <c r="B2307" s="73" t="s">
        <v>1755</v>
      </c>
      <c r="C2307" s="3" t="s">
        <v>1756</v>
      </c>
      <c r="E2307" s="4">
        <v>410</v>
      </c>
      <c r="G2307" s="4">
        <v>207.76</v>
      </c>
      <c r="H2307" s="4">
        <v>72.849999999999994</v>
      </c>
    </row>
    <row r="2308" spans="1:8">
      <c r="A2308" s="69"/>
      <c r="B2308" s="69"/>
      <c r="C2308" s="5" t="s">
        <v>1757</v>
      </c>
      <c r="E2308" s="1">
        <v>410</v>
      </c>
      <c r="G2308" s="1">
        <v>207.76</v>
      </c>
      <c r="H2308" s="1">
        <v>72.849999999999994</v>
      </c>
    </row>
    <row r="2309" spans="1:8">
      <c r="A2309" s="69"/>
      <c r="B2309" s="73" t="s">
        <v>1164</v>
      </c>
      <c r="C2309" s="3" t="s">
        <v>1165</v>
      </c>
      <c r="G2309" s="4">
        <v>23966.36</v>
      </c>
      <c r="H2309" s="4">
        <v>7046.41</v>
      </c>
    </row>
    <row r="2310" spans="1:8">
      <c r="A2310" s="69"/>
      <c r="B2310" s="69"/>
      <c r="C2310" s="5" t="s">
        <v>1166</v>
      </c>
      <c r="G2310" s="1">
        <v>23966.36</v>
      </c>
      <c r="H2310" s="1">
        <v>7046.41</v>
      </c>
    </row>
    <row r="2311" spans="1:8">
      <c r="A2311" s="69"/>
      <c r="B2311" s="73" t="s">
        <v>1268</v>
      </c>
      <c r="C2311" s="3" t="s">
        <v>1269</v>
      </c>
      <c r="G2311" s="4">
        <v>37220.129999999997</v>
      </c>
      <c r="H2311" s="4">
        <v>706.68</v>
      </c>
    </row>
    <row r="2312" spans="1:8">
      <c r="A2312" s="69"/>
      <c r="B2312" s="69"/>
      <c r="C2312" s="5" t="s">
        <v>1270</v>
      </c>
      <c r="G2312" s="1">
        <v>37220.129999999997</v>
      </c>
      <c r="H2312" s="1">
        <v>706.68</v>
      </c>
    </row>
    <row r="2313" spans="1:8">
      <c r="A2313" s="69"/>
      <c r="B2313" s="73" t="s">
        <v>1049</v>
      </c>
      <c r="C2313" s="3" t="s">
        <v>1050</v>
      </c>
      <c r="D2313" s="4">
        <v>183903.97</v>
      </c>
      <c r="E2313" s="4">
        <v>398221.38</v>
      </c>
      <c r="F2313" s="4">
        <v>377951.88</v>
      </c>
    </row>
    <row r="2314" spans="1:8">
      <c r="A2314" s="69"/>
      <c r="B2314" s="69"/>
      <c r="C2314" s="5" t="s">
        <v>1051</v>
      </c>
      <c r="D2314" s="1">
        <v>183903.97</v>
      </c>
      <c r="E2314" s="1">
        <v>398221.38</v>
      </c>
      <c r="F2314" s="1">
        <v>377951.88</v>
      </c>
    </row>
    <row r="2315" spans="1:8">
      <c r="A2315" s="69"/>
      <c r="B2315" s="73" t="s">
        <v>1758</v>
      </c>
      <c r="C2315" s="3" t="s">
        <v>1759</v>
      </c>
      <c r="D2315" s="4">
        <v>250</v>
      </c>
    </row>
    <row r="2316" spans="1:8">
      <c r="A2316" s="69"/>
      <c r="B2316" s="69"/>
      <c r="C2316" s="5" t="s">
        <v>1760</v>
      </c>
      <c r="D2316" s="1">
        <v>250</v>
      </c>
    </row>
    <row r="2317" spans="1:8">
      <c r="A2317" s="69"/>
      <c r="B2317" s="73" t="s">
        <v>1761</v>
      </c>
      <c r="C2317" s="3" t="s">
        <v>1762</v>
      </c>
      <c r="E2317" s="4">
        <v>16</v>
      </c>
    </row>
    <row r="2318" spans="1:8">
      <c r="A2318" s="69"/>
      <c r="B2318" s="69"/>
      <c r="C2318" s="5" t="s">
        <v>1763</v>
      </c>
      <c r="E2318" s="1">
        <v>16</v>
      </c>
    </row>
    <row r="2319" spans="1:8">
      <c r="A2319" s="69"/>
      <c r="B2319" s="73" t="s">
        <v>1764</v>
      </c>
      <c r="C2319" s="3" t="s">
        <v>1765</v>
      </c>
      <c r="F2319" s="4">
        <v>350</v>
      </c>
    </row>
    <row r="2320" spans="1:8">
      <c r="A2320" s="69"/>
      <c r="B2320" s="69"/>
      <c r="C2320" s="5" t="s">
        <v>1766</v>
      </c>
      <c r="F2320" s="1">
        <v>350</v>
      </c>
    </row>
    <row r="2321" spans="1:8">
      <c r="A2321" s="69"/>
      <c r="B2321" s="73" t="s">
        <v>1767</v>
      </c>
      <c r="C2321" s="3" t="s">
        <v>1768</v>
      </c>
      <c r="F2321" s="4">
        <v>5874.87</v>
      </c>
    </row>
    <row r="2322" spans="1:8">
      <c r="A2322" s="69"/>
      <c r="B2322" s="69"/>
      <c r="C2322" s="5" t="s">
        <v>1769</v>
      </c>
      <c r="F2322" s="1">
        <v>5874.87</v>
      </c>
    </row>
    <row r="2323" spans="1:8">
      <c r="A2323" s="69"/>
      <c r="B2323" s="73" t="s">
        <v>1770</v>
      </c>
      <c r="C2323" s="3" t="s">
        <v>1771</v>
      </c>
      <c r="F2323" s="4">
        <v>2689.08</v>
      </c>
    </row>
    <row r="2324" spans="1:8">
      <c r="A2324" s="69"/>
      <c r="B2324" s="69"/>
      <c r="C2324" s="5" t="s">
        <v>1772</v>
      </c>
      <c r="F2324" s="1">
        <v>2689.08</v>
      </c>
    </row>
    <row r="2325" spans="1:8">
      <c r="A2325" s="69"/>
      <c r="B2325" s="73" t="s">
        <v>1773</v>
      </c>
      <c r="C2325" s="3" t="s">
        <v>1774</v>
      </c>
      <c r="F2325" s="4">
        <v>1659.33</v>
      </c>
    </row>
    <row r="2326" spans="1:8">
      <c r="A2326" s="69"/>
      <c r="B2326" s="69"/>
      <c r="C2326" s="5" t="s">
        <v>1775</v>
      </c>
      <c r="F2326" s="1">
        <v>1659.33</v>
      </c>
    </row>
    <row r="2327" spans="1:8">
      <c r="A2327" s="69"/>
      <c r="B2327" s="73" t="s">
        <v>1776</v>
      </c>
      <c r="C2327" s="3" t="s">
        <v>1777</v>
      </c>
      <c r="D2327" s="4">
        <v>5159.03</v>
      </c>
      <c r="F2327" s="4">
        <v>10238.36</v>
      </c>
    </row>
    <row r="2328" spans="1:8">
      <c r="A2328" s="69"/>
      <c r="B2328" s="69"/>
      <c r="C2328" s="5" t="s">
        <v>1778</v>
      </c>
      <c r="D2328" s="1">
        <v>5159.03</v>
      </c>
      <c r="F2328" s="1">
        <v>10238.36</v>
      </c>
    </row>
    <row r="2329" spans="1:8">
      <c r="A2329" s="69"/>
      <c r="B2329" s="73" t="s">
        <v>1779</v>
      </c>
      <c r="C2329" s="3" t="s">
        <v>1780</v>
      </c>
      <c r="F2329" s="4">
        <v>1842.9</v>
      </c>
      <c r="G2329" s="4">
        <v>626.51</v>
      </c>
      <c r="H2329" s="4">
        <v>114.32</v>
      </c>
    </row>
    <row r="2330" spans="1:8">
      <c r="A2330" s="69"/>
      <c r="B2330" s="69"/>
      <c r="C2330" s="5" t="s">
        <v>1781</v>
      </c>
      <c r="F2330" s="1">
        <v>1842.9</v>
      </c>
      <c r="G2330" s="1">
        <v>626.51</v>
      </c>
      <c r="H2330" s="1">
        <v>114.32</v>
      </c>
    </row>
    <row r="2331" spans="1:8">
      <c r="A2331" s="69"/>
      <c r="B2331" s="73" t="s">
        <v>1782</v>
      </c>
      <c r="C2331" s="3" t="s">
        <v>1783</v>
      </c>
      <c r="G2331" s="4">
        <v>1155.845</v>
      </c>
      <c r="H2331" s="4">
        <v>289.5</v>
      </c>
    </row>
    <row r="2332" spans="1:8">
      <c r="A2332" s="69"/>
      <c r="B2332" s="69"/>
      <c r="C2332" s="5" t="s">
        <v>1784</v>
      </c>
      <c r="G2332" s="1">
        <v>1155.845</v>
      </c>
      <c r="H2332" s="1">
        <v>289.5</v>
      </c>
    </row>
    <row r="2333" spans="1:8">
      <c r="A2333" s="69"/>
      <c r="B2333" s="73" t="s">
        <v>1280</v>
      </c>
      <c r="C2333" s="3" t="s">
        <v>1281</v>
      </c>
      <c r="D2333" s="4">
        <v>7988.2</v>
      </c>
      <c r="F2333" s="4">
        <v>2447</v>
      </c>
    </row>
    <row r="2334" spans="1:8">
      <c r="A2334" s="69"/>
      <c r="B2334" s="69"/>
      <c r="C2334" s="5" t="s">
        <v>1282</v>
      </c>
      <c r="D2334" s="1">
        <v>7988.2</v>
      </c>
      <c r="F2334" s="1">
        <v>2447</v>
      </c>
    </row>
    <row r="2335" spans="1:8">
      <c r="A2335" s="69"/>
      <c r="B2335" s="73" t="s">
        <v>1785</v>
      </c>
      <c r="C2335" s="3" t="s">
        <v>1786</v>
      </c>
      <c r="D2335" s="4">
        <v>0</v>
      </c>
      <c r="F2335" s="4">
        <v>1871.9</v>
      </c>
    </row>
    <row r="2336" spans="1:8">
      <c r="A2336" s="69"/>
      <c r="B2336" s="69"/>
      <c r="C2336" s="5" t="s">
        <v>1787</v>
      </c>
      <c r="D2336" s="1">
        <v>0</v>
      </c>
      <c r="F2336" s="1">
        <v>1871.9</v>
      </c>
    </row>
    <row r="2337" spans="1:6">
      <c r="A2337" s="69"/>
      <c r="B2337" s="73" t="s">
        <v>1788</v>
      </c>
      <c r="C2337" s="3" t="s">
        <v>1789</v>
      </c>
      <c r="F2337" s="4">
        <v>3290.86</v>
      </c>
    </row>
    <row r="2338" spans="1:6">
      <c r="A2338" s="69"/>
      <c r="B2338" s="69"/>
      <c r="C2338" s="5" t="s">
        <v>1790</v>
      </c>
      <c r="F2338" s="1">
        <v>3290.86</v>
      </c>
    </row>
    <row r="2339" spans="1:6">
      <c r="A2339" s="69"/>
      <c r="B2339" s="73" t="s">
        <v>1791</v>
      </c>
      <c r="C2339" s="3" t="s">
        <v>1792</v>
      </c>
      <c r="F2339" s="4">
        <v>1197.53</v>
      </c>
    </row>
    <row r="2340" spans="1:6">
      <c r="A2340" s="69"/>
      <c r="B2340" s="69"/>
      <c r="C2340" s="5" t="s">
        <v>1793</v>
      </c>
      <c r="F2340" s="1">
        <v>1197.53</v>
      </c>
    </row>
    <row r="2341" spans="1:6">
      <c r="A2341" s="69"/>
      <c r="B2341" s="73" t="s">
        <v>1794</v>
      </c>
      <c r="C2341" s="3" t="s">
        <v>1795</v>
      </c>
      <c r="F2341" s="4">
        <v>1461.38</v>
      </c>
    </row>
    <row r="2342" spans="1:6">
      <c r="A2342" s="69"/>
      <c r="B2342" s="69"/>
      <c r="C2342" s="5" t="s">
        <v>1796</v>
      </c>
      <c r="F2342" s="1">
        <v>1461.38</v>
      </c>
    </row>
    <row r="2343" spans="1:6">
      <c r="A2343" s="69"/>
      <c r="B2343" s="73" t="s">
        <v>1797</v>
      </c>
      <c r="C2343" s="3" t="s">
        <v>1798</v>
      </c>
      <c r="F2343" s="4">
        <v>362.8</v>
      </c>
    </row>
    <row r="2344" spans="1:6">
      <c r="A2344" s="69"/>
      <c r="B2344" s="69"/>
      <c r="C2344" s="5" t="s">
        <v>1799</v>
      </c>
      <c r="F2344" s="1">
        <v>362.8</v>
      </c>
    </row>
    <row r="2345" spans="1:6">
      <c r="A2345" s="69"/>
      <c r="B2345" s="73" t="s">
        <v>1731</v>
      </c>
      <c r="C2345" s="3" t="s">
        <v>1732</v>
      </c>
      <c r="F2345" s="4">
        <v>5731.33</v>
      </c>
    </row>
    <row r="2346" spans="1:6">
      <c r="A2346" s="69"/>
      <c r="B2346" s="69"/>
      <c r="C2346" s="5" t="s">
        <v>1733</v>
      </c>
      <c r="F2346" s="1">
        <v>5731.33</v>
      </c>
    </row>
    <row r="2347" spans="1:6">
      <c r="A2347" s="69"/>
      <c r="B2347" s="73" t="s">
        <v>1067</v>
      </c>
      <c r="C2347" s="3" t="s">
        <v>1068</v>
      </c>
      <c r="F2347" s="4">
        <v>830.2</v>
      </c>
    </row>
    <row r="2348" spans="1:6">
      <c r="A2348" s="69"/>
      <c r="B2348" s="69"/>
      <c r="C2348" s="5" t="s">
        <v>1800</v>
      </c>
      <c r="F2348" s="1">
        <v>830.2</v>
      </c>
    </row>
    <row r="2349" spans="1:6">
      <c r="A2349" s="69"/>
      <c r="B2349" s="73" t="s">
        <v>1801</v>
      </c>
      <c r="C2349" s="3" t="s">
        <v>1802</v>
      </c>
      <c r="F2349" s="4">
        <v>464.09</v>
      </c>
    </row>
    <row r="2350" spans="1:6">
      <c r="A2350" s="69"/>
      <c r="B2350" s="69"/>
      <c r="C2350" s="5" t="s">
        <v>1803</v>
      </c>
      <c r="F2350" s="1">
        <v>464.09</v>
      </c>
    </row>
    <row r="2351" spans="1:6">
      <c r="A2351" s="69"/>
      <c r="B2351" s="73" t="s">
        <v>1804</v>
      </c>
      <c r="C2351" s="3" t="s">
        <v>1805</v>
      </c>
      <c r="D2351" s="4">
        <v>1615</v>
      </c>
      <c r="F2351" s="4">
        <v>1806.18</v>
      </c>
    </row>
    <row r="2352" spans="1:6">
      <c r="A2352" s="69"/>
      <c r="B2352" s="69"/>
      <c r="C2352" s="5" t="s">
        <v>1806</v>
      </c>
      <c r="D2352" s="1">
        <v>1615</v>
      </c>
      <c r="F2352" s="1">
        <v>1806.18</v>
      </c>
    </row>
    <row r="2353" spans="1:8">
      <c r="A2353" s="69"/>
      <c r="B2353" s="73" t="s">
        <v>1807</v>
      </c>
      <c r="C2353" s="3" t="s">
        <v>1808</v>
      </c>
      <c r="E2353" s="4">
        <v>1372.18</v>
      </c>
    </row>
    <row r="2354" spans="1:8">
      <c r="A2354" s="69"/>
      <c r="B2354" s="69"/>
      <c r="C2354" s="5" t="s">
        <v>1809</v>
      </c>
      <c r="E2354" s="1">
        <v>1372.18</v>
      </c>
    </row>
    <row r="2355" spans="1:8">
      <c r="A2355" s="69"/>
      <c r="B2355" s="73" t="s">
        <v>1810</v>
      </c>
      <c r="C2355" s="3" t="s">
        <v>1811</v>
      </c>
      <c r="E2355" s="4">
        <v>5908.66</v>
      </c>
      <c r="F2355" s="4">
        <v>13367.17</v>
      </c>
      <c r="G2355" s="4">
        <v>1264.1600000000001</v>
      </c>
      <c r="H2355" s="4">
        <v>131.72</v>
      </c>
    </row>
    <row r="2356" spans="1:8">
      <c r="A2356" s="69"/>
      <c r="B2356" s="69"/>
      <c r="C2356" s="5" t="s">
        <v>1812</v>
      </c>
      <c r="E2356" s="1">
        <v>5908.66</v>
      </c>
      <c r="F2356" s="1">
        <v>13367.17</v>
      </c>
      <c r="G2356" s="1">
        <v>1264.1600000000001</v>
      </c>
      <c r="H2356" s="1">
        <v>131.72</v>
      </c>
    </row>
    <row r="2357" spans="1:8">
      <c r="A2357" s="69"/>
      <c r="B2357" s="73" t="s">
        <v>1813</v>
      </c>
      <c r="C2357" s="3" t="s">
        <v>1814</v>
      </c>
      <c r="D2357" s="4">
        <v>200</v>
      </c>
      <c r="G2357" s="4">
        <v>120.4</v>
      </c>
    </row>
    <row r="2358" spans="1:8">
      <c r="A2358" s="69"/>
      <c r="B2358" s="69"/>
      <c r="C2358" s="5" t="s">
        <v>1815</v>
      </c>
      <c r="D2358" s="1">
        <v>200</v>
      </c>
      <c r="G2358" s="1">
        <v>120.4</v>
      </c>
    </row>
    <row r="2359" spans="1:8">
      <c r="A2359" s="69"/>
      <c r="B2359" s="73" t="s">
        <v>1223</v>
      </c>
      <c r="C2359" s="3" t="s">
        <v>1224</v>
      </c>
      <c r="D2359" s="4">
        <v>208730.66</v>
      </c>
      <c r="F2359" s="4">
        <v>355849.44</v>
      </c>
    </row>
    <row r="2360" spans="1:8">
      <c r="A2360" s="69"/>
      <c r="B2360" s="69"/>
      <c r="C2360" s="5" t="s">
        <v>1225</v>
      </c>
      <c r="D2360" s="1">
        <v>208730.66</v>
      </c>
      <c r="F2360" s="1">
        <v>355849.44</v>
      </c>
    </row>
    <row r="2361" spans="1:8">
      <c r="A2361" s="69"/>
      <c r="B2361" s="73" t="s">
        <v>1816</v>
      </c>
      <c r="C2361" s="3" t="s">
        <v>1817</v>
      </c>
      <c r="F2361" s="4">
        <v>1886.45</v>
      </c>
    </row>
    <row r="2362" spans="1:8">
      <c r="A2362" s="69"/>
      <c r="B2362" s="69"/>
      <c r="C2362" s="5" t="s">
        <v>1818</v>
      </c>
      <c r="F2362" s="1">
        <v>1886.45</v>
      </c>
    </row>
    <row r="2363" spans="1:8">
      <c r="A2363" s="69"/>
      <c r="B2363" s="73" t="s">
        <v>750</v>
      </c>
      <c r="C2363" s="3" t="s">
        <v>751</v>
      </c>
      <c r="F2363" s="4">
        <v>1236.8499999999999</v>
      </c>
    </row>
    <row r="2364" spans="1:8">
      <c r="A2364" s="69"/>
      <c r="B2364" s="69"/>
      <c r="C2364" s="5" t="s">
        <v>752</v>
      </c>
      <c r="F2364" s="1">
        <v>1236.8499999999999</v>
      </c>
    </row>
    <row r="2365" spans="1:8">
      <c r="A2365" s="69"/>
      <c r="B2365" s="73" t="s">
        <v>1819</v>
      </c>
      <c r="C2365" s="3" t="s">
        <v>1820</v>
      </c>
      <c r="F2365" s="4">
        <v>4500</v>
      </c>
    </row>
    <row r="2366" spans="1:8">
      <c r="A2366" s="69"/>
      <c r="B2366" s="69"/>
      <c r="C2366" s="5" t="s">
        <v>1821</v>
      </c>
      <c r="F2366" s="1">
        <v>4500</v>
      </c>
    </row>
    <row r="2367" spans="1:8">
      <c r="A2367" s="69"/>
      <c r="B2367" s="73" t="s">
        <v>1822</v>
      </c>
      <c r="C2367" s="3" t="s">
        <v>1823</v>
      </c>
      <c r="F2367" s="4">
        <v>250</v>
      </c>
    </row>
    <row r="2368" spans="1:8">
      <c r="A2368" s="69"/>
      <c r="B2368" s="69"/>
      <c r="C2368" s="5" t="s">
        <v>1824</v>
      </c>
      <c r="F2368" s="1">
        <v>250</v>
      </c>
    </row>
    <row r="2369" spans="1:8">
      <c r="A2369" s="69"/>
      <c r="B2369" s="73" t="s">
        <v>1307</v>
      </c>
      <c r="C2369" s="3" t="s">
        <v>1308</v>
      </c>
      <c r="E2369" s="4">
        <v>145.21</v>
      </c>
      <c r="F2369" s="4">
        <v>7077.9</v>
      </c>
      <c r="G2369" s="4">
        <v>854.42</v>
      </c>
      <c r="H2369" s="4">
        <v>101.51</v>
      </c>
    </row>
    <row r="2370" spans="1:8">
      <c r="A2370" s="69"/>
      <c r="B2370" s="69"/>
      <c r="C2370" s="5" t="s">
        <v>1309</v>
      </c>
      <c r="E2370" s="1">
        <v>145.21</v>
      </c>
      <c r="F2370" s="1">
        <v>7077.9</v>
      </c>
      <c r="G2370" s="1">
        <v>854.42</v>
      </c>
      <c r="H2370" s="1">
        <v>101.51</v>
      </c>
    </row>
    <row r="2371" spans="1:8">
      <c r="A2371" s="69"/>
      <c r="B2371" s="73" t="s">
        <v>1274</v>
      </c>
      <c r="C2371" s="3" t="s">
        <v>1275</v>
      </c>
      <c r="F2371" s="4">
        <v>45600</v>
      </c>
    </row>
    <row r="2372" spans="1:8">
      <c r="A2372" s="69"/>
      <c r="B2372" s="69"/>
      <c r="C2372" s="5" t="s">
        <v>1276</v>
      </c>
      <c r="F2372" s="1">
        <v>45600</v>
      </c>
    </row>
    <row r="2373" spans="1:8">
      <c r="A2373" s="69"/>
      <c r="B2373" s="73" t="s">
        <v>1825</v>
      </c>
      <c r="C2373" s="3" t="s">
        <v>1826</v>
      </c>
      <c r="F2373" s="4">
        <v>766.4</v>
      </c>
    </row>
    <row r="2374" spans="1:8">
      <c r="A2374" s="69"/>
      <c r="B2374" s="69"/>
      <c r="C2374" s="5" t="s">
        <v>1827</v>
      </c>
      <c r="F2374" s="1">
        <v>766.4</v>
      </c>
    </row>
    <row r="2375" spans="1:8">
      <c r="A2375" s="69"/>
      <c r="B2375" s="73" t="s">
        <v>1828</v>
      </c>
      <c r="C2375" s="3" t="s">
        <v>1829</v>
      </c>
      <c r="F2375" s="4">
        <v>1000</v>
      </c>
    </row>
    <row r="2376" spans="1:8">
      <c r="A2376" s="69"/>
      <c r="B2376" s="69"/>
      <c r="C2376" s="5" t="s">
        <v>1830</v>
      </c>
      <c r="F2376" s="1">
        <v>1000</v>
      </c>
    </row>
    <row r="2377" spans="1:8">
      <c r="A2377" s="69"/>
      <c r="B2377" s="73" t="s">
        <v>756</v>
      </c>
      <c r="C2377" s="3" t="s">
        <v>757</v>
      </c>
      <c r="E2377" s="4">
        <v>14.41</v>
      </c>
    </row>
    <row r="2378" spans="1:8">
      <c r="A2378" s="69"/>
      <c r="B2378" s="69"/>
      <c r="C2378" s="5" t="s">
        <v>758</v>
      </c>
      <c r="E2378" s="1">
        <v>14.41</v>
      </c>
    </row>
    <row r="2379" spans="1:8">
      <c r="A2379" s="69"/>
      <c r="B2379" s="73" t="s">
        <v>1161</v>
      </c>
      <c r="C2379" s="3" t="s">
        <v>1162</v>
      </c>
      <c r="E2379" s="4">
        <v>10583.6</v>
      </c>
      <c r="F2379" s="4">
        <v>19209.39</v>
      </c>
    </row>
    <row r="2380" spans="1:8">
      <c r="A2380" s="69"/>
      <c r="B2380" s="69"/>
      <c r="C2380" s="5" t="s">
        <v>1163</v>
      </c>
      <c r="E2380" s="1">
        <v>10583.6</v>
      </c>
      <c r="F2380" s="1">
        <v>19209.39</v>
      </c>
    </row>
    <row r="2381" spans="1:8">
      <c r="A2381" s="69"/>
      <c r="B2381" s="73" t="s">
        <v>1831</v>
      </c>
      <c r="C2381" s="3" t="s">
        <v>1832</v>
      </c>
      <c r="E2381" s="4">
        <v>3127</v>
      </c>
      <c r="F2381" s="4">
        <v>12500</v>
      </c>
    </row>
    <row r="2382" spans="1:8">
      <c r="A2382" s="69"/>
      <c r="B2382" s="69"/>
      <c r="C2382" s="5" t="s">
        <v>1833</v>
      </c>
      <c r="E2382" s="1">
        <v>3127</v>
      </c>
      <c r="F2382" s="1">
        <v>12500</v>
      </c>
    </row>
    <row r="2383" spans="1:8">
      <c r="A2383" s="69"/>
      <c r="B2383" s="73" t="s">
        <v>1073</v>
      </c>
      <c r="C2383" s="3" t="s">
        <v>1074</v>
      </c>
      <c r="G2383" s="4">
        <v>14559.01</v>
      </c>
    </row>
    <row r="2384" spans="1:8">
      <c r="A2384" s="69"/>
      <c r="B2384" s="69"/>
      <c r="C2384" s="5" t="s">
        <v>1075</v>
      </c>
      <c r="G2384" s="1">
        <v>14559.01</v>
      </c>
    </row>
    <row r="2385" spans="1:8">
      <c r="A2385" s="69"/>
      <c r="B2385" s="73" t="s">
        <v>857</v>
      </c>
      <c r="C2385" s="3" t="s">
        <v>858</v>
      </c>
      <c r="G2385" s="4">
        <v>446.08</v>
      </c>
    </row>
    <row r="2386" spans="1:8">
      <c r="A2386" s="69"/>
      <c r="B2386" s="69"/>
      <c r="C2386" s="5" t="s">
        <v>859</v>
      </c>
      <c r="G2386" s="1">
        <v>446.08</v>
      </c>
    </row>
    <row r="2387" spans="1:8">
      <c r="A2387" s="69"/>
      <c r="B2387" s="73" t="s">
        <v>1834</v>
      </c>
      <c r="C2387" s="3" t="s">
        <v>1835</v>
      </c>
      <c r="F2387" s="4">
        <v>2785</v>
      </c>
    </row>
    <row r="2388" spans="1:8">
      <c r="A2388" s="69"/>
      <c r="B2388" s="69"/>
      <c r="C2388" s="5" t="s">
        <v>1836</v>
      </c>
      <c r="F2388" s="1">
        <v>2785</v>
      </c>
    </row>
    <row r="2389" spans="1:8">
      <c r="A2389" s="69"/>
      <c r="B2389" s="73" t="s">
        <v>1253</v>
      </c>
      <c r="C2389" s="3" t="s">
        <v>1254</v>
      </c>
      <c r="F2389" s="4">
        <v>696.52</v>
      </c>
    </row>
    <row r="2390" spans="1:8">
      <c r="A2390" s="69"/>
      <c r="B2390" s="69"/>
      <c r="C2390" s="5" t="s">
        <v>1255</v>
      </c>
      <c r="F2390" s="1">
        <v>696.52</v>
      </c>
    </row>
    <row r="2391" spans="1:8">
      <c r="A2391" s="69"/>
      <c r="B2391" s="73" t="s">
        <v>1837</v>
      </c>
      <c r="C2391" s="3" t="s">
        <v>1838</v>
      </c>
      <c r="E2391" s="4">
        <v>1282.98</v>
      </c>
      <c r="F2391" s="4">
        <v>3466.56</v>
      </c>
    </row>
    <row r="2392" spans="1:8">
      <c r="A2392" s="69"/>
      <c r="B2392" s="69"/>
      <c r="C2392" s="5" t="s">
        <v>1839</v>
      </c>
      <c r="E2392" s="1">
        <v>1282.98</v>
      </c>
      <c r="F2392" s="1">
        <v>3466.56</v>
      </c>
    </row>
    <row r="2393" spans="1:8">
      <c r="A2393" s="69"/>
      <c r="B2393" s="73" t="s">
        <v>1840</v>
      </c>
      <c r="C2393" s="3" t="s">
        <v>1841</v>
      </c>
      <c r="E2393" s="4">
        <v>464.03</v>
      </c>
    </row>
    <row r="2394" spans="1:8">
      <c r="A2394" s="69"/>
      <c r="B2394" s="69"/>
      <c r="C2394" s="5" t="s">
        <v>1842</v>
      </c>
      <c r="E2394" s="1">
        <v>464.03</v>
      </c>
    </row>
    <row r="2395" spans="1:8">
      <c r="A2395" s="69"/>
      <c r="B2395" s="73" t="s">
        <v>1256</v>
      </c>
      <c r="C2395" s="3" t="s">
        <v>1257</v>
      </c>
      <c r="G2395" s="4">
        <v>1715.08</v>
      </c>
      <c r="H2395" s="4">
        <v>209.56</v>
      </c>
    </row>
    <row r="2396" spans="1:8">
      <c r="A2396" s="69"/>
      <c r="B2396" s="69"/>
      <c r="C2396" s="5" t="s">
        <v>1258</v>
      </c>
      <c r="G2396" s="1">
        <v>1715.08</v>
      </c>
      <c r="H2396" s="1">
        <v>209.56</v>
      </c>
    </row>
    <row r="2397" spans="1:8">
      <c r="A2397" s="69"/>
      <c r="B2397" s="73" t="s">
        <v>1843</v>
      </c>
      <c r="C2397" s="3" t="s">
        <v>1844</v>
      </c>
      <c r="D2397" s="4">
        <v>0</v>
      </c>
    </row>
    <row r="2398" spans="1:8">
      <c r="A2398" s="69"/>
      <c r="B2398" s="69"/>
      <c r="C2398" s="5" t="s">
        <v>1845</v>
      </c>
      <c r="D2398" s="1">
        <v>0</v>
      </c>
    </row>
    <row r="2399" spans="1:8">
      <c r="A2399" s="69"/>
      <c r="B2399" s="73" t="s">
        <v>1846</v>
      </c>
      <c r="C2399" s="3" t="s">
        <v>1847</v>
      </c>
      <c r="D2399" s="4">
        <v>0</v>
      </c>
    </row>
    <row r="2400" spans="1:8">
      <c r="A2400" s="69"/>
      <c r="B2400" s="69"/>
      <c r="C2400" s="5" t="s">
        <v>1848</v>
      </c>
      <c r="D2400" s="1">
        <v>0</v>
      </c>
    </row>
    <row r="2401" spans="1:6">
      <c r="A2401" s="69"/>
      <c r="B2401" s="73" t="s">
        <v>1849</v>
      </c>
      <c r="C2401" s="3" t="s">
        <v>1850</v>
      </c>
      <c r="F2401" s="4">
        <v>3536.47</v>
      </c>
    </row>
    <row r="2402" spans="1:6">
      <c r="A2402" s="69"/>
      <c r="B2402" s="69"/>
      <c r="C2402" s="5" t="s">
        <v>1851</v>
      </c>
      <c r="F2402" s="1">
        <v>3536.47</v>
      </c>
    </row>
    <row r="2403" spans="1:6">
      <c r="A2403" s="69"/>
      <c r="B2403" s="73" t="s">
        <v>1852</v>
      </c>
      <c r="C2403" s="3" t="s">
        <v>1853</v>
      </c>
      <c r="F2403" s="4">
        <v>1612.45</v>
      </c>
    </row>
    <row r="2404" spans="1:6">
      <c r="A2404" s="69"/>
      <c r="B2404" s="69"/>
      <c r="C2404" s="5" t="s">
        <v>1854</v>
      </c>
      <c r="F2404" s="1">
        <v>1612.45</v>
      </c>
    </row>
    <row r="2405" spans="1:6">
      <c r="A2405" s="69"/>
      <c r="B2405" s="73" t="s">
        <v>1058</v>
      </c>
      <c r="C2405" s="3" t="s">
        <v>1059</v>
      </c>
      <c r="F2405" s="4">
        <v>2410.96</v>
      </c>
    </row>
    <row r="2406" spans="1:6">
      <c r="A2406" s="69"/>
      <c r="B2406" s="69"/>
      <c r="C2406" s="5" t="s">
        <v>1060</v>
      </c>
      <c r="F2406" s="1">
        <v>2410.96</v>
      </c>
    </row>
    <row r="2407" spans="1:6">
      <c r="A2407" s="69"/>
      <c r="B2407" s="73" t="s">
        <v>1855</v>
      </c>
      <c r="C2407" s="3" t="s">
        <v>1856</v>
      </c>
      <c r="F2407" s="4">
        <v>789.87</v>
      </c>
    </row>
    <row r="2408" spans="1:6">
      <c r="A2408" s="69"/>
      <c r="B2408" s="69"/>
      <c r="C2408" s="5" t="s">
        <v>1857</v>
      </c>
      <c r="F2408" s="1">
        <v>789.87</v>
      </c>
    </row>
    <row r="2409" spans="1:6">
      <c r="A2409" s="69"/>
      <c r="B2409" s="73" t="s">
        <v>1858</v>
      </c>
      <c r="C2409" s="3" t="s">
        <v>1859</v>
      </c>
      <c r="D2409" s="4">
        <v>1500</v>
      </c>
      <c r="F2409" s="4">
        <v>1931.63</v>
      </c>
    </row>
    <row r="2410" spans="1:6">
      <c r="A2410" s="69"/>
      <c r="B2410" s="69"/>
      <c r="C2410" s="5" t="s">
        <v>1860</v>
      </c>
      <c r="D2410" s="1">
        <v>1500</v>
      </c>
      <c r="F2410" s="1">
        <v>1931.63</v>
      </c>
    </row>
    <row r="2411" spans="1:6">
      <c r="A2411" s="69"/>
      <c r="B2411" s="73" t="s">
        <v>1028</v>
      </c>
      <c r="C2411" s="3" t="s">
        <v>1029</v>
      </c>
      <c r="F2411" s="4">
        <v>1325.79</v>
      </c>
    </row>
    <row r="2412" spans="1:6">
      <c r="A2412" s="69"/>
      <c r="B2412" s="69"/>
      <c r="C2412" s="5" t="s">
        <v>1030</v>
      </c>
      <c r="F2412" s="1">
        <v>1325.79</v>
      </c>
    </row>
    <row r="2413" spans="1:6">
      <c r="A2413" s="69"/>
      <c r="B2413" s="73" t="s">
        <v>1861</v>
      </c>
      <c r="C2413" s="3" t="s">
        <v>1862</v>
      </c>
      <c r="F2413" s="4">
        <v>626.74</v>
      </c>
    </row>
    <row r="2414" spans="1:6">
      <c r="A2414" s="69"/>
      <c r="B2414" s="69"/>
      <c r="C2414" s="5" t="s">
        <v>1863</v>
      </c>
      <c r="F2414" s="1">
        <v>626.74</v>
      </c>
    </row>
    <row r="2415" spans="1:6">
      <c r="A2415" s="69"/>
      <c r="B2415" s="73" t="s">
        <v>1301</v>
      </c>
      <c r="C2415" s="3" t="s">
        <v>1302</v>
      </c>
      <c r="E2415" s="4">
        <v>696.01</v>
      </c>
    </row>
    <row r="2416" spans="1:6">
      <c r="A2416" s="69"/>
      <c r="B2416" s="69"/>
      <c r="C2416" s="5" t="s">
        <v>1303</v>
      </c>
      <c r="E2416" s="1">
        <v>696.01</v>
      </c>
    </row>
    <row r="2417" spans="1:7">
      <c r="A2417" s="69"/>
      <c r="B2417" s="73" t="s">
        <v>717</v>
      </c>
      <c r="C2417" s="3" t="s">
        <v>718</v>
      </c>
      <c r="G2417" s="4">
        <v>880.4</v>
      </c>
    </row>
    <row r="2418" spans="1:7">
      <c r="A2418" s="69"/>
      <c r="B2418" s="69"/>
      <c r="C2418" s="5" t="s">
        <v>719</v>
      </c>
      <c r="G2418" s="1">
        <v>880.4</v>
      </c>
    </row>
    <row r="2419" spans="1:7">
      <c r="A2419" s="69"/>
      <c r="B2419" s="73" t="s">
        <v>1250</v>
      </c>
      <c r="C2419" s="3" t="s">
        <v>1251</v>
      </c>
      <c r="D2419" s="4">
        <v>23263.93</v>
      </c>
    </row>
    <row r="2420" spans="1:7">
      <c r="A2420" s="69"/>
      <c r="B2420" s="69"/>
      <c r="C2420" s="5" t="s">
        <v>1252</v>
      </c>
      <c r="D2420" s="1">
        <v>23263.93</v>
      </c>
    </row>
    <row r="2421" spans="1:7">
      <c r="A2421" s="69"/>
      <c r="B2421" s="73" t="s">
        <v>1215</v>
      </c>
      <c r="C2421" s="3" t="s">
        <v>1216</v>
      </c>
      <c r="E2421" s="4">
        <v>8178.76</v>
      </c>
    </row>
    <row r="2422" spans="1:7">
      <c r="A2422" s="69"/>
      <c r="B2422" s="69"/>
      <c r="C2422" s="5" t="s">
        <v>1217</v>
      </c>
      <c r="E2422" s="1">
        <v>8178.76</v>
      </c>
    </row>
    <row r="2423" spans="1:7">
      <c r="A2423" s="69"/>
      <c r="B2423" s="73" t="s">
        <v>1864</v>
      </c>
      <c r="C2423" s="3" t="s">
        <v>1865</v>
      </c>
      <c r="F2423" s="4">
        <v>1500</v>
      </c>
    </row>
    <row r="2424" spans="1:7">
      <c r="A2424" s="69"/>
      <c r="B2424" s="69"/>
      <c r="C2424" s="5" t="s">
        <v>1866</v>
      </c>
      <c r="F2424" s="1">
        <v>1500</v>
      </c>
    </row>
    <row r="2425" spans="1:7">
      <c r="A2425" s="69"/>
      <c r="B2425" s="73" t="s">
        <v>1867</v>
      </c>
      <c r="C2425" s="3" t="s">
        <v>1868</v>
      </c>
      <c r="E2425" s="4">
        <v>397.53</v>
      </c>
      <c r="F2425" s="4">
        <v>1230</v>
      </c>
    </row>
    <row r="2426" spans="1:7">
      <c r="A2426" s="69"/>
      <c r="B2426" s="69"/>
      <c r="C2426" s="5" t="s">
        <v>1869</v>
      </c>
      <c r="E2426" s="1">
        <v>397.53</v>
      </c>
      <c r="F2426" s="1">
        <v>1230</v>
      </c>
    </row>
    <row r="2427" spans="1:7">
      <c r="A2427" s="69"/>
      <c r="B2427" s="73" t="s">
        <v>1870</v>
      </c>
      <c r="C2427" s="3" t="s">
        <v>1871</v>
      </c>
      <c r="F2427" s="4">
        <v>1179.0999999999999</v>
      </c>
    </row>
    <row r="2428" spans="1:7">
      <c r="A2428" s="69"/>
      <c r="B2428" s="69"/>
      <c r="C2428" s="5" t="s">
        <v>1872</v>
      </c>
      <c r="F2428" s="1">
        <v>1179.0999999999999</v>
      </c>
    </row>
    <row r="2429" spans="1:7">
      <c r="A2429" s="69"/>
      <c r="B2429" s="73" t="s">
        <v>1873</v>
      </c>
      <c r="C2429" s="3" t="s">
        <v>1874</v>
      </c>
      <c r="F2429" s="4">
        <v>550</v>
      </c>
    </row>
    <row r="2430" spans="1:7">
      <c r="A2430" s="69"/>
      <c r="B2430" s="69"/>
      <c r="C2430" s="5" t="s">
        <v>1875</v>
      </c>
      <c r="F2430" s="1">
        <v>550</v>
      </c>
    </row>
    <row r="2431" spans="1:7">
      <c r="A2431" s="69"/>
      <c r="B2431" s="73" t="s">
        <v>1876</v>
      </c>
      <c r="C2431" s="3" t="s">
        <v>1877</v>
      </c>
      <c r="F2431" s="4">
        <v>3136.5</v>
      </c>
    </row>
    <row r="2432" spans="1:7">
      <c r="A2432" s="69"/>
      <c r="B2432" s="69"/>
      <c r="C2432" s="5" t="s">
        <v>1878</v>
      </c>
      <c r="F2432" s="1">
        <v>3136.5</v>
      </c>
    </row>
    <row r="2433" spans="1:7">
      <c r="A2433" s="73" t="s">
        <v>1879</v>
      </c>
      <c r="B2433" s="72" t="s">
        <v>1880</v>
      </c>
      <c r="C2433" s="69"/>
      <c r="G2433" s="4">
        <v>450273.44</v>
      </c>
    </row>
    <row r="2434" spans="1:7">
      <c r="A2434" s="69"/>
      <c r="B2434" s="73" t="s">
        <v>1355</v>
      </c>
      <c r="C2434" s="3" t="s">
        <v>1356</v>
      </c>
      <c r="G2434" s="4">
        <v>3494.8</v>
      </c>
    </row>
    <row r="2435" spans="1:7">
      <c r="A2435" s="69"/>
      <c r="B2435" s="69"/>
      <c r="C2435" s="5" t="s">
        <v>1355</v>
      </c>
      <c r="G2435" s="1">
        <v>3494.8</v>
      </c>
    </row>
    <row r="2436" spans="1:7">
      <c r="A2436" s="69"/>
      <c r="B2436" s="73" t="s">
        <v>457</v>
      </c>
      <c r="C2436" s="3" t="s">
        <v>458</v>
      </c>
      <c r="G2436" s="4">
        <v>2150.2399999999998</v>
      </c>
    </row>
    <row r="2437" spans="1:7">
      <c r="A2437" s="69"/>
      <c r="B2437" s="69"/>
      <c r="C2437" s="5" t="s">
        <v>457</v>
      </c>
      <c r="G2437" s="1">
        <v>2150.2399999999998</v>
      </c>
    </row>
    <row r="2438" spans="1:7">
      <c r="A2438" s="69"/>
      <c r="B2438" s="73" t="s">
        <v>353</v>
      </c>
      <c r="C2438" s="3" t="s">
        <v>354</v>
      </c>
      <c r="G2438" s="4">
        <v>20817.830000000002</v>
      </c>
    </row>
    <row r="2439" spans="1:7">
      <c r="A2439" s="69"/>
      <c r="B2439" s="69"/>
      <c r="C2439" s="5" t="s">
        <v>353</v>
      </c>
      <c r="G2439" s="1">
        <v>20817.830000000002</v>
      </c>
    </row>
    <row r="2440" spans="1:7">
      <c r="A2440" s="69"/>
      <c r="B2440" s="73" t="s">
        <v>1315</v>
      </c>
      <c r="C2440" s="3" t="s">
        <v>1316</v>
      </c>
      <c r="G2440" s="4">
        <v>6732.02</v>
      </c>
    </row>
    <row r="2441" spans="1:7">
      <c r="A2441" s="69"/>
      <c r="B2441" s="69"/>
      <c r="C2441" s="5" t="s">
        <v>1315</v>
      </c>
      <c r="G2441" s="1">
        <v>6732.02</v>
      </c>
    </row>
    <row r="2442" spans="1:7">
      <c r="A2442" s="69"/>
      <c r="B2442" s="73" t="s">
        <v>1397</v>
      </c>
      <c r="C2442" s="3" t="s">
        <v>1398</v>
      </c>
      <c r="G2442" s="4">
        <v>1728.08</v>
      </c>
    </row>
    <row r="2443" spans="1:7">
      <c r="A2443" s="69"/>
      <c r="B2443" s="69"/>
      <c r="C2443" s="5" t="s">
        <v>1397</v>
      </c>
      <c r="G2443" s="1">
        <v>1728.08</v>
      </c>
    </row>
    <row r="2444" spans="1:7">
      <c r="A2444" s="69"/>
      <c r="B2444" s="73" t="s">
        <v>759</v>
      </c>
      <c r="C2444" s="3" t="s">
        <v>760</v>
      </c>
      <c r="G2444" s="4">
        <v>22.78</v>
      </c>
    </row>
    <row r="2445" spans="1:7">
      <c r="A2445" s="69"/>
      <c r="B2445" s="69"/>
      <c r="C2445" s="5" t="s">
        <v>761</v>
      </c>
      <c r="G2445" s="1">
        <v>22.78</v>
      </c>
    </row>
    <row r="2446" spans="1:7">
      <c r="A2446" s="69"/>
      <c r="B2446" s="73" t="s">
        <v>1387</v>
      </c>
      <c r="C2446" s="3" t="s">
        <v>1388</v>
      </c>
      <c r="G2446" s="4">
        <v>247855.41500000001</v>
      </c>
    </row>
    <row r="2447" spans="1:7">
      <c r="A2447" s="69"/>
      <c r="B2447" s="69"/>
      <c r="C2447" s="5" t="s">
        <v>1387</v>
      </c>
      <c r="G2447" s="1">
        <v>247855.41500000001</v>
      </c>
    </row>
    <row r="2448" spans="1:7">
      <c r="A2448" s="69"/>
      <c r="B2448" s="73" t="s">
        <v>336</v>
      </c>
      <c r="C2448" s="3" t="s">
        <v>337</v>
      </c>
      <c r="G2448" s="4">
        <v>8532.92</v>
      </c>
    </row>
    <row r="2449" spans="1:7">
      <c r="A2449" s="69"/>
      <c r="B2449" s="69"/>
      <c r="C2449" s="5" t="s">
        <v>336</v>
      </c>
      <c r="G2449" s="1">
        <v>8532.92</v>
      </c>
    </row>
    <row r="2450" spans="1:7">
      <c r="A2450" s="69"/>
      <c r="B2450" s="73" t="s">
        <v>1372</v>
      </c>
      <c r="C2450" s="3" t="s">
        <v>1373</v>
      </c>
      <c r="G2450" s="4">
        <v>145100.375</v>
      </c>
    </row>
    <row r="2451" spans="1:7">
      <c r="A2451" s="69"/>
      <c r="B2451" s="69"/>
      <c r="C2451" s="5" t="s">
        <v>1372</v>
      </c>
      <c r="G2451" s="1">
        <v>145100.375</v>
      </c>
    </row>
    <row r="2452" spans="1:7">
      <c r="A2452" s="69"/>
      <c r="B2452" s="73" t="s">
        <v>1395</v>
      </c>
      <c r="C2452" s="3" t="s">
        <v>1396</v>
      </c>
      <c r="G2452" s="4">
        <v>361.94</v>
      </c>
    </row>
    <row r="2453" spans="1:7">
      <c r="A2453" s="69"/>
      <c r="B2453" s="69"/>
      <c r="C2453" s="5" t="s">
        <v>1395</v>
      </c>
      <c r="G2453" s="1">
        <v>361.94</v>
      </c>
    </row>
    <row r="2454" spans="1:7">
      <c r="A2454" s="69"/>
      <c r="B2454" s="73" t="s">
        <v>1359</v>
      </c>
      <c r="C2454" s="3" t="s">
        <v>1360</v>
      </c>
      <c r="G2454" s="4">
        <v>11000.64</v>
      </c>
    </row>
    <row r="2455" spans="1:7">
      <c r="A2455" s="69"/>
      <c r="B2455" s="69"/>
      <c r="C2455" s="5" t="s">
        <v>1359</v>
      </c>
      <c r="G2455" s="1">
        <v>11000.64</v>
      </c>
    </row>
    <row r="2456" spans="1:7">
      <c r="A2456" s="69"/>
      <c r="B2456" s="73" t="s">
        <v>636</v>
      </c>
      <c r="C2456" s="3" t="s">
        <v>637</v>
      </c>
      <c r="G2456" s="4">
        <v>95.44</v>
      </c>
    </row>
    <row r="2457" spans="1:7">
      <c r="A2457" s="69"/>
      <c r="B2457" s="69"/>
      <c r="C2457" s="5" t="s">
        <v>638</v>
      </c>
      <c r="G2457" s="1">
        <v>95.44</v>
      </c>
    </row>
    <row r="2458" spans="1:7">
      <c r="A2458" s="69"/>
      <c r="B2458" s="73" t="s">
        <v>1357</v>
      </c>
      <c r="C2458" s="3" t="s">
        <v>1358</v>
      </c>
      <c r="G2458" s="4">
        <v>2380.96</v>
      </c>
    </row>
    <row r="2459" spans="1:7">
      <c r="A2459" s="69"/>
      <c r="B2459" s="69"/>
      <c r="C2459" s="5" t="s">
        <v>1357</v>
      </c>
      <c r="G2459" s="1">
        <v>2380.96</v>
      </c>
    </row>
    <row r="2460" spans="1:7">
      <c r="A2460" s="73" t="s">
        <v>1881</v>
      </c>
      <c r="B2460" s="72" t="s">
        <v>1882</v>
      </c>
      <c r="C2460" s="69"/>
      <c r="D2460" s="4">
        <v>9280</v>
      </c>
      <c r="G2460" s="4">
        <v>17094.205000000002</v>
      </c>
    </row>
    <row r="2461" spans="1:7">
      <c r="A2461" s="69"/>
      <c r="B2461" s="73" t="s">
        <v>1470</v>
      </c>
      <c r="C2461" s="3" t="s">
        <v>1471</v>
      </c>
      <c r="G2461" s="4">
        <v>6811.83</v>
      </c>
    </row>
    <row r="2462" spans="1:7">
      <c r="A2462" s="69"/>
      <c r="B2462" s="69"/>
      <c r="C2462" s="5" t="s">
        <v>1472</v>
      </c>
      <c r="G2462" s="1">
        <v>6811.83</v>
      </c>
    </row>
    <row r="2463" spans="1:7">
      <c r="A2463" s="69"/>
      <c r="B2463" s="73" t="s">
        <v>1616</v>
      </c>
      <c r="C2463" s="3" t="s">
        <v>1617</v>
      </c>
      <c r="D2463" s="4">
        <v>9280</v>
      </c>
    </row>
    <row r="2464" spans="1:7">
      <c r="A2464" s="69"/>
      <c r="B2464" s="69"/>
      <c r="C2464" s="5" t="s">
        <v>1618</v>
      </c>
      <c r="D2464" s="1">
        <v>9280</v>
      </c>
    </row>
    <row r="2465" spans="1:7">
      <c r="A2465" s="69"/>
      <c r="B2465" s="73" t="s">
        <v>1337</v>
      </c>
      <c r="C2465" s="3" t="s">
        <v>1338</v>
      </c>
      <c r="G2465" s="4">
        <v>807.84</v>
      </c>
    </row>
    <row r="2466" spans="1:7">
      <c r="A2466" s="69"/>
      <c r="B2466" s="69"/>
      <c r="C2466" s="5" t="s">
        <v>1339</v>
      </c>
      <c r="G2466" s="1">
        <v>807.84</v>
      </c>
    </row>
    <row r="2467" spans="1:7">
      <c r="A2467" s="69"/>
      <c r="B2467" s="73" t="s">
        <v>1532</v>
      </c>
      <c r="C2467" s="3" t="s">
        <v>1533</v>
      </c>
      <c r="G2467" s="4">
        <v>398.72</v>
      </c>
    </row>
    <row r="2468" spans="1:7">
      <c r="A2468" s="69"/>
      <c r="B2468" s="69"/>
      <c r="C2468" s="5" t="s">
        <v>1534</v>
      </c>
      <c r="G2468" s="1">
        <v>398.72</v>
      </c>
    </row>
    <row r="2469" spans="1:7">
      <c r="A2469" s="69"/>
      <c r="B2469" s="73" t="s">
        <v>1577</v>
      </c>
      <c r="C2469" s="3" t="s">
        <v>1578</v>
      </c>
      <c r="G2469" s="4">
        <v>1468.22</v>
      </c>
    </row>
    <row r="2470" spans="1:7">
      <c r="A2470" s="69"/>
      <c r="B2470" s="69"/>
      <c r="C2470" s="5" t="s">
        <v>1579</v>
      </c>
      <c r="G2470" s="1">
        <v>1468.22</v>
      </c>
    </row>
    <row r="2471" spans="1:7">
      <c r="A2471" s="69"/>
      <c r="B2471" s="73" t="s">
        <v>1361</v>
      </c>
      <c r="C2471" s="3" t="s">
        <v>1362</v>
      </c>
      <c r="G2471" s="4">
        <v>7607.5950000000003</v>
      </c>
    </row>
    <row r="2472" spans="1:7">
      <c r="A2472" s="69"/>
      <c r="B2472" s="69"/>
      <c r="C2472" s="5" t="s">
        <v>1363</v>
      </c>
      <c r="G2472" s="1">
        <v>7607.5950000000003</v>
      </c>
    </row>
    <row r="2473" spans="1:7">
      <c r="A2473" s="73" t="s">
        <v>1883</v>
      </c>
      <c r="B2473" s="72" t="s">
        <v>1884</v>
      </c>
      <c r="C2473" s="69"/>
      <c r="D2473" s="4">
        <v>69532.47</v>
      </c>
      <c r="E2473" s="4">
        <v>801352.13</v>
      </c>
    </row>
    <row r="2474" spans="1:7">
      <c r="A2474" s="69"/>
      <c r="B2474" s="73" t="s">
        <v>615</v>
      </c>
      <c r="C2474" s="3" t="s">
        <v>616</v>
      </c>
      <c r="D2474" s="4">
        <v>1850</v>
      </c>
      <c r="E2474" s="4">
        <v>39987.94</v>
      </c>
    </row>
    <row r="2475" spans="1:7">
      <c r="A2475" s="69"/>
      <c r="B2475" s="69"/>
      <c r="C2475" s="5" t="s">
        <v>617</v>
      </c>
      <c r="D2475" s="1">
        <v>1850</v>
      </c>
      <c r="E2475" s="1">
        <v>39987.94</v>
      </c>
    </row>
    <row r="2476" spans="1:7">
      <c r="A2476" s="69"/>
      <c r="B2476" s="73" t="s">
        <v>60</v>
      </c>
      <c r="C2476" s="3" t="s">
        <v>61</v>
      </c>
      <c r="D2476" s="4">
        <v>66847.47</v>
      </c>
      <c r="E2476" s="4">
        <v>626082.14</v>
      </c>
    </row>
    <row r="2477" spans="1:7">
      <c r="A2477" s="69"/>
      <c r="B2477" s="69"/>
      <c r="C2477" s="5" t="s">
        <v>62</v>
      </c>
      <c r="D2477" s="1">
        <v>66847.47</v>
      </c>
      <c r="E2477" s="1">
        <v>626082.14</v>
      </c>
    </row>
    <row r="2478" spans="1:7">
      <c r="A2478" s="69"/>
      <c r="B2478" s="73" t="s">
        <v>1123</v>
      </c>
      <c r="C2478" s="3" t="s">
        <v>1124</v>
      </c>
      <c r="D2478" s="4">
        <v>100</v>
      </c>
    </row>
    <row r="2479" spans="1:7">
      <c r="A2479" s="69"/>
      <c r="B2479" s="69"/>
      <c r="C2479" s="5" t="s">
        <v>1125</v>
      </c>
      <c r="D2479" s="1">
        <v>100</v>
      </c>
    </row>
    <row r="2480" spans="1:7">
      <c r="A2480" s="69"/>
      <c r="B2480" s="73" t="s">
        <v>477</v>
      </c>
      <c r="C2480" s="3" t="s">
        <v>478</v>
      </c>
      <c r="D2480" s="4">
        <v>725</v>
      </c>
      <c r="E2480" s="4">
        <v>98760.46</v>
      </c>
    </row>
    <row r="2481" spans="1:8">
      <c r="A2481" s="69"/>
      <c r="B2481" s="69"/>
      <c r="C2481" s="5" t="s">
        <v>479</v>
      </c>
      <c r="D2481" s="1">
        <v>725</v>
      </c>
      <c r="E2481" s="1">
        <v>98760.46</v>
      </c>
    </row>
    <row r="2482" spans="1:8">
      <c r="A2482" s="69"/>
      <c r="B2482" s="73" t="s">
        <v>525</v>
      </c>
      <c r="C2482" s="3" t="s">
        <v>526</v>
      </c>
      <c r="D2482" s="4">
        <v>10</v>
      </c>
      <c r="E2482" s="4">
        <v>36467.29</v>
      </c>
    </row>
    <row r="2483" spans="1:8">
      <c r="A2483" s="69"/>
      <c r="B2483" s="69"/>
      <c r="C2483" s="5" t="s">
        <v>527</v>
      </c>
      <c r="D2483" s="1">
        <v>10</v>
      </c>
      <c r="E2483" s="1">
        <v>36467.29</v>
      </c>
    </row>
    <row r="2484" spans="1:8">
      <c r="A2484" s="69"/>
      <c r="B2484" s="73" t="s">
        <v>1301</v>
      </c>
      <c r="C2484" s="3" t="s">
        <v>1302</v>
      </c>
      <c r="E2484" s="4">
        <v>54.3</v>
      </c>
    </row>
    <row r="2485" spans="1:8">
      <c r="A2485" s="69"/>
      <c r="B2485" s="69"/>
      <c r="C2485" s="5" t="s">
        <v>1303</v>
      </c>
      <c r="E2485" s="1">
        <v>54.3</v>
      </c>
    </row>
    <row r="2486" spans="1:8">
      <c r="A2486" s="73" t="s">
        <v>1885</v>
      </c>
      <c r="B2486" s="72" t="s">
        <v>1886</v>
      </c>
      <c r="C2486" s="69"/>
      <c r="E2486" s="4">
        <v>4190.6499999999996</v>
      </c>
      <c r="G2486" s="4">
        <v>4947.8500000000004</v>
      </c>
      <c r="H2486" s="4">
        <v>658.91</v>
      </c>
    </row>
    <row r="2487" spans="1:8">
      <c r="A2487" s="69"/>
      <c r="B2487" s="73" t="s">
        <v>180</v>
      </c>
      <c r="C2487" s="3" t="s">
        <v>181</v>
      </c>
      <c r="G2487" s="4">
        <v>786.25</v>
      </c>
      <c r="H2487" s="4">
        <v>441.91</v>
      </c>
    </row>
    <row r="2488" spans="1:8">
      <c r="A2488" s="69"/>
      <c r="B2488" s="69"/>
      <c r="C2488" s="5" t="s">
        <v>182</v>
      </c>
      <c r="G2488" s="1">
        <v>786.25</v>
      </c>
      <c r="H2488" s="1">
        <v>441.91</v>
      </c>
    </row>
    <row r="2489" spans="1:8">
      <c r="A2489" s="69"/>
      <c r="B2489" s="73" t="s">
        <v>60</v>
      </c>
      <c r="C2489" s="3" t="s">
        <v>61</v>
      </c>
      <c r="G2489" s="4">
        <v>4161.6000000000004</v>
      </c>
    </row>
    <row r="2490" spans="1:8">
      <c r="A2490" s="69"/>
      <c r="B2490" s="69"/>
      <c r="C2490" s="5" t="s">
        <v>62</v>
      </c>
      <c r="G2490" s="1">
        <v>4161.6000000000004</v>
      </c>
    </row>
    <row r="2491" spans="1:8">
      <c r="A2491" s="69"/>
      <c r="B2491" s="73" t="s">
        <v>759</v>
      </c>
      <c r="C2491" s="3" t="s">
        <v>760</v>
      </c>
      <c r="H2491" s="4">
        <v>217</v>
      </c>
    </row>
    <row r="2492" spans="1:8">
      <c r="A2492" s="69"/>
      <c r="B2492" s="69"/>
      <c r="C2492" s="5" t="s">
        <v>761</v>
      </c>
      <c r="H2492" s="1">
        <v>217</v>
      </c>
    </row>
    <row r="2493" spans="1:8">
      <c r="A2493" s="69"/>
      <c r="B2493" s="73" t="s">
        <v>477</v>
      </c>
      <c r="C2493" s="3" t="s">
        <v>478</v>
      </c>
      <c r="E2493" s="4">
        <v>4190.6499999999996</v>
      </c>
    </row>
    <row r="2494" spans="1:8">
      <c r="A2494" s="69"/>
      <c r="B2494" s="69"/>
      <c r="C2494" s="5" t="s">
        <v>479</v>
      </c>
      <c r="E2494" s="1">
        <v>4190.6499999999996</v>
      </c>
    </row>
    <row r="2495" spans="1:8">
      <c r="A2495" s="73" t="s">
        <v>1887</v>
      </c>
      <c r="B2495" s="72" t="s">
        <v>1888</v>
      </c>
      <c r="C2495" s="69"/>
      <c r="E2495" s="4">
        <v>57650.86</v>
      </c>
    </row>
    <row r="2496" spans="1:8">
      <c r="A2496" s="69"/>
      <c r="B2496" s="73" t="s">
        <v>303</v>
      </c>
      <c r="C2496" s="3" t="s">
        <v>304</v>
      </c>
      <c r="E2496" s="4">
        <v>57650.86</v>
      </c>
    </row>
    <row r="2497" spans="1:7">
      <c r="A2497" s="69"/>
      <c r="B2497" s="69"/>
      <c r="C2497" s="5" t="s">
        <v>305</v>
      </c>
      <c r="E2497" s="1">
        <v>57650.86</v>
      </c>
    </row>
    <row r="2498" spans="1:7">
      <c r="A2498" s="73" t="s">
        <v>1889</v>
      </c>
      <c r="B2498" s="72" t="s">
        <v>1890</v>
      </c>
      <c r="C2498" s="69"/>
      <c r="E2498" s="4">
        <v>18197.89</v>
      </c>
    </row>
    <row r="2499" spans="1:7">
      <c r="A2499" s="69"/>
      <c r="B2499" s="73" t="s">
        <v>666</v>
      </c>
      <c r="C2499" s="3" t="s">
        <v>667</v>
      </c>
      <c r="E2499" s="4">
        <v>18197.89</v>
      </c>
    </row>
    <row r="2500" spans="1:7">
      <c r="A2500" s="69"/>
      <c r="B2500" s="69"/>
      <c r="C2500" s="5" t="s">
        <v>668</v>
      </c>
      <c r="E2500" s="1">
        <v>18197.89</v>
      </c>
    </row>
    <row r="2501" spans="1:7">
      <c r="A2501" s="73" t="s">
        <v>1891</v>
      </c>
      <c r="B2501" s="72" t="s">
        <v>1892</v>
      </c>
      <c r="C2501" s="69"/>
      <c r="G2501" s="4">
        <v>227.8</v>
      </c>
    </row>
    <row r="2502" spans="1:7">
      <c r="A2502" s="69"/>
      <c r="B2502" s="73" t="s">
        <v>84</v>
      </c>
      <c r="C2502" s="3" t="s">
        <v>85</v>
      </c>
      <c r="G2502" s="4">
        <v>227.8</v>
      </c>
    </row>
    <row r="2503" spans="1:7">
      <c r="A2503" s="69"/>
      <c r="B2503" s="69"/>
      <c r="C2503" s="5" t="s">
        <v>86</v>
      </c>
      <c r="G2503" s="1">
        <v>227.8</v>
      </c>
    </row>
    <row r="2504" spans="1:7">
      <c r="A2504" s="73" t="s">
        <v>1893</v>
      </c>
      <c r="B2504" s="72" t="s">
        <v>1894</v>
      </c>
      <c r="C2504" s="69"/>
      <c r="D2504" s="4">
        <v>800</v>
      </c>
    </row>
    <row r="2505" spans="1:7">
      <c r="A2505" s="69"/>
      <c r="B2505" s="73" t="s">
        <v>1425</v>
      </c>
      <c r="C2505" s="3" t="s">
        <v>1426</v>
      </c>
      <c r="D2505" s="4">
        <v>800</v>
      </c>
    </row>
    <row r="2506" spans="1:7">
      <c r="A2506" s="69"/>
      <c r="B2506" s="69"/>
      <c r="C2506" s="5" t="s">
        <v>1427</v>
      </c>
      <c r="D2506" s="1">
        <v>800</v>
      </c>
    </row>
    <row r="2507" spans="1:7">
      <c r="A2507" s="73" t="s">
        <v>1895</v>
      </c>
      <c r="B2507" s="72" t="s">
        <v>1896</v>
      </c>
      <c r="C2507" s="69"/>
      <c r="E2507" s="4">
        <v>1.39</v>
      </c>
    </row>
    <row r="2508" spans="1:7">
      <c r="A2508" s="69"/>
      <c r="B2508" s="73" t="s">
        <v>1337</v>
      </c>
      <c r="C2508" s="3" t="s">
        <v>1338</v>
      </c>
      <c r="E2508" s="4">
        <v>1.39</v>
      </c>
    </row>
    <row r="2509" spans="1:7">
      <c r="A2509" s="69"/>
      <c r="B2509" s="69"/>
      <c r="C2509" s="5" t="s">
        <v>1339</v>
      </c>
      <c r="E2509" s="1">
        <v>1.39</v>
      </c>
    </row>
    <row r="2510" spans="1:7">
      <c r="A2510" s="73" t="s">
        <v>1897</v>
      </c>
      <c r="B2510" s="72" t="s">
        <v>1898</v>
      </c>
      <c r="C2510" s="69"/>
      <c r="G2510" s="4">
        <v>211.92</v>
      </c>
    </row>
    <row r="2511" spans="1:7">
      <c r="A2511" s="69"/>
      <c r="B2511" s="73" t="s">
        <v>558</v>
      </c>
      <c r="C2511" s="3" t="s">
        <v>559</v>
      </c>
      <c r="G2511" s="4">
        <v>211.92</v>
      </c>
    </row>
    <row r="2512" spans="1:7">
      <c r="A2512" s="69"/>
      <c r="B2512" s="69"/>
      <c r="C2512" s="5" t="s">
        <v>560</v>
      </c>
      <c r="G2512" s="1">
        <v>211.92</v>
      </c>
    </row>
  </sheetData>
  <mergeCells count="1286">
    <mergeCell ref="A2495:A2497"/>
    <mergeCell ref="B2495:C2495"/>
    <mergeCell ref="B2496:B2497"/>
    <mergeCell ref="A2498:A2500"/>
    <mergeCell ref="B2498:C2498"/>
    <mergeCell ref="B2499:B2500"/>
    <mergeCell ref="A2501:A2503"/>
    <mergeCell ref="B2501:C2501"/>
    <mergeCell ref="B2502:B2503"/>
    <mergeCell ref="A2504:A2506"/>
    <mergeCell ref="B2504:C2504"/>
    <mergeCell ref="B2505:B2506"/>
    <mergeCell ref="A2507:A2509"/>
    <mergeCell ref="B2507:C2507"/>
    <mergeCell ref="B2508:B2509"/>
    <mergeCell ref="A2510:A2512"/>
    <mergeCell ref="B2510:C2510"/>
    <mergeCell ref="B2511:B2512"/>
    <mergeCell ref="A2460:A2472"/>
    <mergeCell ref="B2460:C2460"/>
    <mergeCell ref="B2461:B2462"/>
    <mergeCell ref="B2463:B2464"/>
    <mergeCell ref="B2465:B2466"/>
    <mergeCell ref="B2467:B2468"/>
    <mergeCell ref="B2469:B2470"/>
    <mergeCell ref="B2471:B2472"/>
    <mergeCell ref="A2473:A2485"/>
    <mergeCell ref="B2473:C2473"/>
    <mergeCell ref="B2474:B2475"/>
    <mergeCell ref="B2476:B2477"/>
    <mergeCell ref="B2478:B2479"/>
    <mergeCell ref="B2480:B2481"/>
    <mergeCell ref="B2482:B2483"/>
    <mergeCell ref="B2484:B2485"/>
    <mergeCell ref="A2486:A2494"/>
    <mergeCell ref="B2486:C2486"/>
    <mergeCell ref="B2487:B2488"/>
    <mergeCell ref="B2489:B2490"/>
    <mergeCell ref="B2491:B2492"/>
    <mergeCell ref="B2493:B2494"/>
    <mergeCell ref="B2427:B2428"/>
    <mergeCell ref="B2429:B2430"/>
    <mergeCell ref="B2431:B2432"/>
    <mergeCell ref="A2433:A2459"/>
    <mergeCell ref="B2433:C2433"/>
    <mergeCell ref="B2434:B2435"/>
    <mergeCell ref="B2436:B2437"/>
    <mergeCell ref="B2438:B2439"/>
    <mergeCell ref="B2440:B2441"/>
    <mergeCell ref="B2442:B2443"/>
    <mergeCell ref="B2444:B2445"/>
    <mergeCell ref="B2446:B2447"/>
    <mergeCell ref="B2448:B2449"/>
    <mergeCell ref="B2450:B2451"/>
    <mergeCell ref="B2452:B2453"/>
    <mergeCell ref="B2454:B2455"/>
    <mergeCell ref="B2456:B2457"/>
    <mergeCell ref="B2458:B2459"/>
    <mergeCell ref="A2283:A2432"/>
    <mergeCell ref="B2283:C2283"/>
    <mergeCell ref="B2284:B2285"/>
    <mergeCell ref="B2286:B2287"/>
    <mergeCell ref="B2288:B2289"/>
    <mergeCell ref="B2290:B2291"/>
    <mergeCell ref="B2292:B2293"/>
    <mergeCell ref="B2393:B2394"/>
    <mergeCell ref="B2395:B2396"/>
    <mergeCell ref="B2397:B2398"/>
    <mergeCell ref="B2399:B2400"/>
    <mergeCell ref="B2401:B2402"/>
    <mergeCell ref="B2403:B2404"/>
    <mergeCell ref="B2405:B2406"/>
    <mergeCell ref="B2407:B2408"/>
    <mergeCell ref="B2409:B2410"/>
    <mergeCell ref="B2411:B2412"/>
    <mergeCell ref="B2413:B2414"/>
    <mergeCell ref="B2415:B2416"/>
    <mergeCell ref="B2417:B2418"/>
    <mergeCell ref="B2419:B2420"/>
    <mergeCell ref="B2421:B2422"/>
    <mergeCell ref="B2423:B2424"/>
    <mergeCell ref="B2425:B2426"/>
    <mergeCell ref="B2359:B2360"/>
    <mergeCell ref="B2361:B2362"/>
    <mergeCell ref="B2363:B2364"/>
    <mergeCell ref="B2365:B2366"/>
    <mergeCell ref="B2367:B2368"/>
    <mergeCell ref="B2369:B2370"/>
    <mergeCell ref="B2371:B2372"/>
    <mergeCell ref="B2373:B2374"/>
    <mergeCell ref="B2375:B2376"/>
    <mergeCell ref="B2377:B2378"/>
    <mergeCell ref="B2379:B2380"/>
    <mergeCell ref="B2381:B2382"/>
    <mergeCell ref="B2383:B2384"/>
    <mergeCell ref="B2385:B2386"/>
    <mergeCell ref="B2387:B2388"/>
    <mergeCell ref="B2389:B2390"/>
    <mergeCell ref="B2391:B2392"/>
    <mergeCell ref="B2325:B2326"/>
    <mergeCell ref="B2327:B2328"/>
    <mergeCell ref="B2345:B2346"/>
    <mergeCell ref="B2347:B2348"/>
    <mergeCell ref="B2349:B2350"/>
    <mergeCell ref="B2351:B2352"/>
    <mergeCell ref="B2353:B2354"/>
    <mergeCell ref="B2355:B2356"/>
    <mergeCell ref="B2357:B2358"/>
    <mergeCell ref="B2329:B2330"/>
    <mergeCell ref="B2331:B2332"/>
    <mergeCell ref="B2333:B2334"/>
    <mergeCell ref="B2335:B2336"/>
    <mergeCell ref="B2337:B2338"/>
    <mergeCell ref="B2339:B2340"/>
    <mergeCell ref="B2341:B2342"/>
    <mergeCell ref="B2343:B2344"/>
    <mergeCell ref="B2279:B2280"/>
    <mergeCell ref="B2281:B2282"/>
    <mergeCell ref="B2309:B2310"/>
    <mergeCell ref="B2311:B2312"/>
    <mergeCell ref="B2313:B2314"/>
    <mergeCell ref="B2315:B2316"/>
    <mergeCell ref="B2317:B2318"/>
    <mergeCell ref="B2319:B2320"/>
    <mergeCell ref="B2321:B2322"/>
    <mergeCell ref="B2323:B2324"/>
    <mergeCell ref="B2294:B2295"/>
    <mergeCell ref="B2296:B2298"/>
    <mergeCell ref="B2299:B2300"/>
    <mergeCell ref="B2301:B2302"/>
    <mergeCell ref="B2303:B2304"/>
    <mergeCell ref="B2305:B2306"/>
    <mergeCell ref="B2307:B2308"/>
    <mergeCell ref="B2245:B2246"/>
    <mergeCell ref="B2247:B2248"/>
    <mergeCell ref="B2265:B2266"/>
    <mergeCell ref="B2267:B2268"/>
    <mergeCell ref="B2269:B2270"/>
    <mergeCell ref="B2271:B2272"/>
    <mergeCell ref="B2273:B2274"/>
    <mergeCell ref="B2275:B2276"/>
    <mergeCell ref="B2277:B2278"/>
    <mergeCell ref="B2249:B2250"/>
    <mergeCell ref="B2251:B2252"/>
    <mergeCell ref="B2253:B2254"/>
    <mergeCell ref="B2255:B2256"/>
    <mergeCell ref="B2257:B2258"/>
    <mergeCell ref="B2259:B2260"/>
    <mergeCell ref="B2261:B2262"/>
    <mergeCell ref="B2263:B2264"/>
    <mergeCell ref="B2197:B2198"/>
    <mergeCell ref="B2199:B2200"/>
    <mergeCell ref="B2201:B2202"/>
    <mergeCell ref="B2203:B2204"/>
    <mergeCell ref="B2205:B2206"/>
    <mergeCell ref="B2207:B2208"/>
    <mergeCell ref="B2209:B2210"/>
    <mergeCell ref="B2211:B2212"/>
    <mergeCell ref="B2213:B2214"/>
    <mergeCell ref="B2229:B2230"/>
    <mergeCell ref="B2231:B2232"/>
    <mergeCell ref="B2233:B2234"/>
    <mergeCell ref="B2235:B2236"/>
    <mergeCell ref="B2237:B2238"/>
    <mergeCell ref="B2239:B2240"/>
    <mergeCell ref="B2241:B2242"/>
    <mergeCell ref="B2243:B2244"/>
    <mergeCell ref="B2215:B2216"/>
    <mergeCell ref="B2217:B2218"/>
    <mergeCell ref="B2219:B2220"/>
    <mergeCell ref="B2221:B2222"/>
    <mergeCell ref="B2223:B2224"/>
    <mergeCell ref="B2225:B2226"/>
    <mergeCell ref="B2227:B2228"/>
    <mergeCell ref="B2147:B2148"/>
    <mergeCell ref="B2149:B2150"/>
    <mergeCell ref="B2151:B2152"/>
    <mergeCell ref="B2153:B2154"/>
    <mergeCell ref="B2155:B2156"/>
    <mergeCell ref="B2157:B2158"/>
    <mergeCell ref="B2159:B2160"/>
    <mergeCell ref="B2161:B2162"/>
    <mergeCell ref="B2163:B2164"/>
    <mergeCell ref="B2165:B2166"/>
    <mergeCell ref="B2167:B2168"/>
    <mergeCell ref="B2169:B2170"/>
    <mergeCell ref="B2171:B2172"/>
    <mergeCell ref="B2173:B2174"/>
    <mergeCell ref="B2175:B2176"/>
    <mergeCell ref="B2177:B2178"/>
    <mergeCell ref="B2179:B2180"/>
    <mergeCell ref="B2181:B2182"/>
    <mergeCell ref="B2183:B2184"/>
    <mergeCell ref="B2185:B2186"/>
    <mergeCell ref="B2187:B2188"/>
    <mergeCell ref="B2189:B2190"/>
    <mergeCell ref="B2191:B2192"/>
    <mergeCell ref="B2193:B2194"/>
    <mergeCell ref="B2195:B2196"/>
    <mergeCell ref="A2086:A2282"/>
    <mergeCell ref="B2086:C2086"/>
    <mergeCell ref="B2087:B2088"/>
    <mergeCell ref="B2089:B2090"/>
    <mergeCell ref="B2091:B2092"/>
    <mergeCell ref="B2093:B2094"/>
    <mergeCell ref="B2095:B2096"/>
    <mergeCell ref="B2097:B2098"/>
    <mergeCell ref="B2099:B2100"/>
    <mergeCell ref="B2101:B2102"/>
    <mergeCell ref="B2103:B2104"/>
    <mergeCell ref="B2105:B2106"/>
    <mergeCell ref="B2107:B2108"/>
    <mergeCell ref="B2109:B2110"/>
    <mergeCell ref="B2111:B2112"/>
    <mergeCell ref="B2113:B2114"/>
    <mergeCell ref="B2115:B2116"/>
    <mergeCell ref="B2117:B2118"/>
    <mergeCell ref="B2119:B2120"/>
    <mergeCell ref="B2121:B2122"/>
    <mergeCell ref="B2123:B2124"/>
    <mergeCell ref="B2125:B2126"/>
    <mergeCell ref="B2127:B2128"/>
    <mergeCell ref="B2129:B2130"/>
    <mergeCell ref="B2131:B2132"/>
    <mergeCell ref="B2133:B2134"/>
    <mergeCell ref="B2135:B2136"/>
    <mergeCell ref="B2137:B2138"/>
    <mergeCell ref="B2139:B2140"/>
    <mergeCell ref="B2141:B2142"/>
    <mergeCell ref="B2143:B2144"/>
    <mergeCell ref="B2145:B2146"/>
    <mergeCell ref="B2052:B2053"/>
    <mergeCell ref="B2054:B2055"/>
    <mergeCell ref="B2056:B2057"/>
    <mergeCell ref="B2058:B2059"/>
    <mergeCell ref="B2060:B2061"/>
    <mergeCell ref="B2062:B2063"/>
    <mergeCell ref="B2064:B2065"/>
    <mergeCell ref="B2066:B2067"/>
    <mergeCell ref="B2068:B2069"/>
    <mergeCell ref="B2070:B2071"/>
    <mergeCell ref="B2072:B2073"/>
    <mergeCell ref="B2074:B2075"/>
    <mergeCell ref="B2076:B2077"/>
    <mergeCell ref="B2078:B2079"/>
    <mergeCell ref="B2080:B2081"/>
    <mergeCell ref="B2082:B2083"/>
    <mergeCell ref="B2084:B2085"/>
    <mergeCell ref="B2018:B2019"/>
    <mergeCell ref="B2020:B2021"/>
    <mergeCell ref="B2022:B2023"/>
    <mergeCell ref="B2024:B2025"/>
    <mergeCell ref="B2026:B2027"/>
    <mergeCell ref="B2028:B2029"/>
    <mergeCell ref="B2030:B2031"/>
    <mergeCell ref="B2032:B2033"/>
    <mergeCell ref="B2034:B2035"/>
    <mergeCell ref="B2036:B2037"/>
    <mergeCell ref="B2038:B2039"/>
    <mergeCell ref="B2040:B2041"/>
    <mergeCell ref="B2042:B2043"/>
    <mergeCell ref="B2044:B2045"/>
    <mergeCell ref="B2046:B2047"/>
    <mergeCell ref="B2048:B2049"/>
    <mergeCell ref="B2050:B2051"/>
    <mergeCell ref="B1984:B1985"/>
    <mergeCell ref="B1986:B1987"/>
    <mergeCell ref="B1988:B1989"/>
    <mergeCell ref="B1990:B1991"/>
    <mergeCell ref="B1992:B1993"/>
    <mergeCell ref="B1994:B1995"/>
    <mergeCell ref="B1996:B1997"/>
    <mergeCell ref="B1998:B1999"/>
    <mergeCell ref="B2000:B2001"/>
    <mergeCell ref="B2002:B2003"/>
    <mergeCell ref="B2004:B2005"/>
    <mergeCell ref="B2006:B2007"/>
    <mergeCell ref="B2008:B2009"/>
    <mergeCell ref="B2010:B2011"/>
    <mergeCell ref="B2012:B2013"/>
    <mergeCell ref="B2014:B2015"/>
    <mergeCell ref="B2016:B2017"/>
    <mergeCell ref="B1950:B1951"/>
    <mergeCell ref="B1952:B1953"/>
    <mergeCell ref="B1954:B1955"/>
    <mergeCell ref="B1956:B1957"/>
    <mergeCell ref="B1958:B1959"/>
    <mergeCell ref="B1960:B1961"/>
    <mergeCell ref="B1962:B1963"/>
    <mergeCell ref="B1964:B1965"/>
    <mergeCell ref="B1966:B1967"/>
    <mergeCell ref="B1968:B1969"/>
    <mergeCell ref="B1970:B1971"/>
    <mergeCell ref="B1972:B1973"/>
    <mergeCell ref="B1974:B1975"/>
    <mergeCell ref="B1976:B1977"/>
    <mergeCell ref="B1978:B1979"/>
    <mergeCell ref="B1980:B1981"/>
    <mergeCell ref="B1982:B1983"/>
    <mergeCell ref="B1916:B1917"/>
    <mergeCell ref="B1918:B1919"/>
    <mergeCell ref="B1920:B1921"/>
    <mergeCell ref="B1922:B1923"/>
    <mergeCell ref="B1924:B1925"/>
    <mergeCell ref="B1926:B1927"/>
    <mergeCell ref="B1928:B1929"/>
    <mergeCell ref="B1930:B1931"/>
    <mergeCell ref="B1932:B1933"/>
    <mergeCell ref="B1934:B1935"/>
    <mergeCell ref="B1936:B1937"/>
    <mergeCell ref="B1938:B1939"/>
    <mergeCell ref="B1940:B1941"/>
    <mergeCell ref="B1942:B1943"/>
    <mergeCell ref="B1944:B1945"/>
    <mergeCell ref="B1946:B1947"/>
    <mergeCell ref="B1948:B1949"/>
    <mergeCell ref="B1882:B1883"/>
    <mergeCell ref="B1884:B1885"/>
    <mergeCell ref="B1886:B1887"/>
    <mergeCell ref="B1888:B1889"/>
    <mergeCell ref="B1890:B1891"/>
    <mergeCell ref="B1892:B1893"/>
    <mergeCell ref="B1894:B1895"/>
    <mergeCell ref="B1896:B1897"/>
    <mergeCell ref="B1898:B1899"/>
    <mergeCell ref="B1900:B1901"/>
    <mergeCell ref="B1902:B1903"/>
    <mergeCell ref="B1904:B1905"/>
    <mergeCell ref="B1906:B1907"/>
    <mergeCell ref="B1908:B1909"/>
    <mergeCell ref="B1910:B1911"/>
    <mergeCell ref="B1912:B1913"/>
    <mergeCell ref="B1914:B1915"/>
    <mergeCell ref="B1821:B1822"/>
    <mergeCell ref="B1823:B1824"/>
    <mergeCell ref="B1825:B1826"/>
    <mergeCell ref="B1827:B1828"/>
    <mergeCell ref="B1829:B1830"/>
    <mergeCell ref="B1831:B1832"/>
    <mergeCell ref="B1833:B1834"/>
    <mergeCell ref="B1835:B1836"/>
    <mergeCell ref="B1837:B1838"/>
    <mergeCell ref="B1839:B1840"/>
    <mergeCell ref="B1841:B1842"/>
    <mergeCell ref="B1843:B1844"/>
    <mergeCell ref="A1845:A2085"/>
    <mergeCell ref="B1845:C1845"/>
    <mergeCell ref="B1846:B1847"/>
    <mergeCell ref="B1848:B1849"/>
    <mergeCell ref="B1850:B1851"/>
    <mergeCell ref="B1852:B1853"/>
    <mergeCell ref="B1854:B1855"/>
    <mergeCell ref="B1856:B1857"/>
    <mergeCell ref="B1858:B1859"/>
    <mergeCell ref="B1860:B1861"/>
    <mergeCell ref="B1862:B1863"/>
    <mergeCell ref="B1864:B1865"/>
    <mergeCell ref="B1866:B1867"/>
    <mergeCell ref="B1868:B1869"/>
    <mergeCell ref="B1870:B1871"/>
    <mergeCell ref="B1872:B1873"/>
    <mergeCell ref="B1874:B1875"/>
    <mergeCell ref="B1876:B1877"/>
    <mergeCell ref="B1878:B1879"/>
    <mergeCell ref="B1880:B1881"/>
    <mergeCell ref="B1787:B1788"/>
    <mergeCell ref="B1789:B1790"/>
    <mergeCell ref="B1791:B1792"/>
    <mergeCell ref="B1793:B1794"/>
    <mergeCell ref="B1795:B1796"/>
    <mergeCell ref="B1797:B1798"/>
    <mergeCell ref="B1799:B1800"/>
    <mergeCell ref="B1801:B1802"/>
    <mergeCell ref="B1803:B1804"/>
    <mergeCell ref="B1805:B1806"/>
    <mergeCell ref="B1807:B1808"/>
    <mergeCell ref="B1809:B1810"/>
    <mergeCell ref="B1811:B1812"/>
    <mergeCell ref="B1813:B1814"/>
    <mergeCell ref="B1815:B1816"/>
    <mergeCell ref="B1817:B1818"/>
    <mergeCell ref="B1819:B1820"/>
    <mergeCell ref="B1753:B1754"/>
    <mergeCell ref="B1755:B1756"/>
    <mergeCell ref="B1757:B1758"/>
    <mergeCell ref="B1759:B1760"/>
    <mergeCell ref="B1761:B1762"/>
    <mergeCell ref="B1763:B1764"/>
    <mergeCell ref="B1765:B1766"/>
    <mergeCell ref="B1767:B1768"/>
    <mergeCell ref="B1769:B1770"/>
    <mergeCell ref="B1771:B1772"/>
    <mergeCell ref="B1773:B1774"/>
    <mergeCell ref="B1775:B1776"/>
    <mergeCell ref="B1777:B1778"/>
    <mergeCell ref="B1779:B1780"/>
    <mergeCell ref="B1781:B1782"/>
    <mergeCell ref="B1783:B1784"/>
    <mergeCell ref="B1785:B1786"/>
    <mergeCell ref="B1719:B1720"/>
    <mergeCell ref="B1721:B1722"/>
    <mergeCell ref="B1723:B1724"/>
    <mergeCell ref="B1725:B1726"/>
    <mergeCell ref="B1727:B1728"/>
    <mergeCell ref="B1729:B1730"/>
    <mergeCell ref="B1731:B1732"/>
    <mergeCell ref="B1733:B1734"/>
    <mergeCell ref="B1735:B1736"/>
    <mergeCell ref="B1737:B1738"/>
    <mergeCell ref="B1739:B1740"/>
    <mergeCell ref="B1741:B1742"/>
    <mergeCell ref="B1743:B1744"/>
    <mergeCell ref="B1745:B1746"/>
    <mergeCell ref="B1747:B1748"/>
    <mergeCell ref="B1749:B1750"/>
    <mergeCell ref="B1751:B1752"/>
    <mergeCell ref="B1685:B1686"/>
    <mergeCell ref="B1687:B1688"/>
    <mergeCell ref="B1689:B1690"/>
    <mergeCell ref="B1691:B1692"/>
    <mergeCell ref="B1693:B1694"/>
    <mergeCell ref="B1695:B1696"/>
    <mergeCell ref="B1697:B1698"/>
    <mergeCell ref="B1699:B1700"/>
    <mergeCell ref="B1701:B1702"/>
    <mergeCell ref="B1703:B1704"/>
    <mergeCell ref="B1705:B1706"/>
    <mergeCell ref="B1707:B1708"/>
    <mergeCell ref="B1709:B1710"/>
    <mergeCell ref="B1711:B1712"/>
    <mergeCell ref="B1713:B1714"/>
    <mergeCell ref="B1715:B1716"/>
    <mergeCell ref="B1717:B1718"/>
    <mergeCell ref="B1651:B1652"/>
    <mergeCell ref="B1653:B1654"/>
    <mergeCell ref="B1655:B1656"/>
    <mergeCell ref="B1657:B1658"/>
    <mergeCell ref="B1659:B1660"/>
    <mergeCell ref="B1661:B1662"/>
    <mergeCell ref="B1663:B1664"/>
    <mergeCell ref="B1665:B1666"/>
    <mergeCell ref="B1667:B1668"/>
    <mergeCell ref="B1669:B1670"/>
    <mergeCell ref="B1671:B1672"/>
    <mergeCell ref="B1673:B1674"/>
    <mergeCell ref="B1675:B1676"/>
    <mergeCell ref="B1677:B1678"/>
    <mergeCell ref="B1679:B1680"/>
    <mergeCell ref="B1681:B1682"/>
    <mergeCell ref="B1683:B1684"/>
    <mergeCell ref="B1590:B1591"/>
    <mergeCell ref="B1592:B1593"/>
    <mergeCell ref="B1594:B1595"/>
    <mergeCell ref="B1596:B1597"/>
    <mergeCell ref="B1598:B1599"/>
    <mergeCell ref="B1600:B1601"/>
    <mergeCell ref="B1602:B1603"/>
    <mergeCell ref="B1604:B1605"/>
    <mergeCell ref="B1606:B1607"/>
    <mergeCell ref="A1608:A1844"/>
    <mergeCell ref="B1608:C1608"/>
    <mergeCell ref="B1609:B1610"/>
    <mergeCell ref="B1611:B1612"/>
    <mergeCell ref="B1613:B1614"/>
    <mergeCell ref="B1615:B1616"/>
    <mergeCell ref="B1617:B1618"/>
    <mergeCell ref="B1619:B1620"/>
    <mergeCell ref="B1621:B1622"/>
    <mergeCell ref="B1623:B1624"/>
    <mergeCell ref="B1625:B1626"/>
    <mergeCell ref="B1627:B1628"/>
    <mergeCell ref="B1629:B1630"/>
    <mergeCell ref="B1631:B1632"/>
    <mergeCell ref="B1633:B1634"/>
    <mergeCell ref="B1635:B1636"/>
    <mergeCell ref="B1637:B1638"/>
    <mergeCell ref="B1639:B1640"/>
    <mergeCell ref="B1641:B1642"/>
    <mergeCell ref="B1643:B1644"/>
    <mergeCell ref="B1645:B1646"/>
    <mergeCell ref="B1647:B1648"/>
    <mergeCell ref="B1649:B1650"/>
    <mergeCell ref="B1556:B1557"/>
    <mergeCell ref="B1558:B1559"/>
    <mergeCell ref="B1560:B1561"/>
    <mergeCell ref="B1562:B1563"/>
    <mergeCell ref="B1564:B1565"/>
    <mergeCell ref="B1566:B1567"/>
    <mergeCell ref="B1568:B1569"/>
    <mergeCell ref="B1570:B1571"/>
    <mergeCell ref="B1572:B1573"/>
    <mergeCell ref="B1574:B1575"/>
    <mergeCell ref="B1576:B1577"/>
    <mergeCell ref="B1578:B1579"/>
    <mergeCell ref="B1580:B1581"/>
    <mergeCell ref="B1582:B1583"/>
    <mergeCell ref="B1584:B1585"/>
    <mergeCell ref="B1586:B1587"/>
    <mergeCell ref="B1588:B1589"/>
    <mergeCell ref="B1495:B1496"/>
    <mergeCell ref="B1497:B1498"/>
    <mergeCell ref="B1499:B1500"/>
    <mergeCell ref="B1501:B1502"/>
    <mergeCell ref="B1503:B1504"/>
    <mergeCell ref="B1505:B1506"/>
    <mergeCell ref="B1507:B1508"/>
    <mergeCell ref="B1509:B1510"/>
    <mergeCell ref="B1511:B1512"/>
    <mergeCell ref="B1513:B1514"/>
    <mergeCell ref="A1515:A1607"/>
    <mergeCell ref="B1515:C1515"/>
    <mergeCell ref="B1516:B1517"/>
    <mergeCell ref="B1518:B1519"/>
    <mergeCell ref="B1520:B1521"/>
    <mergeCell ref="B1522:B1523"/>
    <mergeCell ref="B1524:B1525"/>
    <mergeCell ref="B1526:B1527"/>
    <mergeCell ref="B1528:B1529"/>
    <mergeCell ref="B1530:B1531"/>
    <mergeCell ref="B1532:B1533"/>
    <mergeCell ref="B1534:B1535"/>
    <mergeCell ref="B1536:B1537"/>
    <mergeCell ref="B1538:B1539"/>
    <mergeCell ref="B1540:B1541"/>
    <mergeCell ref="B1542:B1543"/>
    <mergeCell ref="B1544:B1545"/>
    <mergeCell ref="B1546:B1547"/>
    <mergeCell ref="B1548:B1549"/>
    <mergeCell ref="B1550:B1551"/>
    <mergeCell ref="B1552:B1553"/>
    <mergeCell ref="B1554:B1555"/>
    <mergeCell ref="B1461:B1462"/>
    <mergeCell ref="B1463:B1464"/>
    <mergeCell ref="B1465:B1466"/>
    <mergeCell ref="B1467:B1468"/>
    <mergeCell ref="B1469:B1470"/>
    <mergeCell ref="B1471:B1472"/>
    <mergeCell ref="B1473:B1474"/>
    <mergeCell ref="B1475:B1476"/>
    <mergeCell ref="B1477:B1478"/>
    <mergeCell ref="B1479:B1480"/>
    <mergeCell ref="B1481:B1482"/>
    <mergeCell ref="B1483:B1484"/>
    <mergeCell ref="B1485:B1486"/>
    <mergeCell ref="B1487:B1488"/>
    <mergeCell ref="B1489:B1490"/>
    <mergeCell ref="B1491:B1492"/>
    <mergeCell ref="B1493:B1494"/>
    <mergeCell ref="B1400:B1401"/>
    <mergeCell ref="B1402:B1403"/>
    <mergeCell ref="B1404:B1405"/>
    <mergeCell ref="B1406:B1407"/>
    <mergeCell ref="B1408:B1409"/>
    <mergeCell ref="B1410:B1411"/>
    <mergeCell ref="B1412:B1413"/>
    <mergeCell ref="B1414:B1415"/>
    <mergeCell ref="B1416:B1417"/>
    <mergeCell ref="B1418:B1419"/>
    <mergeCell ref="B1420:B1421"/>
    <mergeCell ref="B1422:B1423"/>
    <mergeCell ref="B1424:B1425"/>
    <mergeCell ref="A1426:A1514"/>
    <mergeCell ref="B1426:C1426"/>
    <mergeCell ref="B1427:B1428"/>
    <mergeCell ref="B1429:B1430"/>
    <mergeCell ref="B1431:B1432"/>
    <mergeCell ref="B1433:B1434"/>
    <mergeCell ref="B1435:B1436"/>
    <mergeCell ref="B1437:B1438"/>
    <mergeCell ref="B1439:B1440"/>
    <mergeCell ref="B1441:B1442"/>
    <mergeCell ref="B1443:B1444"/>
    <mergeCell ref="B1445:B1446"/>
    <mergeCell ref="B1447:B1448"/>
    <mergeCell ref="B1449:B1450"/>
    <mergeCell ref="B1451:B1452"/>
    <mergeCell ref="B1453:B1454"/>
    <mergeCell ref="B1455:B1456"/>
    <mergeCell ref="B1457:B1458"/>
    <mergeCell ref="B1459:B1460"/>
    <mergeCell ref="B1366:B1367"/>
    <mergeCell ref="B1368:B1369"/>
    <mergeCell ref="B1370:B1371"/>
    <mergeCell ref="B1372:B1373"/>
    <mergeCell ref="B1374:B1375"/>
    <mergeCell ref="B1376:B1377"/>
    <mergeCell ref="B1378:B1379"/>
    <mergeCell ref="B1380:B1381"/>
    <mergeCell ref="B1382:B1383"/>
    <mergeCell ref="B1384:B1385"/>
    <mergeCell ref="B1386:B1387"/>
    <mergeCell ref="B1388:B1389"/>
    <mergeCell ref="B1390:B1391"/>
    <mergeCell ref="B1392:B1393"/>
    <mergeCell ref="B1394:B1395"/>
    <mergeCell ref="B1396:B1397"/>
    <mergeCell ref="B1398:B1399"/>
    <mergeCell ref="B1332:B1333"/>
    <mergeCell ref="B1334:B1335"/>
    <mergeCell ref="B1336:B1337"/>
    <mergeCell ref="B1338:B1339"/>
    <mergeCell ref="B1340:B1341"/>
    <mergeCell ref="B1342:B1343"/>
    <mergeCell ref="B1344:B1345"/>
    <mergeCell ref="B1346:B1347"/>
    <mergeCell ref="B1348:B1349"/>
    <mergeCell ref="B1350:B1351"/>
    <mergeCell ref="B1352:B1353"/>
    <mergeCell ref="B1354:B1355"/>
    <mergeCell ref="B1356:B1357"/>
    <mergeCell ref="B1358:B1359"/>
    <mergeCell ref="B1360:B1361"/>
    <mergeCell ref="B1362:B1363"/>
    <mergeCell ref="B1364:B1365"/>
    <mergeCell ref="B1298:B1299"/>
    <mergeCell ref="B1300:B1301"/>
    <mergeCell ref="B1302:B1303"/>
    <mergeCell ref="B1304:B1305"/>
    <mergeCell ref="B1306:B1307"/>
    <mergeCell ref="B1308:B1309"/>
    <mergeCell ref="B1310:B1311"/>
    <mergeCell ref="B1312:B1313"/>
    <mergeCell ref="B1314:B1315"/>
    <mergeCell ref="B1316:B1317"/>
    <mergeCell ref="B1318:B1319"/>
    <mergeCell ref="B1320:B1321"/>
    <mergeCell ref="B1322:B1323"/>
    <mergeCell ref="B1324:B1325"/>
    <mergeCell ref="B1326:B1327"/>
    <mergeCell ref="B1328:B1329"/>
    <mergeCell ref="B1330:B1331"/>
    <mergeCell ref="B1264:B1265"/>
    <mergeCell ref="B1266:B1267"/>
    <mergeCell ref="B1268:B1269"/>
    <mergeCell ref="B1270:B1271"/>
    <mergeCell ref="B1272:B1273"/>
    <mergeCell ref="B1274:B1275"/>
    <mergeCell ref="B1276:B1277"/>
    <mergeCell ref="B1278:B1279"/>
    <mergeCell ref="B1280:B1281"/>
    <mergeCell ref="B1282:B1283"/>
    <mergeCell ref="B1284:B1285"/>
    <mergeCell ref="B1286:B1287"/>
    <mergeCell ref="B1288:B1289"/>
    <mergeCell ref="B1290:B1291"/>
    <mergeCell ref="B1292:B1293"/>
    <mergeCell ref="B1294:B1295"/>
    <mergeCell ref="B1296:B1297"/>
    <mergeCell ref="B1230:B1231"/>
    <mergeCell ref="B1232:B1233"/>
    <mergeCell ref="B1234:B1235"/>
    <mergeCell ref="B1236:B1237"/>
    <mergeCell ref="B1238:B1239"/>
    <mergeCell ref="B1240:B1241"/>
    <mergeCell ref="B1242:B1243"/>
    <mergeCell ref="B1244:B1245"/>
    <mergeCell ref="B1246:B1247"/>
    <mergeCell ref="B1248:B1249"/>
    <mergeCell ref="B1250:B1251"/>
    <mergeCell ref="B1252:B1253"/>
    <mergeCell ref="B1254:B1255"/>
    <mergeCell ref="B1256:B1257"/>
    <mergeCell ref="B1258:B1259"/>
    <mergeCell ref="B1260:B1261"/>
    <mergeCell ref="B1262:B1263"/>
    <mergeCell ref="B1196:B1197"/>
    <mergeCell ref="B1198:B1199"/>
    <mergeCell ref="B1200:B1201"/>
    <mergeCell ref="B1202:B1203"/>
    <mergeCell ref="B1204:B1205"/>
    <mergeCell ref="B1206:B1207"/>
    <mergeCell ref="B1208:B1209"/>
    <mergeCell ref="B1210:B1211"/>
    <mergeCell ref="B1212:B1213"/>
    <mergeCell ref="B1214:B1215"/>
    <mergeCell ref="B1216:B1217"/>
    <mergeCell ref="B1218:B1219"/>
    <mergeCell ref="B1220:B1221"/>
    <mergeCell ref="B1222:B1223"/>
    <mergeCell ref="B1224:B1225"/>
    <mergeCell ref="B1226:B1227"/>
    <mergeCell ref="B1228:B1229"/>
    <mergeCell ref="B1162:B1163"/>
    <mergeCell ref="B1164:B1165"/>
    <mergeCell ref="B1166:B1167"/>
    <mergeCell ref="B1168:B1169"/>
    <mergeCell ref="B1170:B1171"/>
    <mergeCell ref="B1172:B1173"/>
    <mergeCell ref="B1174:B1175"/>
    <mergeCell ref="B1176:B1177"/>
    <mergeCell ref="B1178:B1179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B1128:B1129"/>
    <mergeCell ref="B1130:B1131"/>
    <mergeCell ref="B1132:B1133"/>
    <mergeCell ref="B1134:B1135"/>
    <mergeCell ref="B1136:B1137"/>
    <mergeCell ref="B1138:B1139"/>
    <mergeCell ref="B1140:B1141"/>
    <mergeCell ref="B1142:B1143"/>
    <mergeCell ref="B1144:B1145"/>
    <mergeCell ref="B1146:B1147"/>
    <mergeCell ref="B1148:B1149"/>
    <mergeCell ref="B1150:B1151"/>
    <mergeCell ref="B1152:B1153"/>
    <mergeCell ref="B1154:B1155"/>
    <mergeCell ref="B1156:B1157"/>
    <mergeCell ref="B1158:B1159"/>
    <mergeCell ref="B1160:B1161"/>
    <mergeCell ref="B1094:B1095"/>
    <mergeCell ref="B1096:B1097"/>
    <mergeCell ref="B1098:B1099"/>
    <mergeCell ref="B1100:B1101"/>
    <mergeCell ref="B1102:B1103"/>
    <mergeCell ref="B1104:B1105"/>
    <mergeCell ref="B1106:B1107"/>
    <mergeCell ref="B1108:B1109"/>
    <mergeCell ref="B1110:B1111"/>
    <mergeCell ref="B1112:B1113"/>
    <mergeCell ref="B1114:B1115"/>
    <mergeCell ref="B1116:B1117"/>
    <mergeCell ref="B1118:B1119"/>
    <mergeCell ref="B1120:B1121"/>
    <mergeCell ref="B1122:B1123"/>
    <mergeCell ref="B1124:B1125"/>
    <mergeCell ref="B1126:B1127"/>
    <mergeCell ref="B1060:B1061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80:B1081"/>
    <mergeCell ref="B1082:B1083"/>
    <mergeCell ref="B1084:B1085"/>
    <mergeCell ref="B1086:B1087"/>
    <mergeCell ref="B1088:B1089"/>
    <mergeCell ref="B1090:B1091"/>
    <mergeCell ref="B1092:B1093"/>
    <mergeCell ref="B1026:B1027"/>
    <mergeCell ref="B1028:B1029"/>
    <mergeCell ref="B1030:B1031"/>
    <mergeCell ref="B1032:B1033"/>
    <mergeCell ref="B1034:B1035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992:B993"/>
    <mergeCell ref="B994:B995"/>
    <mergeCell ref="B996:B997"/>
    <mergeCell ref="B998:B999"/>
    <mergeCell ref="B1000:B1001"/>
    <mergeCell ref="B1002:B1003"/>
    <mergeCell ref="B1004:B1005"/>
    <mergeCell ref="B1006:B1007"/>
    <mergeCell ref="B1008:B1009"/>
    <mergeCell ref="B1010:B1011"/>
    <mergeCell ref="B1012:B1013"/>
    <mergeCell ref="B1014:B1015"/>
    <mergeCell ref="B1016:B1017"/>
    <mergeCell ref="B1018:B1019"/>
    <mergeCell ref="B1020:B1021"/>
    <mergeCell ref="B1022:B1023"/>
    <mergeCell ref="B1024:B1025"/>
    <mergeCell ref="B958:B959"/>
    <mergeCell ref="B960:B961"/>
    <mergeCell ref="B962:B963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82:B983"/>
    <mergeCell ref="B984:B985"/>
    <mergeCell ref="B986:B987"/>
    <mergeCell ref="B988:B989"/>
    <mergeCell ref="B990:B991"/>
    <mergeCell ref="B924:B925"/>
    <mergeCell ref="B926:B927"/>
    <mergeCell ref="B928:B929"/>
    <mergeCell ref="B930:B931"/>
    <mergeCell ref="B932:B933"/>
    <mergeCell ref="B934:B935"/>
    <mergeCell ref="B936:B937"/>
    <mergeCell ref="B938:B939"/>
    <mergeCell ref="B940:B941"/>
    <mergeCell ref="B942:B943"/>
    <mergeCell ref="B944:B945"/>
    <mergeCell ref="B946:B947"/>
    <mergeCell ref="B948:B949"/>
    <mergeCell ref="B950:B951"/>
    <mergeCell ref="B952:B953"/>
    <mergeCell ref="B954:B955"/>
    <mergeCell ref="B956:B957"/>
    <mergeCell ref="B890:B891"/>
    <mergeCell ref="B892:B893"/>
    <mergeCell ref="B894:B895"/>
    <mergeCell ref="B896:B897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B916:B917"/>
    <mergeCell ref="B918:B919"/>
    <mergeCell ref="B920:B921"/>
    <mergeCell ref="B922:B923"/>
    <mergeCell ref="B829:B830"/>
    <mergeCell ref="B831:B832"/>
    <mergeCell ref="B833:B834"/>
    <mergeCell ref="B835:B836"/>
    <mergeCell ref="B837:B838"/>
    <mergeCell ref="B839:B840"/>
    <mergeCell ref="B841:B842"/>
    <mergeCell ref="B843:B844"/>
    <mergeCell ref="B845:B846"/>
    <mergeCell ref="A847:A1425"/>
    <mergeCell ref="B847:C847"/>
    <mergeCell ref="B848:B849"/>
    <mergeCell ref="B850:B851"/>
    <mergeCell ref="B852:B853"/>
    <mergeCell ref="B854:B855"/>
    <mergeCell ref="B856:B857"/>
    <mergeCell ref="B858:B859"/>
    <mergeCell ref="B860:B861"/>
    <mergeCell ref="B862:B863"/>
    <mergeCell ref="B864:B865"/>
    <mergeCell ref="B866:B867"/>
    <mergeCell ref="B868:B869"/>
    <mergeCell ref="B870:B871"/>
    <mergeCell ref="B872:B873"/>
    <mergeCell ref="B874:B875"/>
    <mergeCell ref="B876:B877"/>
    <mergeCell ref="B878:B879"/>
    <mergeCell ref="B880:B881"/>
    <mergeCell ref="B882:B883"/>
    <mergeCell ref="B884:B885"/>
    <mergeCell ref="B886:B887"/>
    <mergeCell ref="B888:B889"/>
    <mergeCell ref="B795:B796"/>
    <mergeCell ref="B797:B798"/>
    <mergeCell ref="B799:B800"/>
    <mergeCell ref="B801:B802"/>
    <mergeCell ref="B803:B804"/>
    <mergeCell ref="B805:B806"/>
    <mergeCell ref="B807:B808"/>
    <mergeCell ref="B809:B810"/>
    <mergeCell ref="B811:B812"/>
    <mergeCell ref="B813:B814"/>
    <mergeCell ref="B815:B816"/>
    <mergeCell ref="B817:B818"/>
    <mergeCell ref="B819:B820"/>
    <mergeCell ref="B821:B822"/>
    <mergeCell ref="B823:B824"/>
    <mergeCell ref="B825:B826"/>
    <mergeCell ref="B827:B828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A750:A846"/>
    <mergeCell ref="B750:C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00:B701"/>
    <mergeCell ref="B702:B703"/>
    <mergeCell ref="B704:B705"/>
    <mergeCell ref="B706:B707"/>
    <mergeCell ref="B708:B709"/>
    <mergeCell ref="B710:B711"/>
    <mergeCell ref="B712:B713"/>
    <mergeCell ref="B714:B715"/>
    <mergeCell ref="B716:B717"/>
    <mergeCell ref="B718:B719"/>
    <mergeCell ref="B720:B721"/>
    <mergeCell ref="B722:B723"/>
    <mergeCell ref="B724:B725"/>
    <mergeCell ref="B726:B727"/>
    <mergeCell ref="B728:B729"/>
    <mergeCell ref="B730:B731"/>
    <mergeCell ref="B732:B733"/>
    <mergeCell ref="B666:B667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B664:B665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537:B538"/>
    <mergeCell ref="B539:B540"/>
    <mergeCell ref="B541:B542"/>
    <mergeCell ref="B543:B544"/>
    <mergeCell ref="B545:B546"/>
    <mergeCell ref="B547:B548"/>
    <mergeCell ref="B549:B550"/>
    <mergeCell ref="A551:A749"/>
    <mergeCell ref="B551:C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A1:H1"/>
    <mergeCell ref="A2:H2"/>
    <mergeCell ref="A3:H3"/>
    <mergeCell ref="A7:C7"/>
    <mergeCell ref="A8:A550"/>
    <mergeCell ref="B8:C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CC4C-02E0-4508-9DF5-53D7D2D53651}">
  <dimension ref="A1:H1249"/>
  <sheetViews>
    <sheetView workbookViewId="0">
      <selection activeCell="C7" sqref="C7"/>
    </sheetView>
  </sheetViews>
  <sheetFormatPr defaultRowHeight="15"/>
  <cols>
    <col min="1" max="1" width="15.42578125" customWidth="1"/>
    <col min="2" max="2" width="38.5703125" bestFit="1" customWidth="1"/>
    <col min="3" max="3" width="99.5703125" customWidth="1"/>
    <col min="4" max="6" width="12.5703125" customWidth="1"/>
    <col min="7" max="7" width="13.5703125" customWidth="1"/>
    <col min="8" max="8" width="10.42578125" customWidth="1"/>
  </cols>
  <sheetData>
    <row r="1" spans="1:8" ht="48" customHeight="1">
      <c r="A1" s="6" t="s">
        <v>0</v>
      </c>
    </row>
    <row r="2" spans="1:8" ht="21.75" customHeight="1">
      <c r="A2" s="7" t="s">
        <v>1</v>
      </c>
    </row>
    <row r="3" spans="1:8" ht="18">
      <c r="A3" s="8" t="s">
        <v>2</v>
      </c>
    </row>
    <row r="5" spans="1:8">
      <c r="A5" s="2"/>
      <c r="B5" s="2"/>
      <c r="C5" s="2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>
      <c r="A7" s="9" t="s">
        <v>13</v>
      </c>
      <c r="B7" t="s">
        <v>15</v>
      </c>
      <c r="C7" s="5" t="s">
        <v>17</v>
      </c>
      <c r="D7" s="1">
        <v>61886.57</v>
      </c>
      <c r="F7" s="1">
        <v>227733.94</v>
      </c>
      <c r="G7" s="1">
        <v>2487.1799999999998</v>
      </c>
    </row>
    <row r="8" spans="1:8">
      <c r="A8" s="9" t="s">
        <v>13</v>
      </c>
      <c r="B8" t="s">
        <v>18</v>
      </c>
      <c r="C8" s="5" t="s">
        <v>20</v>
      </c>
      <c r="D8" s="1">
        <v>16721.7</v>
      </c>
      <c r="F8" s="1">
        <v>29637.93</v>
      </c>
      <c r="G8" s="1">
        <v>4238.88</v>
      </c>
    </row>
    <row r="9" spans="1:8">
      <c r="A9" s="9" t="s">
        <v>13</v>
      </c>
      <c r="B9" t="s">
        <v>21</v>
      </c>
      <c r="C9" s="5" t="s">
        <v>23</v>
      </c>
      <c r="D9" s="1">
        <v>122848.96000000001</v>
      </c>
      <c r="G9" s="1">
        <v>234.58</v>
      </c>
    </row>
    <row r="10" spans="1:8">
      <c r="A10" s="9" t="s">
        <v>13</v>
      </c>
      <c r="B10" t="s">
        <v>24</v>
      </c>
      <c r="C10" s="5" t="s">
        <v>26</v>
      </c>
      <c r="D10" s="1">
        <v>9885.3799999999992</v>
      </c>
      <c r="F10" s="1">
        <v>8437.2999999999993</v>
      </c>
      <c r="G10" s="1">
        <v>1478.92</v>
      </c>
    </row>
    <row r="11" spans="1:8">
      <c r="A11" s="9" t="s">
        <v>13</v>
      </c>
      <c r="B11" t="s">
        <v>27</v>
      </c>
      <c r="C11" s="5" t="s">
        <v>29</v>
      </c>
      <c r="D11" s="1">
        <v>27022.91</v>
      </c>
      <c r="F11" s="1">
        <v>142052.04999999999</v>
      </c>
    </row>
    <row r="12" spans="1:8">
      <c r="A12" s="9" t="s">
        <v>13</v>
      </c>
      <c r="B12" t="s">
        <v>30</v>
      </c>
      <c r="C12" s="5" t="s">
        <v>32</v>
      </c>
      <c r="D12" s="1">
        <v>33561.57</v>
      </c>
      <c r="E12" s="1">
        <v>5829.8</v>
      </c>
      <c r="F12" s="1">
        <v>44955.67</v>
      </c>
      <c r="G12" s="1">
        <v>544.07000000000005</v>
      </c>
    </row>
    <row r="13" spans="1:8">
      <c r="A13" s="9" t="s">
        <v>13</v>
      </c>
      <c r="B13" t="s">
        <v>33</v>
      </c>
      <c r="C13" s="5" t="s">
        <v>35</v>
      </c>
      <c r="D13" s="1">
        <v>1386</v>
      </c>
      <c r="F13" s="1">
        <v>11760</v>
      </c>
    </row>
    <row r="14" spans="1:8">
      <c r="A14" s="9" t="s">
        <v>13</v>
      </c>
      <c r="B14" t="s">
        <v>36</v>
      </c>
      <c r="C14" s="5" t="s">
        <v>38</v>
      </c>
      <c r="D14" s="1">
        <v>348171.3</v>
      </c>
      <c r="E14" s="1">
        <v>-7758.87</v>
      </c>
      <c r="F14" s="1">
        <v>517223.31</v>
      </c>
      <c r="G14" s="1">
        <v>3600.8150000000001</v>
      </c>
    </row>
    <row r="15" spans="1:8">
      <c r="A15" s="9" t="s">
        <v>13</v>
      </c>
      <c r="B15" t="s">
        <v>39</v>
      </c>
      <c r="C15" s="5" t="s">
        <v>41</v>
      </c>
      <c r="D15" s="1">
        <v>18167.59</v>
      </c>
      <c r="F15" s="1">
        <v>27440.43</v>
      </c>
    </row>
    <row r="16" spans="1:8">
      <c r="A16" s="9" t="s">
        <v>13</v>
      </c>
      <c r="B16" t="s">
        <v>42</v>
      </c>
      <c r="C16" s="5" t="s">
        <v>44</v>
      </c>
      <c r="D16" s="1">
        <v>25608.46</v>
      </c>
      <c r="E16" s="1">
        <v>196.43</v>
      </c>
      <c r="F16" s="1">
        <v>60063.71</v>
      </c>
      <c r="G16" s="1">
        <v>70.069999999999993</v>
      </c>
    </row>
    <row r="17" spans="1:8">
      <c r="A17" s="9" t="s">
        <v>13</v>
      </c>
      <c r="B17" t="s">
        <v>45</v>
      </c>
      <c r="C17" s="5" t="s">
        <v>47</v>
      </c>
      <c r="D17" s="1">
        <v>30820.13</v>
      </c>
      <c r="G17" s="1">
        <v>1570.72</v>
      </c>
    </row>
    <row r="18" spans="1:8">
      <c r="A18" s="9" t="s">
        <v>13</v>
      </c>
      <c r="B18" t="s">
        <v>48</v>
      </c>
      <c r="C18" s="5" t="s">
        <v>50</v>
      </c>
      <c r="D18" s="1">
        <v>25551.32</v>
      </c>
      <c r="F18" s="1">
        <v>75639.41</v>
      </c>
      <c r="G18" s="1">
        <v>1063.3599999999999</v>
      </c>
    </row>
    <row r="19" spans="1:8">
      <c r="A19" s="9" t="s">
        <v>13</v>
      </c>
      <c r="B19" t="s">
        <v>51</v>
      </c>
      <c r="C19" s="5" t="s">
        <v>53</v>
      </c>
      <c r="D19" s="1">
        <v>34439.339999999997</v>
      </c>
      <c r="F19" s="1">
        <v>27711.35</v>
      </c>
    </row>
    <row r="20" spans="1:8">
      <c r="A20" s="9" t="s">
        <v>13</v>
      </c>
      <c r="B20" t="s">
        <v>54</v>
      </c>
      <c r="C20" s="5" t="s">
        <v>56</v>
      </c>
      <c r="D20" s="1">
        <v>48892.84</v>
      </c>
      <c r="E20" s="1">
        <v>1043.4100000000001</v>
      </c>
      <c r="F20" s="1">
        <v>177024.62</v>
      </c>
      <c r="G20" s="1">
        <v>2160.2399999999998</v>
      </c>
    </row>
    <row r="21" spans="1:8">
      <c r="A21" s="9" t="s">
        <v>13</v>
      </c>
      <c r="B21" t="s">
        <v>57</v>
      </c>
      <c r="C21" s="5" t="s">
        <v>59</v>
      </c>
      <c r="D21" s="1">
        <v>13823.66</v>
      </c>
      <c r="F21" s="1">
        <v>56604.73</v>
      </c>
      <c r="G21" s="1">
        <v>497.82</v>
      </c>
    </row>
    <row r="22" spans="1:8">
      <c r="A22" s="9" t="s">
        <v>13</v>
      </c>
      <c r="B22" t="s">
        <v>60</v>
      </c>
      <c r="C22" s="5" t="s">
        <v>62</v>
      </c>
      <c r="D22" s="1">
        <v>59405.32</v>
      </c>
      <c r="F22" s="1">
        <v>10282.5</v>
      </c>
    </row>
    <row r="23" spans="1:8">
      <c r="A23" s="9" t="s">
        <v>13</v>
      </c>
      <c r="B23" t="s">
        <v>63</v>
      </c>
      <c r="C23" s="5" t="s">
        <v>65</v>
      </c>
      <c r="D23" s="1">
        <v>108870.1</v>
      </c>
      <c r="F23" s="1">
        <v>293523.5</v>
      </c>
    </row>
    <row r="24" spans="1:8">
      <c r="A24" s="9" t="s">
        <v>13</v>
      </c>
      <c r="B24" t="s">
        <v>66</v>
      </c>
      <c r="C24" s="5" t="s">
        <v>68</v>
      </c>
      <c r="D24" s="1">
        <v>19562.25</v>
      </c>
      <c r="E24" s="1">
        <v>7580</v>
      </c>
      <c r="F24" s="1">
        <v>71034.929999999993</v>
      </c>
      <c r="G24" s="1">
        <v>2228.84</v>
      </c>
    </row>
    <row r="25" spans="1:8">
      <c r="A25" s="9" t="s">
        <v>13</v>
      </c>
      <c r="B25" t="s">
        <v>69</v>
      </c>
      <c r="C25" s="5" t="s">
        <v>71</v>
      </c>
      <c r="D25" s="1">
        <v>185782.99</v>
      </c>
      <c r="F25" s="1">
        <v>223152.93</v>
      </c>
      <c r="G25" s="1">
        <v>108.01</v>
      </c>
    </row>
    <row r="26" spans="1:8">
      <c r="A26" s="9" t="s">
        <v>13</v>
      </c>
      <c r="B26" t="s">
        <v>72</v>
      </c>
      <c r="C26" s="5" t="s">
        <v>74</v>
      </c>
      <c r="D26" s="1">
        <v>22915.67</v>
      </c>
      <c r="F26" s="1">
        <v>13183.47</v>
      </c>
      <c r="G26" s="1">
        <v>33.86</v>
      </c>
    </row>
    <row r="27" spans="1:8">
      <c r="A27" s="9" t="s">
        <v>13</v>
      </c>
      <c r="B27" t="s">
        <v>75</v>
      </c>
      <c r="C27" s="5" t="s">
        <v>77</v>
      </c>
      <c r="D27" s="1">
        <v>414.34</v>
      </c>
      <c r="E27" s="1">
        <v>255.36</v>
      </c>
    </row>
    <row r="28" spans="1:8">
      <c r="A28" s="9" t="s">
        <v>13</v>
      </c>
      <c r="B28" t="s">
        <v>78</v>
      </c>
      <c r="C28" s="5" t="s">
        <v>80</v>
      </c>
      <c r="D28" s="1">
        <v>17744.23</v>
      </c>
      <c r="F28" s="1">
        <v>50000.44</v>
      </c>
      <c r="G28" s="1">
        <v>1278.5</v>
      </c>
      <c r="H28" s="1">
        <v>410.7</v>
      </c>
    </row>
    <row r="29" spans="1:8">
      <c r="A29" s="9" t="s">
        <v>13</v>
      </c>
      <c r="B29" t="s">
        <v>81</v>
      </c>
      <c r="C29" s="5" t="s">
        <v>83</v>
      </c>
      <c r="D29" s="1">
        <v>11147.47</v>
      </c>
      <c r="F29" s="1">
        <v>13587.51</v>
      </c>
      <c r="G29" s="1">
        <v>502.99</v>
      </c>
    </row>
    <row r="30" spans="1:8">
      <c r="A30" s="9" t="s">
        <v>13</v>
      </c>
      <c r="B30" t="s">
        <v>84</v>
      </c>
      <c r="C30" s="5" t="s">
        <v>86</v>
      </c>
      <c r="D30" s="1">
        <v>23837.47</v>
      </c>
      <c r="F30" s="1">
        <v>72618</v>
      </c>
      <c r="G30" s="1">
        <v>3291.77</v>
      </c>
    </row>
    <row r="31" spans="1:8">
      <c r="A31" s="9" t="s">
        <v>13</v>
      </c>
      <c r="B31" t="s">
        <v>87</v>
      </c>
      <c r="C31" s="5" t="s">
        <v>89</v>
      </c>
      <c r="D31" s="1">
        <v>24813.02</v>
      </c>
      <c r="E31" s="1">
        <v>277.20999999999998</v>
      </c>
      <c r="F31" s="1">
        <v>88114.74</v>
      </c>
      <c r="G31" s="1">
        <v>2412.1950000000002</v>
      </c>
      <c r="H31" s="1">
        <v>799.76</v>
      </c>
    </row>
    <row r="32" spans="1:8">
      <c r="A32" s="9" t="s">
        <v>13</v>
      </c>
      <c r="B32" t="s">
        <v>90</v>
      </c>
      <c r="C32" s="5" t="s">
        <v>92</v>
      </c>
      <c r="D32" s="1">
        <v>1734.49</v>
      </c>
    </row>
    <row r="33" spans="1:8">
      <c r="A33" s="9" t="s">
        <v>13</v>
      </c>
      <c r="B33" t="s">
        <v>93</v>
      </c>
      <c r="C33" s="5" t="s">
        <v>95</v>
      </c>
      <c r="D33" s="1">
        <v>21794.799999999999</v>
      </c>
      <c r="E33" s="1">
        <v>766.39</v>
      </c>
      <c r="F33" s="1">
        <v>102844.91</v>
      </c>
      <c r="G33" s="1">
        <v>199</v>
      </c>
    </row>
    <row r="34" spans="1:8">
      <c r="A34" s="9" t="s">
        <v>13</v>
      </c>
      <c r="B34" t="s">
        <v>96</v>
      </c>
      <c r="C34" s="5" t="s">
        <v>98</v>
      </c>
      <c r="D34" s="1">
        <v>24945.1</v>
      </c>
      <c r="F34" s="1">
        <v>89283.96</v>
      </c>
      <c r="G34" s="1">
        <v>2483.36</v>
      </c>
    </row>
    <row r="35" spans="1:8">
      <c r="A35" s="9" t="s">
        <v>13</v>
      </c>
      <c r="B35" t="s">
        <v>99</v>
      </c>
      <c r="C35" s="5" t="s">
        <v>101</v>
      </c>
      <c r="D35" s="1">
        <v>38569.980000000003</v>
      </c>
      <c r="E35" s="1">
        <v>4280.32</v>
      </c>
      <c r="F35" s="1">
        <v>187292.19</v>
      </c>
      <c r="G35" s="1">
        <v>330.97</v>
      </c>
      <c r="H35" s="1">
        <v>86.1</v>
      </c>
    </row>
    <row r="36" spans="1:8">
      <c r="A36" s="9" t="s">
        <v>13</v>
      </c>
      <c r="B36" t="s">
        <v>102</v>
      </c>
      <c r="C36" s="5" t="s">
        <v>104</v>
      </c>
      <c r="D36" s="1">
        <v>13154.91</v>
      </c>
      <c r="E36" s="1">
        <v>104.98</v>
      </c>
      <c r="F36" s="1">
        <v>92354.99</v>
      </c>
      <c r="G36" s="1">
        <v>2273.4949999999999</v>
      </c>
      <c r="H36" s="1">
        <v>1101.1199999999999</v>
      </c>
    </row>
    <row r="37" spans="1:8">
      <c r="A37" s="9" t="s">
        <v>13</v>
      </c>
      <c r="B37" t="s">
        <v>105</v>
      </c>
      <c r="C37" s="5" t="s">
        <v>107</v>
      </c>
      <c r="D37" s="1">
        <v>30640.42</v>
      </c>
      <c r="F37" s="1">
        <v>101423.44</v>
      </c>
      <c r="G37" s="1">
        <v>24.99</v>
      </c>
    </row>
    <row r="38" spans="1:8">
      <c r="A38" s="9" t="s">
        <v>13</v>
      </c>
      <c r="B38" t="s">
        <v>108</v>
      </c>
      <c r="C38" s="5" t="s">
        <v>110</v>
      </c>
      <c r="D38" s="1">
        <v>12160.48</v>
      </c>
      <c r="E38" s="1">
        <v>5968.7</v>
      </c>
      <c r="F38" s="1">
        <v>55590.96</v>
      </c>
      <c r="G38" s="1">
        <v>52.93</v>
      </c>
    </row>
    <row r="39" spans="1:8">
      <c r="A39" s="9" t="s">
        <v>13</v>
      </c>
      <c r="B39" t="s">
        <v>111</v>
      </c>
      <c r="C39" s="5" t="s">
        <v>113</v>
      </c>
      <c r="D39" s="1">
        <v>27746.33</v>
      </c>
      <c r="F39" s="1">
        <v>33665.72</v>
      </c>
    </row>
    <row r="40" spans="1:8">
      <c r="A40" s="9" t="s">
        <v>13</v>
      </c>
      <c r="B40" t="s">
        <v>114</v>
      </c>
      <c r="C40" s="5" t="s">
        <v>116</v>
      </c>
      <c r="D40" s="1">
        <v>8718.77</v>
      </c>
    </row>
    <row r="41" spans="1:8">
      <c r="A41" s="9" t="s">
        <v>13</v>
      </c>
      <c r="B41" t="s">
        <v>117</v>
      </c>
      <c r="C41" s="5" t="s">
        <v>119</v>
      </c>
      <c r="D41" s="1">
        <v>1404</v>
      </c>
    </row>
    <row r="42" spans="1:8">
      <c r="A42" s="9" t="s">
        <v>13</v>
      </c>
      <c r="B42" t="s">
        <v>120</v>
      </c>
      <c r="C42" s="5" t="s">
        <v>122</v>
      </c>
      <c r="D42" s="1">
        <v>22241.48</v>
      </c>
      <c r="F42" s="1">
        <v>39911.06</v>
      </c>
    </row>
    <row r="43" spans="1:8">
      <c r="A43" s="9" t="s">
        <v>13</v>
      </c>
      <c r="B43" t="s">
        <v>123</v>
      </c>
      <c r="C43" s="5" t="s">
        <v>125</v>
      </c>
      <c r="D43" s="1">
        <v>-0.28000000000000003</v>
      </c>
    </row>
    <row r="44" spans="1:8">
      <c r="A44" s="9" t="s">
        <v>13</v>
      </c>
      <c r="B44" t="s">
        <v>126</v>
      </c>
      <c r="C44" s="5" t="s">
        <v>128</v>
      </c>
      <c r="D44" s="1">
        <v>11405.62</v>
      </c>
      <c r="F44" s="1">
        <v>14249.31</v>
      </c>
    </row>
    <row r="45" spans="1:8">
      <c r="A45" s="9" t="s">
        <v>13</v>
      </c>
      <c r="B45" t="s">
        <v>129</v>
      </c>
      <c r="C45" s="5" t="s">
        <v>131</v>
      </c>
      <c r="D45" s="1">
        <v>151601.07</v>
      </c>
      <c r="F45" s="1">
        <v>341535.64</v>
      </c>
    </row>
    <row r="46" spans="1:8">
      <c r="A46" s="9" t="s">
        <v>13</v>
      </c>
      <c r="B46" t="s">
        <v>132</v>
      </c>
      <c r="C46" s="5" t="s">
        <v>134</v>
      </c>
      <c r="D46" s="1">
        <v>80079.53</v>
      </c>
      <c r="F46" s="1">
        <v>297710.40999999997</v>
      </c>
      <c r="G46" s="1">
        <v>3542.21</v>
      </c>
    </row>
    <row r="47" spans="1:8">
      <c r="A47" s="9" t="s">
        <v>13</v>
      </c>
      <c r="B47" t="s">
        <v>135</v>
      </c>
      <c r="C47" s="5" t="s">
        <v>137</v>
      </c>
      <c r="D47" s="1">
        <v>139559.20000000001</v>
      </c>
      <c r="F47" s="1">
        <v>286217.95</v>
      </c>
    </row>
    <row r="48" spans="1:8">
      <c r="A48" s="9" t="s">
        <v>13</v>
      </c>
      <c r="B48" t="s">
        <v>138</v>
      </c>
      <c r="C48" s="5" t="s">
        <v>140</v>
      </c>
      <c r="D48" s="1">
        <v>116842.17</v>
      </c>
      <c r="F48" s="1">
        <v>128095.78</v>
      </c>
    </row>
    <row r="49" spans="1:8">
      <c r="A49" s="9" t="s">
        <v>13</v>
      </c>
      <c r="B49" t="s">
        <v>141</v>
      </c>
      <c r="C49" s="5" t="s">
        <v>143</v>
      </c>
      <c r="D49" s="1">
        <v>260790.69</v>
      </c>
      <c r="E49" s="1">
        <v>7167.58</v>
      </c>
      <c r="F49" s="1">
        <v>726225.09</v>
      </c>
      <c r="G49" s="1">
        <v>437.8</v>
      </c>
    </row>
    <row r="50" spans="1:8">
      <c r="A50" s="9" t="s">
        <v>13</v>
      </c>
      <c r="B50" t="s">
        <v>144</v>
      </c>
      <c r="C50" s="5" t="s">
        <v>146</v>
      </c>
      <c r="D50" s="1">
        <v>119968.54</v>
      </c>
      <c r="E50" s="1">
        <v>474</v>
      </c>
      <c r="F50" s="1">
        <v>517097.07</v>
      </c>
      <c r="G50" s="1">
        <v>10367.25</v>
      </c>
    </row>
    <row r="51" spans="1:8">
      <c r="A51" s="9" t="s">
        <v>13</v>
      </c>
      <c r="B51" t="s">
        <v>147</v>
      </c>
      <c r="C51" s="5" t="s">
        <v>149</v>
      </c>
      <c r="D51" s="1">
        <v>3946.15</v>
      </c>
    </row>
    <row r="52" spans="1:8">
      <c r="A52" s="9" t="s">
        <v>13</v>
      </c>
      <c r="B52" t="s">
        <v>150</v>
      </c>
      <c r="C52" s="5" t="s">
        <v>152</v>
      </c>
      <c r="D52" s="1">
        <v>7187.87</v>
      </c>
    </row>
    <row r="53" spans="1:8">
      <c r="A53" s="9" t="s">
        <v>13</v>
      </c>
      <c r="B53" t="s">
        <v>153</v>
      </c>
      <c r="C53" s="5" t="s">
        <v>155</v>
      </c>
      <c r="D53" s="1">
        <v>2159</v>
      </c>
      <c r="E53" s="1">
        <v>2595.4</v>
      </c>
      <c r="G53" s="1">
        <v>7983.27</v>
      </c>
    </row>
    <row r="54" spans="1:8">
      <c r="A54" s="9" t="s">
        <v>13</v>
      </c>
      <c r="B54" t="s">
        <v>156</v>
      </c>
      <c r="C54" s="5" t="s">
        <v>158</v>
      </c>
      <c r="D54" s="1">
        <v>34413.18</v>
      </c>
      <c r="E54" s="1">
        <v>1622.82</v>
      </c>
      <c r="F54" s="1">
        <v>140548.68</v>
      </c>
    </row>
    <row r="55" spans="1:8">
      <c r="A55" s="9" t="s">
        <v>13</v>
      </c>
      <c r="B55" t="s">
        <v>159</v>
      </c>
      <c r="C55" s="5" t="s">
        <v>161</v>
      </c>
      <c r="D55" s="1">
        <v>20316.48</v>
      </c>
      <c r="F55" s="1">
        <v>30116.92</v>
      </c>
      <c r="G55" s="1">
        <v>1746.41</v>
      </c>
    </row>
    <row r="56" spans="1:8">
      <c r="A56" s="9" t="s">
        <v>13</v>
      </c>
      <c r="B56" t="s">
        <v>162</v>
      </c>
      <c r="C56" s="5" t="s">
        <v>164</v>
      </c>
      <c r="D56" s="1">
        <v>124764.3</v>
      </c>
      <c r="E56" s="1">
        <v>4827.49</v>
      </c>
      <c r="F56" s="1">
        <v>383338.29</v>
      </c>
    </row>
    <row r="57" spans="1:8">
      <c r="A57" s="9" t="s">
        <v>13</v>
      </c>
      <c r="B57" t="s">
        <v>165</v>
      </c>
      <c r="C57" s="5" t="s">
        <v>167</v>
      </c>
      <c r="D57" s="1">
        <v>75084.320000000007</v>
      </c>
      <c r="E57" s="1">
        <v>1210.03</v>
      </c>
      <c r="F57" s="1">
        <v>84677.67</v>
      </c>
    </row>
    <row r="58" spans="1:8">
      <c r="A58" s="9" t="s">
        <v>13</v>
      </c>
      <c r="B58" t="s">
        <v>168</v>
      </c>
      <c r="C58" s="5" t="s">
        <v>170</v>
      </c>
      <c r="D58" s="1">
        <v>28053.45</v>
      </c>
      <c r="E58" s="1">
        <v>75.7</v>
      </c>
      <c r="F58" s="1">
        <v>109586.26</v>
      </c>
    </row>
    <row r="59" spans="1:8">
      <c r="A59" s="9" t="s">
        <v>13</v>
      </c>
      <c r="B59" t="s">
        <v>171</v>
      </c>
      <c r="C59" s="5" t="s">
        <v>173</v>
      </c>
      <c r="D59" s="1">
        <v>26051.51</v>
      </c>
      <c r="E59" s="1">
        <v>1238.1300000000001</v>
      </c>
      <c r="F59" s="1">
        <v>113098.16</v>
      </c>
    </row>
    <row r="60" spans="1:8">
      <c r="A60" s="9" t="s">
        <v>13</v>
      </c>
      <c r="B60" t="s">
        <v>174</v>
      </c>
      <c r="C60" s="5" t="s">
        <v>176</v>
      </c>
      <c r="D60" s="1">
        <v>27286.85</v>
      </c>
      <c r="F60" s="1">
        <v>104472.34</v>
      </c>
    </row>
    <row r="61" spans="1:8">
      <c r="A61" s="9" t="s">
        <v>13</v>
      </c>
      <c r="B61" t="s">
        <v>177</v>
      </c>
      <c r="C61" s="5" t="s">
        <v>179</v>
      </c>
      <c r="D61" s="1">
        <v>20576.93</v>
      </c>
      <c r="E61" s="1">
        <v>42.5</v>
      </c>
      <c r="F61" s="1">
        <v>74358.13</v>
      </c>
      <c r="G61" s="1">
        <v>1147.04</v>
      </c>
      <c r="H61" s="1">
        <v>238.3</v>
      </c>
    </row>
    <row r="62" spans="1:8">
      <c r="A62" s="9" t="s">
        <v>13</v>
      </c>
      <c r="B62" t="s">
        <v>180</v>
      </c>
      <c r="C62" s="5" t="s">
        <v>182</v>
      </c>
      <c r="D62" s="1">
        <v>17000.03</v>
      </c>
      <c r="E62" s="1">
        <v>1520.08</v>
      </c>
      <c r="F62" s="1">
        <v>59999.31</v>
      </c>
      <c r="G62" s="1">
        <v>823.12</v>
      </c>
    </row>
    <row r="63" spans="1:8">
      <c r="A63" s="9" t="s">
        <v>13</v>
      </c>
      <c r="B63" t="s">
        <v>183</v>
      </c>
      <c r="C63" s="5" t="s">
        <v>185</v>
      </c>
      <c r="D63" s="1">
        <v>14548.11</v>
      </c>
      <c r="F63" s="1">
        <v>72935.87</v>
      </c>
    </row>
    <row r="64" spans="1:8">
      <c r="A64" s="9" t="s">
        <v>13</v>
      </c>
      <c r="B64" t="s">
        <v>186</v>
      </c>
      <c r="C64" s="5" t="s">
        <v>188</v>
      </c>
      <c r="D64" s="1">
        <v>12715.79</v>
      </c>
      <c r="F64" s="1">
        <v>23499.18</v>
      </c>
    </row>
    <row r="65" spans="1:8">
      <c r="A65" s="9" t="s">
        <v>13</v>
      </c>
      <c r="B65" t="s">
        <v>189</v>
      </c>
      <c r="C65" s="5" t="s">
        <v>191</v>
      </c>
      <c r="D65" s="1">
        <v>20262.61</v>
      </c>
      <c r="F65" s="1">
        <v>43353.31</v>
      </c>
      <c r="G65" s="1">
        <v>359.12</v>
      </c>
    </row>
    <row r="66" spans="1:8">
      <c r="A66" s="9" t="s">
        <v>13</v>
      </c>
      <c r="B66" t="s">
        <v>192</v>
      </c>
      <c r="C66" s="5" t="s">
        <v>194</v>
      </c>
      <c r="D66" s="1">
        <v>33535.410000000003</v>
      </c>
      <c r="E66" s="1">
        <v>380</v>
      </c>
      <c r="F66" s="1">
        <v>97941.69</v>
      </c>
    </row>
    <row r="67" spans="1:8">
      <c r="A67" s="9" t="s">
        <v>13</v>
      </c>
      <c r="B67" t="s">
        <v>195</v>
      </c>
      <c r="C67" s="5" t="s">
        <v>197</v>
      </c>
      <c r="D67" s="1">
        <v>81943.350000000006</v>
      </c>
      <c r="F67" s="1">
        <v>119903.71</v>
      </c>
      <c r="G67" s="1">
        <v>1351.6</v>
      </c>
    </row>
    <row r="68" spans="1:8">
      <c r="A68" s="9" t="s">
        <v>13</v>
      </c>
      <c r="B68" t="s">
        <v>198</v>
      </c>
      <c r="C68" s="5" t="s">
        <v>200</v>
      </c>
      <c r="D68" s="1">
        <v>8058.17</v>
      </c>
      <c r="E68" s="1">
        <v>97.76</v>
      </c>
      <c r="F68" s="1">
        <v>23167.83</v>
      </c>
      <c r="G68" s="1">
        <v>204.315</v>
      </c>
      <c r="H68" s="1">
        <v>44</v>
      </c>
    </row>
    <row r="69" spans="1:8">
      <c r="A69" s="9" t="s">
        <v>13</v>
      </c>
      <c r="B69" t="s">
        <v>201</v>
      </c>
      <c r="C69" s="5" t="s">
        <v>203</v>
      </c>
      <c r="D69" s="1">
        <v>16710.91</v>
      </c>
      <c r="E69" s="1">
        <v>1045.6199999999999</v>
      </c>
      <c r="F69" s="1">
        <v>52732.54</v>
      </c>
      <c r="G69" s="1">
        <v>101.58</v>
      </c>
    </row>
    <row r="70" spans="1:8">
      <c r="A70" s="9" t="s">
        <v>13</v>
      </c>
      <c r="B70" t="s">
        <v>204</v>
      </c>
      <c r="C70" s="5" t="s">
        <v>206</v>
      </c>
      <c r="D70" s="1">
        <v>12994.69</v>
      </c>
      <c r="E70" s="1">
        <v>236.05</v>
      </c>
      <c r="F70" s="1">
        <v>35323.050000000003</v>
      </c>
      <c r="G70" s="1">
        <v>596.24</v>
      </c>
      <c r="H70" s="1">
        <v>214</v>
      </c>
    </row>
    <row r="71" spans="1:8">
      <c r="A71" s="9" t="s">
        <v>13</v>
      </c>
      <c r="B71" t="s">
        <v>207</v>
      </c>
      <c r="C71" s="5" t="s">
        <v>209</v>
      </c>
      <c r="D71" s="1">
        <v>35733.33</v>
      </c>
      <c r="E71" s="1">
        <v>667.61</v>
      </c>
      <c r="F71" s="1">
        <v>142827.39000000001</v>
      </c>
      <c r="G71" s="1">
        <v>2401.21</v>
      </c>
      <c r="H71" s="1">
        <v>149.03</v>
      </c>
    </row>
    <row r="72" spans="1:8">
      <c r="A72" s="9" t="s">
        <v>13</v>
      </c>
      <c r="B72" t="s">
        <v>210</v>
      </c>
      <c r="C72" s="5" t="s">
        <v>212</v>
      </c>
      <c r="D72" s="1">
        <v>145542.22</v>
      </c>
      <c r="E72" s="1">
        <v>3848.13</v>
      </c>
      <c r="F72" s="1">
        <v>225209.27</v>
      </c>
      <c r="G72" s="1">
        <v>856.45</v>
      </c>
    </row>
    <row r="73" spans="1:8">
      <c r="A73" s="9" t="s">
        <v>13</v>
      </c>
      <c r="B73" t="s">
        <v>213</v>
      </c>
      <c r="C73" s="5" t="s">
        <v>215</v>
      </c>
      <c r="D73" s="1">
        <v>8282.5400000000009</v>
      </c>
      <c r="F73" s="1">
        <v>8282.5400000000009</v>
      </c>
      <c r="G73" s="1">
        <v>372.34500000000003</v>
      </c>
      <c r="H73" s="1">
        <v>140.5</v>
      </c>
    </row>
    <row r="74" spans="1:8">
      <c r="A74" s="9" t="s">
        <v>13</v>
      </c>
      <c r="B74" t="s">
        <v>216</v>
      </c>
      <c r="C74" s="5" t="s">
        <v>218</v>
      </c>
      <c r="F74" s="1">
        <v>24750</v>
      </c>
    </row>
    <row r="75" spans="1:8">
      <c r="A75" s="9" t="s">
        <v>13</v>
      </c>
      <c r="B75" t="s">
        <v>219</v>
      </c>
      <c r="C75" s="5" t="s">
        <v>221</v>
      </c>
      <c r="F75" s="1">
        <v>7570.5</v>
      </c>
    </row>
    <row r="76" spans="1:8">
      <c r="A76" s="9" t="s">
        <v>13</v>
      </c>
      <c r="B76" t="s">
        <v>222</v>
      </c>
      <c r="C76" s="5" t="s">
        <v>224</v>
      </c>
      <c r="D76" s="1">
        <v>2182</v>
      </c>
      <c r="F76" s="1">
        <v>3196.71</v>
      </c>
    </row>
    <row r="77" spans="1:8">
      <c r="A77" s="9" t="s">
        <v>13</v>
      </c>
      <c r="B77" t="s">
        <v>225</v>
      </c>
      <c r="C77" s="5" t="s">
        <v>227</v>
      </c>
      <c r="D77" s="1">
        <v>40066.1</v>
      </c>
      <c r="E77" s="1">
        <v>2040.17</v>
      </c>
      <c r="F77" s="1">
        <v>100658.64</v>
      </c>
      <c r="G77" s="1">
        <v>3348.2350000000001</v>
      </c>
      <c r="H77" s="1">
        <v>1395.84</v>
      </c>
    </row>
    <row r="78" spans="1:8">
      <c r="A78" s="9" t="s">
        <v>13</v>
      </c>
      <c r="B78" t="s">
        <v>228</v>
      </c>
      <c r="C78" s="5" t="s">
        <v>230</v>
      </c>
      <c r="D78" s="1">
        <v>23215.01</v>
      </c>
      <c r="E78" s="1">
        <v>940.57</v>
      </c>
      <c r="F78" s="1">
        <v>70126.490000000005</v>
      </c>
      <c r="G78" s="1">
        <v>213.52</v>
      </c>
    </row>
    <row r="79" spans="1:8">
      <c r="A79" s="9" t="s">
        <v>13</v>
      </c>
      <c r="B79" t="s">
        <v>231</v>
      </c>
      <c r="C79" s="5" t="s">
        <v>233</v>
      </c>
      <c r="D79" s="1">
        <v>38364.339999999997</v>
      </c>
      <c r="E79" s="1">
        <v>2557.3200000000002</v>
      </c>
      <c r="F79" s="1">
        <v>158927.79</v>
      </c>
      <c r="G79" s="1">
        <v>623.74</v>
      </c>
    </row>
    <row r="80" spans="1:8">
      <c r="A80" s="9" t="s">
        <v>13</v>
      </c>
      <c r="B80" t="s">
        <v>234</v>
      </c>
      <c r="C80" s="5" t="s">
        <v>236</v>
      </c>
      <c r="D80" s="1">
        <v>28833.96</v>
      </c>
      <c r="E80" s="1">
        <v>1814.04</v>
      </c>
      <c r="F80" s="1">
        <v>39541.879999999997</v>
      </c>
      <c r="G80" s="1">
        <v>2147.125</v>
      </c>
    </row>
    <row r="81" spans="1:8">
      <c r="A81" s="9" t="s">
        <v>13</v>
      </c>
      <c r="B81" t="s">
        <v>237</v>
      </c>
      <c r="C81" s="5" t="s">
        <v>239</v>
      </c>
      <c r="D81" s="1">
        <v>14583.8</v>
      </c>
      <c r="E81" s="1">
        <v>893.99</v>
      </c>
      <c r="F81" s="1">
        <v>23682.3</v>
      </c>
    </row>
    <row r="82" spans="1:8">
      <c r="A82" s="9" t="s">
        <v>13</v>
      </c>
      <c r="B82" t="s">
        <v>240</v>
      </c>
      <c r="C82" s="5" t="s">
        <v>242</v>
      </c>
      <c r="D82" s="1">
        <v>7767.37</v>
      </c>
      <c r="E82" s="1">
        <v>105.67</v>
      </c>
      <c r="F82" s="1">
        <v>34230.28</v>
      </c>
      <c r="G82" s="1">
        <v>231.065</v>
      </c>
      <c r="H82" s="1">
        <v>75.5</v>
      </c>
    </row>
    <row r="83" spans="1:8">
      <c r="A83" s="9" t="s">
        <v>13</v>
      </c>
      <c r="B83" t="s">
        <v>243</v>
      </c>
      <c r="C83" s="5" t="s">
        <v>245</v>
      </c>
      <c r="D83" s="1">
        <v>7243.07</v>
      </c>
      <c r="E83" s="1">
        <v>317.82</v>
      </c>
      <c r="G83" s="1">
        <v>497.96</v>
      </c>
    </row>
    <row r="84" spans="1:8">
      <c r="A84" s="9" t="s">
        <v>13</v>
      </c>
      <c r="B84" t="s">
        <v>246</v>
      </c>
      <c r="C84" s="5" t="s">
        <v>248</v>
      </c>
      <c r="D84" s="1">
        <v>29455.55</v>
      </c>
      <c r="E84" s="1">
        <v>292.37</v>
      </c>
      <c r="F84" s="1">
        <v>62574.3</v>
      </c>
      <c r="G84" s="1">
        <v>2186.1999999999998</v>
      </c>
      <c r="H84" s="1">
        <v>678.27</v>
      </c>
    </row>
    <row r="85" spans="1:8">
      <c r="A85" s="9" t="s">
        <v>13</v>
      </c>
      <c r="B85" t="s">
        <v>249</v>
      </c>
      <c r="C85" s="5" t="s">
        <v>251</v>
      </c>
      <c r="D85" s="1">
        <v>101350.43</v>
      </c>
      <c r="E85" s="1">
        <v>1125</v>
      </c>
      <c r="F85" s="1">
        <v>356198.36</v>
      </c>
      <c r="G85" s="1">
        <v>4677.99</v>
      </c>
    </row>
    <row r="86" spans="1:8">
      <c r="A86" s="9" t="s">
        <v>13</v>
      </c>
      <c r="B86" t="s">
        <v>252</v>
      </c>
      <c r="C86" s="5" t="s">
        <v>254</v>
      </c>
      <c r="D86" s="1">
        <v>48048.69</v>
      </c>
      <c r="F86" s="1">
        <v>59133.97</v>
      </c>
      <c r="G86" s="1">
        <v>48.06</v>
      </c>
    </row>
    <row r="87" spans="1:8">
      <c r="A87" s="9" t="s">
        <v>13</v>
      </c>
      <c r="B87" t="s">
        <v>255</v>
      </c>
      <c r="C87" s="5" t="s">
        <v>257</v>
      </c>
      <c r="D87" s="1">
        <v>126243.16</v>
      </c>
      <c r="F87" s="1">
        <v>129713.48</v>
      </c>
      <c r="G87" s="1">
        <v>760.78</v>
      </c>
    </row>
    <row r="88" spans="1:8">
      <c r="A88" s="9" t="s">
        <v>13</v>
      </c>
      <c r="B88" t="s">
        <v>258</v>
      </c>
      <c r="C88" s="5" t="s">
        <v>260</v>
      </c>
      <c r="D88" s="1">
        <v>93168.63</v>
      </c>
      <c r="E88" s="1">
        <v>57.84</v>
      </c>
      <c r="F88" s="1">
        <v>406878.01</v>
      </c>
      <c r="G88" s="1">
        <v>493.57</v>
      </c>
      <c r="H88" s="1">
        <v>187.2</v>
      </c>
    </row>
    <row r="89" spans="1:8">
      <c r="A89" s="9" t="s">
        <v>13</v>
      </c>
      <c r="B89" t="s">
        <v>261</v>
      </c>
      <c r="C89" s="5" t="s">
        <v>263</v>
      </c>
      <c r="D89" s="1">
        <v>26986.44</v>
      </c>
      <c r="E89" s="1">
        <v>9.5</v>
      </c>
      <c r="F89" s="1">
        <v>85806.98</v>
      </c>
      <c r="G89" s="1">
        <v>179.12</v>
      </c>
    </row>
    <row r="90" spans="1:8">
      <c r="A90" s="9" t="s">
        <v>13</v>
      </c>
      <c r="B90" t="s">
        <v>264</v>
      </c>
      <c r="C90" s="5" t="s">
        <v>266</v>
      </c>
      <c r="D90" s="1">
        <v>35220.03</v>
      </c>
      <c r="F90" s="1">
        <v>56872.65</v>
      </c>
      <c r="G90" s="1">
        <v>33.86</v>
      </c>
    </row>
    <row r="91" spans="1:8">
      <c r="A91" s="9" t="s">
        <v>13</v>
      </c>
      <c r="B91" t="s">
        <v>267</v>
      </c>
      <c r="C91" s="5" t="s">
        <v>269</v>
      </c>
      <c r="D91" s="1">
        <v>54412.66</v>
      </c>
      <c r="E91" s="1">
        <v>3582.25</v>
      </c>
      <c r="F91" s="1">
        <v>187768.71</v>
      </c>
      <c r="G91" s="1">
        <v>168.97</v>
      </c>
      <c r="H91" s="1">
        <v>255.32</v>
      </c>
    </row>
    <row r="92" spans="1:8">
      <c r="A92" s="9" t="s">
        <v>13</v>
      </c>
      <c r="B92" t="s">
        <v>270</v>
      </c>
      <c r="C92" s="5" t="s">
        <v>272</v>
      </c>
      <c r="D92" s="1">
        <v>9547.24</v>
      </c>
      <c r="E92" s="1">
        <v>47.4</v>
      </c>
      <c r="F92" s="1">
        <v>23079.919999999998</v>
      </c>
      <c r="G92" s="1">
        <v>894.45</v>
      </c>
      <c r="H92" s="1">
        <v>527.65</v>
      </c>
    </row>
    <row r="93" spans="1:8">
      <c r="A93" s="9" t="s">
        <v>13</v>
      </c>
      <c r="B93" t="s">
        <v>273</v>
      </c>
      <c r="C93" s="5" t="s">
        <v>275</v>
      </c>
      <c r="D93" s="1">
        <v>89252.78</v>
      </c>
      <c r="F93" s="1">
        <v>226998.93</v>
      </c>
      <c r="G93" s="1">
        <v>5840.64</v>
      </c>
    </row>
    <row r="94" spans="1:8">
      <c r="A94" s="9" t="s">
        <v>13</v>
      </c>
      <c r="B94" t="s">
        <v>276</v>
      </c>
      <c r="C94" s="5" t="s">
        <v>278</v>
      </c>
      <c r="D94" s="1">
        <v>69910.2</v>
      </c>
      <c r="F94" s="1">
        <v>230836.82</v>
      </c>
      <c r="G94" s="1">
        <v>1663.28</v>
      </c>
    </row>
    <row r="95" spans="1:8">
      <c r="A95" s="9" t="s">
        <v>13</v>
      </c>
      <c r="B95" t="s">
        <v>279</v>
      </c>
      <c r="C95" s="5" t="s">
        <v>281</v>
      </c>
      <c r="D95" s="1">
        <v>34345.57</v>
      </c>
      <c r="F95" s="1">
        <v>105679.31</v>
      </c>
      <c r="G95" s="1">
        <v>2320.4299999999998</v>
      </c>
    </row>
    <row r="96" spans="1:8">
      <c r="A96" s="9" t="s">
        <v>13</v>
      </c>
      <c r="B96" t="s">
        <v>282</v>
      </c>
      <c r="C96" s="5" t="s">
        <v>284</v>
      </c>
      <c r="D96" s="1">
        <v>181537.87</v>
      </c>
      <c r="F96" s="1">
        <v>97445.83</v>
      </c>
      <c r="G96" s="1">
        <v>3993.0149999999999</v>
      </c>
    </row>
    <row r="97" spans="1:8">
      <c r="A97" s="9" t="s">
        <v>13</v>
      </c>
      <c r="B97" t="s">
        <v>285</v>
      </c>
      <c r="C97" s="5" t="s">
        <v>287</v>
      </c>
      <c r="D97" s="1">
        <v>39882.35</v>
      </c>
      <c r="E97" s="1">
        <v>-2909.4</v>
      </c>
      <c r="F97" s="1">
        <v>64774.5</v>
      </c>
      <c r="G97" s="1">
        <v>951.04</v>
      </c>
      <c r="H97" s="1">
        <v>358.46</v>
      </c>
    </row>
    <row r="98" spans="1:8">
      <c r="A98" s="9" t="s">
        <v>13</v>
      </c>
      <c r="B98" t="s">
        <v>288</v>
      </c>
      <c r="C98" s="5" t="s">
        <v>290</v>
      </c>
      <c r="D98" s="1">
        <v>14.27</v>
      </c>
    </row>
    <row r="99" spans="1:8">
      <c r="A99" s="9" t="s">
        <v>13</v>
      </c>
      <c r="B99" t="s">
        <v>291</v>
      </c>
      <c r="C99" s="5" t="s">
        <v>293</v>
      </c>
      <c r="D99" s="1">
        <v>80315.649999999994</v>
      </c>
      <c r="E99" s="1">
        <v>1970.2</v>
      </c>
      <c r="F99" s="1">
        <v>268090.06</v>
      </c>
      <c r="G99" s="1">
        <v>158.64500000000001</v>
      </c>
      <c r="H99" s="1">
        <v>187.88</v>
      </c>
    </row>
    <row r="100" spans="1:8">
      <c r="A100" s="9" t="s">
        <v>13</v>
      </c>
      <c r="B100" t="s">
        <v>294</v>
      </c>
      <c r="C100" s="5" t="s">
        <v>296</v>
      </c>
      <c r="D100" s="1">
        <v>20052.18</v>
      </c>
      <c r="F100" s="1">
        <v>26206.85</v>
      </c>
    </row>
    <row r="101" spans="1:8">
      <c r="A101" s="9" t="s">
        <v>13</v>
      </c>
      <c r="B101" t="s">
        <v>297</v>
      </c>
      <c r="C101" s="5" t="s">
        <v>299</v>
      </c>
      <c r="D101" s="1">
        <v>66483.25</v>
      </c>
      <c r="E101" s="1">
        <v>2524.02</v>
      </c>
      <c r="F101" s="1">
        <v>26439.57</v>
      </c>
      <c r="G101" s="1">
        <v>3840.16</v>
      </c>
    </row>
    <row r="102" spans="1:8">
      <c r="A102" s="9" t="s">
        <v>13</v>
      </c>
      <c r="B102" t="s">
        <v>300</v>
      </c>
      <c r="C102" s="5" t="s">
        <v>302</v>
      </c>
      <c r="D102" s="1">
        <v>541561.66</v>
      </c>
      <c r="F102" s="1">
        <v>865831.76</v>
      </c>
    </row>
    <row r="103" spans="1:8">
      <c r="A103" s="9" t="s">
        <v>13</v>
      </c>
      <c r="B103" t="s">
        <v>303</v>
      </c>
      <c r="C103" s="5" t="s">
        <v>305</v>
      </c>
      <c r="D103" s="1">
        <v>46371.4</v>
      </c>
      <c r="F103" s="1">
        <v>35605.5</v>
      </c>
      <c r="G103" s="1">
        <v>2162.4</v>
      </c>
    </row>
    <row r="104" spans="1:8">
      <c r="A104" s="9" t="s">
        <v>13</v>
      </c>
      <c r="B104" t="s">
        <v>306</v>
      </c>
      <c r="C104" s="5" t="s">
        <v>308</v>
      </c>
      <c r="D104" s="1">
        <v>17347.560000000001</v>
      </c>
      <c r="E104" s="1">
        <v>1648.34</v>
      </c>
      <c r="F104" s="1">
        <v>51277.86</v>
      </c>
    </row>
    <row r="105" spans="1:8">
      <c r="A105" s="9" t="s">
        <v>13</v>
      </c>
      <c r="B105" t="s">
        <v>309</v>
      </c>
      <c r="C105" s="5" t="s">
        <v>311</v>
      </c>
      <c r="D105" s="1">
        <v>8728.58</v>
      </c>
      <c r="E105" s="1">
        <v>2005.92</v>
      </c>
      <c r="F105" s="1">
        <v>27042.19</v>
      </c>
      <c r="G105" s="1">
        <v>184.16</v>
      </c>
    </row>
    <row r="106" spans="1:8">
      <c r="A106" s="9" t="s">
        <v>13</v>
      </c>
      <c r="B106" t="s">
        <v>312</v>
      </c>
      <c r="C106" s="5" t="s">
        <v>314</v>
      </c>
      <c r="D106" s="1">
        <v>19284.54</v>
      </c>
      <c r="F106" s="1">
        <v>8250</v>
      </c>
      <c r="G106" s="1">
        <v>51.625</v>
      </c>
    </row>
    <row r="107" spans="1:8">
      <c r="A107" s="9" t="s">
        <v>13</v>
      </c>
      <c r="B107" t="s">
        <v>315</v>
      </c>
      <c r="C107" s="5" t="s">
        <v>317</v>
      </c>
      <c r="D107" s="1">
        <v>43411.91</v>
      </c>
      <c r="F107" s="1">
        <v>192451.21</v>
      </c>
    </row>
    <row r="108" spans="1:8">
      <c r="A108" s="9" t="s">
        <v>13</v>
      </c>
      <c r="B108" t="s">
        <v>318</v>
      </c>
      <c r="C108" s="5" t="s">
        <v>320</v>
      </c>
      <c r="D108" s="1">
        <v>8048.07</v>
      </c>
      <c r="F108" s="1">
        <v>48735.98</v>
      </c>
    </row>
    <row r="109" spans="1:8">
      <c r="A109" s="9" t="s">
        <v>13</v>
      </c>
      <c r="B109" t="s">
        <v>321</v>
      </c>
      <c r="C109" s="5" t="s">
        <v>323</v>
      </c>
      <c r="D109" s="1">
        <v>30422.19</v>
      </c>
    </row>
    <row r="110" spans="1:8">
      <c r="A110" s="9" t="s">
        <v>13</v>
      </c>
      <c r="B110" t="s">
        <v>324</v>
      </c>
      <c r="C110" s="5" t="s">
        <v>326</v>
      </c>
      <c r="D110" s="1">
        <v>43106</v>
      </c>
      <c r="F110" s="1">
        <v>75163.16</v>
      </c>
    </row>
    <row r="111" spans="1:8">
      <c r="A111" s="9" t="s">
        <v>13</v>
      </c>
      <c r="B111" t="s">
        <v>327</v>
      </c>
      <c r="C111" s="5" t="s">
        <v>329</v>
      </c>
      <c r="D111" s="1">
        <v>2540.5</v>
      </c>
    </row>
    <row r="112" spans="1:8">
      <c r="A112" s="9" t="s">
        <v>13</v>
      </c>
      <c r="B112" t="s">
        <v>330</v>
      </c>
      <c r="C112" s="5" t="s">
        <v>332</v>
      </c>
      <c r="D112" s="1">
        <v>8346.93</v>
      </c>
      <c r="F112" s="1">
        <v>29923.4</v>
      </c>
    </row>
    <row r="113" spans="1:7">
      <c r="A113" s="9" t="s">
        <v>13</v>
      </c>
      <c r="B113" t="s">
        <v>333</v>
      </c>
      <c r="C113" s="5" t="s">
        <v>335</v>
      </c>
      <c r="D113" s="1">
        <v>37374.35</v>
      </c>
      <c r="E113" s="1">
        <v>8274.2099999999991</v>
      </c>
      <c r="F113" s="1">
        <v>175979.04</v>
      </c>
      <c r="G113" s="1">
        <v>9094.42</v>
      </c>
    </row>
    <row r="114" spans="1:7">
      <c r="A114" s="9" t="s">
        <v>13</v>
      </c>
      <c r="B114" t="s">
        <v>336</v>
      </c>
      <c r="C114" s="5" t="s">
        <v>336</v>
      </c>
      <c r="D114" s="1">
        <v>1759</v>
      </c>
    </row>
    <row r="115" spans="1:7">
      <c r="A115" s="9" t="s">
        <v>13</v>
      </c>
      <c r="B115" t="s">
        <v>338</v>
      </c>
      <c r="C115" s="5" t="s">
        <v>340</v>
      </c>
      <c r="D115" s="1">
        <v>44045.75</v>
      </c>
      <c r="F115" s="1">
        <v>72144.25</v>
      </c>
    </row>
    <row r="116" spans="1:7">
      <c r="A116" s="9" t="s">
        <v>13</v>
      </c>
      <c r="B116" t="s">
        <v>341</v>
      </c>
      <c r="C116" s="5" t="s">
        <v>343</v>
      </c>
      <c r="D116" s="1">
        <v>1664.65</v>
      </c>
    </row>
    <row r="117" spans="1:7">
      <c r="A117" s="9" t="s">
        <v>13</v>
      </c>
      <c r="B117" t="s">
        <v>344</v>
      </c>
      <c r="C117" s="5" t="s">
        <v>346</v>
      </c>
      <c r="D117" s="1">
        <v>2794.74</v>
      </c>
      <c r="F117" s="1">
        <v>22166.62</v>
      </c>
      <c r="G117" s="1">
        <v>928.4</v>
      </c>
    </row>
    <row r="118" spans="1:7">
      <c r="A118" s="9" t="s">
        <v>13</v>
      </c>
      <c r="B118" t="s">
        <v>347</v>
      </c>
      <c r="C118" s="5" t="s">
        <v>349</v>
      </c>
      <c r="D118" s="1">
        <v>3150</v>
      </c>
    </row>
    <row r="119" spans="1:7">
      <c r="A119" s="9" t="s">
        <v>13</v>
      </c>
      <c r="B119" t="s">
        <v>350</v>
      </c>
      <c r="C119" s="5" t="s">
        <v>352</v>
      </c>
      <c r="D119" s="1">
        <v>125220.21</v>
      </c>
      <c r="E119" s="1">
        <v>1172.8800000000001</v>
      </c>
      <c r="F119" s="1">
        <v>310651.17</v>
      </c>
      <c r="G119" s="1">
        <v>5533.335</v>
      </c>
    </row>
    <row r="120" spans="1:7">
      <c r="A120" s="9" t="s">
        <v>13</v>
      </c>
      <c r="B120" t="s">
        <v>353</v>
      </c>
      <c r="C120" s="5" t="s">
        <v>353</v>
      </c>
      <c r="D120" s="1">
        <v>-128.78</v>
      </c>
    </row>
    <row r="121" spans="1:7">
      <c r="A121" s="9" t="s">
        <v>13</v>
      </c>
      <c r="B121" t="s">
        <v>355</v>
      </c>
      <c r="C121" s="5" t="s">
        <v>357</v>
      </c>
      <c r="D121" s="1">
        <v>626973.91</v>
      </c>
      <c r="F121" s="1">
        <v>473424.82</v>
      </c>
    </row>
    <row r="122" spans="1:7">
      <c r="A122" s="9" t="s">
        <v>13</v>
      </c>
      <c r="B122" t="s">
        <v>358</v>
      </c>
      <c r="C122" s="5" t="s">
        <v>360</v>
      </c>
      <c r="D122" s="1">
        <v>111362.32</v>
      </c>
      <c r="F122" s="1">
        <v>400994.42</v>
      </c>
      <c r="G122" s="1">
        <v>3146.3850000000002</v>
      </c>
    </row>
    <row r="123" spans="1:7">
      <c r="A123" s="9" t="s">
        <v>13</v>
      </c>
      <c r="B123" t="s">
        <v>361</v>
      </c>
      <c r="C123" s="5" t="s">
        <v>363</v>
      </c>
      <c r="D123" s="1">
        <v>9986.0300000000007</v>
      </c>
      <c r="F123" s="1">
        <v>16244.38</v>
      </c>
    </row>
    <row r="124" spans="1:7">
      <c r="A124" s="9" t="s">
        <v>13</v>
      </c>
      <c r="B124" t="s">
        <v>364</v>
      </c>
      <c r="C124" s="5" t="s">
        <v>366</v>
      </c>
      <c r="D124" s="1">
        <v>6108.51</v>
      </c>
      <c r="F124" s="1">
        <v>5931.54</v>
      </c>
    </row>
    <row r="125" spans="1:7">
      <c r="A125" s="9" t="s">
        <v>13</v>
      </c>
      <c r="B125" t="s">
        <v>367</v>
      </c>
      <c r="C125" s="5" t="s">
        <v>369</v>
      </c>
      <c r="D125" s="1">
        <v>62.67</v>
      </c>
      <c r="E125" s="1">
        <v>2350.87</v>
      </c>
      <c r="G125" s="1">
        <v>3622.4</v>
      </c>
    </row>
    <row r="126" spans="1:7">
      <c r="A126" s="9" t="s">
        <v>13</v>
      </c>
      <c r="B126" t="s">
        <v>370</v>
      </c>
      <c r="C126" s="5" t="s">
        <v>372</v>
      </c>
      <c r="D126" s="1">
        <v>57938.43</v>
      </c>
      <c r="E126" s="1">
        <v>829.84</v>
      </c>
      <c r="F126" s="1">
        <v>202991.46</v>
      </c>
      <c r="G126" s="1">
        <v>179.12</v>
      </c>
    </row>
    <row r="127" spans="1:7">
      <c r="A127" s="9" t="s">
        <v>13</v>
      </c>
      <c r="B127" t="s">
        <v>373</v>
      </c>
      <c r="C127" s="5" t="s">
        <v>375</v>
      </c>
      <c r="D127" s="1">
        <v>6852.48</v>
      </c>
      <c r="F127" s="1">
        <v>55989.64</v>
      </c>
      <c r="G127" s="1">
        <v>2550.64</v>
      </c>
    </row>
    <row r="128" spans="1:7">
      <c r="A128" s="9" t="s">
        <v>13</v>
      </c>
      <c r="B128" t="s">
        <v>376</v>
      </c>
      <c r="C128" s="5" t="s">
        <v>378</v>
      </c>
      <c r="D128" s="1">
        <v>24402.92</v>
      </c>
      <c r="E128" s="1">
        <v>4544.7700000000004</v>
      </c>
      <c r="F128" s="1">
        <v>84231.46</v>
      </c>
    </row>
    <row r="129" spans="1:8">
      <c r="A129" s="9" t="s">
        <v>13</v>
      </c>
      <c r="B129" t="s">
        <v>379</v>
      </c>
      <c r="C129" s="5" t="s">
        <v>381</v>
      </c>
      <c r="D129" s="1">
        <v>6690</v>
      </c>
      <c r="E129" s="1">
        <v>108</v>
      </c>
      <c r="F129" s="1">
        <v>35438.239999999998</v>
      </c>
      <c r="G129" s="1">
        <v>485.11500000000001</v>
      </c>
      <c r="H129" s="1">
        <v>161.15</v>
      </c>
    </row>
    <row r="130" spans="1:8">
      <c r="A130" s="9" t="s">
        <v>13</v>
      </c>
      <c r="B130" t="s">
        <v>382</v>
      </c>
      <c r="C130" s="5" t="s">
        <v>384</v>
      </c>
      <c r="D130" s="1">
        <v>10436.629999999999</v>
      </c>
      <c r="F130" s="1">
        <v>50741.27</v>
      </c>
      <c r="G130" s="1">
        <v>1450.48</v>
      </c>
    </row>
    <row r="131" spans="1:8">
      <c r="A131" s="9" t="s">
        <v>13</v>
      </c>
      <c r="B131" t="s">
        <v>385</v>
      </c>
      <c r="C131" s="5" t="s">
        <v>387</v>
      </c>
      <c r="D131" s="1">
        <v>2133.06</v>
      </c>
      <c r="E131" s="1">
        <v>181.51</v>
      </c>
      <c r="F131" s="1">
        <v>11992.47</v>
      </c>
    </row>
    <row r="132" spans="1:8">
      <c r="A132" s="9" t="s">
        <v>13</v>
      </c>
      <c r="B132" t="s">
        <v>388</v>
      </c>
      <c r="C132" s="5" t="s">
        <v>390</v>
      </c>
      <c r="D132" s="1">
        <v>44907.92</v>
      </c>
      <c r="E132" s="1">
        <v>4111.08</v>
      </c>
      <c r="F132" s="1">
        <v>171902.4</v>
      </c>
    </row>
    <row r="133" spans="1:8">
      <c r="A133" s="9" t="s">
        <v>13</v>
      </c>
      <c r="B133" t="s">
        <v>391</v>
      </c>
      <c r="C133" s="5" t="s">
        <v>393</v>
      </c>
      <c r="D133" s="1">
        <v>13339.37</v>
      </c>
      <c r="E133" s="1">
        <v>161.19999999999999</v>
      </c>
      <c r="F133" s="1">
        <v>29644.79</v>
      </c>
      <c r="G133" s="1">
        <v>640.55999999999995</v>
      </c>
    </row>
    <row r="134" spans="1:8">
      <c r="A134" s="9" t="s">
        <v>13</v>
      </c>
      <c r="B134" t="s">
        <v>394</v>
      </c>
      <c r="C134" s="5" t="s">
        <v>396</v>
      </c>
      <c r="D134" s="1">
        <v>7430.34</v>
      </c>
      <c r="E134" s="1">
        <v>1159.48</v>
      </c>
      <c r="F134" s="1">
        <v>30516.26</v>
      </c>
      <c r="G134" s="1">
        <v>33.86</v>
      </c>
    </row>
    <row r="135" spans="1:8">
      <c r="A135" s="9" t="s">
        <v>13</v>
      </c>
      <c r="B135" t="s">
        <v>397</v>
      </c>
      <c r="C135" s="5" t="s">
        <v>399</v>
      </c>
      <c r="D135" s="1">
        <v>28532.97</v>
      </c>
      <c r="E135" s="1">
        <v>10943.06</v>
      </c>
      <c r="F135" s="1">
        <v>79007.06</v>
      </c>
    </row>
    <row r="136" spans="1:8">
      <c r="A136" s="9" t="s">
        <v>13</v>
      </c>
      <c r="B136" t="s">
        <v>400</v>
      </c>
      <c r="C136" s="5" t="s">
        <v>402</v>
      </c>
      <c r="D136" s="1">
        <v>24764.82</v>
      </c>
      <c r="E136" s="1">
        <v>255</v>
      </c>
      <c r="F136" s="1">
        <v>34966.5</v>
      </c>
      <c r="G136" s="1">
        <v>212.26</v>
      </c>
    </row>
    <row r="137" spans="1:8">
      <c r="A137" s="9" t="s">
        <v>13</v>
      </c>
      <c r="B137" t="s">
        <v>403</v>
      </c>
      <c r="C137" s="5" t="s">
        <v>405</v>
      </c>
      <c r="D137" s="1">
        <v>77035.39</v>
      </c>
      <c r="E137" s="1">
        <v>2702.49</v>
      </c>
      <c r="F137" s="1">
        <v>265114.99</v>
      </c>
      <c r="G137" s="1">
        <v>179.12</v>
      </c>
    </row>
    <row r="138" spans="1:8">
      <c r="A138" s="9" t="s">
        <v>13</v>
      </c>
      <c r="B138" t="s">
        <v>406</v>
      </c>
      <c r="C138" s="5" t="s">
        <v>408</v>
      </c>
      <c r="E138" s="1">
        <v>3225.72</v>
      </c>
    </row>
    <row r="139" spans="1:8">
      <c r="A139" s="9" t="s">
        <v>13</v>
      </c>
      <c r="B139" t="s">
        <v>409</v>
      </c>
      <c r="C139" s="5" t="s">
        <v>411</v>
      </c>
      <c r="D139" s="1">
        <v>18809.25</v>
      </c>
      <c r="E139" s="1">
        <v>422.76</v>
      </c>
      <c r="F139" s="1">
        <v>139971.72</v>
      </c>
      <c r="G139" s="1">
        <v>144.18</v>
      </c>
    </row>
    <row r="140" spans="1:8">
      <c r="A140" s="9" t="s">
        <v>13</v>
      </c>
      <c r="B140" t="s">
        <v>412</v>
      </c>
      <c r="C140" s="5" t="s">
        <v>414</v>
      </c>
      <c r="D140" s="1">
        <v>33289.82</v>
      </c>
      <c r="E140" s="1">
        <v>78.349999999999994</v>
      </c>
      <c r="F140" s="1">
        <v>70471.8</v>
      </c>
    </row>
    <row r="141" spans="1:8">
      <c r="A141" s="9" t="s">
        <v>13</v>
      </c>
      <c r="B141" t="s">
        <v>415</v>
      </c>
      <c r="C141" s="5" t="s">
        <v>417</v>
      </c>
      <c r="D141" s="1">
        <v>14281.06</v>
      </c>
      <c r="F141" s="1">
        <v>9070.35</v>
      </c>
      <c r="G141" s="1">
        <v>107.04</v>
      </c>
    </row>
    <row r="142" spans="1:8">
      <c r="A142" s="9" t="s">
        <v>13</v>
      </c>
      <c r="B142" t="s">
        <v>418</v>
      </c>
      <c r="C142" s="5" t="s">
        <v>420</v>
      </c>
      <c r="D142" s="1">
        <v>45830.57</v>
      </c>
      <c r="E142" s="1">
        <v>194.95</v>
      </c>
      <c r="F142" s="1">
        <v>132453.71</v>
      </c>
      <c r="G142" s="1">
        <v>1247.6600000000001</v>
      </c>
    </row>
    <row r="143" spans="1:8">
      <c r="A143" s="9" t="s">
        <v>13</v>
      </c>
      <c r="B143" t="s">
        <v>421</v>
      </c>
      <c r="C143" s="5" t="s">
        <v>423</v>
      </c>
      <c r="F143" s="1">
        <v>135000</v>
      </c>
      <c r="G143" s="1">
        <v>60.08</v>
      </c>
    </row>
    <row r="144" spans="1:8">
      <c r="A144" s="9" t="s">
        <v>13</v>
      </c>
      <c r="B144" t="s">
        <v>424</v>
      </c>
      <c r="C144" s="5" t="s">
        <v>426</v>
      </c>
      <c r="G144" s="1">
        <v>200.88</v>
      </c>
    </row>
    <row r="145" spans="1:7">
      <c r="A145" s="9" t="s">
        <v>13</v>
      </c>
      <c r="B145" t="s">
        <v>427</v>
      </c>
      <c r="C145" s="5" t="s">
        <v>429</v>
      </c>
      <c r="D145" s="1">
        <v>44770.239999999998</v>
      </c>
      <c r="E145" s="1">
        <v>1620</v>
      </c>
      <c r="F145" s="1">
        <v>175576.16</v>
      </c>
      <c r="G145" s="1">
        <v>2786.74</v>
      </c>
    </row>
    <row r="146" spans="1:7">
      <c r="A146" s="9" t="s">
        <v>13</v>
      </c>
      <c r="B146" t="s">
        <v>430</v>
      </c>
      <c r="C146" s="5" t="s">
        <v>432</v>
      </c>
      <c r="D146" s="1">
        <v>48089.71</v>
      </c>
      <c r="F146" s="1">
        <v>225114.99</v>
      </c>
      <c r="G146" s="1">
        <v>575.02499999999998</v>
      </c>
    </row>
    <row r="147" spans="1:7">
      <c r="A147" s="9" t="s">
        <v>13</v>
      </c>
      <c r="B147" t="s">
        <v>433</v>
      </c>
      <c r="C147" s="5" t="s">
        <v>435</v>
      </c>
      <c r="D147" s="1">
        <v>33212</v>
      </c>
      <c r="F147" s="1">
        <v>123242.97</v>
      </c>
      <c r="G147" s="1">
        <v>605.54999999999995</v>
      </c>
    </row>
    <row r="148" spans="1:7">
      <c r="A148" s="9" t="s">
        <v>13</v>
      </c>
      <c r="B148" t="s">
        <v>436</v>
      </c>
      <c r="C148" s="5" t="s">
        <v>438</v>
      </c>
      <c r="D148" s="1">
        <v>29747.9</v>
      </c>
      <c r="F148" s="1">
        <v>122644.81</v>
      </c>
      <c r="G148" s="1">
        <v>883.45</v>
      </c>
    </row>
    <row r="149" spans="1:7">
      <c r="A149" s="9" t="s">
        <v>13</v>
      </c>
      <c r="B149" t="s">
        <v>439</v>
      </c>
      <c r="C149" s="5" t="s">
        <v>441</v>
      </c>
      <c r="D149" s="1">
        <v>17388.599999999999</v>
      </c>
      <c r="F149" s="1">
        <v>40436.339999999997</v>
      </c>
      <c r="G149" s="1">
        <v>120.4</v>
      </c>
    </row>
    <row r="150" spans="1:7">
      <c r="A150" s="9" t="s">
        <v>13</v>
      </c>
      <c r="B150" t="s">
        <v>442</v>
      </c>
      <c r="C150" s="5" t="s">
        <v>444</v>
      </c>
      <c r="D150" s="1">
        <v>174678.93</v>
      </c>
      <c r="E150" s="1">
        <v>3.64</v>
      </c>
      <c r="F150" s="1">
        <v>247597.52</v>
      </c>
      <c r="G150" s="1">
        <v>11476.69</v>
      </c>
    </row>
    <row r="151" spans="1:7">
      <c r="A151" s="9" t="s">
        <v>13</v>
      </c>
      <c r="B151" t="s">
        <v>445</v>
      </c>
      <c r="C151" s="5" t="s">
        <v>447</v>
      </c>
      <c r="D151" s="1">
        <v>19005.990000000002</v>
      </c>
      <c r="E151" s="1">
        <v>99.77</v>
      </c>
      <c r="F151" s="1">
        <v>45970.3</v>
      </c>
      <c r="G151" s="1">
        <v>535.97</v>
      </c>
    </row>
    <row r="152" spans="1:7">
      <c r="A152" s="9" t="s">
        <v>13</v>
      </c>
      <c r="B152" t="s">
        <v>448</v>
      </c>
      <c r="C152" s="5" t="s">
        <v>450</v>
      </c>
      <c r="D152" s="1">
        <v>84469.8</v>
      </c>
      <c r="F152" s="1">
        <v>2497.5</v>
      </c>
      <c r="G152" s="1">
        <v>749.12</v>
      </c>
    </row>
    <row r="153" spans="1:7">
      <c r="A153" s="9" t="s">
        <v>13</v>
      </c>
      <c r="B153" t="s">
        <v>451</v>
      </c>
      <c r="C153" s="5" t="s">
        <v>453</v>
      </c>
      <c r="D153" s="1">
        <v>28074.54</v>
      </c>
      <c r="E153" s="1">
        <v>1314.51</v>
      </c>
      <c r="F153" s="1">
        <v>39388.78</v>
      </c>
    </row>
    <row r="154" spans="1:7">
      <c r="A154" s="9" t="s">
        <v>13</v>
      </c>
      <c r="B154" t="s">
        <v>454</v>
      </c>
      <c r="C154" s="5" t="s">
        <v>456</v>
      </c>
      <c r="D154" s="1">
        <v>338709.91</v>
      </c>
      <c r="F154" s="1">
        <v>948553.48</v>
      </c>
    </row>
    <row r="155" spans="1:7">
      <c r="A155" s="9" t="s">
        <v>13</v>
      </c>
      <c r="B155" t="s">
        <v>457</v>
      </c>
      <c r="C155" s="5" t="s">
        <v>457</v>
      </c>
      <c r="D155" s="1">
        <v>1499.66</v>
      </c>
    </row>
    <row r="156" spans="1:7">
      <c r="A156" s="9" t="s">
        <v>13</v>
      </c>
      <c r="B156" t="s">
        <v>459</v>
      </c>
      <c r="C156" s="5" t="s">
        <v>461</v>
      </c>
      <c r="D156" s="1">
        <v>111024.5</v>
      </c>
      <c r="F156" s="1">
        <v>102872.94</v>
      </c>
      <c r="G156" s="1">
        <v>537.36</v>
      </c>
    </row>
    <row r="157" spans="1:7">
      <c r="A157" s="9" t="s">
        <v>13</v>
      </c>
      <c r="B157" t="s">
        <v>462</v>
      </c>
      <c r="C157" s="5" t="s">
        <v>464</v>
      </c>
      <c r="D157" s="1">
        <v>4466.45</v>
      </c>
      <c r="E157" s="1">
        <v>1219.05</v>
      </c>
      <c r="F157" s="1">
        <v>40730.550000000003</v>
      </c>
    </row>
    <row r="158" spans="1:7">
      <c r="A158" s="9" t="s">
        <v>13</v>
      </c>
      <c r="B158" t="s">
        <v>465</v>
      </c>
      <c r="C158" s="5" t="s">
        <v>467</v>
      </c>
      <c r="D158" s="1">
        <v>872.65</v>
      </c>
      <c r="F158" s="1">
        <v>3325</v>
      </c>
    </row>
    <row r="159" spans="1:7">
      <c r="A159" s="9" t="s">
        <v>13</v>
      </c>
      <c r="B159" t="s">
        <v>468</v>
      </c>
      <c r="C159" s="5" t="s">
        <v>470</v>
      </c>
      <c r="D159" s="1">
        <v>46159.61</v>
      </c>
      <c r="E159" s="1">
        <v>5752.83</v>
      </c>
      <c r="F159" s="1">
        <v>110118.58</v>
      </c>
      <c r="G159" s="1">
        <v>1765.7</v>
      </c>
    </row>
    <row r="160" spans="1:7">
      <c r="A160" s="9" t="s">
        <v>13</v>
      </c>
      <c r="B160" t="s">
        <v>471</v>
      </c>
      <c r="C160" s="5" t="s">
        <v>473</v>
      </c>
      <c r="D160" s="1">
        <v>3338.62</v>
      </c>
    </row>
    <row r="161" spans="1:8">
      <c r="A161" s="9" t="s">
        <v>13</v>
      </c>
      <c r="B161" t="s">
        <v>474</v>
      </c>
      <c r="C161" s="5" t="s">
        <v>476</v>
      </c>
      <c r="D161" s="1">
        <v>31506.36</v>
      </c>
      <c r="F161" s="1">
        <v>94774.13</v>
      </c>
      <c r="G161" s="1">
        <v>1302.9100000000001</v>
      </c>
    </row>
    <row r="162" spans="1:8">
      <c r="A162" s="9" t="s">
        <v>13</v>
      </c>
      <c r="B162" t="s">
        <v>477</v>
      </c>
      <c r="C162" s="5" t="s">
        <v>479</v>
      </c>
      <c r="D162" s="1">
        <v>27081.75</v>
      </c>
      <c r="F162" s="1">
        <v>56994.96</v>
      </c>
    </row>
    <row r="163" spans="1:8">
      <c r="A163" s="9" t="s">
        <v>13</v>
      </c>
      <c r="B163" t="s">
        <v>480</v>
      </c>
      <c r="C163" s="5" t="s">
        <v>482</v>
      </c>
      <c r="D163" s="1">
        <v>35337.17</v>
      </c>
      <c r="E163" s="1">
        <v>4117.3599999999997</v>
      </c>
      <c r="F163" s="1">
        <v>62000</v>
      </c>
      <c r="G163" s="1">
        <v>13276.65</v>
      </c>
    </row>
    <row r="164" spans="1:8">
      <c r="A164" s="9" t="s">
        <v>13</v>
      </c>
      <c r="B164" t="s">
        <v>483</v>
      </c>
      <c r="C164" s="5" t="s">
        <v>485</v>
      </c>
      <c r="D164" s="1">
        <v>6050.01</v>
      </c>
      <c r="F164" s="1">
        <v>35543.69</v>
      </c>
      <c r="G164" s="1">
        <v>582.88</v>
      </c>
    </row>
    <row r="165" spans="1:8">
      <c r="A165" s="9" t="s">
        <v>13</v>
      </c>
      <c r="B165" t="s">
        <v>486</v>
      </c>
      <c r="C165" s="5" t="s">
        <v>488</v>
      </c>
      <c r="D165" s="1">
        <v>1328</v>
      </c>
    </row>
    <row r="166" spans="1:8">
      <c r="A166" s="9" t="s">
        <v>13</v>
      </c>
      <c r="B166" t="s">
        <v>489</v>
      </c>
      <c r="C166" s="5" t="s">
        <v>491</v>
      </c>
      <c r="D166" s="1">
        <v>199215.61</v>
      </c>
      <c r="F166" s="1">
        <v>559215.35</v>
      </c>
      <c r="G166" s="1">
        <v>4405.5649999999996</v>
      </c>
    </row>
    <row r="167" spans="1:8">
      <c r="A167" s="9" t="s">
        <v>13</v>
      </c>
      <c r="B167" t="s">
        <v>492</v>
      </c>
      <c r="C167" s="5" t="s">
        <v>494</v>
      </c>
      <c r="D167" s="1">
        <v>131267.28</v>
      </c>
      <c r="F167" s="1">
        <v>835092.83</v>
      </c>
      <c r="G167" s="1">
        <v>12089.075000000001</v>
      </c>
    </row>
    <row r="168" spans="1:8">
      <c r="A168" s="9" t="s">
        <v>13</v>
      </c>
      <c r="B168" t="s">
        <v>495</v>
      </c>
      <c r="C168" s="5" t="s">
        <v>497</v>
      </c>
      <c r="D168" s="1">
        <v>18615.060000000001</v>
      </c>
      <c r="F168" s="1">
        <v>76568.759999999995</v>
      </c>
      <c r="G168" s="1">
        <v>1603.7</v>
      </c>
    </row>
    <row r="169" spans="1:8">
      <c r="A169" s="9" t="s">
        <v>13</v>
      </c>
      <c r="B169" t="s">
        <v>498</v>
      </c>
      <c r="C169" s="5" t="s">
        <v>500</v>
      </c>
      <c r="D169" s="1">
        <v>6387.25</v>
      </c>
      <c r="F169" s="1">
        <v>14614.44</v>
      </c>
      <c r="G169" s="1">
        <v>126.65</v>
      </c>
    </row>
    <row r="170" spans="1:8">
      <c r="A170" s="9" t="s">
        <v>13</v>
      </c>
      <c r="B170" t="s">
        <v>501</v>
      </c>
      <c r="C170" s="5" t="s">
        <v>503</v>
      </c>
      <c r="D170" s="1">
        <v>10066.51</v>
      </c>
      <c r="F170" s="1">
        <v>14522.87</v>
      </c>
    </row>
    <row r="171" spans="1:8">
      <c r="A171" s="9" t="s">
        <v>13</v>
      </c>
      <c r="B171" t="s">
        <v>504</v>
      </c>
      <c r="C171" s="5" t="s">
        <v>506</v>
      </c>
      <c r="D171" s="1">
        <v>4983.75</v>
      </c>
      <c r="F171" s="1">
        <v>19143.419999999998</v>
      </c>
      <c r="G171" s="1">
        <v>537.36</v>
      </c>
    </row>
    <row r="172" spans="1:8">
      <c r="A172" s="9" t="s">
        <v>13</v>
      </c>
      <c r="B172" t="s">
        <v>507</v>
      </c>
      <c r="C172" s="5" t="s">
        <v>509</v>
      </c>
      <c r="D172" s="1">
        <v>3769.5</v>
      </c>
      <c r="F172" s="1">
        <v>27484.27</v>
      </c>
      <c r="G172" s="1">
        <v>1093.68</v>
      </c>
    </row>
    <row r="173" spans="1:8">
      <c r="A173" s="9" t="s">
        <v>13</v>
      </c>
      <c r="B173" t="s">
        <v>510</v>
      </c>
      <c r="C173" s="5" t="s">
        <v>512</v>
      </c>
      <c r="D173" s="1">
        <v>53136.85</v>
      </c>
      <c r="F173" s="1">
        <v>171683.96</v>
      </c>
    </row>
    <row r="174" spans="1:8">
      <c r="A174" s="9" t="s">
        <v>13</v>
      </c>
      <c r="B174" t="s">
        <v>513</v>
      </c>
      <c r="C174" s="5" t="s">
        <v>515</v>
      </c>
      <c r="D174" s="1">
        <v>78654.66</v>
      </c>
      <c r="E174" s="1">
        <v>26.73</v>
      </c>
      <c r="F174" s="1">
        <v>208932.43</v>
      </c>
      <c r="G174" s="1">
        <v>1700.655</v>
      </c>
      <c r="H174" s="1">
        <v>351.23</v>
      </c>
    </row>
    <row r="175" spans="1:8">
      <c r="A175" s="9" t="s">
        <v>13</v>
      </c>
      <c r="B175" t="s">
        <v>516</v>
      </c>
      <c r="C175" s="5" t="s">
        <v>518</v>
      </c>
      <c r="D175" s="1">
        <v>165203.65</v>
      </c>
      <c r="F175" s="1">
        <v>155778.28</v>
      </c>
      <c r="G175" s="1">
        <v>4246.4799999999996</v>
      </c>
    </row>
    <row r="176" spans="1:8">
      <c r="A176" s="9" t="s">
        <v>13</v>
      </c>
      <c r="B176" t="s">
        <v>519</v>
      </c>
      <c r="C176" s="5" t="s">
        <v>521</v>
      </c>
      <c r="D176" s="1">
        <v>61815.86</v>
      </c>
      <c r="F176" s="1">
        <v>-82457.350000000006</v>
      </c>
      <c r="G176" s="1">
        <v>1820.1949999999999</v>
      </c>
    </row>
    <row r="177" spans="1:7">
      <c r="A177" s="9" t="s">
        <v>13</v>
      </c>
      <c r="B177" t="s">
        <v>522</v>
      </c>
      <c r="C177" s="5" t="s">
        <v>524</v>
      </c>
      <c r="D177" s="1">
        <v>41453.69</v>
      </c>
      <c r="F177" s="1">
        <v>63516.84</v>
      </c>
      <c r="G177" s="1">
        <v>284</v>
      </c>
    </row>
    <row r="178" spans="1:7">
      <c r="A178" s="9" t="s">
        <v>13</v>
      </c>
      <c r="B178" t="s">
        <v>525</v>
      </c>
      <c r="C178" s="5" t="s">
        <v>527</v>
      </c>
      <c r="D178" s="1">
        <v>37978.97</v>
      </c>
      <c r="E178" s="1">
        <v>500</v>
      </c>
      <c r="F178" s="1">
        <v>112286.69</v>
      </c>
    </row>
    <row r="179" spans="1:7">
      <c r="A179" s="9" t="s">
        <v>13</v>
      </c>
      <c r="B179" t="s">
        <v>528</v>
      </c>
      <c r="C179" s="5" t="s">
        <v>530</v>
      </c>
      <c r="D179" s="1">
        <v>53705.03</v>
      </c>
      <c r="E179" s="1">
        <v>5084.71</v>
      </c>
      <c r="F179" s="1">
        <v>110634.93</v>
      </c>
    </row>
    <row r="180" spans="1:7">
      <c r="A180" s="9" t="s">
        <v>13</v>
      </c>
      <c r="B180" t="s">
        <v>531</v>
      </c>
      <c r="C180" s="5" t="s">
        <v>533</v>
      </c>
      <c r="D180" s="1">
        <v>24492.94</v>
      </c>
      <c r="E180" s="1">
        <v>212.88</v>
      </c>
      <c r="F180" s="1">
        <v>63170.8</v>
      </c>
      <c r="G180" s="1">
        <v>39.090000000000003</v>
      </c>
    </row>
    <row r="181" spans="1:7">
      <c r="A181" s="9" t="s">
        <v>13</v>
      </c>
      <c r="B181" t="s">
        <v>534</v>
      </c>
      <c r="C181" s="5" t="s">
        <v>536</v>
      </c>
      <c r="D181" s="1">
        <v>42126.39</v>
      </c>
      <c r="E181" s="1">
        <v>655.82</v>
      </c>
      <c r="F181" s="1">
        <v>160414.59</v>
      </c>
      <c r="G181" s="1">
        <v>190.745</v>
      </c>
    </row>
    <row r="182" spans="1:7">
      <c r="A182" s="9" t="s">
        <v>13</v>
      </c>
      <c r="B182" t="s">
        <v>537</v>
      </c>
      <c r="C182" s="5" t="s">
        <v>539</v>
      </c>
      <c r="D182" s="1">
        <v>98325.58</v>
      </c>
      <c r="F182" s="1">
        <v>286714.68</v>
      </c>
      <c r="G182" s="1">
        <v>491.44</v>
      </c>
    </row>
    <row r="183" spans="1:7">
      <c r="A183" s="9" t="s">
        <v>13</v>
      </c>
      <c r="B183" t="s">
        <v>540</v>
      </c>
      <c r="C183" s="5" t="s">
        <v>542</v>
      </c>
      <c r="D183" s="1">
        <v>57933.56</v>
      </c>
      <c r="E183" s="1">
        <v>2524.02</v>
      </c>
      <c r="F183" s="1">
        <v>201972.89</v>
      </c>
      <c r="G183" s="1">
        <v>1972.88</v>
      </c>
    </row>
    <row r="184" spans="1:7">
      <c r="A184" s="9" t="s">
        <v>13</v>
      </c>
      <c r="B184" t="s">
        <v>543</v>
      </c>
      <c r="C184" s="5" t="s">
        <v>545</v>
      </c>
      <c r="G184" s="1">
        <v>232.5</v>
      </c>
    </row>
    <row r="185" spans="1:7">
      <c r="A185" s="9" t="s">
        <v>13</v>
      </c>
      <c r="B185" t="s">
        <v>546</v>
      </c>
      <c r="C185" s="5" t="s">
        <v>548</v>
      </c>
      <c r="D185" s="1">
        <v>12672.02</v>
      </c>
      <c r="G185" s="1">
        <v>140.68</v>
      </c>
    </row>
    <row r="186" spans="1:7">
      <c r="A186" s="9" t="s">
        <v>13</v>
      </c>
      <c r="B186" t="s">
        <v>549</v>
      </c>
      <c r="C186" s="5" t="s">
        <v>551</v>
      </c>
      <c r="D186" s="1">
        <v>22144.95</v>
      </c>
      <c r="F186" s="1">
        <v>34988.76</v>
      </c>
      <c r="G186" s="1">
        <v>1020.01</v>
      </c>
    </row>
    <row r="187" spans="1:7">
      <c r="A187" s="9" t="s">
        <v>13</v>
      </c>
      <c r="B187" t="s">
        <v>552</v>
      </c>
      <c r="C187" s="5" t="s">
        <v>554</v>
      </c>
      <c r="D187" s="1">
        <v>25243.53</v>
      </c>
      <c r="F187" s="1">
        <v>52383.24</v>
      </c>
      <c r="G187" s="1">
        <v>1953.6</v>
      </c>
    </row>
    <row r="188" spans="1:7">
      <c r="A188" s="9" t="s">
        <v>13</v>
      </c>
      <c r="B188" t="s">
        <v>555</v>
      </c>
      <c r="C188" s="5" t="s">
        <v>557</v>
      </c>
      <c r="D188" s="1">
        <v>15.54</v>
      </c>
    </row>
    <row r="189" spans="1:7">
      <c r="A189" s="9" t="s">
        <v>13</v>
      </c>
      <c r="B189" t="s">
        <v>558</v>
      </c>
      <c r="C189" s="5" t="s">
        <v>560</v>
      </c>
      <c r="D189" s="1">
        <v>19749.37</v>
      </c>
      <c r="F189" s="1">
        <v>45626.31</v>
      </c>
      <c r="G189" s="1">
        <v>213.52</v>
      </c>
    </row>
    <row r="190" spans="1:7">
      <c r="A190" s="9" t="s">
        <v>13</v>
      </c>
      <c r="B190" t="s">
        <v>561</v>
      </c>
      <c r="C190" s="5" t="s">
        <v>563</v>
      </c>
      <c r="D190" s="1">
        <v>14727.6</v>
      </c>
      <c r="F190" s="1">
        <v>9835.43</v>
      </c>
      <c r="G190" s="1">
        <v>420.27</v>
      </c>
    </row>
    <row r="191" spans="1:7">
      <c r="A191" s="9" t="s">
        <v>13</v>
      </c>
      <c r="B191" t="s">
        <v>564</v>
      </c>
      <c r="C191" s="5" t="s">
        <v>566</v>
      </c>
      <c r="D191" s="1">
        <v>54146.9</v>
      </c>
      <c r="F191" s="1">
        <v>124381.15</v>
      </c>
      <c r="G191" s="1">
        <v>1290.45</v>
      </c>
    </row>
    <row r="192" spans="1:7">
      <c r="A192" s="9" t="s">
        <v>13</v>
      </c>
      <c r="B192" t="s">
        <v>567</v>
      </c>
      <c r="C192" s="5" t="s">
        <v>569</v>
      </c>
      <c r="D192" s="1">
        <v>38070</v>
      </c>
      <c r="E192" s="1">
        <v>3643.69</v>
      </c>
      <c r="G192" s="1">
        <v>2508.65</v>
      </c>
    </row>
    <row r="193" spans="1:7">
      <c r="A193" s="9" t="s">
        <v>13</v>
      </c>
      <c r="B193" t="s">
        <v>570</v>
      </c>
      <c r="C193" s="5" t="s">
        <v>572</v>
      </c>
      <c r="D193" s="1">
        <v>29467.81</v>
      </c>
      <c r="E193" s="1">
        <v>181.7</v>
      </c>
      <c r="F193" s="1">
        <v>71710.240000000005</v>
      </c>
    </row>
    <row r="194" spans="1:7">
      <c r="A194" s="9" t="s">
        <v>13</v>
      </c>
      <c r="B194" t="s">
        <v>573</v>
      </c>
      <c r="C194" s="5" t="s">
        <v>575</v>
      </c>
      <c r="D194" s="1">
        <v>63878</v>
      </c>
      <c r="F194" s="1">
        <v>106312.8</v>
      </c>
    </row>
    <row r="195" spans="1:7">
      <c r="A195" s="9" t="s">
        <v>13</v>
      </c>
      <c r="B195" t="s">
        <v>576</v>
      </c>
      <c r="C195" s="5" t="s">
        <v>578</v>
      </c>
      <c r="D195" s="1">
        <v>20920.47</v>
      </c>
      <c r="F195" s="1">
        <v>40906.019999999997</v>
      </c>
    </row>
    <row r="196" spans="1:7">
      <c r="A196" s="9" t="s">
        <v>13</v>
      </c>
      <c r="B196" t="s">
        <v>579</v>
      </c>
      <c r="C196" s="5" t="s">
        <v>581</v>
      </c>
      <c r="D196" s="1">
        <v>2000</v>
      </c>
      <c r="F196" s="1">
        <v>64527.6</v>
      </c>
    </row>
    <row r="197" spans="1:7">
      <c r="A197" s="9" t="s">
        <v>13</v>
      </c>
      <c r="B197" t="s">
        <v>582</v>
      </c>
      <c r="C197" s="5" t="s">
        <v>584</v>
      </c>
      <c r="D197" s="1">
        <v>27503.67</v>
      </c>
      <c r="E197" s="1">
        <v>713</v>
      </c>
      <c r="F197" s="1">
        <v>177657.99</v>
      </c>
      <c r="G197" s="1">
        <v>1520.0050000000001</v>
      </c>
    </row>
    <row r="198" spans="1:7">
      <c r="A198" s="9" t="s">
        <v>13</v>
      </c>
      <c r="B198" t="s">
        <v>585</v>
      </c>
      <c r="C198" s="5" t="s">
        <v>587</v>
      </c>
      <c r="D198" s="1">
        <v>25561.13</v>
      </c>
      <c r="F198" s="1">
        <v>49997.760000000002</v>
      </c>
    </row>
    <row r="199" spans="1:7">
      <c r="A199" s="9" t="s">
        <v>13</v>
      </c>
      <c r="B199" t="s">
        <v>588</v>
      </c>
      <c r="C199" s="5" t="s">
        <v>590</v>
      </c>
      <c r="D199" s="1">
        <v>25621.72</v>
      </c>
      <c r="F199" s="1">
        <v>117657.60000000001</v>
      </c>
      <c r="G199" s="1">
        <v>268.47000000000003</v>
      </c>
    </row>
    <row r="200" spans="1:7">
      <c r="A200" s="9" t="s">
        <v>13</v>
      </c>
      <c r="B200" t="s">
        <v>591</v>
      </c>
      <c r="C200" s="5" t="s">
        <v>593</v>
      </c>
      <c r="D200" s="1">
        <v>40</v>
      </c>
    </row>
    <row r="201" spans="1:7">
      <c r="A201" s="9" t="s">
        <v>13</v>
      </c>
      <c r="B201" t="s">
        <v>594</v>
      </c>
      <c r="C201" s="5" t="s">
        <v>596</v>
      </c>
      <c r="D201" s="1">
        <v>660</v>
      </c>
    </row>
    <row r="202" spans="1:7">
      <c r="A202" s="9" t="s">
        <v>13</v>
      </c>
      <c r="B202" t="s">
        <v>597</v>
      </c>
      <c r="C202" s="5" t="s">
        <v>599</v>
      </c>
      <c r="D202" s="1">
        <v>6383.62</v>
      </c>
    </row>
    <row r="203" spans="1:7">
      <c r="A203" s="9" t="s">
        <v>13</v>
      </c>
      <c r="B203" t="s">
        <v>600</v>
      </c>
      <c r="C203" s="5" t="s">
        <v>602</v>
      </c>
      <c r="F203" s="1">
        <v>459590.16</v>
      </c>
    </row>
    <row r="204" spans="1:7">
      <c r="A204" s="9" t="s">
        <v>13</v>
      </c>
      <c r="B204" t="s">
        <v>603</v>
      </c>
      <c r="C204" s="5" t="s">
        <v>605</v>
      </c>
      <c r="D204" s="1">
        <v>58825.21</v>
      </c>
      <c r="F204" s="1">
        <v>274660.19</v>
      </c>
    </row>
    <row r="205" spans="1:7">
      <c r="A205" s="9" t="s">
        <v>13</v>
      </c>
      <c r="B205" t="s">
        <v>606</v>
      </c>
      <c r="C205" s="5" t="s">
        <v>608</v>
      </c>
      <c r="D205" s="1">
        <v>31528.560000000001</v>
      </c>
      <c r="E205" s="1">
        <v>428.86</v>
      </c>
      <c r="F205" s="1">
        <v>96867.26</v>
      </c>
    </row>
    <row r="206" spans="1:7">
      <c r="A206" s="9" t="s">
        <v>13</v>
      </c>
      <c r="B206" t="s">
        <v>609</v>
      </c>
      <c r="C206" s="5" t="s">
        <v>611</v>
      </c>
      <c r="D206" s="1">
        <v>14834.69</v>
      </c>
      <c r="F206" s="1">
        <v>20101.95</v>
      </c>
    </row>
    <row r="207" spans="1:7">
      <c r="A207" s="9" t="s">
        <v>13</v>
      </c>
      <c r="B207" t="s">
        <v>612</v>
      </c>
      <c r="C207" s="5" t="s">
        <v>614</v>
      </c>
      <c r="D207" s="1">
        <v>38319.33</v>
      </c>
      <c r="E207" s="1">
        <v>5400</v>
      </c>
      <c r="F207" s="1">
        <v>71619.02</v>
      </c>
      <c r="G207" s="1">
        <v>3405.24</v>
      </c>
    </row>
    <row r="208" spans="1:7">
      <c r="A208" s="9" t="s">
        <v>13</v>
      </c>
      <c r="B208" t="s">
        <v>615</v>
      </c>
      <c r="C208" s="5" t="s">
        <v>617</v>
      </c>
      <c r="D208" s="1">
        <v>138957.32</v>
      </c>
      <c r="F208" s="1">
        <v>-10188.24</v>
      </c>
    </row>
    <row r="209" spans="1:8">
      <c r="A209" s="9" t="s">
        <v>13</v>
      </c>
      <c r="B209" t="s">
        <v>618</v>
      </c>
      <c r="C209" s="5" t="s">
        <v>620</v>
      </c>
      <c r="D209" s="1">
        <v>329823.14</v>
      </c>
      <c r="E209" s="1">
        <v>9020.06</v>
      </c>
      <c r="F209" s="1">
        <v>1255923.57</v>
      </c>
      <c r="G209" s="1">
        <v>5434.96</v>
      </c>
    </row>
    <row r="210" spans="1:8">
      <c r="A210" s="9" t="s">
        <v>13</v>
      </c>
      <c r="B210" t="s">
        <v>621</v>
      </c>
      <c r="C210" s="5" t="s">
        <v>623</v>
      </c>
      <c r="E210" s="1">
        <v>1900.71</v>
      </c>
      <c r="F210" s="1">
        <v>225068.87</v>
      </c>
    </row>
    <row r="211" spans="1:8">
      <c r="A211" s="9" t="s">
        <v>13</v>
      </c>
      <c r="B211" t="s">
        <v>624</v>
      </c>
      <c r="C211" s="5" t="s">
        <v>626</v>
      </c>
      <c r="D211" s="1">
        <v>18199.419999999998</v>
      </c>
      <c r="E211" s="1">
        <v>897.98</v>
      </c>
      <c r="F211" s="1">
        <v>20611.48</v>
      </c>
      <c r="G211" s="1">
        <v>917.52</v>
      </c>
    </row>
    <row r="212" spans="1:8">
      <c r="A212" s="9" t="s">
        <v>13</v>
      </c>
      <c r="B212" t="s">
        <v>627</v>
      </c>
      <c r="C212" s="5" t="s">
        <v>629</v>
      </c>
      <c r="D212" s="1">
        <v>8690</v>
      </c>
      <c r="E212" s="1">
        <v>200</v>
      </c>
      <c r="F212" s="1">
        <v>17308.02</v>
      </c>
      <c r="G212" s="1">
        <v>1625.35</v>
      </c>
    </row>
    <row r="213" spans="1:8">
      <c r="A213" s="9" t="s">
        <v>13</v>
      </c>
      <c r="B213" t="s">
        <v>630</v>
      </c>
      <c r="C213" s="5" t="s">
        <v>632</v>
      </c>
      <c r="D213" s="1">
        <v>58898.67</v>
      </c>
      <c r="F213" s="1">
        <v>78356.11</v>
      </c>
      <c r="G213" s="1">
        <v>101.58</v>
      </c>
    </row>
    <row r="214" spans="1:8">
      <c r="A214" s="9" t="s">
        <v>13</v>
      </c>
      <c r="B214" t="s">
        <v>633</v>
      </c>
      <c r="C214" s="5" t="s">
        <v>635</v>
      </c>
      <c r="F214" s="1">
        <v>3291.85</v>
      </c>
      <c r="G214" s="1">
        <v>476.49</v>
      </c>
      <c r="H214" s="1">
        <v>104.5</v>
      </c>
    </row>
    <row r="215" spans="1:8">
      <c r="A215" s="9" t="s">
        <v>13</v>
      </c>
      <c r="B215" t="s">
        <v>636</v>
      </c>
      <c r="C215" s="5" t="s">
        <v>638</v>
      </c>
      <c r="D215" s="1">
        <v>3204.84</v>
      </c>
      <c r="F215" s="1">
        <v>22983.31</v>
      </c>
      <c r="G215" s="1">
        <v>1408.4</v>
      </c>
    </row>
    <row r="216" spans="1:8">
      <c r="A216" s="9" t="s">
        <v>13</v>
      </c>
      <c r="B216" t="s">
        <v>639</v>
      </c>
      <c r="C216" s="5" t="s">
        <v>641</v>
      </c>
      <c r="G216" s="1">
        <v>1229.52</v>
      </c>
    </row>
    <row r="217" spans="1:8">
      <c r="A217" s="9" t="s">
        <v>13</v>
      </c>
      <c r="B217" t="s">
        <v>642</v>
      </c>
      <c r="C217" s="5" t="s">
        <v>644</v>
      </c>
      <c r="D217" s="1">
        <v>7470.96</v>
      </c>
      <c r="F217" s="1">
        <v>-8246</v>
      </c>
      <c r="G217" s="1">
        <v>602.69500000000005</v>
      </c>
    </row>
    <row r="218" spans="1:8">
      <c r="A218" s="9" t="s">
        <v>13</v>
      </c>
      <c r="B218" t="s">
        <v>645</v>
      </c>
      <c r="C218" s="5" t="s">
        <v>647</v>
      </c>
      <c r="D218" s="1">
        <v>9106.9699999999993</v>
      </c>
      <c r="F218" s="1">
        <v>14156.68</v>
      </c>
    </row>
    <row r="219" spans="1:8">
      <c r="A219" s="9" t="s">
        <v>13</v>
      </c>
      <c r="B219" t="s">
        <v>648</v>
      </c>
      <c r="C219" s="5" t="s">
        <v>650</v>
      </c>
      <c r="D219" s="1">
        <v>14187.02</v>
      </c>
      <c r="F219" s="1">
        <v>53826.75</v>
      </c>
    </row>
    <row r="220" spans="1:8">
      <c r="A220" s="9" t="s">
        <v>13</v>
      </c>
      <c r="B220" t="s">
        <v>651</v>
      </c>
      <c r="C220" s="5" t="s">
        <v>653</v>
      </c>
      <c r="D220" s="1">
        <v>57886.54</v>
      </c>
      <c r="E220" s="1">
        <v>2171.9699999999998</v>
      </c>
      <c r="F220" s="1">
        <v>92225.919999999998</v>
      </c>
    </row>
    <row r="221" spans="1:8">
      <c r="A221" s="9" t="s">
        <v>13</v>
      </c>
      <c r="B221" t="s">
        <v>654</v>
      </c>
      <c r="C221" s="5" t="s">
        <v>656</v>
      </c>
      <c r="D221" s="1">
        <v>36565.24</v>
      </c>
      <c r="F221" s="1">
        <v>33362.07</v>
      </c>
    </row>
    <row r="222" spans="1:8">
      <c r="A222" s="9" t="s">
        <v>13</v>
      </c>
      <c r="B222" t="s">
        <v>657</v>
      </c>
      <c r="C222" s="5" t="s">
        <v>659</v>
      </c>
      <c r="D222" s="1">
        <v>100418.73</v>
      </c>
      <c r="F222" s="1">
        <v>293110.37</v>
      </c>
    </row>
    <row r="223" spans="1:8">
      <c r="A223" s="9" t="s">
        <v>13</v>
      </c>
      <c r="B223" t="s">
        <v>660</v>
      </c>
      <c r="C223" s="5" t="s">
        <v>662</v>
      </c>
      <c r="D223" s="1">
        <v>18141.849999999999</v>
      </c>
      <c r="F223" s="1">
        <v>65463.16</v>
      </c>
      <c r="G223" s="1">
        <v>446.56</v>
      </c>
    </row>
    <row r="224" spans="1:8">
      <c r="A224" s="9" t="s">
        <v>13</v>
      </c>
      <c r="B224" t="s">
        <v>663</v>
      </c>
      <c r="C224" s="5" t="s">
        <v>665</v>
      </c>
      <c r="D224" s="1">
        <v>41998.63</v>
      </c>
      <c r="E224" s="1">
        <v>2241.6799999999998</v>
      </c>
      <c r="F224" s="1">
        <v>199237.38</v>
      </c>
      <c r="G224" s="1">
        <v>3085</v>
      </c>
      <c r="H224" s="1">
        <v>1013.92</v>
      </c>
    </row>
    <row r="225" spans="1:8">
      <c r="A225" s="9" t="s">
        <v>13</v>
      </c>
      <c r="B225" t="s">
        <v>666</v>
      </c>
      <c r="C225" s="5" t="s">
        <v>668</v>
      </c>
      <c r="D225" s="1">
        <v>59289.96</v>
      </c>
    </row>
    <row r="226" spans="1:8">
      <c r="A226" s="9" t="s">
        <v>13</v>
      </c>
      <c r="B226" t="s">
        <v>669</v>
      </c>
      <c r="C226" s="5" t="s">
        <v>671</v>
      </c>
      <c r="D226" s="1">
        <v>107.48</v>
      </c>
    </row>
    <row r="227" spans="1:8">
      <c r="A227" s="9" t="s">
        <v>13</v>
      </c>
      <c r="B227" t="s">
        <v>672</v>
      </c>
      <c r="C227" s="5" t="s">
        <v>674</v>
      </c>
      <c r="D227" s="1">
        <v>5598</v>
      </c>
      <c r="F227" s="1">
        <v>11885.77</v>
      </c>
    </row>
    <row r="228" spans="1:8">
      <c r="A228" s="9" t="s">
        <v>13</v>
      </c>
      <c r="B228" t="s">
        <v>675</v>
      </c>
      <c r="C228" s="5" t="s">
        <v>677</v>
      </c>
      <c r="D228" s="1">
        <v>74053.16</v>
      </c>
      <c r="E228" s="1">
        <v>5140.32</v>
      </c>
      <c r="F228" s="1">
        <v>459866.76</v>
      </c>
      <c r="G228" s="1">
        <v>2726</v>
      </c>
    </row>
    <row r="229" spans="1:8">
      <c r="A229" s="9" t="s">
        <v>13</v>
      </c>
      <c r="B229" t="s">
        <v>678</v>
      </c>
      <c r="C229" s="5" t="s">
        <v>680</v>
      </c>
      <c r="D229" s="1">
        <v>20972.71</v>
      </c>
    </row>
    <row r="230" spans="1:8">
      <c r="A230" s="9" t="s">
        <v>13</v>
      </c>
      <c r="B230" t="s">
        <v>681</v>
      </c>
      <c r="C230" s="5" t="s">
        <v>683</v>
      </c>
      <c r="D230" s="1">
        <v>1920</v>
      </c>
    </row>
    <row r="231" spans="1:8">
      <c r="A231" s="9" t="s">
        <v>13</v>
      </c>
      <c r="B231" t="s">
        <v>684</v>
      </c>
      <c r="C231" s="5" t="s">
        <v>686</v>
      </c>
      <c r="D231" s="1">
        <v>-27.28</v>
      </c>
    </row>
    <row r="232" spans="1:8">
      <c r="A232" s="9" t="s">
        <v>13</v>
      </c>
      <c r="B232" t="s">
        <v>687</v>
      </c>
      <c r="C232" s="5" t="s">
        <v>689</v>
      </c>
      <c r="D232" s="1">
        <v>12970.6</v>
      </c>
    </row>
    <row r="233" spans="1:8">
      <c r="A233" s="9" t="s">
        <v>13</v>
      </c>
      <c r="B233" t="s">
        <v>690</v>
      </c>
      <c r="C233" s="5" t="s">
        <v>692</v>
      </c>
      <c r="D233" s="1">
        <v>11522.4</v>
      </c>
      <c r="F233" s="1">
        <v>11522.4</v>
      </c>
    </row>
    <row r="234" spans="1:8">
      <c r="A234" s="9" t="s">
        <v>13</v>
      </c>
      <c r="B234" t="s">
        <v>693</v>
      </c>
      <c r="C234" s="5" t="s">
        <v>695</v>
      </c>
      <c r="D234" s="1">
        <v>3169.26</v>
      </c>
      <c r="E234" s="1">
        <v>705.43</v>
      </c>
      <c r="F234" s="1">
        <v>17892.84</v>
      </c>
      <c r="G234" s="1">
        <v>149.91999999999999</v>
      </c>
    </row>
    <row r="235" spans="1:8">
      <c r="A235" s="9" t="s">
        <v>13</v>
      </c>
      <c r="B235" t="s">
        <v>696</v>
      </c>
      <c r="C235" s="5" t="s">
        <v>698</v>
      </c>
      <c r="D235" s="1">
        <v>55538.400000000001</v>
      </c>
      <c r="F235" s="1">
        <v>252697.9</v>
      </c>
    </row>
    <row r="236" spans="1:8">
      <c r="A236" s="9" t="s">
        <v>13</v>
      </c>
      <c r="B236" t="s">
        <v>699</v>
      </c>
      <c r="C236" s="5" t="s">
        <v>701</v>
      </c>
      <c r="D236" s="1">
        <v>14830.97</v>
      </c>
      <c r="E236" s="1">
        <v>823.8</v>
      </c>
      <c r="F236" s="1">
        <v>39927.26</v>
      </c>
    </row>
    <row r="237" spans="1:8">
      <c r="A237" s="9" t="s">
        <v>13</v>
      </c>
      <c r="B237" t="s">
        <v>702</v>
      </c>
      <c r="C237" s="5" t="s">
        <v>704</v>
      </c>
      <c r="D237" s="1">
        <v>4867.3100000000004</v>
      </c>
      <c r="F237" s="1">
        <v>11132.91</v>
      </c>
    </row>
    <row r="238" spans="1:8">
      <c r="A238" s="9" t="s">
        <v>13</v>
      </c>
      <c r="B238" t="s">
        <v>705</v>
      </c>
      <c r="C238" s="5" t="s">
        <v>707</v>
      </c>
      <c r="E238" s="1">
        <v>1650.86</v>
      </c>
      <c r="F238" s="1">
        <v>48239.45</v>
      </c>
      <c r="G238" s="1">
        <v>3444.61</v>
      </c>
      <c r="H238" s="1">
        <v>1046.93</v>
      </c>
    </row>
    <row r="239" spans="1:8">
      <c r="A239" s="9" t="s">
        <v>13</v>
      </c>
      <c r="B239" t="s">
        <v>708</v>
      </c>
      <c r="C239" s="5" t="s">
        <v>710</v>
      </c>
      <c r="E239" s="1">
        <v>23.36</v>
      </c>
    </row>
    <row r="240" spans="1:8">
      <c r="A240" s="9" t="s">
        <v>13</v>
      </c>
      <c r="B240" t="s">
        <v>711</v>
      </c>
      <c r="C240" s="5" t="s">
        <v>713</v>
      </c>
      <c r="E240" s="1">
        <v>567.84</v>
      </c>
    </row>
    <row r="241" spans="1:7">
      <c r="A241" s="9" t="s">
        <v>13</v>
      </c>
      <c r="B241" t="s">
        <v>714</v>
      </c>
      <c r="C241" s="5" t="s">
        <v>716</v>
      </c>
      <c r="E241" s="1">
        <v>2494.86</v>
      </c>
    </row>
    <row r="242" spans="1:7">
      <c r="A242" s="9" t="s">
        <v>13</v>
      </c>
      <c r="B242" t="s">
        <v>717</v>
      </c>
      <c r="C242" s="5" t="s">
        <v>719</v>
      </c>
      <c r="G242" s="1">
        <v>2642.72</v>
      </c>
    </row>
    <row r="243" spans="1:7">
      <c r="A243" s="9" t="s">
        <v>13</v>
      </c>
      <c r="B243" t="s">
        <v>720</v>
      </c>
      <c r="C243" s="5" t="s">
        <v>722</v>
      </c>
      <c r="F243" s="1">
        <v>-10186.040000000001</v>
      </c>
      <c r="G243" s="1">
        <v>2180.8000000000002</v>
      </c>
    </row>
    <row r="244" spans="1:7">
      <c r="A244" s="9" t="s">
        <v>13</v>
      </c>
      <c r="B244" t="s">
        <v>723</v>
      </c>
      <c r="C244" s="5" t="s">
        <v>725</v>
      </c>
      <c r="G244" s="1">
        <v>218.21</v>
      </c>
    </row>
    <row r="245" spans="1:7">
      <c r="A245" s="9" t="s">
        <v>13</v>
      </c>
      <c r="B245" t="s">
        <v>726</v>
      </c>
      <c r="C245" s="5" t="s">
        <v>728</v>
      </c>
      <c r="D245" s="1">
        <v>40324.449999999997</v>
      </c>
      <c r="F245" s="1">
        <v>54842.14</v>
      </c>
    </row>
    <row r="246" spans="1:7">
      <c r="A246" s="9" t="s">
        <v>13</v>
      </c>
      <c r="B246" t="s">
        <v>729</v>
      </c>
      <c r="C246" s="5" t="s">
        <v>731</v>
      </c>
      <c r="D246" s="1">
        <v>15013.04</v>
      </c>
      <c r="F246" s="1">
        <v>35554.5</v>
      </c>
      <c r="G246" s="1">
        <v>302.56</v>
      </c>
    </row>
    <row r="247" spans="1:7">
      <c r="A247" s="9" t="s">
        <v>13</v>
      </c>
      <c r="B247" t="s">
        <v>732</v>
      </c>
      <c r="C247" s="5" t="s">
        <v>734</v>
      </c>
      <c r="D247" s="1">
        <v>135.47999999999999</v>
      </c>
    </row>
    <row r="248" spans="1:7">
      <c r="A248" s="9" t="s">
        <v>13</v>
      </c>
      <c r="B248" t="s">
        <v>735</v>
      </c>
      <c r="C248" s="5" t="s">
        <v>737</v>
      </c>
      <c r="D248" s="1">
        <v>243</v>
      </c>
      <c r="G248" s="1">
        <v>939.94</v>
      </c>
    </row>
    <row r="249" spans="1:7">
      <c r="A249" s="9" t="s">
        <v>13</v>
      </c>
      <c r="B249" t="s">
        <v>738</v>
      </c>
      <c r="C249" s="5" t="s">
        <v>740</v>
      </c>
      <c r="D249" s="1">
        <v>33925.94</v>
      </c>
    </row>
    <row r="250" spans="1:7">
      <c r="A250" s="9" t="s">
        <v>13</v>
      </c>
      <c r="B250" t="s">
        <v>741</v>
      </c>
      <c r="C250" s="5" t="s">
        <v>743</v>
      </c>
      <c r="D250" s="1">
        <v>1602.42</v>
      </c>
    </row>
    <row r="251" spans="1:7">
      <c r="A251" s="9" t="s">
        <v>13</v>
      </c>
      <c r="B251" t="s">
        <v>744</v>
      </c>
      <c r="C251" s="5" t="s">
        <v>746</v>
      </c>
      <c r="F251" s="1">
        <v>103333.32</v>
      </c>
    </row>
    <row r="252" spans="1:7">
      <c r="A252" s="9" t="s">
        <v>13</v>
      </c>
      <c r="B252" t="s">
        <v>747</v>
      </c>
      <c r="C252" s="5" t="s">
        <v>749</v>
      </c>
      <c r="E252" s="1">
        <v>3532.76</v>
      </c>
      <c r="F252" s="1">
        <v>243334.34</v>
      </c>
    </row>
    <row r="253" spans="1:7">
      <c r="A253" s="9" t="s">
        <v>13</v>
      </c>
      <c r="B253" t="s">
        <v>750</v>
      </c>
      <c r="C253" s="5" t="s">
        <v>752</v>
      </c>
      <c r="D253" s="1">
        <v>18525.080000000002</v>
      </c>
      <c r="F253" s="1">
        <v>40317.9</v>
      </c>
    </row>
    <row r="254" spans="1:7">
      <c r="A254" s="9" t="s">
        <v>13</v>
      </c>
      <c r="B254" t="s">
        <v>753</v>
      </c>
      <c r="C254" s="5" t="s">
        <v>755</v>
      </c>
      <c r="D254" s="1">
        <v>216976.96</v>
      </c>
      <c r="E254" s="1">
        <v>18190</v>
      </c>
      <c r="F254" s="1">
        <v>566705.52</v>
      </c>
      <c r="G254" s="1">
        <v>3490.95</v>
      </c>
    </row>
    <row r="255" spans="1:7">
      <c r="A255" s="9" t="s">
        <v>13</v>
      </c>
      <c r="B255" t="s">
        <v>756</v>
      </c>
      <c r="C255" s="5" t="s">
        <v>758</v>
      </c>
      <c r="F255" s="1">
        <v>146000</v>
      </c>
    </row>
    <row r="256" spans="1:7">
      <c r="A256" s="9" t="s">
        <v>13</v>
      </c>
      <c r="B256" t="s">
        <v>759</v>
      </c>
      <c r="C256" s="5" t="s">
        <v>761</v>
      </c>
      <c r="D256" s="1">
        <v>27192.68</v>
      </c>
      <c r="F256" s="1">
        <v>88062.66</v>
      </c>
    </row>
    <row r="257" spans="1:7">
      <c r="A257" s="9" t="s">
        <v>13</v>
      </c>
      <c r="B257" t="s">
        <v>762</v>
      </c>
      <c r="C257" s="5" t="s">
        <v>764</v>
      </c>
      <c r="D257" s="1">
        <v>36651.57</v>
      </c>
      <c r="F257" s="1">
        <v>104391.98</v>
      </c>
    </row>
    <row r="258" spans="1:7">
      <c r="A258" s="9" t="s">
        <v>13</v>
      </c>
      <c r="B258" t="s">
        <v>765</v>
      </c>
      <c r="C258" s="5" t="s">
        <v>767</v>
      </c>
      <c r="D258" s="1">
        <v>13776.56</v>
      </c>
      <c r="E258" s="1">
        <v>3334.73</v>
      </c>
      <c r="F258" s="1">
        <v>54164.28</v>
      </c>
    </row>
    <row r="259" spans="1:7">
      <c r="A259" s="9" t="s">
        <v>13</v>
      </c>
      <c r="B259" t="s">
        <v>768</v>
      </c>
      <c r="C259" s="5" t="s">
        <v>770</v>
      </c>
      <c r="D259" s="1">
        <v>34393.730000000003</v>
      </c>
      <c r="F259" s="1">
        <v>34330.089999999997</v>
      </c>
    </row>
    <row r="260" spans="1:7">
      <c r="A260" s="9" t="s">
        <v>13</v>
      </c>
      <c r="B260" t="s">
        <v>771</v>
      </c>
      <c r="C260" s="5" t="s">
        <v>773</v>
      </c>
      <c r="D260" s="1">
        <v>13133.65</v>
      </c>
      <c r="F260" s="1">
        <v>15136.41</v>
      </c>
    </row>
    <row r="261" spans="1:7">
      <c r="A261" s="9" t="s">
        <v>13</v>
      </c>
      <c r="B261" t="s">
        <v>774</v>
      </c>
      <c r="C261" s="5" t="s">
        <v>776</v>
      </c>
      <c r="F261" s="1">
        <v>6190</v>
      </c>
    </row>
    <row r="262" spans="1:7">
      <c r="A262" s="9" t="s">
        <v>13</v>
      </c>
      <c r="B262" t="s">
        <v>777</v>
      </c>
      <c r="C262" s="5" t="s">
        <v>779</v>
      </c>
      <c r="E262" s="1">
        <v>1088.8499999999999</v>
      </c>
    </row>
    <row r="263" spans="1:7">
      <c r="A263" s="9" t="s">
        <v>13</v>
      </c>
      <c r="B263" t="s">
        <v>780</v>
      </c>
      <c r="C263" s="5" t="s">
        <v>782</v>
      </c>
      <c r="E263" s="1">
        <v>19334.03</v>
      </c>
    </row>
    <row r="264" spans="1:7">
      <c r="A264" s="9" t="s">
        <v>13</v>
      </c>
      <c r="B264" t="s">
        <v>783</v>
      </c>
      <c r="C264" s="5" t="s">
        <v>785</v>
      </c>
      <c r="D264" s="1">
        <v>3737.73</v>
      </c>
    </row>
    <row r="265" spans="1:7">
      <c r="A265" s="9" t="s">
        <v>13</v>
      </c>
      <c r="B265" t="s">
        <v>786</v>
      </c>
      <c r="C265" s="5" t="s">
        <v>788</v>
      </c>
      <c r="D265" s="1">
        <v>31504.79</v>
      </c>
      <c r="E265" s="1">
        <v>757.5</v>
      </c>
      <c r="G265" s="1">
        <v>6809.33</v>
      </c>
    </row>
    <row r="266" spans="1:7">
      <c r="A266" s="9" t="s">
        <v>13</v>
      </c>
      <c r="B266" t="s">
        <v>789</v>
      </c>
      <c r="C266" s="5" t="s">
        <v>791</v>
      </c>
      <c r="D266" s="1">
        <v>3652.7</v>
      </c>
    </row>
    <row r="267" spans="1:7">
      <c r="A267" s="9" t="s">
        <v>13</v>
      </c>
      <c r="B267" t="s">
        <v>792</v>
      </c>
      <c r="C267" s="5" t="s">
        <v>794</v>
      </c>
      <c r="D267" s="1">
        <v>51676.2</v>
      </c>
      <c r="F267" s="1">
        <v>0</v>
      </c>
    </row>
    <row r="268" spans="1:7">
      <c r="A268" s="9" t="s">
        <v>13</v>
      </c>
      <c r="B268" t="s">
        <v>795</v>
      </c>
      <c r="C268" s="5" t="s">
        <v>797</v>
      </c>
      <c r="F268" s="1">
        <v>40789.980000000003</v>
      </c>
    </row>
    <row r="269" spans="1:7">
      <c r="A269" s="9" t="s">
        <v>13</v>
      </c>
      <c r="B269" t="s">
        <v>798</v>
      </c>
      <c r="C269" s="5" t="s">
        <v>800</v>
      </c>
      <c r="E269" s="1">
        <v>1015.2</v>
      </c>
    </row>
    <row r="270" spans="1:7">
      <c r="A270" s="9" t="s">
        <v>13</v>
      </c>
      <c r="B270" t="s">
        <v>801</v>
      </c>
      <c r="C270" s="5" t="s">
        <v>803</v>
      </c>
      <c r="G270" s="1">
        <v>918.8</v>
      </c>
    </row>
    <row r="271" spans="1:7">
      <c r="A271" s="9" t="s">
        <v>13</v>
      </c>
      <c r="B271" t="s">
        <v>804</v>
      </c>
      <c r="C271" s="5" t="s">
        <v>806</v>
      </c>
      <c r="D271" s="1">
        <v>40642.79</v>
      </c>
      <c r="F271" s="1">
        <v>44246.8</v>
      </c>
    </row>
    <row r="272" spans="1:7">
      <c r="A272" s="9" t="s">
        <v>13</v>
      </c>
      <c r="B272" t="s">
        <v>807</v>
      </c>
      <c r="C272" s="5" t="s">
        <v>809</v>
      </c>
      <c r="D272" s="1">
        <v>1262</v>
      </c>
    </row>
    <row r="273" spans="1:8">
      <c r="A273" s="9" t="s">
        <v>13</v>
      </c>
      <c r="B273" t="s">
        <v>810</v>
      </c>
      <c r="C273" s="5" t="s">
        <v>812</v>
      </c>
      <c r="D273" s="1">
        <v>20000</v>
      </c>
      <c r="F273" s="1">
        <v>20882.07</v>
      </c>
    </row>
    <row r="274" spans="1:8">
      <c r="A274" s="9" t="s">
        <v>13</v>
      </c>
      <c r="B274" t="s">
        <v>813</v>
      </c>
      <c r="C274" s="5" t="s">
        <v>815</v>
      </c>
      <c r="D274" s="1">
        <v>5671.91</v>
      </c>
    </row>
    <row r="275" spans="1:8">
      <c r="A275" s="9" t="s">
        <v>13</v>
      </c>
      <c r="B275" t="s">
        <v>816</v>
      </c>
      <c r="C275" s="5" t="s">
        <v>818</v>
      </c>
      <c r="D275" s="1">
        <v>4678.0600000000004</v>
      </c>
    </row>
    <row r="276" spans="1:8">
      <c r="A276" s="9" t="s">
        <v>13</v>
      </c>
      <c r="B276" t="s">
        <v>819</v>
      </c>
      <c r="C276" s="5" t="s">
        <v>821</v>
      </c>
      <c r="F276" s="1">
        <v>4060</v>
      </c>
    </row>
    <row r="277" spans="1:8">
      <c r="A277" s="9" t="s">
        <v>13</v>
      </c>
      <c r="B277" t="s">
        <v>822</v>
      </c>
      <c r="C277" s="5" t="s">
        <v>824</v>
      </c>
      <c r="F277" s="1">
        <v>2667.5</v>
      </c>
    </row>
    <row r="278" spans="1:8">
      <c r="A278" s="9" t="s">
        <v>825</v>
      </c>
      <c r="B278" t="s">
        <v>827</v>
      </c>
      <c r="C278" s="5" t="s">
        <v>829</v>
      </c>
      <c r="D278" s="1">
        <v>2066</v>
      </c>
      <c r="F278" s="1">
        <v>1380.67</v>
      </c>
    </row>
    <row r="279" spans="1:8">
      <c r="A279" s="9" t="s">
        <v>825</v>
      </c>
      <c r="B279" t="s">
        <v>830</v>
      </c>
      <c r="C279" s="5" t="s">
        <v>832</v>
      </c>
      <c r="D279" s="1">
        <v>50</v>
      </c>
      <c r="E279" s="1">
        <v>355.43</v>
      </c>
    </row>
    <row r="280" spans="1:8">
      <c r="A280" s="9" t="s">
        <v>825</v>
      </c>
      <c r="B280" t="s">
        <v>833</v>
      </c>
      <c r="C280" s="5" t="s">
        <v>835</v>
      </c>
      <c r="D280" s="1">
        <v>311736.90999999997</v>
      </c>
      <c r="E280" s="1">
        <v>846.59</v>
      </c>
    </row>
    <row r="281" spans="1:8">
      <c r="A281" s="9" t="s">
        <v>825</v>
      </c>
      <c r="B281" t="s">
        <v>836</v>
      </c>
      <c r="C281" s="5" t="s">
        <v>838</v>
      </c>
      <c r="D281" s="1">
        <v>191.08</v>
      </c>
      <c r="G281" s="1">
        <v>349.47</v>
      </c>
    </row>
    <row r="282" spans="1:8">
      <c r="A282" s="9" t="s">
        <v>825</v>
      </c>
      <c r="B282" t="s">
        <v>807</v>
      </c>
      <c r="C282" s="5" t="s">
        <v>809</v>
      </c>
      <c r="D282" s="1">
        <v>9475.7999999999993</v>
      </c>
      <c r="F282" s="1">
        <v>1923.41</v>
      </c>
    </row>
    <row r="283" spans="1:8">
      <c r="A283" s="9" t="s">
        <v>825</v>
      </c>
      <c r="B283" t="s">
        <v>839</v>
      </c>
      <c r="C283" s="5" t="s">
        <v>841</v>
      </c>
      <c r="D283" s="1">
        <v>555</v>
      </c>
      <c r="F283" s="1">
        <v>715.91</v>
      </c>
    </row>
    <row r="284" spans="1:8">
      <c r="A284" s="9" t="s">
        <v>825</v>
      </c>
      <c r="B284" t="s">
        <v>842</v>
      </c>
      <c r="C284" s="5" t="s">
        <v>844</v>
      </c>
      <c r="F284" s="1">
        <v>6571.58</v>
      </c>
    </row>
    <row r="285" spans="1:8">
      <c r="A285" s="9" t="s">
        <v>825</v>
      </c>
      <c r="B285" t="s">
        <v>845</v>
      </c>
      <c r="C285" s="5" t="s">
        <v>847</v>
      </c>
      <c r="F285" s="1">
        <v>1055.3800000000001</v>
      </c>
    </row>
    <row r="286" spans="1:8">
      <c r="A286" s="9" t="s">
        <v>825</v>
      </c>
      <c r="B286" t="s">
        <v>848</v>
      </c>
      <c r="C286" s="5" t="s">
        <v>850</v>
      </c>
      <c r="E286" s="1">
        <v>330.62</v>
      </c>
      <c r="F286" s="1">
        <v>7529.99</v>
      </c>
      <c r="G286" s="1">
        <v>1182.5350000000001</v>
      </c>
      <c r="H286" s="1">
        <v>1180.4000000000001</v>
      </c>
    </row>
    <row r="287" spans="1:8">
      <c r="A287" s="9" t="s">
        <v>825</v>
      </c>
      <c r="B287" t="s">
        <v>851</v>
      </c>
      <c r="C287" s="5" t="s">
        <v>853</v>
      </c>
      <c r="F287" s="1">
        <v>7332.06</v>
      </c>
    </row>
    <row r="288" spans="1:8">
      <c r="A288" s="9" t="s">
        <v>825</v>
      </c>
      <c r="B288" t="s">
        <v>854</v>
      </c>
      <c r="C288" s="5" t="s">
        <v>856</v>
      </c>
      <c r="D288" s="1">
        <v>5416</v>
      </c>
      <c r="E288" s="1">
        <v>1100</v>
      </c>
      <c r="F288" s="1">
        <v>19108.61</v>
      </c>
    </row>
    <row r="289" spans="1:8">
      <c r="A289" s="9" t="s">
        <v>825</v>
      </c>
      <c r="B289" t="s">
        <v>857</v>
      </c>
      <c r="C289" s="5" t="s">
        <v>859</v>
      </c>
      <c r="F289" s="1">
        <v>1484.7</v>
      </c>
    </row>
    <row r="290" spans="1:8">
      <c r="A290" s="9" t="s">
        <v>825</v>
      </c>
      <c r="B290" t="s">
        <v>860</v>
      </c>
      <c r="C290" s="5" t="s">
        <v>862</v>
      </c>
      <c r="F290" s="1">
        <v>2796.51</v>
      </c>
    </row>
    <row r="291" spans="1:8">
      <c r="A291" s="9" t="s">
        <v>825</v>
      </c>
      <c r="B291" t="s">
        <v>863</v>
      </c>
      <c r="C291" s="5" t="s">
        <v>865</v>
      </c>
      <c r="F291" s="1">
        <v>-180</v>
      </c>
      <c r="G291" s="1">
        <v>1477.34</v>
      </c>
    </row>
    <row r="292" spans="1:8">
      <c r="A292" s="9" t="s">
        <v>825</v>
      </c>
      <c r="B292" t="s">
        <v>866</v>
      </c>
      <c r="C292" s="5" t="s">
        <v>868</v>
      </c>
      <c r="D292" s="1">
        <v>1539.15</v>
      </c>
      <c r="E292" s="1">
        <v>29288.95</v>
      </c>
      <c r="F292" s="1">
        <v>83319.03</v>
      </c>
    </row>
    <row r="293" spans="1:8">
      <c r="A293" s="9" t="s">
        <v>825</v>
      </c>
      <c r="B293" t="s">
        <v>869</v>
      </c>
      <c r="C293" s="5" t="s">
        <v>871</v>
      </c>
      <c r="E293" s="1">
        <v>856.43</v>
      </c>
      <c r="F293" s="1">
        <v>1620.48</v>
      </c>
    </row>
    <row r="294" spans="1:8">
      <c r="A294" s="9" t="s">
        <v>825</v>
      </c>
      <c r="B294" t="s">
        <v>872</v>
      </c>
      <c r="C294" s="5" t="s">
        <v>874</v>
      </c>
      <c r="E294" s="1">
        <v>434.45</v>
      </c>
      <c r="F294" s="1">
        <v>1300</v>
      </c>
      <c r="G294" s="1">
        <v>1252.7349999999999</v>
      </c>
      <c r="H294" s="1">
        <v>180.16</v>
      </c>
    </row>
    <row r="295" spans="1:8">
      <c r="A295" s="9" t="s">
        <v>825</v>
      </c>
      <c r="B295" t="s">
        <v>875</v>
      </c>
      <c r="C295" s="5" t="s">
        <v>877</v>
      </c>
      <c r="E295" s="1">
        <v>1636.52</v>
      </c>
      <c r="G295" s="1">
        <v>542.44000000000005</v>
      </c>
    </row>
    <row r="296" spans="1:8">
      <c r="A296" s="9" t="s">
        <v>825</v>
      </c>
      <c r="B296" t="s">
        <v>878</v>
      </c>
      <c r="C296" s="5" t="s">
        <v>880</v>
      </c>
      <c r="D296" s="1">
        <v>0</v>
      </c>
      <c r="E296" s="1">
        <v>1843</v>
      </c>
      <c r="G296" s="1">
        <v>981.47</v>
      </c>
    </row>
    <row r="297" spans="1:8">
      <c r="A297" s="9" t="s">
        <v>825</v>
      </c>
      <c r="B297" t="s">
        <v>881</v>
      </c>
      <c r="C297" s="5" t="s">
        <v>883</v>
      </c>
      <c r="G297" s="1">
        <v>463.15</v>
      </c>
      <c r="H297" s="1">
        <v>348.49</v>
      </c>
    </row>
    <row r="298" spans="1:8">
      <c r="A298" s="9" t="s">
        <v>825</v>
      </c>
      <c r="B298" t="s">
        <v>884</v>
      </c>
      <c r="C298" s="5" t="s">
        <v>886</v>
      </c>
      <c r="D298" s="1">
        <v>5910</v>
      </c>
      <c r="F298" s="1">
        <v>13670.49</v>
      </c>
    </row>
    <row r="299" spans="1:8">
      <c r="A299" s="9" t="s">
        <v>825</v>
      </c>
      <c r="B299" t="s">
        <v>887</v>
      </c>
      <c r="C299" s="5" t="s">
        <v>889</v>
      </c>
      <c r="D299" s="1">
        <v>2340</v>
      </c>
      <c r="E299" s="1">
        <v>60035.9</v>
      </c>
      <c r="F299" s="1">
        <v>414231.28</v>
      </c>
      <c r="G299" s="1">
        <v>6503.15</v>
      </c>
    </row>
    <row r="300" spans="1:8">
      <c r="A300" s="9" t="s">
        <v>825</v>
      </c>
      <c r="B300" t="s">
        <v>406</v>
      </c>
      <c r="C300" s="5" t="s">
        <v>408</v>
      </c>
      <c r="D300" s="1">
        <v>10724</v>
      </c>
      <c r="G300" s="1">
        <v>91.1</v>
      </c>
    </row>
    <row r="301" spans="1:8">
      <c r="A301" s="9" t="s">
        <v>825</v>
      </c>
      <c r="B301" t="s">
        <v>890</v>
      </c>
      <c r="C301" s="5" t="s">
        <v>892</v>
      </c>
      <c r="D301" s="1">
        <v>4254.92</v>
      </c>
    </row>
    <row r="302" spans="1:8">
      <c r="A302" s="9" t="s">
        <v>825</v>
      </c>
      <c r="B302" t="s">
        <v>893</v>
      </c>
      <c r="C302" s="5" t="s">
        <v>895</v>
      </c>
      <c r="D302" s="1">
        <v>850</v>
      </c>
      <c r="F302" s="1">
        <v>2599.87</v>
      </c>
    </row>
    <row r="303" spans="1:8">
      <c r="A303" s="9" t="s">
        <v>825</v>
      </c>
      <c r="B303" t="s">
        <v>896</v>
      </c>
      <c r="C303" s="5" t="s">
        <v>898</v>
      </c>
      <c r="D303" s="1">
        <v>724</v>
      </c>
    </row>
    <row r="304" spans="1:8">
      <c r="A304" s="9" t="s">
        <v>825</v>
      </c>
      <c r="B304" t="s">
        <v>899</v>
      </c>
      <c r="C304" s="5" t="s">
        <v>901</v>
      </c>
      <c r="D304" s="1">
        <v>8900</v>
      </c>
    </row>
    <row r="305" spans="1:8">
      <c r="A305" s="9" t="s">
        <v>825</v>
      </c>
      <c r="B305" t="s">
        <v>902</v>
      </c>
      <c r="C305" s="5" t="s">
        <v>904</v>
      </c>
      <c r="D305" s="1">
        <v>390</v>
      </c>
      <c r="E305" s="1">
        <v>72902.490000000005</v>
      </c>
      <c r="F305" s="1">
        <v>16679.53</v>
      </c>
    </row>
    <row r="306" spans="1:8">
      <c r="A306" s="9" t="s">
        <v>825</v>
      </c>
      <c r="B306" t="s">
        <v>905</v>
      </c>
      <c r="C306" s="5" t="s">
        <v>907</v>
      </c>
      <c r="D306" s="1">
        <v>6300</v>
      </c>
      <c r="E306" s="1">
        <v>2488</v>
      </c>
      <c r="F306" s="1">
        <v>16038.98</v>
      </c>
    </row>
    <row r="307" spans="1:8">
      <c r="A307" s="9" t="s">
        <v>825</v>
      </c>
      <c r="B307" t="s">
        <v>908</v>
      </c>
      <c r="C307" s="5" t="s">
        <v>910</v>
      </c>
      <c r="F307" s="1">
        <v>16400</v>
      </c>
    </row>
    <row r="308" spans="1:8">
      <c r="A308" s="9" t="s">
        <v>825</v>
      </c>
      <c r="B308" t="s">
        <v>911</v>
      </c>
      <c r="C308" s="5" t="s">
        <v>913</v>
      </c>
      <c r="F308" s="1">
        <v>951.89</v>
      </c>
      <c r="G308" s="1">
        <v>248.42500000000001</v>
      </c>
      <c r="H308" s="1">
        <v>45.33</v>
      </c>
    </row>
    <row r="309" spans="1:8">
      <c r="A309" s="9" t="s">
        <v>825</v>
      </c>
      <c r="B309" t="s">
        <v>914</v>
      </c>
      <c r="C309" s="5" t="s">
        <v>916</v>
      </c>
      <c r="D309" s="1">
        <v>6540</v>
      </c>
      <c r="F309" s="1">
        <v>12295.08</v>
      </c>
    </row>
    <row r="310" spans="1:8">
      <c r="A310" s="9" t="s">
        <v>825</v>
      </c>
      <c r="B310" t="s">
        <v>917</v>
      </c>
      <c r="C310" s="5" t="s">
        <v>919</v>
      </c>
      <c r="F310" s="1">
        <v>32447.08</v>
      </c>
    </row>
    <row r="311" spans="1:8">
      <c r="A311" s="9" t="s">
        <v>825</v>
      </c>
      <c r="B311" t="s">
        <v>920</v>
      </c>
      <c r="C311" s="5" t="s">
        <v>922</v>
      </c>
      <c r="D311" s="1">
        <v>0</v>
      </c>
      <c r="E311" s="1">
        <v>352.37</v>
      </c>
      <c r="G311" s="1">
        <v>285.91000000000003</v>
      </c>
      <c r="H311" s="1">
        <v>135.83000000000001</v>
      </c>
    </row>
    <row r="312" spans="1:8">
      <c r="A312" s="9" t="s">
        <v>825</v>
      </c>
      <c r="B312" t="s">
        <v>708</v>
      </c>
      <c r="C312" s="5" t="s">
        <v>710</v>
      </c>
      <c r="E312" s="1">
        <v>2387.63</v>
      </c>
      <c r="G312" s="1">
        <v>2540.7600000000002</v>
      </c>
    </row>
    <row r="313" spans="1:8">
      <c r="A313" s="9" t="s">
        <v>825</v>
      </c>
      <c r="B313" t="s">
        <v>923</v>
      </c>
      <c r="C313" s="5" t="s">
        <v>925</v>
      </c>
      <c r="E313" s="1">
        <v>3360</v>
      </c>
      <c r="F313" s="1">
        <v>31855.919999999998</v>
      </c>
    </row>
    <row r="314" spans="1:8">
      <c r="A314" s="9" t="s">
        <v>825</v>
      </c>
      <c r="B314" t="s">
        <v>926</v>
      </c>
      <c r="C314" s="5" t="s">
        <v>928</v>
      </c>
      <c r="E314" s="1">
        <v>2554.4499999999998</v>
      </c>
      <c r="G314" s="1">
        <v>88.04</v>
      </c>
    </row>
    <row r="315" spans="1:8">
      <c r="A315" s="9" t="s">
        <v>825</v>
      </c>
      <c r="B315" t="s">
        <v>929</v>
      </c>
      <c r="C315" s="5" t="s">
        <v>931</v>
      </c>
      <c r="G315" s="1">
        <v>73.92</v>
      </c>
    </row>
    <row r="316" spans="1:8">
      <c r="A316" s="9" t="s">
        <v>825</v>
      </c>
      <c r="B316" t="s">
        <v>932</v>
      </c>
      <c r="C316" s="5" t="s">
        <v>934</v>
      </c>
      <c r="D316" s="1">
        <v>919</v>
      </c>
    </row>
    <row r="317" spans="1:8">
      <c r="A317" s="9" t="s">
        <v>825</v>
      </c>
      <c r="B317" t="s">
        <v>935</v>
      </c>
      <c r="C317" s="5" t="s">
        <v>937</v>
      </c>
      <c r="D317" s="1">
        <v>634</v>
      </c>
      <c r="E317" s="1">
        <v>55706.41</v>
      </c>
      <c r="F317" s="1">
        <v>41634</v>
      </c>
    </row>
    <row r="318" spans="1:8">
      <c r="A318" s="9" t="s">
        <v>825</v>
      </c>
      <c r="B318" t="s">
        <v>938</v>
      </c>
      <c r="C318" s="5" t="s">
        <v>940</v>
      </c>
      <c r="D318" s="1">
        <v>40</v>
      </c>
    </row>
    <row r="319" spans="1:8">
      <c r="A319" s="9" t="s">
        <v>825</v>
      </c>
      <c r="B319" t="s">
        <v>941</v>
      </c>
      <c r="C319" s="5" t="s">
        <v>943</v>
      </c>
      <c r="F319" s="1">
        <v>499.86</v>
      </c>
    </row>
    <row r="320" spans="1:8">
      <c r="A320" s="9" t="s">
        <v>825</v>
      </c>
      <c r="B320" t="s">
        <v>944</v>
      </c>
      <c r="C320" s="5" t="s">
        <v>946</v>
      </c>
      <c r="F320" s="1">
        <v>8196.7099999999991</v>
      </c>
      <c r="G320" s="1">
        <v>72.275000000000006</v>
      </c>
    </row>
    <row r="321" spans="1:7">
      <c r="A321" s="9" t="s">
        <v>825</v>
      </c>
      <c r="B321" t="s">
        <v>947</v>
      </c>
      <c r="C321" s="5" t="s">
        <v>949</v>
      </c>
      <c r="F321" s="1">
        <v>2530.3200000000002</v>
      </c>
    </row>
    <row r="322" spans="1:7">
      <c r="A322" s="9" t="s">
        <v>825</v>
      </c>
      <c r="B322" t="s">
        <v>950</v>
      </c>
      <c r="C322" s="5" t="s">
        <v>952</v>
      </c>
      <c r="E322" s="1">
        <v>2334.61</v>
      </c>
      <c r="G322" s="1">
        <v>807.06</v>
      </c>
    </row>
    <row r="323" spans="1:7">
      <c r="A323" s="9" t="s">
        <v>825</v>
      </c>
      <c r="B323" t="s">
        <v>953</v>
      </c>
      <c r="C323" s="5" t="s">
        <v>955</v>
      </c>
      <c r="E323" s="1">
        <v>8099</v>
      </c>
    </row>
    <row r="324" spans="1:7">
      <c r="A324" s="9" t="s">
        <v>825</v>
      </c>
      <c r="B324" t="s">
        <v>798</v>
      </c>
      <c r="C324" s="5" t="s">
        <v>800</v>
      </c>
      <c r="E324" s="1">
        <v>173.56</v>
      </c>
      <c r="G324" s="1">
        <v>571.20000000000005</v>
      </c>
    </row>
    <row r="325" spans="1:7">
      <c r="A325" s="9" t="s">
        <v>825</v>
      </c>
      <c r="B325" t="s">
        <v>956</v>
      </c>
      <c r="C325" s="5" t="s">
        <v>958</v>
      </c>
      <c r="G325" s="1">
        <v>72.275000000000006</v>
      </c>
    </row>
    <row r="326" spans="1:7">
      <c r="A326" s="9" t="s">
        <v>825</v>
      </c>
      <c r="B326" t="s">
        <v>959</v>
      </c>
      <c r="C326" s="5" t="s">
        <v>961</v>
      </c>
      <c r="G326" s="1">
        <v>41.3</v>
      </c>
    </row>
    <row r="327" spans="1:7">
      <c r="A327" s="9" t="s">
        <v>825</v>
      </c>
      <c r="B327" t="s">
        <v>756</v>
      </c>
      <c r="C327" s="5" t="s">
        <v>758</v>
      </c>
      <c r="E327" s="1">
        <v>8548.39</v>
      </c>
      <c r="F327" s="1">
        <v>194595.31</v>
      </c>
    </row>
    <row r="328" spans="1:7">
      <c r="A328" s="9" t="s">
        <v>825</v>
      </c>
      <c r="B328" t="s">
        <v>962</v>
      </c>
      <c r="C328" s="5" t="s">
        <v>964</v>
      </c>
      <c r="F328" s="1">
        <v>13596.66</v>
      </c>
    </row>
    <row r="329" spans="1:7">
      <c r="A329" s="9" t="s">
        <v>825</v>
      </c>
      <c r="B329" t="s">
        <v>965</v>
      </c>
      <c r="C329" s="5" t="s">
        <v>967</v>
      </c>
      <c r="D329" s="1">
        <v>2010</v>
      </c>
    </row>
    <row r="330" spans="1:7">
      <c r="A330" s="9" t="s">
        <v>825</v>
      </c>
      <c r="B330" t="s">
        <v>968</v>
      </c>
      <c r="C330" s="5" t="s">
        <v>970</v>
      </c>
      <c r="F330" s="1">
        <v>11503.63</v>
      </c>
    </row>
    <row r="331" spans="1:7">
      <c r="A331" s="9" t="s">
        <v>825</v>
      </c>
      <c r="B331" t="s">
        <v>327</v>
      </c>
      <c r="C331" s="5" t="s">
        <v>329</v>
      </c>
      <c r="F331" s="1">
        <v>3661.92</v>
      </c>
    </row>
    <row r="332" spans="1:7">
      <c r="A332" s="9" t="s">
        <v>825</v>
      </c>
      <c r="B332" t="s">
        <v>971</v>
      </c>
      <c r="C332" s="5" t="s">
        <v>973</v>
      </c>
      <c r="F332" s="1">
        <v>0</v>
      </c>
    </row>
    <row r="333" spans="1:7">
      <c r="A333" s="9" t="s">
        <v>825</v>
      </c>
      <c r="B333" t="s">
        <v>974</v>
      </c>
      <c r="C333" s="5" t="s">
        <v>976</v>
      </c>
      <c r="D333" s="1">
        <v>4346.2700000000004</v>
      </c>
      <c r="F333" s="1">
        <v>1053.57</v>
      </c>
    </row>
    <row r="334" spans="1:7">
      <c r="A334" s="9" t="s">
        <v>825</v>
      </c>
      <c r="B334" t="s">
        <v>977</v>
      </c>
      <c r="C334" s="5" t="s">
        <v>979</v>
      </c>
      <c r="F334" s="1">
        <v>940</v>
      </c>
    </row>
    <row r="335" spans="1:7">
      <c r="A335" s="9" t="s">
        <v>825</v>
      </c>
      <c r="B335" t="s">
        <v>980</v>
      </c>
      <c r="C335" s="5" t="s">
        <v>982</v>
      </c>
      <c r="F335" s="1">
        <v>8612.8799999999992</v>
      </c>
    </row>
    <row r="336" spans="1:7">
      <c r="A336" s="9" t="s">
        <v>825</v>
      </c>
      <c r="B336" t="s">
        <v>983</v>
      </c>
      <c r="C336" s="5" t="s">
        <v>985</v>
      </c>
      <c r="F336" s="1">
        <v>8010</v>
      </c>
    </row>
    <row r="337" spans="1:8">
      <c r="A337" s="9" t="s">
        <v>825</v>
      </c>
      <c r="B337" t="s">
        <v>986</v>
      </c>
      <c r="C337" s="5" t="s">
        <v>988</v>
      </c>
      <c r="E337" s="1">
        <v>128</v>
      </c>
    </row>
    <row r="338" spans="1:8">
      <c r="A338" s="9" t="s">
        <v>825</v>
      </c>
      <c r="B338" t="s">
        <v>989</v>
      </c>
      <c r="C338" s="5" t="s">
        <v>991</v>
      </c>
      <c r="E338" s="1">
        <v>3691.6</v>
      </c>
      <c r="F338" s="1">
        <v>19621.060000000001</v>
      </c>
    </row>
    <row r="339" spans="1:8">
      <c r="A339" s="9" t="s">
        <v>825</v>
      </c>
      <c r="B339" t="s">
        <v>992</v>
      </c>
      <c r="C339" s="5" t="s">
        <v>994</v>
      </c>
      <c r="E339" s="1">
        <v>1644.48</v>
      </c>
      <c r="G339" s="1">
        <v>1647.96</v>
      </c>
    </row>
    <row r="340" spans="1:8">
      <c r="A340" s="9" t="s">
        <v>825</v>
      </c>
      <c r="B340" t="s">
        <v>995</v>
      </c>
      <c r="C340" s="5" t="s">
        <v>997</v>
      </c>
      <c r="F340" s="1">
        <v>3947.56</v>
      </c>
      <c r="G340" s="1">
        <v>1323.67</v>
      </c>
      <c r="H340" s="1">
        <v>300.22000000000003</v>
      </c>
    </row>
    <row r="341" spans="1:8">
      <c r="A341" s="9" t="s">
        <v>825</v>
      </c>
      <c r="B341" t="s">
        <v>998</v>
      </c>
      <c r="C341" s="5" t="s">
        <v>1000</v>
      </c>
      <c r="D341" s="1">
        <v>12635.6</v>
      </c>
    </row>
    <row r="342" spans="1:8">
      <c r="A342" s="9" t="s">
        <v>825</v>
      </c>
      <c r="B342" t="s">
        <v>1001</v>
      </c>
      <c r="C342" s="5" t="s">
        <v>1003</v>
      </c>
      <c r="D342" s="1">
        <v>40</v>
      </c>
    </row>
    <row r="343" spans="1:8">
      <c r="A343" s="9" t="s">
        <v>825</v>
      </c>
      <c r="B343" t="s">
        <v>1004</v>
      </c>
      <c r="C343" s="5" t="s">
        <v>1006</v>
      </c>
      <c r="F343" s="1">
        <v>83333.36</v>
      </c>
    </row>
    <row r="344" spans="1:8">
      <c r="A344" s="9" t="s">
        <v>825</v>
      </c>
      <c r="B344" t="s">
        <v>1007</v>
      </c>
      <c r="C344" s="5" t="s">
        <v>1009</v>
      </c>
      <c r="F344" s="1">
        <v>20240.71</v>
      </c>
    </row>
    <row r="345" spans="1:8">
      <c r="A345" s="9" t="s">
        <v>825</v>
      </c>
      <c r="B345" t="s">
        <v>1010</v>
      </c>
      <c r="C345" s="5" t="s">
        <v>1012</v>
      </c>
      <c r="F345" s="1">
        <v>3195.16</v>
      </c>
    </row>
    <row r="346" spans="1:8">
      <c r="A346" s="9" t="s">
        <v>825</v>
      </c>
      <c r="B346" t="s">
        <v>1013</v>
      </c>
      <c r="C346" s="5" t="s">
        <v>1015</v>
      </c>
      <c r="E346" s="1">
        <v>17830.689999999999</v>
      </c>
    </row>
    <row r="347" spans="1:8">
      <c r="A347" s="9" t="s">
        <v>825</v>
      </c>
      <c r="B347" t="s">
        <v>1016</v>
      </c>
      <c r="C347" s="5" t="s">
        <v>1018</v>
      </c>
      <c r="D347" s="1">
        <v>1005</v>
      </c>
      <c r="E347" s="1">
        <v>1820</v>
      </c>
      <c r="G347" s="1">
        <v>492</v>
      </c>
    </row>
    <row r="348" spans="1:8">
      <c r="A348" s="9" t="s">
        <v>825</v>
      </c>
      <c r="B348" t="s">
        <v>333</v>
      </c>
      <c r="C348" s="5" t="s">
        <v>335</v>
      </c>
      <c r="G348" s="1">
        <v>188.03</v>
      </c>
    </row>
    <row r="349" spans="1:8">
      <c r="A349" s="9" t="s">
        <v>825</v>
      </c>
      <c r="B349" t="s">
        <v>1019</v>
      </c>
      <c r="C349" s="5" t="s">
        <v>1021</v>
      </c>
      <c r="G349" s="1">
        <v>1854.8</v>
      </c>
    </row>
    <row r="350" spans="1:8">
      <c r="A350" s="9" t="s">
        <v>825</v>
      </c>
      <c r="B350" t="s">
        <v>1022</v>
      </c>
      <c r="C350" s="5" t="s">
        <v>1024</v>
      </c>
      <c r="D350" s="1">
        <v>1199</v>
      </c>
      <c r="G350" s="1">
        <v>296.67</v>
      </c>
    </row>
    <row r="351" spans="1:8">
      <c r="A351" s="9" t="s">
        <v>825</v>
      </c>
      <c r="B351" t="s">
        <v>1025</v>
      </c>
      <c r="C351" s="5" t="s">
        <v>1027</v>
      </c>
      <c r="D351" s="1">
        <v>850</v>
      </c>
    </row>
    <row r="352" spans="1:8">
      <c r="A352" s="9" t="s">
        <v>825</v>
      </c>
      <c r="B352" t="s">
        <v>822</v>
      </c>
      <c r="C352" s="5" t="s">
        <v>824</v>
      </c>
      <c r="D352" s="1">
        <v>5704.62</v>
      </c>
    </row>
    <row r="353" spans="1:6">
      <c r="A353" s="9" t="s">
        <v>825</v>
      </c>
      <c r="B353" t="s">
        <v>1028</v>
      </c>
      <c r="C353" s="5" t="s">
        <v>1030</v>
      </c>
      <c r="F353" s="1">
        <v>4988.45</v>
      </c>
    </row>
    <row r="354" spans="1:6">
      <c r="A354" s="9" t="s">
        <v>825</v>
      </c>
      <c r="B354" t="s">
        <v>1031</v>
      </c>
      <c r="C354" s="5" t="s">
        <v>1033</v>
      </c>
      <c r="F354" s="1">
        <v>1644.63</v>
      </c>
    </row>
    <row r="355" spans="1:6">
      <c r="A355" s="9" t="s">
        <v>825</v>
      </c>
      <c r="B355" t="s">
        <v>1034</v>
      </c>
      <c r="C355" s="5" t="s">
        <v>1036</v>
      </c>
      <c r="E355" s="1">
        <v>3926.5</v>
      </c>
      <c r="F355" s="1">
        <v>14314.23</v>
      </c>
    </row>
    <row r="356" spans="1:6">
      <c r="A356" s="9" t="s">
        <v>825</v>
      </c>
      <c r="B356" t="s">
        <v>1037</v>
      </c>
      <c r="C356" s="5" t="s">
        <v>1039</v>
      </c>
      <c r="E356" s="1">
        <v>2404</v>
      </c>
    </row>
    <row r="357" spans="1:6">
      <c r="A357" s="9" t="s">
        <v>825</v>
      </c>
      <c r="B357" t="s">
        <v>1040</v>
      </c>
      <c r="C357" s="5" t="s">
        <v>1042</v>
      </c>
      <c r="E357" s="1">
        <v>1048</v>
      </c>
    </row>
    <row r="358" spans="1:6">
      <c r="A358" s="9" t="s">
        <v>825</v>
      </c>
      <c r="B358" t="s">
        <v>1043</v>
      </c>
      <c r="C358" s="5" t="s">
        <v>1045</v>
      </c>
      <c r="E358" s="1">
        <v>6943</v>
      </c>
    </row>
    <row r="359" spans="1:6">
      <c r="A359" s="9" t="s">
        <v>825</v>
      </c>
      <c r="B359" t="s">
        <v>1046</v>
      </c>
      <c r="C359" s="5" t="s">
        <v>1048</v>
      </c>
      <c r="E359" s="1">
        <v>516</v>
      </c>
    </row>
    <row r="360" spans="1:6">
      <c r="A360" s="9" t="s">
        <v>825</v>
      </c>
      <c r="B360" t="s">
        <v>1049</v>
      </c>
      <c r="C360" s="5" t="s">
        <v>1051</v>
      </c>
      <c r="E360" s="1">
        <v>48468.85</v>
      </c>
    </row>
    <row r="361" spans="1:6">
      <c r="A361" s="9" t="s">
        <v>825</v>
      </c>
      <c r="B361" t="s">
        <v>1052</v>
      </c>
      <c r="C361" s="5" t="s">
        <v>1054</v>
      </c>
      <c r="E361" s="1">
        <v>396</v>
      </c>
    </row>
    <row r="362" spans="1:6">
      <c r="A362" s="9" t="s">
        <v>825</v>
      </c>
      <c r="B362" t="s">
        <v>1055</v>
      </c>
      <c r="C362" s="5" t="s">
        <v>1057</v>
      </c>
      <c r="E362" s="1">
        <v>3635.63</v>
      </c>
    </row>
    <row r="363" spans="1:6">
      <c r="A363" s="9" t="s">
        <v>825</v>
      </c>
      <c r="B363" t="s">
        <v>1058</v>
      </c>
      <c r="C363" s="5" t="s">
        <v>1060</v>
      </c>
      <c r="D363" s="1">
        <v>530</v>
      </c>
    </row>
    <row r="364" spans="1:6">
      <c r="A364" s="9" t="s">
        <v>825</v>
      </c>
      <c r="B364" t="s">
        <v>1061</v>
      </c>
      <c r="C364" s="5" t="s">
        <v>1063</v>
      </c>
      <c r="D364" s="1">
        <v>0</v>
      </c>
    </row>
    <row r="365" spans="1:6">
      <c r="A365" s="9" t="s">
        <v>825</v>
      </c>
      <c r="B365" t="s">
        <v>219</v>
      </c>
      <c r="C365" s="5" t="s">
        <v>221</v>
      </c>
      <c r="E365" s="1">
        <v>4957.8</v>
      </c>
      <c r="F365" s="1">
        <v>9629.8700000000008</v>
      </c>
    </row>
    <row r="366" spans="1:6">
      <c r="A366" s="9" t="s">
        <v>825</v>
      </c>
      <c r="B366" t="s">
        <v>1064</v>
      </c>
      <c r="C366" s="5" t="s">
        <v>1066</v>
      </c>
      <c r="F366" s="1">
        <v>2415.38</v>
      </c>
    </row>
    <row r="367" spans="1:6">
      <c r="A367" s="9" t="s">
        <v>825</v>
      </c>
      <c r="B367" t="s">
        <v>1067</v>
      </c>
      <c r="C367" s="5" t="s">
        <v>1069</v>
      </c>
      <c r="F367" s="1">
        <v>3871.27</v>
      </c>
    </row>
    <row r="368" spans="1:6">
      <c r="A368" s="9" t="s">
        <v>825</v>
      </c>
      <c r="B368" t="s">
        <v>1070</v>
      </c>
      <c r="C368" s="5" t="s">
        <v>1072</v>
      </c>
      <c r="E368" s="1">
        <v>5333.67</v>
      </c>
    </row>
    <row r="369" spans="1:7">
      <c r="A369" s="9" t="s">
        <v>825</v>
      </c>
      <c r="B369" t="s">
        <v>1073</v>
      </c>
      <c r="C369" s="5" t="s">
        <v>1075</v>
      </c>
      <c r="D369" s="1">
        <v>300</v>
      </c>
    </row>
    <row r="370" spans="1:7">
      <c r="A370" s="9" t="s">
        <v>825</v>
      </c>
      <c r="B370" t="s">
        <v>1076</v>
      </c>
      <c r="C370" s="5" t="s">
        <v>1078</v>
      </c>
      <c r="D370" s="1">
        <v>3868</v>
      </c>
    </row>
    <row r="371" spans="1:7">
      <c r="A371" s="9" t="s">
        <v>825</v>
      </c>
      <c r="B371" t="s">
        <v>1079</v>
      </c>
      <c r="C371" s="5" t="s">
        <v>1081</v>
      </c>
      <c r="D371" s="1">
        <v>33</v>
      </c>
    </row>
    <row r="372" spans="1:7">
      <c r="A372" s="9" t="s">
        <v>825</v>
      </c>
      <c r="B372" t="s">
        <v>1082</v>
      </c>
      <c r="C372" s="5" t="s">
        <v>1084</v>
      </c>
      <c r="F372" s="1">
        <v>4511.68</v>
      </c>
    </row>
    <row r="373" spans="1:7">
      <c r="A373" s="9" t="s">
        <v>825</v>
      </c>
      <c r="B373" t="s">
        <v>1085</v>
      </c>
      <c r="C373" s="5" t="s">
        <v>1087</v>
      </c>
      <c r="F373" s="1">
        <v>5713.14</v>
      </c>
    </row>
    <row r="374" spans="1:7">
      <c r="A374" s="9" t="s">
        <v>825</v>
      </c>
      <c r="B374" t="s">
        <v>1088</v>
      </c>
      <c r="C374" s="5" t="s">
        <v>1090</v>
      </c>
      <c r="F374" s="1">
        <v>2610.7399999999998</v>
      </c>
    </row>
    <row r="375" spans="1:7">
      <c r="A375" s="9" t="s">
        <v>825</v>
      </c>
      <c r="B375" t="s">
        <v>1091</v>
      </c>
      <c r="C375" s="5" t="s">
        <v>1093</v>
      </c>
      <c r="G375" s="1">
        <v>211.92</v>
      </c>
    </row>
    <row r="376" spans="1:7">
      <c r="A376" s="9" t="s">
        <v>825</v>
      </c>
      <c r="B376" t="s">
        <v>1094</v>
      </c>
      <c r="C376" s="5" t="s">
        <v>1096</v>
      </c>
      <c r="G376" s="1">
        <v>154.875</v>
      </c>
    </row>
    <row r="377" spans="1:7">
      <c r="A377" s="9" t="s">
        <v>1097</v>
      </c>
      <c r="B377" t="s">
        <v>341</v>
      </c>
      <c r="C377" s="5" t="s">
        <v>343</v>
      </c>
      <c r="D377" s="1">
        <v>4600.08</v>
      </c>
      <c r="E377" s="1">
        <v>140414.72</v>
      </c>
    </row>
    <row r="378" spans="1:7">
      <c r="A378" s="9" t="s">
        <v>1097</v>
      </c>
      <c r="B378" t="s">
        <v>543</v>
      </c>
      <c r="C378" s="5" t="s">
        <v>545</v>
      </c>
      <c r="D378" s="1">
        <v>105703.2</v>
      </c>
      <c r="E378" s="1">
        <v>452769.8</v>
      </c>
    </row>
    <row r="379" spans="1:7">
      <c r="A379" s="9" t="s">
        <v>1097</v>
      </c>
      <c r="B379" t="s">
        <v>1099</v>
      </c>
      <c r="C379" s="5" t="s">
        <v>1101</v>
      </c>
      <c r="D379" s="1">
        <v>234914.31</v>
      </c>
      <c r="E379" s="1">
        <v>455272.37</v>
      </c>
    </row>
    <row r="380" spans="1:7">
      <c r="A380" s="9" t="s">
        <v>1097</v>
      </c>
      <c r="B380" t="s">
        <v>338</v>
      </c>
      <c r="C380" s="5" t="s">
        <v>340</v>
      </c>
      <c r="D380" s="1">
        <v>216782.36</v>
      </c>
      <c r="E380" s="1">
        <v>177871.39</v>
      </c>
    </row>
    <row r="381" spans="1:7">
      <c r="A381" s="9" t="s">
        <v>1097</v>
      </c>
      <c r="B381" t="s">
        <v>636</v>
      </c>
      <c r="C381" s="5" t="s">
        <v>638</v>
      </c>
      <c r="D381" s="1">
        <v>39258.92</v>
      </c>
      <c r="E381" s="1">
        <v>25703.59</v>
      </c>
    </row>
    <row r="382" spans="1:7">
      <c r="A382" s="9" t="s">
        <v>1097</v>
      </c>
      <c r="B382" t="s">
        <v>195</v>
      </c>
      <c r="C382" s="5" t="s">
        <v>197</v>
      </c>
      <c r="D382" s="1">
        <v>0</v>
      </c>
    </row>
    <row r="383" spans="1:7">
      <c r="A383" s="9" t="s">
        <v>1097</v>
      </c>
      <c r="B383" t="s">
        <v>516</v>
      </c>
      <c r="C383" s="5" t="s">
        <v>518</v>
      </c>
      <c r="D383" s="1">
        <v>93431.89</v>
      </c>
      <c r="E383" s="1">
        <v>6355.77</v>
      </c>
    </row>
    <row r="384" spans="1:7">
      <c r="A384" s="9" t="s">
        <v>1097</v>
      </c>
      <c r="B384" t="s">
        <v>1102</v>
      </c>
      <c r="C384" s="5" t="s">
        <v>1104</v>
      </c>
      <c r="D384" s="1">
        <v>145906.72</v>
      </c>
      <c r="E384" s="1">
        <v>320444.63</v>
      </c>
    </row>
    <row r="385" spans="1:5">
      <c r="A385" s="9" t="s">
        <v>1097</v>
      </c>
      <c r="B385" t="s">
        <v>1105</v>
      </c>
      <c r="C385" s="5" t="s">
        <v>1107</v>
      </c>
      <c r="D385" s="1">
        <v>651972.81999999995</v>
      </c>
      <c r="E385" s="1">
        <v>671218.22</v>
      </c>
    </row>
    <row r="386" spans="1:5">
      <c r="A386" s="9" t="s">
        <v>1097</v>
      </c>
      <c r="B386" t="s">
        <v>1108</v>
      </c>
      <c r="C386" s="5" t="s">
        <v>1110</v>
      </c>
      <c r="D386" s="1">
        <v>110769.43</v>
      </c>
    </row>
    <row r="387" spans="1:5">
      <c r="A387" s="9" t="s">
        <v>1097</v>
      </c>
      <c r="B387" t="s">
        <v>60</v>
      </c>
      <c r="C387" s="5" t="s">
        <v>62</v>
      </c>
      <c r="D387" s="1">
        <v>69501.22</v>
      </c>
      <c r="E387" s="1">
        <v>88269.95</v>
      </c>
    </row>
    <row r="388" spans="1:5">
      <c r="A388" s="9" t="s">
        <v>1097</v>
      </c>
      <c r="B388" t="s">
        <v>1111</v>
      </c>
      <c r="C388" s="5" t="s">
        <v>1113</v>
      </c>
      <c r="D388" s="1">
        <v>154624.9</v>
      </c>
    </row>
    <row r="389" spans="1:5">
      <c r="A389" s="9" t="s">
        <v>1097</v>
      </c>
      <c r="B389" t="s">
        <v>525</v>
      </c>
      <c r="C389" s="5" t="s">
        <v>527</v>
      </c>
      <c r="D389" s="1">
        <v>245954.22</v>
      </c>
    </row>
    <row r="390" spans="1:5">
      <c r="A390" s="9" t="s">
        <v>1097</v>
      </c>
      <c r="B390" t="s">
        <v>558</v>
      </c>
      <c r="C390" s="5" t="s">
        <v>560</v>
      </c>
      <c r="D390" s="1">
        <v>0</v>
      </c>
    </row>
    <row r="391" spans="1:5">
      <c r="A391" s="9" t="s">
        <v>1097</v>
      </c>
      <c r="B391" t="s">
        <v>81</v>
      </c>
      <c r="C391" s="5" t="s">
        <v>83</v>
      </c>
      <c r="D391" s="1">
        <v>4061.97</v>
      </c>
      <c r="E391" s="1">
        <v>8.9</v>
      </c>
    </row>
    <row r="392" spans="1:5">
      <c r="A392" s="9" t="s">
        <v>1097</v>
      </c>
      <c r="B392" t="s">
        <v>723</v>
      </c>
      <c r="C392" s="5" t="s">
        <v>725</v>
      </c>
      <c r="D392" s="1">
        <v>113978.26</v>
      </c>
      <c r="E392" s="1">
        <v>434377.03</v>
      </c>
    </row>
    <row r="393" spans="1:5">
      <c r="A393" s="9" t="s">
        <v>1097</v>
      </c>
      <c r="B393" t="s">
        <v>288</v>
      </c>
      <c r="C393" s="5" t="s">
        <v>290</v>
      </c>
      <c r="D393" s="1">
        <v>211753.86</v>
      </c>
      <c r="E393" s="1">
        <v>452451.27</v>
      </c>
    </row>
    <row r="394" spans="1:5">
      <c r="A394" s="9" t="s">
        <v>1097</v>
      </c>
      <c r="B394" t="s">
        <v>1114</v>
      </c>
      <c r="C394" s="5" t="s">
        <v>1116</v>
      </c>
      <c r="D394" s="1">
        <v>246583</v>
      </c>
      <c r="E394" s="1">
        <v>115770.85</v>
      </c>
    </row>
    <row r="395" spans="1:5">
      <c r="A395" s="9" t="s">
        <v>1097</v>
      </c>
      <c r="B395" t="s">
        <v>486</v>
      </c>
      <c r="C395" s="5" t="s">
        <v>488</v>
      </c>
      <c r="D395" s="1">
        <v>109209.91</v>
      </c>
    </row>
    <row r="396" spans="1:5">
      <c r="A396" s="9" t="s">
        <v>1097</v>
      </c>
      <c r="B396" t="s">
        <v>1117</v>
      </c>
      <c r="C396" s="5" t="s">
        <v>1119</v>
      </c>
      <c r="D396" s="1">
        <v>113296.09</v>
      </c>
    </row>
    <row r="397" spans="1:5">
      <c r="A397" s="9" t="s">
        <v>1097</v>
      </c>
      <c r="B397" t="s">
        <v>1120</v>
      </c>
      <c r="C397" s="5" t="s">
        <v>1122</v>
      </c>
      <c r="D397" s="1">
        <v>95138.14</v>
      </c>
    </row>
    <row r="398" spans="1:5">
      <c r="A398" s="9" t="s">
        <v>1097</v>
      </c>
      <c r="B398" t="s">
        <v>415</v>
      </c>
      <c r="C398" s="5" t="s">
        <v>417</v>
      </c>
      <c r="D398" s="1">
        <v>0</v>
      </c>
    </row>
    <row r="399" spans="1:5">
      <c r="A399" s="9" t="s">
        <v>1097</v>
      </c>
      <c r="B399" t="s">
        <v>804</v>
      </c>
      <c r="C399" s="5" t="s">
        <v>806</v>
      </c>
      <c r="D399" s="1">
        <v>45689.22</v>
      </c>
      <c r="E399" s="1">
        <v>-1478.08</v>
      </c>
    </row>
    <row r="400" spans="1:5">
      <c r="A400" s="9" t="s">
        <v>1097</v>
      </c>
      <c r="B400" t="s">
        <v>1123</v>
      </c>
      <c r="C400" s="5" t="s">
        <v>1125</v>
      </c>
      <c r="D400" s="1">
        <v>97028.64</v>
      </c>
      <c r="E400" s="1">
        <v>407133.21</v>
      </c>
    </row>
    <row r="401" spans="1:5">
      <c r="A401" s="9" t="s">
        <v>1097</v>
      </c>
      <c r="B401" t="s">
        <v>555</v>
      </c>
      <c r="C401" s="5" t="s">
        <v>557</v>
      </c>
      <c r="D401" s="1">
        <v>180526.8</v>
      </c>
      <c r="E401" s="1">
        <v>430569.03</v>
      </c>
    </row>
    <row r="402" spans="1:5">
      <c r="A402" s="9" t="s">
        <v>1097</v>
      </c>
      <c r="B402" t="s">
        <v>477</v>
      </c>
      <c r="C402" s="5" t="s">
        <v>479</v>
      </c>
      <c r="D402" s="1">
        <v>110903.36</v>
      </c>
      <c r="E402" s="1">
        <v>81303.66</v>
      </c>
    </row>
    <row r="403" spans="1:5">
      <c r="A403" s="9" t="s">
        <v>1097</v>
      </c>
      <c r="B403" t="s">
        <v>1126</v>
      </c>
      <c r="C403" s="5" t="s">
        <v>1128</v>
      </c>
      <c r="D403" s="1">
        <v>364892.89</v>
      </c>
      <c r="E403" s="1">
        <v>431408.92</v>
      </c>
    </row>
    <row r="404" spans="1:5">
      <c r="A404" s="9" t="s">
        <v>1097</v>
      </c>
      <c r="B404" t="s">
        <v>669</v>
      </c>
      <c r="C404" s="5" t="s">
        <v>671</v>
      </c>
      <c r="D404" s="1">
        <v>33.520000000000003</v>
      </c>
    </row>
    <row r="405" spans="1:5">
      <c r="A405" s="9" t="s">
        <v>1097</v>
      </c>
      <c r="B405" t="s">
        <v>448</v>
      </c>
      <c r="C405" s="5" t="s">
        <v>450</v>
      </c>
      <c r="D405" s="1">
        <v>33292.410000000003</v>
      </c>
      <c r="E405" s="1">
        <v>42058.42</v>
      </c>
    </row>
    <row r="406" spans="1:5">
      <c r="A406" s="9" t="s">
        <v>1097</v>
      </c>
      <c r="B406" t="s">
        <v>1129</v>
      </c>
      <c r="C406" s="5" t="s">
        <v>1131</v>
      </c>
      <c r="D406" s="1">
        <v>62465.81</v>
      </c>
      <c r="E406" s="1">
        <v>288809.44</v>
      </c>
    </row>
    <row r="407" spans="1:5">
      <c r="A407" s="9" t="s">
        <v>1097</v>
      </c>
      <c r="B407" t="s">
        <v>459</v>
      </c>
      <c r="C407" s="5" t="s">
        <v>461</v>
      </c>
      <c r="D407" s="1">
        <v>77130.23</v>
      </c>
      <c r="E407" s="1">
        <v>-35476.47</v>
      </c>
    </row>
    <row r="408" spans="1:5">
      <c r="A408" s="9" t="s">
        <v>1097</v>
      </c>
      <c r="B408" t="s">
        <v>1132</v>
      </c>
      <c r="C408" s="5" t="s">
        <v>1134</v>
      </c>
      <c r="D408" s="1">
        <v>227577.2</v>
      </c>
    </row>
    <row r="409" spans="1:5">
      <c r="A409" s="9" t="s">
        <v>1097</v>
      </c>
      <c r="B409" t="s">
        <v>1135</v>
      </c>
      <c r="C409" s="5" t="s">
        <v>1137</v>
      </c>
      <c r="D409" s="1">
        <v>287778.7</v>
      </c>
    </row>
    <row r="410" spans="1:5">
      <c r="A410" s="9" t="s">
        <v>1097</v>
      </c>
      <c r="B410" t="s">
        <v>792</v>
      </c>
      <c r="C410" s="5" t="s">
        <v>794</v>
      </c>
      <c r="D410" s="1">
        <v>20847.810000000001</v>
      </c>
    </row>
    <row r="411" spans="1:5">
      <c r="A411" s="9" t="s">
        <v>1097</v>
      </c>
      <c r="B411" t="s">
        <v>594</v>
      </c>
      <c r="C411" s="5" t="s">
        <v>596</v>
      </c>
      <c r="D411" s="1">
        <v>139884.32</v>
      </c>
    </row>
    <row r="412" spans="1:5">
      <c r="A412" s="9" t="s">
        <v>1097</v>
      </c>
      <c r="B412" t="s">
        <v>186</v>
      </c>
      <c r="C412" s="5" t="s">
        <v>188</v>
      </c>
      <c r="D412" s="1">
        <v>0</v>
      </c>
    </row>
    <row r="413" spans="1:5">
      <c r="A413" s="9" t="s">
        <v>1097</v>
      </c>
      <c r="B413" t="s">
        <v>1138</v>
      </c>
      <c r="C413" s="5" t="s">
        <v>1140</v>
      </c>
      <c r="D413" s="1">
        <v>205501.81</v>
      </c>
    </row>
    <row r="414" spans="1:5">
      <c r="A414" s="9" t="s">
        <v>1097</v>
      </c>
      <c r="B414" t="s">
        <v>1141</v>
      </c>
      <c r="C414" s="5" t="s">
        <v>1143</v>
      </c>
      <c r="D414" s="1">
        <v>166791.60999999999</v>
      </c>
    </row>
    <row r="415" spans="1:5">
      <c r="A415" s="9" t="s">
        <v>1097</v>
      </c>
      <c r="B415" t="s">
        <v>1144</v>
      </c>
      <c r="C415" s="5" t="s">
        <v>1146</v>
      </c>
      <c r="D415" s="1">
        <v>212727</v>
      </c>
    </row>
    <row r="416" spans="1:5">
      <c r="A416" s="9" t="s">
        <v>1097</v>
      </c>
      <c r="B416" t="s">
        <v>303</v>
      </c>
      <c r="C416" s="5" t="s">
        <v>305</v>
      </c>
      <c r="D416" s="1">
        <v>9787.6200000000008</v>
      </c>
      <c r="E416" s="1">
        <v>2036.65</v>
      </c>
    </row>
    <row r="417" spans="1:8">
      <c r="A417" s="9" t="s">
        <v>1097</v>
      </c>
      <c r="B417" t="s">
        <v>1147</v>
      </c>
      <c r="C417" s="5" t="s">
        <v>1149</v>
      </c>
      <c r="D417" s="1">
        <v>49844</v>
      </c>
    </row>
    <row r="418" spans="1:8">
      <c r="A418" s="9" t="s">
        <v>1097</v>
      </c>
      <c r="B418" t="s">
        <v>666</v>
      </c>
      <c r="C418" s="5" t="s">
        <v>668</v>
      </c>
      <c r="D418" s="1">
        <v>0</v>
      </c>
    </row>
    <row r="419" spans="1:8">
      <c r="A419" s="9" t="s">
        <v>1097</v>
      </c>
      <c r="B419" t="s">
        <v>330</v>
      </c>
      <c r="C419" s="5" t="s">
        <v>332</v>
      </c>
      <c r="D419" s="1">
        <v>59391.839999999997</v>
      </c>
    </row>
    <row r="420" spans="1:8">
      <c r="A420" s="9" t="s">
        <v>1097</v>
      </c>
      <c r="B420" t="s">
        <v>439</v>
      </c>
      <c r="C420" s="5" t="s">
        <v>441</v>
      </c>
      <c r="E420" s="1">
        <v>670</v>
      </c>
    </row>
    <row r="421" spans="1:8">
      <c r="A421" s="9" t="s">
        <v>1097</v>
      </c>
      <c r="B421" t="s">
        <v>510</v>
      </c>
      <c r="C421" s="5" t="s">
        <v>512</v>
      </c>
      <c r="D421" s="1">
        <v>87164</v>
      </c>
    </row>
    <row r="422" spans="1:8">
      <c r="A422" s="9" t="s">
        <v>1097</v>
      </c>
      <c r="B422" t="s">
        <v>741</v>
      </c>
      <c r="C422" s="5" t="s">
        <v>743</v>
      </c>
      <c r="D422" s="1">
        <v>231696.82</v>
      </c>
    </row>
    <row r="423" spans="1:8">
      <c r="A423" s="9" t="s">
        <v>1097</v>
      </c>
      <c r="B423" t="s">
        <v>344</v>
      </c>
      <c r="C423" s="5" t="s">
        <v>346</v>
      </c>
      <c r="D423" s="1">
        <v>38004.949999999997</v>
      </c>
      <c r="E423" s="1">
        <v>-2774.17</v>
      </c>
    </row>
    <row r="424" spans="1:8">
      <c r="A424" s="9" t="s">
        <v>1097</v>
      </c>
      <c r="B424" t="s">
        <v>615</v>
      </c>
      <c r="C424" s="5" t="s">
        <v>617</v>
      </c>
      <c r="D424" s="1">
        <v>258556.48</v>
      </c>
    </row>
    <row r="425" spans="1:8">
      <c r="A425" s="9" t="s">
        <v>1150</v>
      </c>
      <c r="B425" t="s">
        <v>285</v>
      </c>
      <c r="C425" s="5" t="s">
        <v>287</v>
      </c>
      <c r="D425" s="1">
        <v>3619.21</v>
      </c>
      <c r="E425" s="1">
        <v>301.64</v>
      </c>
      <c r="F425" s="1">
        <v>9253.5</v>
      </c>
      <c r="G425" s="1">
        <v>302.77</v>
      </c>
      <c r="H425" s="1">
        <v>107.46</v>
      </c>
    </row>
    <row r="426" spans="1:8">
      <c r="A426" s="9" t="s">
        <v>1150</v>
      </c>
      <c r="B426" t="s">
        <v>183</v>
      </c>
      <c r="C426" s="5" t="s">
        <v>185</v>
      </c>
      <c r="D426" s="1">
        <v>2664.75</v>
      </c>
      <c r="F426" s="1">
        <v>10419.41</v>
      </c>
    </row>
    <row r="427" spans="1:8">
      <c r="A427" s="9" t="s">
        <v>1150</v>
      </c>
      <c r="B427" t="s">
        <v>252</v>
      </c>
      <c r="C427" s="5" t="s">
        <v>254</v>
      </c>
      <c r="D427" s="1">
        <v>9607.6299999999992</v>
      </c>
      <c r="F427" s="1">
        <v>8447.7099999999991</v>
      </c>
    </row>
    <row r="428" spans="1:8">
      <c r="A428" s="9" t="s">
        <v>1150</v>
      </c>
      <c r="B428" t="s">
        <v>318</v>
      </c>
      <c r="C428" s="5" t="s">
        <v>320</v>
      </c>
      <c r="D428" s="1">
        <v>2743.27</v>
      </c>
      <c r="F428" s="1">
        <v>14178.86</v>
      </c>
    </row>
    <row r="429" spans="1:8">
      <c r="A429" s="9" t="s">
        <v>1150</v>
      </c>
      <c r="B429" t="s">
        <v>690</v>
      </c>
      <c r="C429" s="5" t="s">
        <v>692</v>
      </c>
      <c r="D429" s="1">
        <v>1919.45</v>
      </c>
      <c r="F429" s="1">
        <v>4119.45</v>
      </c>
    </row>
    <row r="430" spans="1:8">
      <c r="A430" s="9" t="s">
        <v>1150</v>
      </c>
      <c r="B430" t="s">
        <v>552</v>
      </c>
      <c r="C430" s="5" t="s">
        <v>554</v>
      </c>
      <c r="D430" s="1">
        <v>3542.44</v>
      </c>
      <c r="F430" s="1">
        <v>7483.32</v>
      </c>
    </row>
    <row r="431" spans="1:8">
      <c r="A431" s="9" t="s">
        <v>1150</v>
      </c>
      <c r="B431" t="s">
        <v>207</v>
      </c>
      <c r="C431" s="5" t="s">
        <v>209</v>
      </c>
      <c r="D431" s="1">
        <v>5882.52</v>
      </c>
      <c r="F431" s="1">
        <v>47609.13</v>
      </c>
    </row>
    <row r="432" spans="1:8">
      <c r="A432" s="9" t="s">
        <v>1150</v>
      </c>
      <c r="B432" t="s">
        <v>177</v>
      </c>
      <c r="C432" s="5" t="s">
        <v>179</v>
      </c>
      <c r="D432" s="1">
        <v>3271.2</v>
      </c>
      <c r="E432" s="1">
        <v>192.51</v>
      </c>
      <c r="F432" s="1">
        <v>10622.59</v>
      </c>
      <c r="G432" s="1">
        <v>308.125</v>
      </c>
      <c r="H432" s="1">
        <v>38.9</v>
      </c>
    </row>
    <row r="433" spans="1:8">
      <c r="A433" s="9" t="s">
        <v>1150</v>
      </c>
      <c r="B433" t="s">
        <v>81</v>
      </c>
      <c r="C433" s="5" t="s">
        <v>83</v>
      </c>
      <c r="D433" s="1">
        <v>2280.66</v>
      </c>
      <c r="F433" s="1">
        <v>7560.32</v>
      </c>
    </row>
    <row r="434" spans="1:8">
      <c r="A434" s="9" t="s">
        <v>1150</v>
      </c>
      <c r="B434" t="s">
        <v>531</v>
      </c>
      <c r="C434" s="5" t="s">
        <v>533</v>
      </c>
      <c r="D434" s="1">
        <v>2937.01</v>
      </c>
      <c r="F434" s="1">
        <v>9024.4</v>
      </c>
    </row>
    <row r="435" spans="1:8">
      <c r="A435" s="9" t="s">
        <v>1150</v>
      </c>
      <c r="B435" t="s">
        <v>534</v>
      </c>
      <c r="C435" s="5" t="s">
        <v>536</v>
      </c>
      <c r="D435" s="1">
        <v>7789.59</v>
      </c>
      <c r="F435" s="1">
        <v>22916.37</v>
      </c>
    </row>
    <row r="436" spans="1:8">
      <c r="A436" s="9" t="s">
        <v>1150</v>
      </c>
      <c r="B436" t="s">
        <v>78</v>
      </c>
      <c r="C436" s="5" t="s">
        <v>80</v>
      </c>
      <c r="D436" s="1">
        <v>2905.33</v>
      </c>
      <c r="F436" s="1">
        <v>7142.92</v>
      </c>
      <c r="G436" s="1">
        <v>1295.21</v>
      </c>
      <c r="H436" s="1">
        <v>333</v>
      </c>
    </row>
    <row r="437" spans="1:8">
      <c r="A437" s="9" t="s">
        <v>1150</v>
      </c>
      <c r="B437" t="s">
        <v>582</v>
      </c>
      <c r="C437" s="5" t="s">
        <v>584</v>
      </c>
      <c r="D437" s="1">
        <v>4139.16</v>
      </c>
      <c r="G437" s="1">
        <v>814.34</v>
      </c>
    </row>
    <row r="438" spans="1:8">
      <c r="A438" s="9" t="s">
        <v>1150</v>
      </c>
      <c r="B438" t="s">
        <v>1152</v>
      </c>
      <c r="C438" s="5" t="s">
        <v>1154</v>
      </c>
      <c r="D438" s="1">
        <v>1600</v>
      </c>
    </row>
    <row r="439" spans="1:8">
      <c r="A439" s="9" t="s">
        <v>1150</v>
      </c>
      <c r="B439" t="s">
        <v>448</v>
      </c>
      <c r="C439" s="5" t="s">
        <v>450</v>
      </c>
      <c r="D439" s="1">
        <v>18843.97</v>
      </c>
      <c r="F439" s="1">
        <v>269712.58</v>
      </c>
    </row>
    <row r="440" spans="1:8">
      <c r="A440" s="9" t="s">
        <v>1150</v>
      </c>
      <c r="B440" t="s">
        <v>213</v>
      </c>
      <c r="C440" s="5" t="s">
        <v>215</v>
      </c>
      <c r="D440" s="1">
        <v>1336.3</v>
      </c>
      <c r="F440" s="1">
        <v>2936.3</v>
      </c>
    </row>
    <row r="441" spans="1:8">
      <c r="A441" s="9" t="s">
        <v>1150</v>
      </c>
      <c r="B441" t="s">
        <v>1070</v>
      </c>
      <c r="C441" s="5" t="s">
        <v>1072</v>
      </c>
      <c r="E441" s="1">
        <v>381.79</v>
      </c>
      <c r="F441" s="1">
        <v>29807.95</v>
      </c>
    </row>
    <row r="442" spans="1:8">
      <c r="A442" s="9" t="s">
        <v>1150</v>
      </c>
      <c r="B442" t="s">
        <v>1155</v>
      </c>
      <c r="C442" s="5" t="s">
        <v>1157</v>
      </c>
      <c r="F442" s="1">
        <v>2776.67</v>
      </c>
    </row>
    <row r="443" spans="1:8">
      <c r="A443" s="9" t="s">
        <v>1150</v>
      </c>
      <c r="B443" t="s">
        <v>1158</v>
      </c>
      <c r="C443" s="5" t="s">
        <v>1160</v>
      </c>
      <c r="F443" s="1">
        <v>14320.93</v>
      </c>
    </row>
    <row r="444" spans="1:8">
      <c r="A444" s="9" t="s">
        <v>1150</v>
      </c>
      <c r="B444" t="s">
        <v>344</v>
      </c>
      <c r="C444" s="5" t="s">
        <v>346</v>
      </c>
      <c r="D444" s="1">
        <v>931.58</v>
      </c>
      <c r="F444" s="1">
        <v>3166.66</v>
      </c>
    </row>
    <row r="445" spans="1:8">
      <c r="A445" s="9" t="s">
        <v>1150</v>
      </c>
      <c r="B445" t="s">
        <v>681</v>
      </c>
      <c r="C445" s="5" t="s">
        <v>683</v>
      </c>
      <c r="D445" s="1">
        <v>9198</v>
      </c>
      <c r="F445" s="1">
        <v>76843.7</v>
      </c>
    </row>
    <row r="446" spans="1:8">
      <c r="A446" s="9" t="s">
        <v>1150</v>
      </c>
      <c r="B446" t="s">
        <v>385</v>
      </c>
      <c r="C446" s="5" t="s">
        <v>387</v>
      </c>
      <c r="D446" s="1">
        <v>711.02</v>
      </c>
      <c r="F446" s="1">
        <v>1713.21</v>
      </c>
      <c r="G446" s="1">
        <v>291.53500000000003</v>
      </c>
    </row>
    <row r="447" spans="1:8">
      <c r="A447" s="9" t="s">
        <v>1150</v>
      </c>
      <c r="B447" t="s">
        <v>388</v>
      </c>
      <c r="C447" s="5" t="s">
        <v>390</v>
      </c>
      <c r="D447" s="1">
        <v>1560.78</v>
      </c>
      <c r="E447" s="1">
        <v>4510.16</v>
      </c>
      <c r="F447" s="1">
        <v>24557.49</v>
      </c>
    </row>
    <row r="448" spans="1:8">
      <c r="A448" s="9" t="s">
        <v>1150</v>
      </c>
      <c r="B448" t="s">
        <v>412</v>
      </c>
      <c r="C448" s="5" t="s">
        <v>414</v>
      </c>
      <c r="D448" s="1">
        <v>10644.94</v>
      </c>
      <c r="F448" s="1">
        <v>10067.4</v>
      </c>
    </row>
    <row r="449" spans="1:8">
      <c r="A449" s="9" t="s">
        <v>1150</v>
      </c>
      <c r="B449" t="s">
        <v>258</v>
      </c>
      <c r="C449" s="5" t="s">
        <v>260</v>
      </c>
      <c r="D449" s="1">
        <v>16408.47</v>
      </c>
      <c r="F449" s="1">
        <v>58125.43</v>
      </c>
      <c r="G449" s="1">
        <v>13.7</v>
      </c>
    </row>
    <row r="450" spans="1:8">
      <c r="A450" s="9" t="s">
        <v>1150</v>
      </c>
      <c r="B450" t="s">
        <v>540</v>
      </c>
      <c r="C450" s="5" t="s">
        <v>542</v>
      </c>
      <c r="D450" s="1">
        <v>10834.69</v>
      </c>
      <c r="F450" s="1">
        <v>28853.27</v>
      </c>
      <c r="G450" s="1">
        <v>3083.84</v>
      </c>
    </row>
    <row r="451" spans="1:8">
      <c r="A451" s="9" t="s">
        <v>1150</v>
      </c>
      <c r="B451" t="s">
        <v>370</v>
      </c>
      <c r="C451" s="5" t="s">
        <v>372</v>
      </c>
      <c r="D451" s="1">
        <v>9808.08</v>
      </c>
      <c r="F451" s="1">
        <v>28998.78</v>
      </c>
    </row>
    <row r="452" spans="1:8">
      <c r="A452" s="9" t="s">
        <v>1150</v>
      </c>
      <c r="B452" t="s">
        <v>465</v>
      </c>
      <c r="C452" s="5" t="s">
        <v>467</v>
      </c>
      <c r="D452" s="1">
        <v>135.69999999999999</v>
      </c>
      <c r="F452" s="1">
        <v>475</v>
      </c>
    </row>
    <row r="453" spans="1:8">
      <c r="A453" s="9" t="s">
        <v>1150</v>
      </c>
      <c r="B453" t="s">
        <v>240</v>
      </c>
      <c r="C453" s="5" t="s">
        <v>242</v>
      </c>
      <c r="D453" s="1">
        <v>2775.82</v>
      </c>
      <c r="F453" s="1">
        <v>13394.46</v>
      </c>
    </row>
    <row r="454" spans="1:8">
      <c r="A454" s="9" t="s">
        <v>1150</v>
      </c>
      <c r="B454" t="s">
        <v>144</v>
      </c>
      <c r="C454" s="5" t="s">
        <v>146</v>
      </c>
      <c r="D454" s="1">
        <v>17773.7</v>
      </c>
      <c r="F454" s="1">
        <v>-765.47</v>
      </c>
      <c r="G454" s="1">
        <v>1339.8</v>
      </c>
    </row>
    <row r="455" spans="1:8">
      <c r="A455" s="9" t="s">
        <v>1150</v>
      </c>
      <c r="B455" t="s">
        <v>376</v>
      </c>
      <c r="C455" s="5" t="s">
        <v>378</v>
      </c>
      <c r="D455" s="1">
        <v>4008.29</v>
      </c>
      <c r="E455" s="1">
        <v>327.37</v>
      </c>
      <c r="F455" s="1">
        <v>11073.5</v>
      </c>
    </row>
    <row r="456" spans="1:8">
      <c r="A456" s="9" t="s">
        <v>1150</v>
      </c>
      <c r="B456" t="s">
        <v>306</v>
      </c>
      <c r="C456" s="5" t="s">
        <v>308</v>
      </c>
      <c r="D456" s="1">
        <v>3155.81</v>
      </c>
      <c r="E456" s="1">
        <v>1255.81</v>
      </c>
      <c r="F456" s="1">
        <v>17092.62</v>
      </c>
    </row>
    <row r="457" spans="1:8">
      <c r="A457" s="9" t="s">
        <v>1150</v>
      </c>
      <c r="B457" t="s">
        <v>935</v>
      </c>
      <c r="C457" s="5" t="s">
        <v>937</v>
      </c>
      <c r="E457" s="1">
        <v>492.25</v>
      </c>
    </row>
    <row r="458" spans="1:8">
      <c r="A458" s="9" t="s">
        <v>1150</v>
      </c>
      <c r="B458" t="s">
        <v>30</v>
      </c>
      <c r="C458" s="5" t="s">
        <v>32</v>
      </c>
      <c r="D458" s="1">
        <v>3592.78</v>
      </c>
      <c r="E458" s="1">
        <v>1336.66</v>
      </c>
      <c r="F458" s="1">
        <v>61325.15</v>
      </c>
      <c r="G458" s="1">
        <v>264.12</v>
      </c>
    </row>
    <row r="459" spans="1:8">
      <c r="A459" s="9" t="s">
        <v>1150</v>
      </c>
      <c r="B459" t="s">
        <v>270</v>
      </c>
      <c r="C459" s="5" t="s">
        <v>272</v>
      </c>
      <c r="D459" s="1">
        <v>1563.71</v>
      </c>
      <c r="E459" s="1">
        <v>57.3</v>
      </c>
      <c r="F459" s="1">
        <v>7693.31</v>
      </c>
      <c r="G459" s="1">
        <v>171.45</v>
      </c>
      <c r="H459" s="1">
        <v>131.38999999999999</v>
      </c>
    </row>
    <row r="460" spans="1:8">
      <c r="A460" s="9" t="s">
        <v>1150</v>
      </c>
      <c r="B460" t="s">
        <v>1161</v>
      </c>
      <c r="C460" s="5" t="s">
        <v>1163</v>
      </c>
      <c r="E460" s="1">
        <v>1990</v>
      </c>
    </row>
    <row r="461" spans="1:8">
      <c r="A461" s="9" t="s">
        <v>1150</v>
      </c>
      <c r="B461" t="s">
        <v>612</v>
      </c>
      <c r="C461" s="5" t="s">
        <v>614</v>
      </c>
      <c r="D461" s="1">
        <v>2700</v>
      </c>
      <c r="G461" s="1">
        <v>1382.64</v>
      </c>
    </row>
    <row r="462" spans="1:8">
      <c r="A462" s="9" t="s">
        <v>1150</v>
      </c>
      <c r="B462" t="s">
        <v>255</v>
      </c>
      <c r="C462" s="5" t="s">
        <v>257</v>
      </c>
      <c r="D462" s="1">
        <v>3100</v>
      </c>
      <c r="F462" s="1">
        <v>284916.78000000003</v>
      </c>
      <c r="G462" s="1">
        <v>169.74</v>
      </c>
    </row>
    <row r="463" spans="1:8">
      <c r="A463" s="9" t="s">
        <v>1150</v>
      </c>
      <c r="B463" t="s">
        <v>1164</v>
      </c>
      <c r="C463" s="5" t="s">
        <v>1166</v>
      </c>
      <c r="G463" s="1">
        <v>534.98</v>
      </c>
    </row>
    <row r="464" spans="1:8">
      <c r="A464" s="9" t="s">
        <v>1150</v>
      </c>
      <c r="B464" t="s">
        <v>234</v>
      </c>
      <c r="C464" s="5" t="s">
        <v>236</v>
      </c>
      <c r="D464" s="1">
        <v>4824.3900000000003</v>
      </c>
      <c r="F464" s="1">
        <v>64350.16</v>
      </c>
      <c r="G464" s="1">
        <v>1257.31</v>
      </c>
    </row>
    <row r="465" spans="1:8">
      <c r="A465" s="9" t="s">
        <v>1150</v>
      </c>
      <c r="B465" t="s">
        <v>1167</v>
      </c>
      <c r="C465" s="5" t="s">
        <v>1169</v>
      </c>
      <c r="G465" s="1">
        <v>361.2</v>
      </c>
    </row>
    <row r="466" spans="1:8">
      <c r="A466" s="9" t="s">
        <v>1150</v>
      </c>
      <c r="B466" t="s">
        <v>1073</v>
      </c>
      <c r="C466" s="5" t="s">
        <v>1075</v>
      </c>
      <c r="G466" s="1">
        <v>4799.99</v>
      </c>
    </row>
    <row r="467" spans="1:8">
      <c r="A467" s="9" t="s">
        <v>1150</v>
      </c>
      <c r="B467" t="s">
        <v>249</v>
      </c>
      <c r="C467" s="5" t="s">
        <v>251</v>
      </c>
      <c r="D467" s="1">
        <v>21026.01</v>
      </c>
      <c r="G467" s="1">
        <v>1261.56</v>
      </c>
    </row>
    <row r="468" spans="1:8">
      <c r="A468" s="9" t="s">
        <v>1150</v>
      </c>
      <c r="B468" t="s">
        <v>15</v>
      </c>
      <c r="C468" s="5" t="s">
        <v>17</v>
      </c>
      <c r="E468" s="1">
        <v>650</v>
      </c>
      <c r="G468" s="1">
        <v>78.599999999999994</v>
      </c>
    </row>
    <row r="469" spans="1:8">
      <c r="A469" s="9" t="s">
        <v>1150</v>
      </c>
      <c r="B469" t="s">
        <v>282</v>
      </c>
      <c r="C469" s="5" t="s">
        <v>284</v>
      </c>
      <c r="D469" s="1">
        <v>9200.77</v>
      </c>
      <c r="G469" s="1">
        <v>623.58000000000004</v>
      </c>
    </row>
    <row r="470" spans="1:8">
      <c r="A470" s="9" t="s">
        <v>1150</v>
      </c>
      <c r="B470" t="s">
        <v>857</v>
      </c>
      <c r="C470" s="5" t="s">
        <v>859</v>
      </c>
      <c r="G470" s="1">
        <v>722.4</v>
      </c>
    </row>
    <row r="471" spans="1:8">
      <c r="A471" s="9" t="s">
        <v>1150</v>
      </c>
      <c r="B471" t="s">
        <v>433</v>
      </c>
      <c r="C471" s="5" t="s">
        <v>435</v>
      </c>
      <c r="D471" s="1">
        <v>4333.41</v>
      </c>
      <c r="G471" s="1">
        <v>285.04000000000002</v>
      </c>
    </row>
    <row r="472" spans="1:8">
      <c r="A472" s="9" t="s">
        <v>1150</v>
      </c>
      <c r="B472" t="s">
        <v>1170</v>
      </c>
      <c r="C472" s="5" t="s">
        <v>1172</v>
      </c>
      <c r="D472" s="1">
        <v>19.690000000000001</v>
      </c>
    </row>
    <row r="473" spans="1:8">
      <c r="A473" s="9" t="s">
        <v>1150</v>
      </c>
      <c r="B473" t="s">
        <v>189</v>
      </c>
      <c r="C473" s="5" t="s">
        <v>191</v>
      </c>
      <c r="D473" s="1">
        <v>4254.3999999999996</v>
      </c>
      <c r="F473" s="1">
        <v>6193.33</v>
      </c>
    </row>
    <row r="474" spans="1:8">
      <c r="A474" s="9" t="s">
        <v>1150</v>
      </c>
      <c r="B474" t="s">
        <v>168</v>
      </c>
      <c r="C474" s="5" t="s">
        <v>170</v>
      </c>
      <c r="D474" s="1">
        <v>4808.6400000000003</v>
      </c>
      <c r="E474" s="1">
        <v>219.71</v>
      </c>
      <c r="F474" s="1">
        <v>15655.18</v>
      </c>
    </row>
    <row r="475" spans="1:8">
      <c r="A475" s="9" t="s">
        <v>1150</v>
      </c>
      <c r="B475" t="s">
        <v>663</v>
      </c>
      <c r="C475" s="5" t="s">
        <v>665</v>
      </c>
      <c r="D475" s="1">
        <v>6822.16</v>
      </c>
      <c r="E475" s="1">
        <v>208.63</v>
      </c>
      <c r="F475" s="1">
        <v>9487.49</v>
      </c>
      <c r="G475" s="1">
        <v>1609.19</v>
      </c>
      <c r="H475" s="1">
        <v>455.5</v>
      </c>
    </row>
    <row r="476" spans="1:8">
      <c r="A476" s="9" t="s">
        <v>1150</v>
      </c>
      <c r="B476" t="s">
        <v>96</v>
      </c>
      <c r="C476" s="5" t="s">
        <v>98</v>
      </c>
      <c r="D476" s="1">
        <v>2724.41</v>
      </c>
      <c r="G476" s="1">
        <v>722.4</v>
      </c>
    </row>
    <row r="477" spans="1:8">
      <c r="A477" s="9" t="s">
        <v>1150</v>
      </c>
      <c r="B477" t="s">
        <v>355</v>
      </c>
      <c r="C477" s="5" t="s">
        <v>357</v>
      </c>
      <c r="D477" s="1">
        <v>131571</v>
      </c>
      <c r="F477" s="1">
        <v>327617.44</v>
      </c>
    </row>
    <row r="478" spans="1:8">
      <c r="A478" s="9" t="s">
        <v>1150</v>
      </c>
      <c r="B478" t="s">
        <v>439</v>
      </c>
      <c r="C478" s="5" t="s">
        <v>441</v>
      </c>
      <c r="D478" s="1">
        <v>2022.17</v>
      </c>
      <c r="F478" s="1">
        <v>5776.62</v>
      </c>
    </row>
    <row r="479" spans="1:8">
      <c r="A479" s="9" t="s">
        <v>1150</v>
      </c>
      <c r="B479" t="s">
        <v>768</v>
      </c>
      <c r="C479" s="5" t="s">
        <v>770</v>
      </c>
      <c r="D479" s="1">
        <v>5795.42</v>
      </c>
      <c r="F479" s="1">
        <v>11795.42</v>
      </c>
    </row>
    <row r="480" spans="1:8">
      <c r="A480" s="9" t="s">
        <v>1150</v>
      </c>
      <c r="B480" t="s">
        <v>141</v>
      </c>
      <c r="C480" s="5" t="s">
        <v>143</v>
      </c>
      <c r="D480" s="1">
        <v>43662.63</v>
      </c>
      <c r="E480" s="1">
        <v>1687.56</v>
      </c>
      <c r="G480" s="1">
        <v>39.299999999999997</v>
      </c>
    </row>
    <row r="481" spans="1:7">
      <c r="A481" s="9" t="s">
        <v>1150</v>
      </c>
      <c r="B481" t="s">
        <v>397</v>
      </c>
      <c r="C481" s="5" t="s">
        <v>399</v>
      </c>
      <c r="D481" s="1">
        <v>7591.03</v>
      </c>
      <c r="E481" s="1">
        <v>999.7</v>
      </c>
      <c r="F481" s="1">
        <v>26372.43</v>
      </c>
    </row>
    <row r="482" spans="1:7">
      <c r="A482" s="9" t="s">
        <v>1150</v>
      </c>
      <c r="B482" t="s">
        <v>672</v>
      </c>
      <c r="C482" s="5" t="s">
        <v>674</v>
      </c>
      <c r="D482" s="1">
        <v>1866</v>
      </c>
    </row>
    <row r="483" spans="1:7">
      <c r="A483" s="9" t="s">
        <v>1150</v>
      </c>
      <c r="B483" t="s">
        <v>228</v>
      </c>
      <c r="C483" s="5" t="s">
        <v>230</v>
      </c>
      <c r="D483" s="1">
        <v>4746.32</v>
      </c>
      <c r="F483" s="1">
        <v>10018.07</v>
      </c>
    </row>
    <row r="484" spans="1:7">
      <c r="A484" s="9" t="s">
        <v>1150</v>
      </c>
      <c r="B484" t="s">
        <v>45</v>
      </c>
      <c r="C484" s="5" t="s">
        <v>47</v>
      </c>
      <c r="D484" s="1">
        <v>8583.4500000000007</v>
      </c>
      <c r="F484" s="1">
        <v>133362.16</v>
      </c>
    </row>
    <row r="485" spans="1:7">
      <c r="A485" s="9" t="s">
        <v>1150</v>
      </c>
      <c r="B485" t="s">
        <v>594</v>
      </c>
      <c r="C485" s="5" t="s">
        <v>596</v>
      </c>
      <c r="D485" s="1">
        <v>977.4</v>
      </c>
      <c r="F485" s="1">
        <v>750.75</v>
      </c>
    </row>
    <row r="486" spans="1:7">
      <c r="A486" s="9" t="s">
        <v>1150</v>
      </c>
      <c r="B486" t="s">
        <v>666</v>
      </c>
      <c r="C486" s="5" t="s">
        <v>668</v>
      </c>
      <c r="D486" s="1">
        <v>8251.92</v>
      </c>
      <c r="F486" s="1">
        <v>67896.320000000007</v>
      </c>
    </row>
    <row r="487" spans="1:7">
      <c r="A487" s="9" t="s">
        <v>1150</v>
      </c>
      <c r="B487" t="s">
        <v>597</v>
      </c>
      <c r="C487" s="5" t="s">
        <v>599</v>
      </c>
      <c r="D487" s="1">
        <v>3247.13</v>
      </c>
    </row>
    <row r="488" spans="1:7">
      <c r="A488" s="9" t="s">
        <v>1150</v>
      </c>
      <c r="B488" t="s">
        <v>636</v>
      </c>
      <c r="C488" s="5" t="s">
        <v>638</v>
      </c>
      <c r="D488" s="1">
        <v>1602.42</v>
      </c>
      <c r="F488" s="1">
        <v>3283.33</v>
      </c>
    </row>
    <row r="489" spans="1:7">
      <c r="A489" s="9" t="s">
        <v>1150</v>
      </c>
      <c r="B489" t="s">
        <v>813</v>
      </c>
      <c r="C489" s="5" t="s">
        <v>815</v>
      </c>
      <c r="D489" s="1">
        <v>2335.31</v>
      </c>
    </row>
    <row r="490" spans="1:7">
      <c r="A490" s="9" t="s">
        <v>1150</v>
      </c>
      <c r="B490" t="s">
        <v>427</v>
      </c>
      <c r="C490" s="5" t="s">
        <v>429</v>
      </c>
      <c r="D490" s="1">
        <v>5607.69</v>
      </c>
      <c r="G490" s="1">
        <v>669.06</v>
      </c>
    </row>
    <row r="491" spans="1:7">
      <c r="A491" s="9" t="s">
        <v>1150</v>
      </c>
      <c r="B491" t="s">
        <v>627</v>
      </c>
      <c r="C491" s="5" t="s">
        <v>629</v>
      </c>
      <c r="D491" s="1">
        <v>2080</v>
      </c>
      <c r="E491" s="1">
        <v>1325</v>
      </c>
      <c r="G491" s="1">
        <v>564.81500000000005</v>
      </c>
    </row>
    <row r="492" spans="1:7">
      <c r="A492" s="9" t="s">
        <v>1150</v>
      </c>
      <c r="B492" t="s">
        <v>338</v>
      </c>
      <c r="C492" s="5" t="s">
        <v>340</v>
      </c>
      <c r="D492" s="1">
        <v>36951.599999999999</v>
      </c>
      <c r="F492" s="1">
        <v>84608.57</v>
      </c>
    </row>
    <row r="493" spans="1:7">
      <c r="A493" s="9" t="s">
        <v>1150</v>
      </c>
      <c r="B493" t="s">
        <v>373</v>
      </c>
      <c r="C493" s="5" t="s">
        <v>375</v>
      </c>
      <c r="D493" s="1">
        <v>1692.22</v>
      </c>
      <c r="F493" s="1">
        <v>7998.52</v>
      </c>
    </row>
    <row r="494" spans="1:7">
      <c r="A494" s="9" t="s">
        <v>1150</v>
      </c>
      <c r="B494" t="s">
        <v>1173</v>
      </c>
      <c r="C494" s="5" t="s">
        <v>1175</v>
      </c>
      <c r="E494" s="1">
        <v>313.44</v>
      </c>
      <c r="F494" s="1">
        <v>1457.07</v>
      </c>
    </row>
    <row r="495" spans="1:7">
      <c r="A495" s="9" t="s">
        <v>1150</v>
      </c>
      <c r="B495" t="s">
        <v>1076</v>
      </c>
      <c r="C495" s="5" t="s">
        <v>1078</v>
      </c>
      <c r="F495" s="1">
        <v>12233.6</v>
      </c>
    </row>
    <row r="496" spans="1:7">
      <c r="A496" s="9" t="s">
        <v>1150</v>
      </c>
      <c r="B496" t="s">
        <v>93</v>
      </c>
      <c r="C496" s="5" t="s">
        <v>95</v>
      </c>
      <c r="D496" s="1">
        <v>853.47</v>
      </c>
      <c r="E496" s="1">
        <v>44.6</v>
      </c>
      <c r="F496" s="1">
        <v>14692.13</v>
      </c>
    </row>
    <row r="497" spans="1:8">
      <c r="A497" s="9" t="s">
        <v>1150</v>
      </c>
      <c r="B497" t="s">
        <v>201</v>
      </c>
      <c r="C497" s="5" t="s">
        <v>203</v>
      </c>
      <c r="D497" s="1">
        <v>70</v>
      </c>
      <c r="F497" s="1">
        <v>7533.22</v>
      </c>
    </row>
    <row r="498" spans="1:8">
      <c r="A498" s="9" t="s">
        <v>1150</v>
      </c>
      <c r="B498" t="s">
        <v>792</v>
      </c>
      <c r="C498" s="5" t="s">
        <v>794</v>
      </c>
      <c r="D498" s="1">
        <v>5133.38</v>
      </c>
      <c r="F498" s="1">
        <v>190024.08</v>
      </c>
    </row>
    <row r="499" spans="1:8">
      <c r="A499" s="9" t="s">
        <v>1150</v>
      </c>
      <c r="B499" t="s">
        <v>525</v>
      </c>
      <c r="C499" s="5" t="s">
        <v>527</v>
      </c>
      <c r="D499" s="1">
        <v>34091.19</v>
      </c>
      <c r="E499" s="1">
        <v>793.43</v>
      </c>
      <c r="F499" s="1">
        <v>37428.9</v>
      </c>
    </row>
    <row r="500" spans="1:8">
      <c r="A500" s="9" t="s">
        <v>1150</v>
      </c>
      <c r="B500" t="s">
        <v>330</v>
      </c>
      <c r="C500" s="5" t="s">
        <v>332</v>
      </c>
      <c r="D500" s="1">
        <v>49466.77</v>
      </c>
      <c r="F500" s="1">
        <v>9974.4599999999991</v>
      </c>
    </row>
    <row r="501" spans="1:8">
      <c r="A501" s="9" t="s">
        <v>1150</v>
      </c>
      <c r="B501" t="s">
        <v>477</v>
      </c>
      <c r="C501" s="5" t="s">
        <v>479</v>
      </c>
      <c r="D501" s="1">
        <v>98427.25</v>
      </c>
      <c r="F501" s="1">
        <v>19000</v>
      </c>
    </row>
    <row r="502" spans="1:8">
      <c r="A502" s="9" t="s">
        <v>1150</v>
      </c>
      <c r="B502" t="s">
        <v>1176</v>
      </c>
      <c r="C502" s="5" t="s">
        <v>1178</v>
      </c>
      <c r="D502" s="1">
        <v>196.66</v>
      </c>
      <c r="F502" s="1">
        <v>3638.72</v>
      </c>
    </row>
    <row r="503" spans="1:8">
      <c r="A503" s="9" t="s">
        <v>1150</v>
      </c>
      <c r="B503" t="s">
        <v>762</v>
      </c>
      <c r="C503" s="5" t="s">
        <v>764</v>
      </c>
      <c r="D503" s="1">
        <v>7866.14</v>
      </c>
      <c r="F503" s="1">
        <v>14913.14</v>
      </c>
    </row>
    <row r="504" spans="1:8">
      <c r="A504" s="9" t="s">
        <v>1150</v>
      </c>
      <c r="B504" t="s">
        <v>1179</v>
      </c>
      <c r="C504" s="5" t="s">
        <v>1181</v>
      </c>
      <c r="F504" s="1">
        <v>297.44</v>
      </c>
    </row>
    <row r="505" spans="1:8">
      <c r="A505" s="9" t="s">
        <v>1150</v>
      </c>
      <c r="B505" t="s">
        <v>705</v>
      </c>
      <c r="C505" s="5" t="s">
        <v>707</v>
      </c>
      <c r="E505" s="1">
        <v>3.14</v>
      </c>
      <c r="F505" s="1">
        <v>6454.58</v>
      </c>
      <c r="G505" s="1">
        <v>695.91</v>
      </c>
      <c r="H505" s="1">
        <v>477.93</v>
      </c>
    </row>
    <row r="506" spans="1:8">
      <c r="A506" s="9" t="s">
        <v>1150</v>
      </c>
      <c r="B506" t="s">
        <v>27</v>
      </c>
      <c r="C506" s="5" t="s">
        <v>29</v>
      </c>
      <c r="D506" s="1">
        <v>4861.99</v>
      </c>
      <c r="F506" s="1">
        <v>20293.150000000001</v>
      </c>
    </row>
    <row r="507" spans="1:8">
      <c r="A507" s="9" t="s">
        <v>1150</v>
      </c>
      <c r="B507" t="s">
        <v>394</v>
      </c>
      <c r="C507" s="5" t="s">
        <v>396</v>
      </c>
      <c r="D507" s="1">
        <v>1234.94</v>
      </c>
      <c r="F507" s="1">
        <v>8235.27</v>
      </c>
    </row>
    <row r="508" spans="1:8">
      <c r="A508" s="9" t="s">
        <v>1150</v>
      </c>
      <c r="B508" t="s">
        <v>415</v>
      </c>
      <c r="C508" s="5" t="s">
        <v>417</v>
      </c>
      <c r="D508" s="1">
        <v>352.07</v>
      </c>
      <c r="F508" s="1">
        <v>3023.45</v>
      </c>
    </row>
    <row r="509" spans="1:8">
      <c r="A509" s="9" t="s">
        <v>1150</v>
      </c>
      <c r="B509" t="s">
        <v>507</v>
      </c>
      <c r="C509" s="5" t="s">
        <v>509</v>
      </c>
      <c r="D509" s="1">
        <v>1256.5</v>
      </c>
      <c r="F509" s="1">
        <v>3900.61</v>
      </c>
    </row>
    <row r="510" spans="1:8">
      <c r="A510" s="9" t="s">
        <v>1150</v>
      </c>
      <c r="B510" t="s">
        <v>261</v>
      </c>
      <c r="C510" s="5" t="s">
        <v>263</v>
      </c>
      <c r="D510" s="1">
        <v>4941.4399999999996</v>
      </c>
      <c r="F510" s="1">
        <v>12258.14</v>
      </c>
      <c r="G510" s="1">
        <v>380</v>
      </c>
    </row>
    <row r="511" spans="1:8">
      <c r="A511" s="9" t="s">
        <v>1150</v>
      </c>
      <c r="B511" t="s">
        <v>570</v>
      </c>
      <c r="C511" s="5" t="s">
        <v>572</v>
      </c>
      <c r="D511" s="1">
        <v>5358.58</v>
      </c>
      <c r="F511" s="1">
        <v>10244.32</v>
      </c>
    </row>
    <row r="512" spans="1:8">
      <c r="A512" s="9" t="s">
        <v>1150</v>
      </c>
      <c r="B512" t="s">
        <v>693</v>
      </c>
      <c r="C512" s="5" t="s">
        <v>695</v>
      </c>
      <c r="D512" s="1">
        <v>1056.42</v>
      </c>
      <c r="F512" s="1">
        <v>2556.12</v>
      </c>
    </row>
    <row r="513" spans="1:8">
      <c r="A513" s="9" t="s">
        <v>1150</v>
      </c>
      <c r="B513" t="s">
        <v>1182</v>
      </c>
      <c r="C513" s="5" t="s">
        <v>1184</v>
      </c>
      <c r="F513" s="1">
        <v>1269.03</v>
      </c>
    </row>
    <row r="514" spans="1:8">
      <c r="A514" s="9" t="s">
        <v>1150</v>
      </c>
      <c r="B514" t="s">
        <v>759</v>
      </c>
      <c r="C514" s="5" t="s">
        <v>761</v>
      </c>
      <c r="D514" s="1">
        <v>5018.47</v>
      </c>
      <c r="F514" s="1">
        <v>12580.38</v>
      </c>
    </row>
    <row r="515" spans="1:8">
      <c r="A515" s="9" t="s">
        <v>1150</v>
      </c>
      <c r="B515" t="s">
        <v>315</v>
      </c>
      <c r="C515" s="5" t="s">
        <v>317</v>
      </c>
      <c r="D515" s="1">
        <v>3729</v>
      </c>
      <c r="F515" s="1">
        <v>27493.03</v>
      </c>
    </row>
    <row r="516" spans="1:8">
      <c r="A516" s="9" t="s">
        <v>1150</v>
      </c>
      <c r="B516" t="s">
        <v>1185</v>
      </c>
      <c r="C516" s="5" t="s">
        <v>1187</v>
      </c>
      <c r="F516" s="1">
        <v>3488.7</v>
      </c>
    </row>
    <row r="517" spans="1:8">
      <c r="A517" s="9" t="s">
        <v>1150</v>
      </c>
      <c r="B517" t="s">
        <v>1188</v>
      </c>
      <c r="C517" s="5" t="s">
        <v>1190</v>
      </c>
      <c r="F517" s="1">
        <v>4230.96</v>
      </c>
    </row>
    <row r="518" spans="1:8">
      <c r="A518" s="9" t="s">
        <v>1150</v>
      </c>
      <c r="B518" t="s">
        <v>651</v>
      </c>
      <c r="C518" s="5" t="s">
        <v>653</v>
      </c>
      <c r="D518" s="1">
        <v>5231.2</v>
      </c>
      <c r="E518" s="1">
        <v>1152.33</v>
      </c>
      <c r="F518" s="1">
        <v>30958.639999999999</v>
      </c>
    </row>
    <row r="519" spans="1:8">
      <c r="A519" s="9" t="s">
        <v>1150</v>
      </c>
      <c r="B519" t="s">
        <v>162</v>
      </c>
      <c r="C519" s="5" t="s">
        <v>164</v>
      </c>
      <c r="D519" s="1">
        <v>16813.07</v>
      </c>
      <c r="E519" s="1">
        <v>529.04999999999995</v>
      </c>
      <c r="F519" s="1">
        <v>46854.83</v>
      </c>
      <c r="G519" s="1">
        <v>54.18</v>
      </c>
    </row>
    <row r="520" spans="1:8">
      <c r="A520" s="9" t="s">
        <v>1150</v>
      </c>
      <c r="B520" t="s">
        <v>1191</v>
      </c>
      <c r="C520" s="5" t="s">
        <v>1193</v>
      </c>
      <c r="E520" s="1">
        <v>429.87</v>
      </c>
    </row>
    <row r="521" spans="1:8">
      <c r="A521" s="9" t="s">
        <v>1150</v>
      </c>
      <c r="B521" t="s">
        <v>980</v>
      </c>
      <c r="C521" s="5" t="s">
        <v>982</v>
      </c>
      <c r="G521" s="1">
        <v>201.03</v>
      </c>
      <c r="H521" s="1">
        <v>502.8</v>
      </c>
    </row>
    <row r="522" spans="1:8">
      <c r="A522" s="9" t="s">
        <v>1150</v>
      </c>
      <c r="B522" t="s">
        <v>1194</v>
      </c>
      <c r="C522" s="5" t="s">
        <v>1196</v>
      </c>
      <c r="E522" s="1">
        <v>2058.1</v>
      </c>
      <c r="G522" s="1">
        <v>1287.6849999999999</v>
      </c>
      <c r="H522" s="1">
        <v>166.5</v>
      </c>
    </row>
    <row r="523" spans="1:8">
      <c r="A523" s="9" t="s">
        <v>1150</v>
      </c>
      <c r="B523" t="s">
        <v>567</v>
      </c>
      <c r="C523" s="5" t="s">
        <v>569</v>
      </c>
      <c r="G523" s="1">
        <v>3873.49</v>
      </c>
    </row>
    <row r="524" spans="1:8">
      <c r="A524" s="9" t="s">
        <v>1150</v>
      </c>
      <c r="B524" t="s">
        <v>279</v>
      </c>
      <c r="C524" s="5" t="s">
        <v>281</v>
      </c>
      <c r="D524" s="1">
        <v>4824.1400000000003</v>
      </c>
      <c r="G524" s="1">
        <v>302.67</v>
      </c>
    </row>
    <row r="525" spans="1:8">
      <c r="A525" s="9" t="s">
        <v>1150</v>
      </c>
      <c r="B525" t="s">
        <v>36</v>
      </c>
      <c r="C525" s="5" t="s">
        <v>38</v>
      </c>
      <c r="D525" s="1">
        <v>30689.22</v>
      </c>
      <c r="G525" s="1">
        <v>1303.92</v>
      </c>
    </row>
    <row r="526" spans="1:8">
      <c r="A526" s="9" t="s">
        <v>1150</v>
      </c>
      <c r="B526" t="s">
        <v>878</v>
      </c>
      <c r="C526" s="5" t="s">
        <v>880</v>
      </c>
      <c r="G526" s="1">
        <v>58.95</v>
      </c>
    </row>
    <row r="527" spans="1:8">
      <c r="A527" s="9" t="s">
        <v>1150</v>
      </c>
      <c r="B527" t="s">
        <v>246</v>
      </c>
      <c r="C527" s="5" t="s">
        <v>248</v>
      </c>
      <c r="D527" s="1">
        <v>4855.6000000000004</v>
      </c>
      <c r="E527" s="1">
        <v>103.93</v>
      </c>
      <c r="F527" s="1">
        <v>20858.099999999999</v>
      </c>
      <c r="G527" s="1">
        <v>359.18</v>
      </c>
      <c r="H527" s="1">
        <v>132.80000000000001</v>
      </c>
    </row>
    <row r="528" spans="1:8">
      <c r="A528" s="9" t="s">
        <v>1150</v>
      </c>
      <c r="B528" t="s">
        <v>1197</v>
      </c>
      <c r="C528" s="5" t="s">
        <v>1199</v>
      </c>
      <c r="G528" s="1">
        <v>2748.5549999999998</v>
      </c>
      <c r="H528" s="1">
        <v>687.26</v>
      </c>
    </row>
    <row r="529" spans="1:7">
      <c r="A529" s="9" t="s">
        <v>1150</v>
      </c>
      <c r="B529" t="s">
        <v>192</v>
      </c>
      <c r="C529" s="5" t="s">
        <v>194</v>
      </c>
      <c r="D529" s="1">
        <v>8761.83</v>
      </c>
      <c r="F529" s="1">
        <v>13991.67</v>
      </c>
    </row>
    <row r="530" spans="1:7">
      <c r="A530" s="9" t="s">
        <v>1150</v>
      </c>
      <c r="B530" t="s">
        <v>603</v>
      </c>
      <c r="C530" s="5" t="s">
        <v>605</v>
      </c>
      <c r="D530" s="1">
        <v>19897.66</v>
      </c>
      <c r="F530" s="1">
        <v>39310.61</v>
      </c>
    </row>
    <row r="531" spans="1:7">
      <c r="A531" s="9" t="s">
        <v>1150</v>
      </c>
      <c r="B531" t="s">
        <v>204</v>
      </c>
      <c r="C531" s="5" t="s">
        <v>206</v>
      </c>
      <c r="D531" s="1">
        <v>2192.83</v>
      </c>
      <c r="F531" s="1">
        <v>11774.35</v>
      </c>
    </row>
    <row r="532" spans="1:7">
      <c r="A532" s="9" t="s">
        <v>1150</v>
      </c>
      <c r="B532" t="s">
        <v>492</v>
      </c>
      <c r="C532" s="5" t="s">
        <v>494</v>
      </c>
      <c r="D532" s="1">
        <v>21491.4</v>
      </c>
    </row>
    <row r="533" spans="1:7">
      <c r="A533" s="9" t="s">
        <v>1150</v>
      </c>
      <c r="B533" t="s">
        <v>198</v>
      </c>
      <c r="C533" s="5" t="s">
        <v>200</v>
      </c>
      <c r="D533" s="1">
        <v>1338.01</v>
      </c>
      <c r="F533" s="1">
        <v>3309.69</v>
      </c>
      <c r="G533" s="1">
        <v>32.24</v>
      </c>
    </row>
    <row r="534" spans="1:7">
      <c r="A534" s="9" t="s">
        <v>1150</v>
      </c>
      <c r="B534" t="s">
        <v>549</v>
      </c>
      <c r="C534" s="5" t="s">
        <v>551</v>
      </c>
      <c r="D534" s="1">
        <v>1797</v>
      </c>
    </row>
    <row r="535" spans="1:7">
      <c r="A535" s="9" t="s">
        <v>1150</v>
      </c>
      <c r="B535" t="s">
        <v>660</v>
      </c>
      <c r="C535" s="5" t="s">
        <v>662</v>
      </c>
      <c r="D535" s="1">
        <v>3396.43</v>
      </c>
      <c r="F535" s="1">
        <v>9351.8799999999992</v>
      </c>
    </row>
    <row r="536" spans="1:7">
      <c r="A536" s="9" t="s">
        <v>1150</v>
      </c>
      <c r="B536" t="s">
        <v>276</v>
      </c>
      <c r="C536" s="5" t="s">
        <v>278</v>
      </c>
      <c r="D536" s="1">
        <v>13177.5</v>
      </c>
      <c r="G536" s="1">
        <v>409.4</v>
      </c>
    </row>
    <row r="537" spans="1:7">
      <c r="A537" s="9" t="s">
        <v>1150</v>
      </c>
      <c r="B537" t="s">
        <v>804</v>
      </c>
      <c r="C537" s="5" t="s">
        <v>806</v>
      </c>
      <c r="D537" s="1">
        <v>6817.86</v>
      </c>
      <c r="F537" s="1">
        <v>24937.17</v>
      </c>
    </row>
    <row r="538" spans="1:7">
      <c r="A538" s="9" t="s">
        <v>1150</v>
      </c>
      <c r="B538" t="s">
        <v>462</v>
      </c>
      <c r="C538" s="5" t="s">
        <v>464</v>
      </c>
      <c r="D538" s="1">
        <v>1464.44</v>
      </c>
      <c r="F538" s="1">
        <v>5818.65</v>
      </c>
    </row>
    <row r="539" spans="1:7">
      <c r="A539" s="9" t="s">
        <v>1150</v>
      </c>
      <c r="B539" t="s">
        <v>102</v>
      </c>
      <c r="C539" s="5" t="s">
        <v>104</v>
      </c>
      <c r="D539" s="1">
        <v>2121.9</v>
      </c>
      <c r="F539" s="1">
        <v>13193.57</v>
      </c>
      <c r="G539" s="1">
        <v>253.78</v>
      </c>
    </row>
    <row r="540" spans="1:7">
      <c r="A540" s="9" t="s">
        <v>1150</v>
      </c>
      <c r="B540" t="s">
        <v>699</v>
      </c>
      <c r="C540" s="5" t="s">
        <v>701</v>
      </c>
      <c r="D540" s="1">
        <v>3014.12</v>
      </c>
      <c r="F540" s="1">
        <v>13309.09</v>
      </c>
      <c r="G540" s="1">
        <v>399.45</v>
      </c>
    </row>
    <row r="541" spans="1:7">
      <c r="A541" s="9" t="s">
        <v>1150</v>
      </c>
      <c r="B541" t="s">
        <v>564</v>
      </c>
      <c r="C541" s="5" t="s">
        <v>566</v>
      </c>
      <c r="D541" s="1">
        <v>7689.29</v>
      </c>
      <c r="G541" s="1">
        <v>360.76</v>
      </c>
    </row>
    <row r="542" spans="1:7">
      <c r="A542" s="9" t="s">
        <v>1150</v>
      </c>
      <c r="B542" t="s">
        <v>606</v>
      </c>
      <c r="C542" s="5" t="s">
        <v>608</v>
      </c>
      <c r="D542" s="1">
        <v>6748.64</v>
      </c>
      <c r="F542" s="1">
        <v>13838.18</v>
      </c>
    </row>
    <row r="543" spans="1:7">
      <c r="A543" s="9" t="s">
        <v>1150</v>
      </c>
      <c r="B543" t="s">
        <v>678</v>
      </c>
      <c r="C543" s="5" t="s">
        <v>680</v>
      </c>
      <c r="D543" s="1">
        <v>23870.1</v>
      </c>
    </row>
    <row r="544" spans="1:7">
      <c r="A544" s="9" t="s">
        <v>1150</v>
      </c>
      <c r="B544" t="s">
        <v>165</v>
      </c>
      <c r="C544" s="5" t="s">
        <v>167</v>
      </c>
      <c r="D544" s="1">
        <v>3799.28</v>
      </c>
      <c r="E544" s="1">
        <v>1507.01</v>
      </c>
      <c r="F544" s="1">
        <v>22200.3</v>
      </c>
      <c r="G544" s="1">
        <v>60.2</v>
      </c>
    </row>
    <row r="545" spans="1:7">
      <c r="A545" s="9" t="s">
        <v>1150</v>
      </c>
      <c r="B545" t="s">
        <v>21</v>
      </c>
      <c r="C545" s="5" t="s">
        <v>23</v>
      </c>
      <c r="D545" s="1">
        <v>19.190000000000001</v>
      </c>
    </row>
    <row r="546" spans="1:7">
      <c r="A546" s="9" t="s">
        <v>1150</v>
      </c>
      <c r="B546" t="s">
        <v>615</v>
      </c>
      <c r="C546" s="5" t="s">
        <v>617</v>
      </c>
      <c r="D546" s="1">
        <v>23114.27</v>
      </c>
    </row>
    <row r="547" spans="1:7">
      <c r="A547" s="9" t="s">
        <v>1150</v>
      </c>
      <c r="B547" t="s">
        <v>210</v>
      </c>
      <c r="C547" s="5" t="s">
        <v>212</v>
      </c>
      <c r="D547" s="1">
        <v>20262.669999999998</v>
      </c>
      <c r="F547" s="1">
        <v>635940.44999999995</v>
      </c>
      <c r="G547" s="1">
        <v>115.12</v>
      </c>
    </row>
    <row r="548" spans="1:7">
      <c r="A548" s="9" t="s">
        <v>1150</v>
      </c>
      <c r="B548" t="s">
        <v>468</v>
      </c>
      <c r="C548" s="5" t="s">
        <v>470</v>
      </c>
      <c r="D548" s="1">
        <v>3000</v>
      </c>
      <c r="E548" s="1">
        <v>773.54</v>
      </c>
      <c r="F548" s="1">
        <v>152167.32999999999</v>
      </c>
      <c r="G548" s="1">
        <v>264.12</v>
      </c>
    </row>
    <row r="549" spans="1:7">
      <c r="A549" s="9" t="s">
        <v>1150</v>
      </c>
      <c r="B549" t="s">
        <v>451</v>
      </c>
      <c r="C549" s="5" t="s">
        <v>453</v>
      </c>
      <c r="D549" s="1">
        <v>2400.4</v>
      </c>
      <c r="E549" s="1">
        <v>1480</v>
      </c>
      <c r="F549" s="1">
        <v>62181.1</v>
      </c>
    </row>
    <row r="550" spans="1:7">
      <c r="A550" s="9" t="s">
        <v>1150</v>
      </c>
      <c r="B550" t="s">
        <v>24</v>
      </c>
      <c r="C550" s="5" t="s">
        <v>26</v>
      </c>
      <c r="D550" s="1">
        <v>1057.54</v>
      </c>
      <c r="F550" s="1">
        <v>27311.9</v>
      </c>
      <c r="G550" s="1">
        <v>240.8</v>
      </c>
    </row>
    <row r="551" spans="1:7">
      <c r="A551" s="9" t="s">
        <v>1150</v>
      </c>
      <c r="B551" t="s">
        <v>738</v>
      </c>
      <c r="C551" s="5" t="s">
        <v>740</v>
      </c>
      <c r="D551" s="1">
        <v>4998.38</v>
      </c>
      <c r="F551" s="1">
        <v>87332.479999999996</v>
      </c>
    </row>
    <row r="552" spans="1:7">
      <c r="A552" s="9" t="s">
        <v>1150</v>
      </c>
      <c r="B552" t="s">
        <v>998</v>
      </c>
      <c r="C552" s="5" t="s">
        <v>1000</v>
      </c>
      <c r="F552" s="1">
        <v>26558.66</v>
      </c>
    </row>
    <row r="553" spans="1:7">
      <c r="A553" s="9" t="s">
        <v>1150</v>
      </c>
      <c r="B553" t="s">
        <v>1010</v>
      </c>
      <c r="C553" s="5" t="s">
        <v>1012</v>
      </c>
      <c r="F553" s="1">
        <v>3195.16</v>
      </c>
    </row>
    <row r="554" spans="1:7">
      <c r="A554" s="9" t="s">
        <v>1150</v>
      </c>
      <c r="B554" t="s">
        <v>1200</v>
      </c>
      <c r="C554" s="5" t="s">
        <v>1202</v>
      </c>
      <c r="F554" s="1">
        <v>32670</v>
      </c>
    </row>
    <row r="555" spans="1:7">
      <c r="A555" s="9" t="s">
        <v>1150</v>
      </c>
      <c r="B555" t="s">
        <v>579</v>
      </c>
      <c r="C555" s="5" t="s">
        <v>581</v>
      </c>
      <c r="D555" s="1">
        <v>16871.93</v>
      </c>
      <c r="E555" s="1">
        <v>1990</v>
      </c>
      <c r="F555" s="1">
        <v>99883.54</v>
      </c>
    </row>
    <row r="556" spans="1:7">
      <c r="A556" s="9" t="s">
        <v>1150</v>
      </c>
      <c r="B556" t="s">
        <v>1203</v>
      </c>
      <c r="C556" s="5" t="s">
        <v>1205</v>
      </c>
      <c r="D556" s="1">
        <v>4678</v>
      </c>
      <c r="F556" s="1">
        <v>8700</v>
      </c>
    </row>
    <row r="557" spans="1:7">
      <c r="A557" s="9" t="s">
        <v>1150</v>
      </c>
      <c r="B557" t="s">
        <v>1031</v>
      </c>
      <c r="C557" s="5" t="s">
        <v>1033</v>
      </c>
      <c r="D557" s="1">
        <v>919</v>
      </c>
    </row>
    <row r="558" spans="1:7">
      <c r="A558" s="9" t="s">
        <v>1150</v>
      </c>
      <c r="B558" t="s">
        <v>267</v>
      </c>
      <c r="C558" s="5" t="s">
        <v>269</v>
      </c>
      <c r="D558" s="1">
        <v>10382.9</v>
      </c>
      <c r="E558" s="1">
        <v>271.87</v>
      </c>
      <c r="F558" s="1">
        <v>26999.759999999998</v>
      </c>
      <c r="G558" s="1">
        <v>602.98</v>
      </c>
    </row>
    <row r="559" spans="1:7">
      <c r="A559" s="9" t="s">
        <v>1150</v>
      </c>
      <c r="B559" t="s">
        <v>33</v>
      </c>
      <c r="C559" s="5" t="s">
        <v>35</v>
      </c>
      <c r="F559" s="1">
        <v>1680</v>
      </c>
      <c r="G559" s="1">
        <v>75.25</v>
      </c>
    </row>
    <row r="560" spans="1:7">
      <c r="A560" s="9" t="s">
        <v>1150</v>
      </c>
      <c r="B560" t="s">
        <v>819</v>
      </c>
      <c r="C560" s="5" t="s">
        <v>821</v>
      </c>
      <c r="F560" s="1">
        <v>580</v>
      </c>
    </row>
    <row r="561" spans="1:8">
      <c r="A561" s="9" t="s">
        <v>1150</v>
      </c>
      <c r="B561" t="s">
        <v>1206</v>
      </c>
      <c r="C561" s="5" t="s">
        <v>1208</v>
      </c>
      <c r="F561" s="1">
        <v>1142.05</v>
      </c>
    </row>
    <row r="562" spans="1:8">
      <c r="A562" s="9" t="s">
        <v>1150</v>
      </c>
      <c r="B562" t="s">
        <v>657</v>
      </c>
      <c r="C562" s="5" t="s">
        <v>659</v>
      </c>
      <c r="D562" s="1">
        <v>36820.879999999997</v>
      </c>
      <c r="F562" s="1">
        <v>41872.910000000003</v>
      </c>
    </row>
    <row r="563" spans="1:8">
      <c r="A563" s="9" t="s">
        <v>1150</v>
      </c>
      <c r="B563" t="s">
        <v>237</v>
      </c>
      <c r="C563" s="5" t="s">
        <v>239</v>
      </c>
      <c r="D563" s="1">
        <v>2091.84</v>
      </c>
      <c r="F563" s="1">
        <v>7894.1</v>
      </c>
    </row>
    <row r="564" spans="1:8">
      <c r="A564" s="9" t="s">
        <v>1150</v>
      </c>
      <c r="B564" t="s">
        <v>630</v>
      </c>
      <c r="C564" s="5" t="s">
        <v>632</v>
      </c>
      <c r="D564" s="1">
        <v>13554.95</v>
      </c>
      <c r="F564" s="1">
        <v>11193.73</v>
      </c>
    </row>
    <row r="565" spans="1:8">
      <c r="A565" s="9" t="s">
        <v>1150</v>
      </c>
      <c r="B565" t="s">
        <v>382</v>
      </c>
      <c r="C565" s="5" t="s">
        <v>384</v>
      </c>
      <c r="D565" s="1">
        <v>385.58</v>
      </c>
      <c r="F565" s="1">
        <v>7471.31</v>
      </c>
    </row>
    <row r="566" spans="1:8">
      <c r="A566" s="9" t="s">
        <v>1150</v>
      </c>
      <c r="B566" t="s">
        <v>297</v>
      </c>
      <c r="C566" s="5" t="s">
        <v>299</v>
      </c>
      <c r="D566" s="1">
        <v>12230</v>
      </c>
      <c r="F566" s="1">
        <v>189299.47</v>
      </c>
      <c r="G566" s="1">
        <v>2703.84</v>
      </c>
    </row>
    <row r="567" spans="1:8">
      <c r="A567" s="9" t="s">
        <v>1150</v>
      </c>
      <c r="B567" t="s">
        <v>624</v>
      </c>
      <c r="C567" s="5" t="s">
        <v>626</v>
      </c>
      <c r="D567" s="1">
        <v>3585</v>
      </c>
      <c r="F567" s="1">
        <v>24777.95</v>
      </c>
      <c r="G567" s="1">
        <v>572.26</v>
      </c>
    </row>
    <row r="568" spans="1:8">
      <c r="A568" s="9" t="s">
        <v>1150</v>
      </c>
      <c r="B568" t="s">
        <v>225</v>
      </c>
      <c r="C568" s="5" t="s">
        <v>227</v>
      </c>
      <c r="D568" s="1">
        <v>6422.07</v>
      </c>
      <c r="G568" s="1">
        <v>1746.25</v>
      </c>
      <c r="H568" s="1">
        <v>633.01</v>
      </c>
    </row>
    <row r="569" spans="1:8">
      <c r="A569" s="9" t="s">
        <v>1150</v>
      </c>
      <c r="B569" t="s">
        <v>1209</v>
      </c>
      <c r="C569" s="5" t="s">
        <v>1211</v>
      </c>
      <c r="G569" s="1">
        <v>15.98</v>
      </c>
    </row>
    <row r="570" spans="1:8">
      <c r="A570" s="9" t="s">
        <v>1150</v>
      </c>
      <c r="B570" t="s">
        <v>273</v>
      </c>
      <c r="C570" s="5" t="s">
        <v>275</v>
      </c>
      <c r="D570" s="1">
        <v>13426.61</v>
      </c>
      <c r="G570" s="1">
        <v>1832.48</v>
      </c>
    </row>
    <row r="571" spans="1:8">
      <c r="A571" s="9" t="s">
        <v>1150</v>
      </c>
      <c r="B571" t="s">
        <v>421</v>
      </c>
      <c r="C571" s="5" t="s">
        <v>423</v>
      </c>
      <c r="E571" s="1">
        <v>322.2</v>
      </c>
      <c r="G571" s="1">
        <v>75.099999999999994</v>
      </c>
    </row>
    <row r="572" spans="1:8">
      <c r="A572" s="9" t="s">
        <v>1150</v>
      </c>
      <c r="B572" t="s">
        <v>1212</v>
      </c>
      <c r="C572" s="5" t="s">
        <v>1214</v>
      </c>
      <c r="E572" s="1">
        <v>438.96</v>
      </c>
      <c r="G572" s="1">
        <v>39.299999999999997</v>
      </c>
    </row>
    <row r="573" spans="1:8">
      <c r="A573" s="9" t="s">
        <v>1150</v>
      </c>
      <c r="B573" t="s">
        <v>1064</v>
      </c>
      <c r="C573" s="5" t="s">
        <v>1066</v>
      </c>
      <c r="G573" s="1">
        <v>697.3</v>
      </c>
      <c r="H573" s="1">
        <v>206.5</v>
      </c>
    </row>
    <row r="574" spans="1:8">
      <c r="A574" s="9" t="s">
        <v>1150</v>
      </c>
      <c r="B574" t="s">
        <v>42</v>
      </c>
      <c r="C574" s="5" t="s">
        <v>44</v>
      </c>
      <c r="D574" s="1">
        <v>4773.16</v>
      </c>
      <c r="F574" s="1">
        <v>8580.5300000000007</v>
      </c>
    </row>
    <row r="575" spans="1:8">
      <c r="A575" s="9" t="s">
        <v>1150</v>
      </c>
      <c r="B575" t="s">
        <v>1215</v>
      </c>
      <c r="C575" s="5" t="s">
        <v>1217</v>
      </c>
      <c r="D575" s="1">
        <v>3200</v>
      </c>
    </row>
    <row r="576" spans="1:8">
      <c r="A576" s="9" t="s">
        <v>1150</v>
      </c>
      <c r="B576" t="s">
        <v>1218</v>
      </c>
      <c r="C576" s="5" t="s">
        <v>323</v>
      </c>
      <c r="D576" s="1">
        <v>4944.41</v>
      </c>
    </row>
    <row r="577" spans="1:7">
      <c r="A577" s="9" t="s">
        <v>1150</v>
      </c>
      <c r="B577" t="s">
        <v>400</v>
      </c>
      <c r="C577" s="5" t="s">
        <v>402</v>
      </c>
      <c r="D577" s="1">
        <v>10246.94</v>
      </c>
      <c r="F577" s="1">
        <v>56144</v>
      </c>
    </row>
    <row r="578" spans="1:7">
      <c r="A578" s="9" t="s">
        <v>1150</v>
      </c>
      <c r="B578" t="s">
        <v>159</v>
      </c>
      <c r="C578" s="5" t="s">
        <v>161</v>
      </c>
      <c r="D578" s="1">
        <v>1915.69</v>
      </c>
      <c r="F578" s="1">
        <v>37259.51</v>
      </c>
    </row>
    <row r="579" spans="1:7">
      <c r="A579" s="9" t="s">
        <v>1150</v>
      </c>
      <c r="B579" t="s">
        <v>291</v>
      </c>
      <c r="C579" s="5" t="s">
        <v>293</v>
      </c>
      <c r="D579" s="1">
        <v>13625.93</v>
      </c>
      <c r="F579" s="1">
        <v>38298.58</v>
      </c>
    </row>
    <row r="580" spans="1:7">
      <c r="A580" s="9" t="s">
        <v>1150</v>
      </c>
      <c r="B580" t="s">
        <v>1220</v>
      </c>
      <c r="C580" s="5" t="s">
        <v>1222</v>
      </c>
      <c r="D580" s="1">
        <v>19.690000000000001</v>
      </c>
    </row>
    <row r="581" spans="1:7">
      <c r="A581" s="9" t="s">
        <v>1150</v>
      </c>
      <c r="B581" t="s">
        <v>18</v>
      </c>
      <c r="C581" s="5" t="s">
        <v>20</v>
      </c>
      <c r="D581" s="1">
        <v>2326.5</v>
      </c>
      <c r="F581" s="1">
        <v>4233.99</v>
      </c>
    </row>
    <row r="582" spans="1:7">
      <c r="A582" s="9" t="s">
        <v>1150</v>
      </c>
      <c r="B582" t="s">
        <v>445</v>
      </c>
      <c r="C582" s="5" t="s">
        <v>447</v>
      </c>
      <c r="D582" s="1">
        <v>2987.12</v>
      </c>
      <c r="F582" s="1">
        <v>80445.600000000006</v>
      </c>
      <c r="G582" s="1">
        <v>220.1</v>
      </c>
    </row>
    <row r="583" spans="1:7">
      <c r="A583" s="9" t="s">
        <v>1150</v>
      </c>
      <c r="B583" t="s">
        <v>1223</v>
      </c>
      <c r="C583" s="5" t="s">
        <v>1225</v>
      </c>
      <c r="D583" s="1">
        <v>1070</v>
      </c>
    </row>
    <row r="584" spans="1:7">
      <c r="A584" s="9" t="s">
        <v>1150</v>
      </c>
      <c r="B584" t="s">
        <v>1226</v>
      </c>
      <c r="C584" s="5" t="s">
        <v>1228</v>
      </c>
      <c r="D584" s="1">
        <v>19.690000000000001</v>
      </c>
    </row>
    <row r="585" spans="1:7">
      <c r="A585" s="9" t="s">
        <v>1150</v>
      </c>
      <c r="B585" t="s">
        <v>1229</v>
      </c>
      <c r="C585" s="5" t="s">
        <v>1231</v>
      </c>
      <c r="D585" s="1">
        <v>12182.2</v>
      </c>
    </row>
    <row r="586" spans="1:7">
      <c r="A586" s="9" t="s">
        <v>1150</v>
      </c>
      <c r="B586" t="s">
        <v>72</v>
      </c>
      <c r="C586" s="5" t="s">
        <v>74</v>
      </c>
      <c r="D586" s="1">
        <v>3871.86</v>
      </c>
      <c r="F586" s="1">
        <v>21972.45</v>
      </c>
    </row>
    <row r="587" spans="1:7">
      <c r="A587" s="9" t="s">
        <v>1150</v>
      </c>
      <c r="B587" t="s">
        <v>430</v>
      </c>
      <c r="C587" s="5" t="s">
        <v>432</v>
      </c>
      <c r="D587" s="1">
        <v>5365.05</v>
      </c>
    </row>
    <row r="588" spans="1:7">
      <c r="A588" s="9" t="s">
        <v>1150</v>
      </c>
      <c r="B588" t="s">
        <v>132</v>
      </c>
      <c r="C588" s="5" t="s">
        <v>134</v>
      </c>
      <c r="D588" s="1">
        <v>10319.200000000001</v>
      </c>
      <c r="G588" s="1">
        <v>602</v>
      </c>
    </row>
    <row r="589" spans="1:7">
      <c r="A589" s="9" t="s">
        <v>1150</v>
      </c>
      <c r="B589" t="s">
        <v>459</v>
      </c>
      <c r="C589" s="5" t="s">
        <v>461</v>
      </c>
      <c r="D589" s="1">
        <v>17412.41</v>
      </c>
      <c r="F589" s="1">
        <v>65262.23</v>
      </c>
    </row>
    <row r="590" spans="1:7">
      <c r="A590" s="9" t="s">
        <v>1150</v>
      </c>
      <c r="B590" t="s">
        <v>887</v>
      </c>
      <c r="C590" s="5" t="s">
        <v>889</v>
      </c>
      <c r="F590" s="1">
        <v>611.4</v>
      </c>
    </row>
    <row r="591" spans="1:7">
      <c r="A591" s="9" t="s">
        <v>1150</v>
      </c>
      <c r="B591" t="s">
        <v>1232</v>
      </c>
      <c r="C591" s="5" t="s">
        <v>1234</v>
      </c>
      <c r="F591" s="1">
        <v>1429.84</v>
      </c>
    </row>
    <row r="592" spans="1:7">
      <c r="A592" s="9" t="s">
        <v>1150</v>
      </c>
      <c r="B592" t="s">
        <v>63</v>
      </c>
      <c r="C592" s="5" t="s">
        <v>65</v>
      </c>
      <c r="D592" s="1">
        <v>30729.81</v>
      </c>
      <c r="F592" s="1">
        <v>117409.4</v>
      </c>
    </row>
    <row r="593" spans="1:7">
      <c r="A593" s="9" t="s">
        <v>1150</v>
      </c>
      <c r="B593" t="s">
        <v>510</v>
      </c>
      <c r="C593" s="5" t="s">
        <v>512</v>
      </c>
      <c r="D593" s="1">
        <v>26293.24</v>
      </c>
      <c r="E593" s="1">
        <v>678.5</v>
      </c>
      <c r="F593" s="1">
        <v>57522.46</v>
      </c>
    </row>
    <row r="594" spans="1:7">
      <c r="A594" s="9" t="s">
        <v>1150</v>
      </c>
      <c r="B594" t="s">
        <v>522</v>
      </c>
      <c r="C594" s="5" t="s">
        <v>524</v>
      </c>
      <c r="D594" s="1">
        <v>6470.17</v>
      </c>
      <c r="F594" s="1">
        <v>8117.96</v>
      </c>
      <c r="G594" s="1">
        <v>19.98</v>
      </c>
    </row>
    <row r="595" spans="1:7">
      <c r="A595" s="9" t="s">
        <v>1150</v>
      </c>
      <c r="B595" t="s">
        <v>174</v>
      </c>
      <c r="C595" s="5" t="s">
        <v>176</v>
      </c>
      <c r="D595" s="1">
        <v>8617.89</v>
      </c>
      <c r="F595" s="1">
        <v>14924.62</v>
      </c>
    </row>
    <row r="596" spans="1:7">
      <c r="A596" s="9" t="s">
        <v>1150</v>
      </c>
      <c r="B596" t="s">
        <v>1235</v>
      </c>
      <c r="C596" s="5" t="s">
        <v>1237</v>
      </c>
      <c r="F596" s="1">
        <v>932.36</v>
      </c>
    </row>
    <row r="597" spans="1:7">
      <c r="A597" s="9" t="s">
        <v>1150</v>
      </c>
      <c r="B597" t="s">
        <v>48</v>
      </c>
      <c r="C597" s="5" t="s">
        <v>50</v>
      </c>
      <c r="D597" s="1">
        <v>4983.8599999999997</v>
      </c>
      <c r="F597" s="1">
        <v>10805.63</v>
      </c>
    </row>
    <row r="598" spans="1:7">
      <c r="A598" s="9" t="s">
        <v>1150</v>
      </c>
      <c r="B598" t="s">
        <v>84</v>
      </c>
      <c r="C598" s="5" t="s">
        <v>86</v>
      </c>
      <c r="D598" s="1">
        <v>7577.99</v>
      </c>
      <c r="F598" s="1">
        <v>10374</v>
      </c>
    </row>
    <row r="599" spans="1:7">
      <c r="A599" s="9" t="s">
        <v>1150</v>
      </c>
      <c r="B599" t="s">
        <v>303</v>
      </c>
      <c r="C599" s="5" t="s">
        <v>305</v>
      </c>
      <c r="D599" s="1">
        <v>9898.4599999999991</v>
      </c>
      <c r="F599" s="1">
        <v>5086.5</v>
      </c>
    </row>
    <row r="600" spans="1:7">
      <c r="A600" s="9" t="s">
        <v>1150</v>
      </c>
      <c r="B600" t="s">
        <v>195</v>
      </c>
      <c r="C600" s="5" t="s">
        <v>197</v>
      </c>
      <c r="D600" s="1">
        <v>6771.67</v>
      </c>
      <c r="F600" s="1">
        <v>37887.99</v>
      </c>
    </row>
    <row r="601" spans="1:7">
      <c r="A601" s="9" t="s">
        <v>1150</v>
      </c>
      <c r="B601" t="s">
        <v>1238</v>
      </c>
      <c r="C601" s="5" t="s">
        <v>1240</v>
      </c>
      <c r="F601" s="1">
        <v>-1319.51</v>
      </c>
    </row>
    <row r="602" spans="1:7">
      <c r="A602" s="9" t="s">
        <v>1150</v>
      </c>
      <c r="B602" t="s">
        <v>1241</v>
      </c>
      <c r="C602" s="5" t="s">
        <v>1243</v>
      </c>
      <c r="F602" s="1">
        <v>2389.29</v>
      </c>
    </row>
    <row r="603" spans="1:7">
      <c r="A603" s="9" t="s">
        <v>1150</v>
      </c>
      <c r="B603" t="s">
        <v>309</v>
      </c>
      <c r="C603" s="5" t="s">
        <v>311</v>
      </c>
      <c r="D603" s="1">
        <v>1986.33</v>
      </c>
      <c r="E603" s="1">
        <v>62.01</v>
      </c>
      <c r="F603" s="1">
        <v>3863.17</v>
      </c>
    </row>
    <row r="604" spans="1:7">
      <c r="A604" s="9" t="s">
        <v>1150</v>
      </c>
      <c r="B604" t="s">
        <v>711</v>
      </c>
      <c r="C604" s="5" t="s">
        <v>713</v>
      </c>
      <c r="E604" s="1">
        <v>384.54</v>
      </c>
    </row>
    <row r="605" spans="1:7">
      <c r="A605" s="9" t="s">
        <v>1150</v>
      </c>
      <c r="B605" t="s">
        <v>1244</v>
      </c>
      <c r="C605" s="5" t="s">
        <v>1246</v>
      </c>
      <c r="G605" s="1">
        <v>20.805</v>
      </c>
    </row>
    <row r="606" spans="1:7">
      <c r="A606" s="9" t="s">
        <v>1150</v>
      </c>
      <c r="B606" t="s">
        <v>717</v>
      </c>
      <c r="C606" s="5" t="s">
        <v>719</v>
      </c>
      <c r="G606" s="1">
        <v>211.92</v>
      </c>
    </row>
    <row r="607" spans="1:7">
      <c r="A607" s="9" t="s">
        <v>1150</v>
      </c>
      <c r="B607" t="s">
        <v>409</v>
      </c>
      <c r="C607" s="5" t="s">
        <v>411</v>
      </c>
      <c r="D607" s="1">
        <v>4615.67</v>
      </c>
      <c r="F607" s="1">
        <v>19995.96</v>
      </c>
      <c r="G607" s="1">
        <v>44.02</v>
      </c>
    </row>
    <row r="608" spans="1:7">
      <c r="A608" s="9" t="s">
        <v>1150</v>
      </c>
      <c r="B608" t="s">
        <v>786</v>
      </c>
      <c r="C608" s="5" t="s">
        <v>788</v>
      </c>
      <c r="D608" s="1">
        <v>2300</v>
      </c>
      <c r="F608" s="1">
        <v>113638.32</v>
      </c>
      <c r="G608" s="1">
        <v>905.375</v>
      </c>
    </row>
    <row r="609" spans="1:8">
      <c r="A609" s="9" t="s">
        <v>1150</v>
      </c>
      <c r="B609" t="s">
        <v>483</v>
      </c>
      <c r="C609" s="5" t="s">
        <v>485</v>
      </c>
      <c r="D609" s="1">
        <v>1954.67</v>
      </c>
      <c r="F609" s="1">
        <v>5077.67</v>
      </c>
      <c r="G609" s="1">
        <v>592.55999999999995</v>
      </c>
    </row>
    <row r="610" spans="1:8">
      <c r="A610" s="9" t="s">
        <v>1150</v>
      </c>
      <c r="B610" t="s">
        <v>442</v>
      </c>
      <c r="C610" s="5" t="s">
        <v>444</v>
      </c>
      <c r="D610" s="1">
        <v>683.03</v>
      </c>
      <c r="G610" s="1">
        <v>5588.38</v>
      </c>
    </row>
    <row r="611" spans="1:8">
      <c r="A611" s="9" t="s">
        <v>1150</v>
      </c>
      <c r="B611" t="s">
        <v>480</v>
      </c>
      <c r="C611" s="5" t="s">
        <v>482</v>
      </c>
      <c r="D611" s="1">
        <v>42380.959999999999</v>
      </c>
      <c r="E611" s="1">
        <v>10.84</v>
      </c>
      <c r="G611" s="1">
        <v>565.04999999999995</v>
      </c>
    </row>
    <row r="612" spans="1:8">
      <c r="A612" s="9" t="s">
        <v>1150</v>
      </c>
      <c r="B612" t="s">
        <v>588</v>
      </c>
      <c r="C612" s="5" t="s">
        <v>590</v>
      </c>
      <c r="D612" s="1">
        <v>1845.58</v>
      </c>
      <c r="G612" s="1">
        <v>548.84</v>
      </c>
    </row>
    <row r="613" spans="1:8">
      <c r="A613" s="9" t="s">
        <v>1150</v>
      </c>
      <c r="B613" t="s">
        <v>489</v>
      </c>
      <c r="C613" s="5" t="s">
        <v>491</v>
      </c>
      <c r="D613" s="1">
        <v>30485.040000000001</v>
      </c>
      <c r="G613" s="1">
        <v>177.89</v>
      </c>
    </row>
    <row r="614" spans="1:8">
      <c r="A614" s="9" t="s">
        <v>1150</v>
      </c>
      <c r="B614" t="s">
        <v>495</v>
      </c>
      <c r="C614" s="5" t="s">
        <v>497</v>
      </c>
      <c r="D614" s="1">
        <v>1728.71</v>
      </c>
      <c r="G614" s="1">
        <v>418.76</v>
      </c>
    </row>
    <row r="615" spans="1:8">
      <c r="A615" s="9" t="s">
        <v>1150</v>
      </c>
      <c r="B615" t="s">
        <v>474</v>
      </c>
      <c r="C615" s="5" t="s">
        <v>476</v>
      </c>
      <c r="D615" s="1">
        <v>3226.16</v>
      </c>
      <c r="G615" s="1">
        <v>361.2</v>
      </c>
    </row>
    <row r="616" spans="1:8">
      <c r="A616" s="9" t="s">
        <v>1150</v>
      </c>
      <c r="B616" t="s">
        <v>753</v>
      </c>
      <c r="C616" s="5" t="s">
        <v>755</v>
      </c>
      <c r="D616" s="1">
        <v>49819.91</v>
      </c>
      <c r="G616" s="1">
        <v>1191.8800000000001</v>
      </c>
    </row>
    <row r="617" spans="1:8">
      <c r="A617" s="9" t="s">
        <v>1150</v>
      </c>
      <c r="B617" t="s">
        <v>436</v>
      </c>
      <c r="C617" s="5" t="s">
        <v>438</v>
      </c>
      <c r="D617" s="1">
        <v>18233.509999999998</v>
      </c>
      <c r="G617" s="1">
        <v>586.86</v>
      </c>
    </row>
    <row r="618" spans="1:8">
      <c r="A618" s="9" t="s">
        <v>1150</v>
      </c>
      <c r="B618" t="s">
        <v>848</v>
      </c>
      <c r="C618" s="5" t="s">
        <v>850</v>
      </c>
      <c r="G618" s="1">
        <v>894.32500000000005</v>
      </c>
      <c r="H618" s="1">
        <v>629.14</v>
      </c>
    </row>
    <row r="619" spans="1:8">
      <c r="A619" s="9" t="s">
        <v>1150</v>
      </c>
      <c r="B619" t="s">
        <v>1247</v>
      </c>
      <c r="C619" s="5" t="s">
        <v>1249</v>
      </c>
      <c r="E619" s="1">
        <v>649.59</v>
      </c>
      <c r="G619" s="1">
        <v>91.064999999999998</v>
      </c>
      <c r="H619" s="1">
        <v>92.07</v>
      </c>
    </row>
    <row r="620" spans="1:8">
      <c r="A620" s="9" t="s">
        <v>1150</v>
      </c>
      <c r="B620" t="s">
        <v>513</v>
      </c>
      <c r="C620" s="5" t="s">
        <v>515</v>
      </c>
      <c r="D620" s="1">
        <v>10143.19</v>
      </c>
      <c r="F620" s="1">
        <v>29847.49</v>
      </c>
    </row>
    <row r="621" spans="1:8">
      <c r="A621" s="9" t="s">
        <v>1150</v>
      </c>
      <c r="B621" t="s">
        <v>528</v>
      </c>
      <c r="C621" s="5" t="s">
        <v>530</v>
      </c>
      <c r="D621" s="1">
        <v>22758.58</v>
      </c>
      <c r="F621" s="1">
        <v>31830.27</v>
      </c>
    </row>
    <row r="622" spans="1:8">
      <c r="A622" s="9" t="s">
        <v>1150</v>
      </c>
      <c r="B622" t="s">
        <v>222</v>
      </c>
      <c r="C622" s="5" t="s">
        <v>224</v>
      </c>
      <c r="D622" s="1">
        <v>494</v>
      </c>
    </row>
    <row r="623" spans="1:8">
      <c r="A623" s="9" t="s">
        <v>1150</v>
      </c>
      <c r="B623" t="s">
        <v>231</v>
      </c>
      <c r="C623" s="5" t="s">
        <v>233</v>
      </c>
      <c r="D623" s="1">
        <v>8635.08</v>
      </c>
      <c r="F623" s="1">
        <v>49687.5</v>
      </c>
    </row>
    <row r="624" spans="1:8">
      <c r="A624" s="9" t="s">
        <v>1150</v>
      </c>
      <c r="B624" t="s">
        <v>1250</v>
      </c>
      <c r="C624" s="5" t="s">
        <v>1252</v>
      </c>
      <c r="D624" s="1">
        <v>5365.69</v>
      </c>
      <c r="F624" s="1">
        <v>30000</v>
      </c>
    </row>
    <row r="625" spans="1:6">
      <c r="A625" s="9" t="s">
        <v>1150</v>
      </c>
      <c r="B625" t="s">
        <v>654</v>
      </c>
      <c r="C625" s="5" t="s">
        <v>656</v>
      </c>
      <c r="D625" s="1">
        <v>7564.75</v>
      </c>
      <c r="F625" s="1">
        <v>11120.69</v>
      </c>
    </row>
    <row r="626" spans="1:6">
      <c r="A626" s="9" t="s">
        <v>1150</v>
      </c>
      <c r="B626" t="s">
        <v>696</v>
      </c>
      <c r="C626" s="5" t="s">
        <v>698</v>
      </c>
      <c r="D626" s="1">
        <v>12435.24</v>
      </c>
      <c r="F626" s="1">
        <v>36099.699999999997</v>
      </c>
    </row>
    <row r="627" spans="1:6">
      <c r="A627" s="9" t="s">
        <v>1150</v>
      </c>
      <c r="B627" t="s">
        <v>729</v>
      </c>
      <c r="C627" s="5" t="s">
        <v>731</v>
      </c>
      <c r="D627" s="1">
        <v>3226.59</v>
      </c>
      <c r="F627" s="1">
        <v>11851.5</v>
      </c>
    </row>
    <row r="628" spans="1:6">
      <c r="A628" s="9" t="s">
        <v>1150</v>
      </c>
      <c r="B628" t="s">
        <v>90</v>
      </c>
      <c r="C628" s="5" t="s">
        <v>92</v>
      </c>
      <c r="D628" s="1">
        <v>308.24</v>
      </c>
    </row>
    <row r="629" spans="1:6">
      <c r="A629" s="9" t="s">
        <v>1150</v>
      </c>
      <c r="B629" t="s">
        <v>54</v>
      </c>
      <c r="C629" s="5" t="s">
        <v>56</v>
      </c>
      <c r="D629" s="1">
        <v>9380.3700000000008</v>
      </c>
      <c r="F629" s="1">
        <v>25289.66</v>
      </c>
    </row>
    <row r="630" spans="1:6">
      <c r="A630" s="9" t="s">
        <v>1150</v>
      </c>
      <c r="B630" t="s">
        <v>120</v>
      </c>
      <c r="C630" s="5" t="s">
        <v>122</v>
      </c>
      <c r="D630" s="1">
        <v>38865.46</v>
      </c>
      <c r="F630" s="1">
        <v>5701.58</v>
      </c>
    </row>
    <row r="631" spans="1:6">
      <c r="A631" s="9" t="s">
        <v>1150</v>
      </c>
      <c r="B631" t="s">
        <v>403</v>
      </c>
      <c r="C631" s="5" t="s">
        <v>405</v>
      </c>
      <c r="D631" s="1">
        <v>2856</v>
      </c>
      <c r="F631" s="1">
        <v>37873.57</v>
      </c>
    </row>
    <row r="632" spans="1:6">
      <c r="A632" s="9" t="s">
        <v>1150</v>
      </c>
      <c r="B632" t="s">
        <v>264</v>
      </c>
      <c r="C632" s="5" t="s">
        <v>266</v>
      </c>
      <c r="D632" s="1">
        <v>5867.24</v>
      </c>
      <c r="F632" s="1">
        <v>8103.62</v>
      </c>
    </row>
    <row r="633" spans="1:6">
      <c r="A633" s="9" t="s">
        <v>1150</v>
      </c>
      <c r="B633" t="s">
        <v>558</v>
      </c>
      <c r="C633" s="5" t="s">
        <v>560</v>
      </c>
      <c r="D633" s="1">
        <v>4957</v>
      </c>
      <c r="F633" s="1">
        <v>9608.33</v>
      </c>
    </row>
    <row r="634" spans="1:6">
      <c r="A634" s="9" t="s">
        <v>1150</v>
      </c>
      <c r="B634" t="s">
        <v>1253</v>
      </c>
      <c r="C634" s="5" t="s">
        <v>1255</v>
      </c>
      <c r="F634" s="1">
        <v>232.17</v>
      </c>
    </row>
    <row r="635" spans="1:6">
      <c r="A635" s="9" t="s">
        <v>1150</v>
      </c>
      <c r="B635" t="s">
        <v>1256</v>
      </c>
      <c r="C635" s="5" t="s">
        <v>1258</v>
      </c>
      <c r="F635" s="1">
        <v>454.59</v>
      </c>
    </row>
    <row r="636" spans="1:6">
      <c r="A636" s="9" t="s">
        <v>1150</v>
      </c>
      <c r="B636" t="s">
        <v>321</v>
      </c>
      <c r="C636" s="5" t="s">
        <v>323</v>
      </c>
      <c r="F636" s="1">
        <v>40666.6</v>
      </c>
    </row>
    <row r="637" spans="1:6">
      <c r="A637" s="9" t="s">
        <v>1150</v>
      </c>
      <c r="B637" t="s">
        <v>60</v>
      </c>
      <c r="C637" s="5" t="s">
        <v>62</v>
      </c>
      <c r="D637" s="1">
        <v>10135.030000000001</v>
      </c>
      <c r="F637" s="1">
        <v>668736.82999999996</v>
      </c>
    </row>
    <row r="638" spans="1:6">
      <c r="A638" s="9" t="s">
        <v>1150</v>
      </c>
      <c r="B638" t="s">
        <v>866</v>
      </c>
      <c r="C638" s="5" t="s">
        <v>868</v>
      </c>
      <c r="F638" s="1">
        <v>37628.04</v>
      </c>
    </row>
    <row r="639" spans="1:6">
      <c r="A639" s="9" t="s">
        <v>1150</v>
      </c>
      <c r="B639" t="s">
        <v>783</v>
      </c>
      <c r="C639" s="5" t="s">
        <v>785</v>
      </c>
      <c r="D639" s="1">
        <v>529</v>
      </c>
      <c r="F639" s="1">
        <v>24760.560000000001</v>
      </c>
    </row>
    <row r="640" spans="1:6">
      <c r="A640" s="9" t="s">
        <v>1150</v>
      </c>
      <c r="B640" t="s">
        <v>1259</v>
      </c>
      <c r="C640" s="5" t="s">
        <v>1261</v>
      </c>
      <c r="D640" s="1">
        <v>10651.27</v>
      </c>
    </row>
    <row r="641" spans="1:7">
      <c r="A641" s="9" t="s">
        <v>1150</v>
      </c>
      <c r="B641" t="s">
        <v>537</v>
      </c>
      <c r="C641" s="5" t="s">
        <v>539</v>
      </c>
      <c r="D641" s="1">
        <v>2270.16</v>
      </c>
      <c r="F641" s="1">
        <v>40959.24</v>
      </c>
    </row>
    <row r="642" spans="1:7">
      <c r="A642" s="9" t="s">
        <v>1150</v>
      </c>
      <c r="B642" t="s">
        <v>171</v>
      </c>
      <c r="C642" s="5" t="s">
        <v>173</v>
      </c>
      <c r="D642" s="1">
        <v>4926.42</v>
      </c>
      <c r="E642" s="1">
        <v>304.8</v>
      </c>
      <c r="F642" s="1">
        <v>16156.88</v>
      </c>
    </row>
    <row r="643" spans="1:7">
      <c r="A643" s="9" t="s">
        <v>1150</v>
      </c>
      <c r="B643" t="s">
        <v>379</v>
      </c>
      <c r="C643" s="5" t="s">
        <v>381</v>
      </c>
      <c r="D643" s="1">
        <v>2260</v>
      </c>
      <c r="F643" s="1">
        <v>5046.32</v>
      </c>
    </row>
    <row r="644" spans="1:7">
      <c r="A644" s="9" t="s">
        <v>1150</v>
      </c>
      <c r="B644" t="s">
        <v>609</v>
      </c>
      <c r="C644" s="5" t="s">
        <v>611</v>
      </c>
      <c r="D644" s="1">
        <v>2958.45</v>
      </c>
      <c r="F644" s="1">
        <v>6700.65</v>
      </c>
    </row>
    <row r="645" spans="1:7">
      <c r="A645" s="9" t="s">
        <v>1150</v>
      </c>
      <c r="B645" t="s">
        <v>1262</v>
      </c>
      <c r="C645" s="5" t="s">
        <v>1264</v>
      </c>
      <c r="F645" s="1">
        <v>1050.71</v>
      </c>
    </row>
    <row r="646" spans="1:7">
      <c r="A646" s="9" t="s">
        <v>1150</v>
      </c>
      <c r="B646" t="s">
        <v>1265</v>
      </c>
      <c r="C646" s="5" t="s">
        <v>1267</v>
      </c>
      <c r="E646" s="1">
        <v>132.36000000000001</v>
      </c>
    </row>
    <row r="647" spans="1:7">
      <c r="A647" s="9" t="s">
        <v>1150</v>
      </c>
      <c r="B647" t="s">
        <v>219</v>
      </c>
      <c r="C647" s="5" t="s">
        <v>221</v>
      </c>
      <c r="E647" s="1">
        <v>184.12</v>
      </c>
    </row>
    <row r="648" spans="1:7">
      <c r="A648" s="9" t="s">
        <v>1150</v>
      </c>
      <c r="B648" t="s">
        <v>591</v>
      </c>
      <c r="C648" s="5" t="s">
        <v>593</v>
      </c>
      <c r="E648" s="1">
        <v>98.02</v>
      </c>
      <c r="G648" s="1">
        <v>450.6</v>
      </c>
    </row>
    <row r="649" spans="1:7">
      <c r="A649" s="9" t="s">
        <v>1150</v>
      </c>
      <c r="B649" t="s">
        <v>156</v>
      </c>
      <c r="C649" s="5" t="s">
        <v>158</v>
      </c>
      <c r="D649" s="1">
        <v>3282.99</v>
      </c>
      <c r="E649" s="1">
        <v>1065.69</v>
      </c>
      <c r="F649" s="1">
        <v>48566.47</v>
      </c>
      <c r="G649" s="1">
        <v>60.2</v>
      </c>
    </row>
    <row r="650" spans="1:7">
      <c r="A650" s="9" t="s">
        <v>1150</v>
      </c>
      <c r="B650" t="s">
        <v>1268</v>
      </c>
      <c r="C650" s="5" t="s">
        <v>1270</v>
      </c>
      <c r="G650" s="1">
        <v>847.68</v>
      </c>
    </row>
    <row r="651" spans="1:7">
      <c r="A651" s="9" t="s">
        <v>1150</v>
      </c>
      <c r="B651" t="s">
        <v>1271</v>
      </c>
      <c r="C651" s="5" t="s">
        <v>1273</v>
      </c>
      <c r="G651" s="1">
        <v>240.96</v>
      </c>
    </row>
    <row r="652" spans="1:7">
      <c r="A652" s="9" t="s">
        <v>1150</v>
      </c>
      <c r="B652" t="s">
        <v>1274</v>
      </c>
      <c r="C652" s="5" t="s">
        <v>1276</v>
      </c>
      <c r="E652" s="1">
        <v>35740.07</v>
      </c>
      <c r="G652" s="1">
        <v>417.27</v>
      </c>
    </row>
    <row r="653" spans="1:7">
      <c r="A653" s="9" t="s">
        <v>1150</v>
      </c>
      <c r="B653" t="s">
        <v>618</v>
      </c>
      <c r="C653" s="5" t="s">
        <v>620</v>
      </c>
      <c r="D653" s="1">
        <v>31373.96</v>
      </c>
      <c r="G653" s="1">
        <v>2393.3200000000002</v>
      </c>
    </row>
    <row r="654" spans="1:7">
      <c r="A654" s="9" t="s">
        <v>1150</v>
      </c>
      <c r="B654" t="s">
        <v>675</v>
      </c>
      <c r="C654" s="5" t="s">
        <v>677</v>
      </c>
      <c r="D654" s="1">
        <v>22718.48</v>
      </c>
      <c r="G654" s="1">
        <v>409.4</v>
      </c>
    </row>
    <row r="655" spans="1:7">
      <c r="A655" s="9" t="s">
        <v>1150</v>
      </c>
      <c r="B655" t="s">
        <v>708</v>
      </c>
      <c r="C655" s="5" t="s">
        <v>710</v>
      </c>
      <c r="G655" s="1">
        <v>362.07499999999999</v>
      </c>
    </row>
    <row r="656" spans="1:7">
      <c r="A656" s="9" t="s">
        <v>1150</v>
      </c>
      <c r="B656" t="s">
        <v>358</v>
      </c>
      <c r="C656" s="5" t="s">
        <v>360</v>
      </c>
      <c r="D656" s="1">
        <v>12585.59</v>
      </c>
      <c r="G656" s="1">
        <v>1179.92</v>
      </c>
    </row>
    <row r="657" spans="1:8">
      <c r="A657" s="9" t="s">
        <v>1150</v>
      </c>
      <c r="B657" t="s">
        <v>735</v>
      </c>
      <c r="C657" s="5" t="s">
        <v>737</v>
      </c>
      <c r="G657" s="1">
        <v>488.12</v>
      </c>
    </row>
    <row r="658" spans="1:8">
      <c r="A658" s="9" t="s">
        <v>1150</v>
      </c>
      <c r="B658" t="s">
        <v>105</v>
      </c>
      <c r="C658" s="5" t="s">
        <v>107</v>
      </c>
      <c r="G658" s="1">
        <v>386.46</v>
      </c>
    </row>
    <row r="659" spans="1:8">
      <c r="A659" s="9" t="s">
        <v>1150</v>
      </c>
      <c r="B659" t="s">
        <v>1277</v>
      </c>
      <c r="C659" s="5" t="s">
        <v>1279</v>
      </c>
      <c r="G659" s="1">
        <v>5732.2049999999999</v>
      </c>
      <c r="H659" s="1">
        <v>4000.65</v>
      </c>
    </row>
    <row r="660" spans="1:8">
      <c r="A660" s="9" t="s">
        <v>1150</v>
      </c>
      <c r="B660" t="s">
        <v>391</v>
      </c>
      <c r="C660" s="5" t="s">
        <v>393</v>
      </c>
      <c r="D660" s="1">
        <v>3731.64</v>
      </c>
      <c r="F660" s="1">
        <v>4234.97</v>
      </c>
    </row>
    <row r="661" spans="1:8">
      <c r="A661" s="9" t="s">
        <v>1150</v>
      </c>
      <c r="B661" t="s">
        <v>1049</v>
      </c>
      <c r="C661" s="5" t="s">
        <v>1051</v>
      </c>
      <c r="D661" s="1">
        <v>90297.35</v>
      </c>
      <c r="E661" s="1">
        <v>84347.37</v>
      </c>
    </row>
    <row r="662" spans="1:8">
      <c r="A662" s="9" t="s">
        <v>1150</v>
      </c>
      <c r="B662" t="s">
        <v>180</v>
      </c>
      <c r="C662" s="5" t="s">
        <v>182</v>
      </c>
      <c r="D662" s="1">
        <v>5246.34</v>
      </c>
      <c r="F662" s="1">
        <v>8571.33</v>
      </c>
    </row>
    <row r="663" spans="1:8">
      <c r="A663" s="9" t="s">
        <v>1150</v>
      </c>
      <c r="B663" t="s">
        <v>1280</v>
      </c>
      <c r="C663" s="5" t="s">
        <v>1282</v>
      </c>
      <c r="D663" s="1">
        <v>400</v>
      </c>
    </row>
    <row r="664" spans="1:8">
      <c r="A664" s="9" t="s">
        <v>1150</v>
      </c>
      <c r="B664" t="s">
        <v>561</v>
      </c>
      <c r="C664" s="5" t="s">
        <v>563</v>
      </c>
      <c r="D664" s="1">
        <v>23</v>
      </c>
    </row>
    <row r="665" spans="1:8">
      <c r="A665" s="9" t="s">
        <v>1150</v>
      </c>
      <c r="B665" t="s">
        <v>771</v>
      </c>
      <c r="C665" s="5" t="s">
        <v>773</v>
      </c>
      <c r="D665" s="1">
        <v>2705.44</v>
      </c>
      <c r="F665" s="1">
        <v>5045.47</v>
      </c>
    </row>
    <row r="666" spans="1:8">
      <c r="A666" s="9" t="s">
        <v>1150</v>
      </c>
      <c r="B666" t="s">
        <v>765</v>
      </c>
      <c r="C666" s="5" t="s">
        <v>767</v>
      </c>
      <c r="D666" s="1">
        <v>1446.54</v>
      </c>
      <c r="F666" s="1">
        <v>6739.4</v>
      </c>
    </row>
    <row r="667" spans="1:8">
      <c r="A667" s="9" t="s">
        <v>1150</v>
      </c>
      <c r="B667" t="s">
        <v>687</v>
      </c>
      <c r="C667" s="5" t="s">
        <v>689</v>
      </c>
      <c r="D667" s="1">
        <v>7166.41</v>
      </c>
    </row>
    <row r="668" spans="1:8">
      <c r="A668" s="9" t="s">
        <v>1150</v>
      </c>
      <c r="B668" t="s">
        <v>341</v>
      </c>
      <c r="C668" s="5" t="s">
        <v>343</v>
      </c>
      <c r="D668" s="1">
        <v>5765.2</v>
      </c>
    </row>
    <row r="669" spans="1:8">
      <c r="A669" s="9" t="s">
        <v>1150</v>
      </c>
      <c r="B669" t="s">
        <v>648</v>
      </c>
      <c r="C669" s="5" t="s">
        <v>650</v>
      </c>
      <c r="D669" s="1">
        <v>3153.68</v>
      </c>
      <c r="F669" s="1">
        <v>41242.42</v>
      </c>
    </row>
    <row r="670" spans="1:8">
      <c r="A670" s="9" t="s">
        <v>1150</v>
      </c>
      <c r="B670" t="s">
        <v>87</v>
      </c>
      <c r="C670" s="5" t="s">
        <v>89</v>
      </c>
      <c r="D670" s="1">
        <v>3776.9</v>
      </c>
      <c r="E670" s="1">
        <v>1207.6199999999999</v>
      </c>
      <c r="F670" s="1">
        <v>29371.58</v>
      </c>
      <c r="G670" s="1">
        <v>1427.02</v>
      </c>
      <c r="H670" s="1">
        <v>298.39999999999998</v>
      </c>
    </row>
    <row r="671" spans="1:8">
      <c r="A671" s="9" t="s">
        <v>1150</v>
      </c>
      <c r="B671" t="s">
        <v>504</v>
      </c>
      <c r="C671" s="5" t="s">
        <v>506</v>
      </c>
      <c r="D671" s="1">
        <v>4939.28</v>
      </c>
      <c r="F671" s="1">
        <v>6381.14</v>
      </c>
    </row>
    <row r="672" spans="1:8">
      <c r="A672" s="9" t="s">
        <v>1150</v>
      </c>
      <c r="B672" t="s">
        <v>816</v>
      </c>
      <c r="C672" s="5" t="s">
        <v>818</v>
      </c>
      <c r="D672" s="1">
        <v>1839.63</v>
      </c>
    </row>
    <row r="673" spans="1:7">
      <c r="A673" s="9" t="s">
        <v>1150</v>
      </c>
      <c r="B673" t="s">
        <v>1283</v>
      </c>
      <c r="C673" s="5" t="s">
        <v>1285</v>
      </c>
      <c r="D673" s="1">
        <v>389</v>
      </c>
    </row>
    <row r="674" spans="1:7">
      <c r="A674" s="9" t="s">
        <v>1150</v>
      </c>
      <c r="B674" t="s">
        <v>57</v>
      </c>
      <c r="C674" s="5" t="s">
        <v>59</v>
      </c>
      <c r="D674" s="1">
        <v>2971.19</v>
      </c>
      <c r="F674" s="1">
        <v>8086.39</v>
      </c>
    </row>
    <row r="675" spans="1:7">
      <c r="A675" s="9" t="s">
        <v>1150</v>
      </c>
      <c r="B675" t="s">
        <v>1286</v>
      </c>
      <c r="C675" s="5" t="s">
        <v>1288</v>
      </c>
      <c r="F675" s="1">
        <v>2500</v>
      </c>
    </row>
    <row r="676" spans="1:7">
      <c r="A676" s="9" t="s">
        <v>1150</v>
      </c>
      <c r="B676" t="s">
        <v>69</v>
      </c>
      <c r="C676" s="5" t="s">
        <v>71</v>
      </c>
      <c r="D676" s="1">
        <v>37333.599999999999</v>
      </c>
      <c r="F676" s="1">
        <v>74384.31</v>
      </c>
    </row>
    <row r="677" spans="1:7">
      <c r="A677" s="9" t="s">
        <v>1150</v>
      </c>
      <c r="B677" t="s">
        <v>418</v>
      </c>
      <c r="C677" s="5" t="s">
        <v>420</v>
      </c>
      <c r="D677" s="1">
        <v>3893.1</v>
      </c>
      <c r="F677" s="1">
        <v>44151.25</v>
      </c>
    </row>
    <row r="678" spans="1:7">
      <c r="A678" s="9" t="s">
        <v>1150</v>
      </c>
      <c r="B678" t="s">
        <v>186</v>
      </c>
      <c r="C678" s="5" t="s">
        <v>188</v>
      </c>
      <c r="D678" s="1">
        <v>3119.38</v>
      </c>
      <c r="F678" s="1">
        <v>6455.96</v>
      </c>
    </row>
    <row r="679" spans="1:7">
      <c r="A679" s="9" t="s">
        <v>1150</v>
      </c>
      <c r="B679" t="s">
        <v>1289</v>
      </c>
      <c r="C679" s="5" t="s">
        <v>1291</v>
      </c>
      <c r="G679" s="1">
        <v>827.6</v>
      </c>
    </row>
    <row r="680" spans="1:7">
      <c r="A680" s="9" t="s">
        <v>1150</v>
      </c>
      <c r="B680" t="s">
        <v>1067</v>
      </c>
      <c r="C680" s="5" t="s">
        <v>1069</v>
      </c>
      <c r="G680" s="1">
        <v>1152.22</v>
      </c>
    </row>
    <row r="681" spans="1:7">
      <c r="A681" s="9" t="s">
        <v>1150</v>
      </c>
      <c r="B681" t="s">
        <v>75</v>
      </c>
      <c r="C681" s="5" t="s">
        <v>77</v>
      </c>
      <c r="D681" s="1">
        <v>86.78</v>
      </c>
    </row>
    <row r="682" spans="1:7">
      <c r="A682" s="9" t="s">
        <v>1150</v>
      </c>
      <c r="B682" t="s">
        <v>108</v>
      </c>
      <c r="C682" s="5" t="s">
        <v>110</v>
      </c>
      <c r="D682" s="1">
        <v>15213.2</v>
      </c>
      <c r="G682" s="1">
        <v>281.92</v>
      </c>
    </row>
    <row r="683" spans="1:7">
      <c r="A683" s="9" t="s">
        <v>1150</v>
      </c>
      <c r="B683" t="s">
        <v>300</v>
      </c>
      <c r="C683" s="5" t="s">
        <v>302</v>
      </c>
      <c r="D683" s="1">
        <v>63835.13</v>
      </c>
    </row>
    <row r="684" spans="1:7">
      <c r="A684" s="9" t="s">
        <v>1150</v>
      </c>
      <c r="B684" t="s">
        <v>350</v>
      </c>
      <c r="C684" s="5" t="s">
        <v>352</v>
      </c>
      <c r="D684" s="1">
        <v>8734.66</v>
      </c>
      <c r="E684" s="1">
        <v>266.61</v>
      </c>
      <c r="G684" s="1">
        <v>980.35</v>
      </c>
    </row>
    <row r="685" spans="1:7">
      <c r="A685" s="9" t="s">
        <v>1150</v>
      </c>
      <c r="B685" t="s">
        <v>66</v>
      </c>
      <c r="C685" s="5" t="s">
        <v>68</v>
      </c>
      <c r="D685" s="1">
        <v>2271.8000000000002</v>
      </c>
      <c r="G685" s="1">
        <v>1035.45</v>
      </c>
    </row>
    <row r="686" spans="1:7">
      <c r="A686" s="9" t="s">
        <v>1150</v>
      </c>
      <c r="B686" t="s">
        <v>312</v>
      </c>
      <c r="C686" s="5" t="s">
        <v>314</v>
      </c>
      <c r="D686" s="1">
        <v>1886.85</v>
      </c>
    </row>
    <row r="687" spans="1:7">
      <c r="A687" s="9" t="s">
        <v>1150</v>
      </c>
      <c r="B687" t="s">
        <v>1040</v>
      </c>
      <c r="C687" s="5" t="s">
        <v>1042</v>
      </c>
      <c r="D687" s="1">
        <v>2517</v>
      </c>
    </row>
    <row r="688" spans="1:7">
      <c r="A688" s="9" t="s">
        <v>1150</v>
      </c>
      <c r="B688" t="s">
        <v>324</v>
      </c>
      <c r="C688" s="5" t="s">
        <v>326</v>
      </c>
      <c r="D688" s="1">
        <v>8258</v>
      </c>
    </row>
    <row r="689" spans="1:8">
      <c r="A689" s="9" t="s">
        <v>1150</v>
      </c>
      <c r="B689" t="s">
        <v>702</v>
      </c>
      <c r="C689" s="5" t="s">
        <v>704</v>
      </c>
      <c r="D689" s="1">
        <v>10986.08</v>
      </c>
    </row>
    <row r="690" spans="1:8">
      <c r="A690" s="9" t="s">
        <v>1150</v>
      </c>
      <c r="B690" t="s">
        <v>1013</v>
      </c>
      <c r="C690" s="5" t="s">
        <v>1015</v>
      </c>
      <c r="F690" s="1">
        <v>29000</v>
      </c>
    </row>
    <row r="691" spans="1:8">
      <c r="A691" s="9" t="s">
        <v>1150</v>
      </c>
      <c r="B691" t="s">
        <v>516</v>
      </c>
      <c r="C691" s="5" t="s">
        <v>518</v>
      </c>
      <c r="D691" s="1">
        <v>5651.95</v>
      </c>
      <c r="F691" s="1">
        <v>93849.84</v>
      </c>
    </row>
    <row r="692" spans="1:8">
      <c r="A692" s="9" t="s">
        <v>1150</v>
      </c>
      <c r="B692" t="s">
        <v>810</v>
      </c>
      <c r="C692" s="5" t="s">
        <v>812</v>
      </c>
      <c r="D692" s="1">
        <v>18332.27</v>
      </c>
    </row>
    <row r="693" spans="1:8">
      <c r="A693" s="9" t="s">
        <v>1150</v>
      </c>
      <c r="B693" t="s">
        <v>1292</v>
      </c>
      <c r="C693" s="5" t="s">
        <v>1294</v>
      </c>
      <c r="D693" s="1">
        <v>1000</v>
      </c>
    </row>
    <row r="694" spans="1:8">
      <c r="A694" s="9" t="s">
        <v>1150</v>
      </c>
      <c r="B694" t="s">
        <v>1055</v>
      </c>
      <c r="C694" s="5" t="s">
        <v>1057</v>
      </c>
      <c r="F694" s="1">
        <v>680</v>
      </c>
    </row>
    <row r="695" spans="1:8">
      <c r="A695" s="9" t="s">
        <v>1150</v>
      </c>
      <c r="B695" t="s">
        <v>1295</v>
      </c>
      <c r="C695" s="5" t="s">
        <v>1297</v>
      </c>
      <c r="F695" s="1">
        <v>5721.76</v>
      </c>
    </row>
    <row r="696" spans="1:8">
      <c r="A696" s="9" t="s">
        <v>1150</v>
      </c>
      <c r="B696" t="s">
        <v>1298</v>
      </c>
      <c r="C696" s="5" t="s">
        <v>1300</v>
      </c>
      <c r="F696" s="1">
        <v>380</v>
      </c>
    </row>
    <row r="697" spans="1:8">
      <c r="A697" s="9" t="s">
        <v>1150</v>
      </c>
      <c r="B697" t="s">
        <v>454</v>
      </c>
      <c r="C697" s="5" t="s">
        <v>456</v>
      </c>
      <c r="D697" s="1">
        <v>83827.16</v>
      </c>
      <c r="F697" s="1">
        <v>479116.5</v>
      </c>
    </row>
    <row r="698" spans="1:8">
      <c r="A698" s="9" t="s">
        <v>1150</v>
      </c>
      <c r="B698" t="s">
        <v>923</v>
      </c>
      <c r="C698" s="5" t="s">
        <v>925</v>
      </c>
      <c r="F698" s="1">
        <v>-561.41999999999996</v>
      </c>
    </row>
    <row r="699" spans="1:8">
      <c r="A699" s="9" t="s">
        <v>1150</v>
      </c>
      <c r="B699" t="s">
        <v>756</v>
      </c>
      <c r="C699" s="5" t="s">
        <v>758</v>
      </c>
      <c r="E699" s="1">
        <v>3477.79</v>
      </c>
    </row>
    <row r="700" spans="1:8">
      <c r="A700" s="9" t="s">
        <v>1150</v>
      </c>
      <c r="B700" t="s">
        <v>1301</v>
      </c>
      <c r="C700" s="5" t="s">
        <v>1303</v>
      </c>
      <c r="E700" s="1">
        <v>887.52</v>
      </c>
    </row>
    <row r="701" spans="1:8">
      <c r="A701" s="9" t="s">
        <v>1150</v>
      </c>
      <c r="B701" t="s">
        <v>1304</v>
      </c>
      <c r="C701" s="5" t="s">
        <v>1306</v>
      </c>
      <c r="E701" s="1">
        <v>860</v>
      </c>
    </row>
    <row r="702" spans="1:8">
      <c r="A702" s="9" t="s">
        <v>1150</v>
      </c>
      <c r="B702" t="s">
        <v>1046</v>
      </c>
      <c r="C702" s="5" t="s">
        <v>1048</v>
      </c>
      <c r="E702" s="1">
        <v>1482.12</v>
      </c>
    </row>
    <row r="703" spans="1:8">
      <c r="A703" s="9" t="s">
        <v>1150</v>
      </c>
      <c r="B703" t="s">
        <v>1307</v>
      </c>
      <c r="C703" s="5" t="s">
        <v>1309</v>
      </c>
      <c r="G703" s="1">
        <v>397.85</v>
      </c>
      <c r="H703" s="1">
        <v>62.7</v>
      </c>
    </row>
    <row r="704" spans="1:8">
      <c r="A704" s="9" t="s">
        <v>1150</v>
      </c>
      <c r="B704" t="s">
        <v>872</v>
      </c>
      <c r="C704" s="5" t="s">
        <v>874</v>
      </c>
      <c r="G704" s="1">
        <v>139.38</v>
      </c>
    </row>
    <row r="705" spans="1:7">
      <c r="A705" s="9" t="s">
        <v>1150</v>
      </c>
      <c r="B705" t="s">
        <v>1019</v>
      </c>
      <c r="C705" s="5" t="s">
        <v>1021</v>
      </c>
      <c r="D705" s="1">
        <v>2546</v>
      </c>
      <c r="G705" s="1">
        <v>477.9</v>
      </c>
    </row>
    <row r="706" spans="1:7">
      <c r="A706" s="9" t="s">
        <v>1150</v>
      </c>
      <c r="B706" t="s">
        <v>99</v>
      </c>
      <c r="C706" s="5" t="s">
        <v>101</v>
      </c>
      <c r="D706" s="1">
        <v>8537.09</v>
      </c>
      <c r="F706" s="1">
        <v>28852.47</v>
      </c>
    </row>
    <row r="707" spans="1:7">
      <c r="A707" s="9" t="s">
        <v>1150</v>
      </c>
      <c r="B707" t="s">
        <v>917</v>
      </c>
      <c r="C707" s="5" t="s">
        <v>919</v>
      </c>
      <c r="D707" s="1">
        <v>6200</v>
      </c>
    </row>
    <row r="708" spans="1:7">
      <c r="A708" s="9" t="s">
        <v>1150</v>
      </c>
      <c r="B708" t="s">
        <v>642</v>
      </c>
      <c r="C708" s="5" t="s">
        <v>644</v>
      </c>
      <c r="D708" s="1">
        <v>-94.86</v>
      </c>
    </row>
    <row r="709" spans="1:7">
      <c r="A709" s="9" t="s">
        <v>1150</v>
      </c>
      <c r="B709" t="s">
        <v>1310</v>
      </c>
      <c r="C709" s="5" t="s">
        <v>1312</v>
      </c>
      <c r="F709" s="1">
        <v>555</v>
      </c>
    </row>
    <row r="710" spans="1:7">
      <c r="A710" s="9" t="s">
        <v>1150</v>
      </c>
      <c r="B710" t="s">
        <v>585</v>
      </c>
      <c r="C710" s="5" t="s">
        <v>587</v>
      </c>
      <c r="F710" s="1">
        <v>7102.11</v>
      </c>
    </row>
    <row r="711" spans="1:7">
      <c r="A711" s="9" t="s">
        <v>1150</v>
      </c>
      <c r="B711" t="s">
        <v>333</v>
      </c>
      <c r="C711" s="5" t="s">
        <v>335</v>
      </c>
      <c r="E711" s="1">
        <v>2262.1999999999998</v>
      </c>
    </row>
    <row r="712" spans="1:7">
      <c r="A712" s="9" t="s">
        <v>1150</v>
      </c>
      <c r="B712" t="s">
        <v>992</v>
      </c>
      <c r="C712" s="5" t="s">
        <v>994</v>
      </c>
      <c r="G712" s="1">
        <v>191.16</v>
      </c>
    </row>
    <row r="713" spans="1:7">
      <c r="A713" s="9" t="s">
        <v>1150</v>
      </c>
      <c r="B713" t="s">
        <v>153</v>
      </c>
      <c r="C713" s="5" t="s">
        <v>155</v>
      </c>
      <c r="G713" s="1">
        <v>2379.5700000000002</v>
      </c>
    </row>
    <row r="714" spans="1:7">
      <c r="A714" s="9" t="s">
        <v>1313</v>
      </c>
      <c r="B714" t="s">
        <v>1315</v>
      </c>
      <c r="C714" s="5" t="s">
        <v>1315</v>
      </c>
      <c r="D714" s="1">
        <v>21314.9</v>
      </c>
      <c r="E714" s="1">
        <v>1127.28</v>
      </c>
      <c r="G714" s="1">
        <v>48302.93</v>
      </c>
    </row>
    <row r="715" spans="1:7">
      <c r="A715" s="9" t="s">
        <v>1313</v>
      </c>
      <c r="B715" t="s">
        <v>1317</v>
      </c>
      <c r="C715" s="5" t="s">
        <v>1319</v>
      </c>
      <c r="D715" s="1">
        <v>9980</v>
      </c>
    </row>
    <row r="716" spans="1:7">
      <c r="A716" s="9" t="s">
        <v>1313</v>
      </c>
      <c r="B716" t="s">
        <v>1320</v>
      </c>
      <c r="C716" s="5" t="s">
        <v>1322</v>
      </c>
      <c r="D716" s="1">
        <v>1722.06</v>
      </c>
      <c r="F716" s="1">
        <v>244.68</v>
      </c>
    </row>
    <row r="717" spans="1:7">
      <c r="A717" s="9" t="s">
        <v>1313</v>
      </c>
      <c r="B717" t="s">
        <v>1323</v>
      </c>
      <c r="C717" s="5" t="s">
        <v>1325</v>
      </c>
      <c r="D717" s="1">
        <v>581.84</v>
      </c>
      <c r="F717" s="1">
        <v>295.42</v>
      </c>
    </row>
    <row r="718" spans="1:7">
      <c r="A718" s="9" t="s">
        <v>1313</v>
      </c>
      <c r="B718" t="s">
        <v>1326</v>
      </c>
      <c r="C718" s="5" t="s">
        <v>1328</v>
      </c>
      <c r="D718" s="1">
        <v>6552.96</v>
      </c>
      <c r="G718" s="1">
        <v>589.84</v>
      </c>
    </row>
    <row r="719" spans="1:7">
      <c r="A719" s="9" t="s">
        <v>1313</v>
      </c>
      <c r="B719" t="s">
        <v>1329</v>
      </c>
      <c r="C719" s="5" t="s">
        <v>1329</v>
      </c>
      <c r="G719" s="1">
        <v>16644.88</v>
      </c>
    </row>
    <row r="720" spans="1:7">
      <c r="A720" s="9" t="s">
        <v>1313</v>
      </c>
      <c r="B720" t="s">
        <v>457</v>
      </c>
      <c r="C720" s="5" t="s">
        <v>457</v>
      </c>
      <c r="D720" s="1">
        <v>2226.48</v>
      </c>
      <c r="E720" s="1">
        <v>130</v>
      </c>
      <c r="G720" s="1">
        <v>54315.61</v>
      </c>
    </row>
    <row r="721" spans="1:8">
      <c r="A721" s="9" t="s">
        <v>1313</v>
      </c>
      <c r="B721" t="s">
        <v>1331</v>
      </c>
      <c r="C721" s="5" t="s">
        <v>1333</v>
      </c>
      <c r="G721" s="1">
        <v>31.56</v>
      </c>
      <c r="H721" s="1">
        <v>39.33</v>
      </c>
    </row>
    <row r="722" spans="1:8">
      <c r="A722" s="9" t="s">
        <v>1313</v>
      </c>
      <c r="B722" t="s">
        <v>1277</v>
      </c>
      <c r="C722" s="5" t="s">
        <v>1279</v>
      </c>
      <c r="G722" s="1">
        <v>155.04</v>
      </c>
      <c r="H722" s="1">
        <v>140.63</v>
      </c>
    </row>
    <row r="723" spans="1:8">
      <c r="A723" s="9" t="s">
        <v>1313</v>
      </c>
      <c r="B723" t="s">
        <v>1334</v>
      </c>
      <c r="C723" s="5" t="s">
        <v>1336</v>
      </c>
      <c r="G723" s="1">
        <v>359.97</v>
      </c>
      <c r="H723" s="1">
        <v>101.43</v>
      </c>
    </row>
    <row r="724" spans="1:8">
      <c r="A724" s="9" t="s">
        <v>1313</v>
      </c>
      <c r="B724" t="s">
        <v>1337</v>
      </c>
      <c r="C724" s="5" t="s">
        <v>1339</v>
      </c>
      <c r="D724" s="1">
        <v>607.39</v>
      </c>
      <c r="E724" s="1">
        <v>1877.86</v>
      </c>
      <c r="F724" s="1">
        <v>9411.9500000000007</v>
      </c>
      <c r="G724" s="1">
        <v>10522.61</v>
      </c>
      <c r="H724" s="1">
        <v>46.15</v>
      </c>
    </row>
    <row r="725" spans="1:8">
      <c r="A725" s="9" t="s">
        <v>1313</v>
      </c>
      <c r="B725" t="s">
        <v>1340</v>
      </c>
      <c r="C725" s="5" t="s">
        <v>1342</v>
      </c>
      <c r="D725" s="1">
        <v>77077.08</v>
      </c>
      <c r="G725" s="1">
        <v>336.32</v>
      </c>
      <c r="H725" s="1">
        <v>14</v>
      </c>
    </row>
    <row r="726" spans="1:8">
      <c r="A726" s="9" t="s">
        <v>1313</v>
      </c>
      <c r="B726" t="s">
        <v>1343</v>
      </c>
      <c r="C726" s="5" t="s">
        <v>1345</v>
      </c>
      <c r="D726" s="1">
        <v>100</v>
      </c>
    </row>
    <row r="727" spans="1:8">
      <c r="A727" s="9" t="s">
        <v>1313</v>
      </c>
      <c r="B727" t="s">
        <v>344</v>
      </c>
      <c r="C727" s="5" t="s">
        <v>346</v>
      </c>
      <c r="D727" s="1">
        <v>300</v>
      </c>
    </row>
    <row r="728" spans="1:8">
      <c r="A728" s="9" t="s">
        <v>1313</v>
      </c>
      <c r="B728" t="s">
        <v>306</v>
      </c>
      <c r="C728" s="5" t="s">
        <v>308</v>
      </c>
      <c r="D728" s="1">
        <v>13.42</v>
      </c>
    </row>
    <row r="729" spans="1:8">
      <c r="A729" s="9" t="s">
        <v>1313</v>
      </c>
      <c r="B729" t="s">
        <v>1346</v>
      </c>
      <c r="C729" s="5" t="s">
        <v>1348</v>
      </c>
      <c r="D729" s="1">
        <v>339.54</v>
      </c>
    </row>
    <row r="730" spans="1:8">
      <c r="A730" s="9" t="s">
        <v>1313</v>
      </c>
      <c r="B730" t="s">
        <v>1349</v>
      </c>
      <c r="C730" s="5" t="s">
        <v>1351</v>
      </c>
      <c r="D730" s="1">
        <v>60.16</v>
      </c>
      <c r="F730" s="1">
        <v>32.82</v>
      </c>
    </row>
    <row r="731" spans="1:8">
      <c r="A731" s="9" t="s">
        <v>1313</v>
      </c>
      <c r="B731" t="s">
        <v>1352</v>
      </c>
      <c r="C731" s="5" t="s">
        <v>1354</v>
      </c>
      <c r="G731" s="1">
        <v>101.01</v>
      </c>
      <c r="H731" s="1">
        <v>25.5</v>
      </c>
    </row>
    <row r="732" spans="1:8">
      <c r="A732" s="9" t="s">
        <v>1313</v>
      </c>
      <c r="B732" t="s">
        <v>1355</v>
      </c>
      <c r="C732" s="5" t="s">
        <v>1355</v>
      </c>
      <c r="G732" s="1">
        <v>58311.834999999999</v>
      </c>
      <c r="H732" s="1">
        <v>3058.43</v>
      </c>
    </row>
    <row r="733" spans="1:8">
      <c r="A733" s="9" t="s">
        <v>1313</v>
      </c>
      <c r="B733" t="s">
        <v>336</v>
      </c>
      <c r="C733" s="5" t="s">
        <v>336</v>
      </c>
      <c r="D733" s="1">
        <v>1207.05</v>
      </c>
      <c r="G733" s="1">
        <v>50950.614999999998</v>
      </c>
    </row>
    <row r="734" spans="1:8">
      <c r="A734" s="9" t="s">
        <v>1313</v>
      </c>
      <c r="B734" t="s">
        <v>1357</v>
      </c>
      <c r="C734" s="5" t="s">
        <v>1357</v>
      </c>
      <c r="G734" s="1">
        <v>7424.72</v>
      </c>
    </row>
    <row r="735" spans="1:8">
      <c r="A735" s="9" t="s">
        <v>1313</v>
      </c>
      <c r="B735" t="s">
        <v>1359</v>
      </c>
      <c r="C735" s="5" t="s">
        <v>1359</v>
      </c>
      <c r="D735" s="1">
        <v>49194.05</v>
      </c>
      <c r="E735" s="1">
        <v>13.6</v>
      </c>
      <c r="G735" s="1">
        <v>123078.16</v>
      </c>
    </row>
    <row r="736" spans="1:8">
      <c r="A736" s="9" t="s">
        <v>1313</v>
      </c>
      <c r="B736" t="s">
        <v>353</v>
      </c>
      <c r="C736" s="5" t="s">
        <v>353</v>
      </c>
      <c r="D736" s="1">
        <v>33766.69</v>
      </c>
      <c r="G736" s="1">
        <v>273286.99</v>
      </c>
    </row>
    <row r="737" spans="1:8">
      <c r="A737" s="9" t="s">
        <v>1313</v>
      </c>
      <c r="B737" t="s">
        <v>81</v>
      </c>
      <c r="C737" s="5" t="s">
        <v>83</v>
      </c>
      <c r="D737" s="1">
        <v>1056.01</v>
      </c>
    </row>
    <row r="738" spans="1:8">
      <c r="A738" s="9" t="s">
        <v>1313</v>
      </c>
      <c r="B738" t="s">
        <v>1361</v>
      </c>
      <c r="C738" s="5" t="s">
        <v>1363</v>
      </c>
      <c r="D738" s="1">
        <v>6374.65</v>
      </c>
      <c r="E738" s="1">
        <v>1648.81</v>
      </c>
      <c r="F738" s="1">
        <v>-28560</v>
      </c>
      <c r="G738" s="1">
        <v>58926.78</v>
      </c>
      <c r="H738" s="1">
        <v>11.04</v>
      </c>
    </row>
    <row r="739" spans="1:8">
      <c r="A739" s="9" t="s">
        <v>1313</v>
      </c>
      <c r="B739" t="s">
        <v>1364</v>
      </c>
      <c r="C739" s="5" t="s">
        <v>1366</v>
      </c>
      <c r="D739" s="1">
        <v>2724.08</v>
      </c>
      <c r="F739" s="1">
        <v>1662.3</v>
      </c>
    </row>
    <row r="740" spans="1:8">
      <c r="A740" s="9" t="s">
        <v>1313</v>
      </c>
      <c r="B740" t="s">
        <v>555</v>
      </c>
      <c r="C740" s="5" t="s">
        <v>557</v>
      </c>
      <c r="D740" s="1">
        <v>28.38</v>
      </c>
    </row>
    <row r="741" spans="1:8">
      <c r="A741" s="9" t="s">
        <v>1313</v>
      </c>
      <c r="B741" t="s">
        <v>1367</v>
      </c>
      <c r="C741" s="5" t="s">
        <v>1367</v>
      </c>
      <c r="D741" s="1">
        <v>2151.59</v>
      </c>
    </row>
    <row r="742" spans="1:8">
      <c r="A742" s="9" t="s">
        <v>1313</v>
      </c>
      <c r="B742" t="s">
        <v>1369</v>
      </c>
      <c r="C742" s="5" t="s">
        <v>1371</v>
      </c>
      <c r="D742" s="1">
        <v>134.12</v>
      </c>
      <c r="F742" s="1">
        <v>1411.55</v>
      </c>
    </row>
    <row r="743" spans="1:8">
      <c r="A743" s="9" t="s">
        <v>1313</v>
      </c>
      <c r="B743" t="s">
        <v>1372</v>
      </c>
      <c r="C743" s="5" t="s">
        <v>1372</v>
      </c>
      <c r="D743" s="1">
        <v>2692.53</v>
      </c>
      <c r="G743" s="1">
        <v>1475425.12</v>
      </c>
      <c r="H743" s="1">
        <v>6173.56</v>
      </c>
    </row>
    <row r="744" spans="1:8">
      <c r="A744" s="9" t="s">
        <v>1313</v>
      </c>
      <c r="B744" t="s">
        <v>288</v>
      </c>
      <c r="C744" s="5" t="s">
        <v>290</v>
      </c>
      <c r="D744" s="1">
        <v>-44.78</v>
      </c>
    </row>
    <row r="745" spans="1:8">
      <c r="A745" s="9" t="s">
        <v>1313</v>
      </c>
      <c r="B745" t="s">
        <v>1374</v>
      </c>
      <c r="C745" s="5" t="s">
        <v>1374</v>
      </c>
      <c r="D745" s="1">
        <v>11410.12</v>
      </c>
    </row>
    <row r="746" spans="1:8">
      <c r="A746" s="9" t="s">
        <v>1313</v>
      </c>
      <c r="B746" t="s">
        <v>1376</v>
      </c>
      <c r="C746" s="5" t="s">
        <v>1376</v>
      </c>
      <c r="D746" s="1">
        <v>18846.05</v>
      </c>
    </row>
    <row r="747" spans="1:8">
      <c r="A747" s="9" t="s">
        <v>1313</v>
      </c>
      <c r="B747" t="s">
        <v>1378</v>
      </c>
      <c r="C747" s="5" t="s">
        <v>1380</v>
      </c>
      <c r="D747" s="1">
        <v>244</v>
      </c>
    </row>
    <row r="748" spans="1:8">
      <c r="A748" s="9" t="s">
        <v>1313</v>
      </c>
      <c r="B748" t="s">
        <v>1170</v>
      </c>
      <c r="C748" s="5" t="s">
        <v>1172</v>
      </c>
      <c r="D748" s="1">
        <v>1426.05</v>
      </c>
      <c r="F748" s="1">
        <v>97.82</v>
      </c>
    </row>
    <row r="749" spans="1:8">
      <c r="A749" s="9" t="s">
        <v>1313</v>
      </c>
      <c r="B749" t="s">
        <v>1381</v>
      </c>
      <c r="C749" s="5" t="s">
        <v>1383</v>
      </c>
      <c r="D749" s="1">
        <v>518.48</v>
      </c>
    </row>
    <row r="750" spans="1:8">
      <c r="A750" s="9" t="s">
        <v>1313</v>
      </c>
      <c r="B750" t="s">
        <v>1384</v>
      </c>
      <c r="C750" s="5" t="s">
        <v>1386</v>
      </c>
      <c r="D750" s="1">
        <v>599.20000000000005</v>
      </c>
      <c r="F750" s="1">
        <v>293.92</v>
      </c>
    </row>
    <row r="751" spans="1:8">
      <c r="A751" s="9" t="s">
        <v>1313</v>
      </c>
      <c r="B751" t="s">
        <v>669</v>
      </c>
      <c r="C751" s="5" t="s">
        <v>671</v>
      </c>
      <c r="D751" s="1">
        <v>221.49</v>
      </c>
    </row>
    <row r="752" spans="1:8">
      <c r="A752" s="9" t="s">
        <v>1313</v>
      </c>
      <c r="B752" t="s">
        <v>1226</v>
      </c>
      <c r="C752" s="5" t="s">
        <v>1228</v>
      </c>
      <c r="D752" s="1">
        <v>4278.72</v>
      </c>
    </row>
    <row r="753" spans="1:8">
      <c r="A753" s="9" t="s">
        <v>1313</v>
      </c>
      <c r="B753" t="s">
        <v>1387</v>
      </c>
      <c r="C753" s="5" t="s">
        <v>1387</v>
      </c>
      <c r="G753" s="1">
        <v>250558.27</v>
      </c>
    </row>
    <row r="754" spans="1:8">
      <c r="A754" s="9" t="s">
        <v>1313</v>
      </c>
      <c r="B754" t="s">
        <v>1389</v>
      </c>
      <c r="C754" s="5" t="s">
        <v>1391</v>
      </c>
      <c r="D754" s="1">
        <v>100</v>
      </c>
    </row>
    <row r="755" spans="1:8">
      <c r="A755" s="9" t="s">
        <v>1313</v>
      </c>
      <c r="B755" t="s">
        <v>1392</v>
      </c>
      <c r="C755" s="5" t="s">
        <v>1394</v>
      </c>
      <c r="G755" s="1">
        <v>221.19</v>
      </c>
    </row>
    <row r="756" spans="1:8">
      <c r="A756" s="9" t="s">
        <v>1313</v>
      </c>
      <c r="B756" t="s">
        <v>1395</v>
      </c>
      <c r="C756" s="5" t="s">
        <v>1395</v>
      </c>
      <c r="G756" s="1">
        <v>5374.95</v>
      </c>
    </row>
    <row r="757" spans="1:8">
      <c r="A757" s="9" t="s">
        <v>1313</v>
      </c>
      <c r="B757" t="s">
        <v>1397</v>
      </c>
      <c r="C757" s="5" t="s">
        <v>1397</v>
      </c>
      <c r="G757" s="1">
        <v>55451.01</v>
      </c>
    </row>
    <row r="758" spans="1:8">
      <c r="A758" s="9" t="s">
        <v>1399</v>
      </c>
      <c r="B758" t="s">
        <v>1401</v>
      </c>
      <c r="C758" s="5" t="s">
        <v>1403</v>
      </c>
      <c r="D758" s="1">
        <v>14734.72</v>
      </c>
    </row>
    <row r="759" spans="1:8">
      <c r="A759" s="9" t="s">
        <v>1399</v>
      </c>
      <c r="B759" t="s">
        <v>1244</v>
      </c>
      <c r="C759" s="5" t="s">
        <v>1246</v>
      </c>
      <c r="G759" s="1">
        <v>337.13</v>
      </c>
      <c r="H759" s="1">
        <v>227.23</v>
      </c>
    </row>
    <row r="760" spans="1:8">
      <c r="A760" s="9" t="s">
        <v>1399</v>
      </c>
      <c r="B760" t="s">
        <v>1129</v>
      </c>
      <c r="C760" s="5" t="s">
        <v>1131</v>
      </c>
      <c r="G760" s="1">
        <v>145.755</v>
      </c>
      <c r="H760" s="1">
        <v>424.84</v>
      </c>
    </row>
    <row r="761" spans="1:8">
      <c r="A761" s="9" t="s">
        <v>1399</v>
      </c>
      <c r="B761" t="s">
        <v>1126</v>
      </c>
      <c r="C761" s="5" t="s">
        <v>1128</v>
      </c>
      <c r="G761" s="1">
        <v>211.92</v>
      </c>
      <c r="H761" s="1">
        <v>372.84</v>
      </c>
    </row>
    <row r="762" spans="1:8">
      <c r="A762" s="9" t="s">
        <v>1399</v>
      </c>
      <c r="B762" t="s">
        <v>1404</v>
      </c>
      <c r="C762" s="5" t="s">
        <v>1406</v>
      </c>
      <c r="G762" s="1">
        <v>973.83</v>
      </c>
    </row>
    <row r="763" spans="1:8">
      <c r="A763" s="9" t="s">
        <v>1399</v>
      </c>
      <c r="B763" t="s">
        <v>1407</v>
      </c>
      <c r="C763" s="5" t="s">
        <v>1409</v>
      </c>
      <c r="G763" s="1">
        <v>454.4</v>
      </c>
    </row>
    <row r="764" spans="1:8">
      <c r="A764" s="9" t="s">
        <v>1399</v>
      </c>
      <c r="B764" t="s">
        <v>555</v>
      </c>
      <c r="C764" s="5" t="s">
        <v>557</v>
      </c>
      <c r="G764" s="1">
        <v>1247.635</v>
      </c>
      <c r="H764" s="1">
        <v>1321.69</v>
      </c>
    </row>
    <row r="765" spans="1:8">
      <c r="A765" s="9" t="s">
        <v>1399</v>
      </c>
      <c r="B765" t="s">
        <v>1099</v>
      </c>
      <c r="C765" s="5" t="s">
        <v>1101</v>
      </c>
      <c r="H765" s="1">
        <v>1344.74</v>
      </c>
    </row>
    <row r="766" spans="1:8">
      <c r="A766" s="9" t="s">
        <v>1399</v>
      </c>
      <c r="B766" t="s">
        <v>1410</v>
      </c>
      <c r="C766" s="5" t="s">
        <v>1412</v>
      </c>
      <c r="D766" s="1">
        <v>9413.7999999999993</v>
      </c>
    </row>
    <row r="767" spans="1:8">
      <c r="A767" s="9" t="s">
        <v>1399</v>
      </c>
      <c r="B767" t="s">
        <v>1413</v>
      </c>
      <c r="C767" s="5" t="s">
        <v>1415</v>
      </c>
      <c r="D767" s="1">
        <v>2500</v>
      </c>
    </row>
    <row r="768" spans="1:8">
      <c r="A768" s="9" t="s">
        <v>1399</v>
      </c>
      <c r="B768" t="s">
        <v>1416</v>
      </c>
      <c r="C768" s="5" t="s">
        <v>1418</v>
      </c>
      <c r="G768" s="1">
        <v>239.84</v>
      </c>
    </row>
    <row r="769" spans="1:8">
      <c r="A769" s="9" t="s">
        <v>1399</v>
      </c>
      <c r="B769" t="s">
        <v>1419</v>
      </c>
      <c r="C769" s="5" t="s">
        <v>1421</v>
      </c>
      <c r="D769" s="1">
        <v>18</v>
      </c>
      <c r="G769" s="1">
        <v>933.86</v>
      </c>
    </row>
    <row r="770" spans="1:8">
      <c r="A770" s="9" t="s">
        <v>1399</v>
      </c>
      <c r="B770" t="s">
        <v>1422</v>
      </c>
      <c r="C770" s="5" t="s">
        <v>1424</v>
      </c>
      <c r="G770" s="1">
        <v>71</v>
      </c>
    </row>
    <row r="771" spans="1:8">
      <c r="A771" s="9" t="s">
        <v>1399</v>
      </c>
      <c r="B771" t="s">
        <v>723</v>
      </c>
      <c r="C771" s="5" t="s">
        <v>725</v>
      </c>
      <c r="G771" s="1">
        <v>2318.5749999999998</v>
      </c>
      <c r="H771" s="1">
        <v>2702.43</v>
      </c>
    </row>
    <row r="772" spans="1:8">
      <c r="A772" s="9" t="s">
        <v>1399</v>
      </c>
      <c r="B772" t="s">
        <v>1425</v>
      </c>
      <c r="C772" s="5" t="s">
        <v>1427</v>
      </c>
      <c r="D772" s="1">
        <v>290</v>
      </c>
      <c r="G772" s="1">
        <v>1482.37</v>
      </c>
    </row>
    <row r="773" spans="1:8">
      <c r="A773" s="9" t="s">
        <v>1399</v>
      </c>
      <c r="B773" t="s">
        <v>543</v>
      </c>
      <c r="C773" s="5" t="s">
        <v>545</v>
      </c>
      <c r="G773" s="1">
        <v>423.84</v>
      </c>
    </row>
    <row r="774" spans="1:8">
      <c r="A774" s="9" t="s">
        <v>1399</v>
      </c>
      <c r="B774" t="s">
        <v>1428</v>
      </c>
      <c r="C774" s="5" t="s">
        <v>1430</v>
      </c>
      <c r="G774" s="1">
        <v>573.6</v>
      </c>
      <c r="H774" s="1">
        <v>178.56</v>
      </c>
    </row>
    <row r="775" spans="1:8">
      <c r="A775" s="9" t="s">
        <v>1399</v>
      </c>
      <c r="B775" t="s">
        <v>1123</v>
      </c>
      <c r="C775" s="5" t="s">
        <v>1125</v>
      </c>
      <c r="G775" s="1">
        <v>520.02</v>
      </c>
      <c r="H775" s="1">
        <v>1404.44</v>
      </c>
    </row>
    <row r="776" spans="1:8">
      <c r="A776" s="9" t="s">
        <v>1399</v>
      </c>
      <c r="B776" t="s">
        <v>1102</v>
      </c>
      <c r="C776" s="5" t="s">
        <v>1104</v>
      </c>
      <c r="G776" s="1">
        <v>211.13</v>
      </c>
      <c r="H776" s="1">
        <v>532.79999999999995</v>
      </c>
    </row>
    <row r="777" spans="1:8">
      <c r="A777" s="9" t="s">
        <v>1399</v>
      </c>
      <c r="B777" t="s">
        <v>681</v>
      </c>
      <c r="C777" s="5" t="s">
        <v>683</v>
      </c>
      <c r="G777" s="1">
        <v>1551.7049999999999</v>
      </c>
    </row>
    <row r="778" spans="1:8">
      <c r="A778" s="9" t="s">
        <v>1399</v>
      </c>
      <c r="B778" t="s">
        <v>1431</v>
      </c>
      <c r="C778" s="5" t="s">
        <v>1433</v>
      </c>
      <c r="G778" s="1">
        <v>627.20000000000005</v>
      </c>
    </row>
    <row r="779" spans="1:8">
      <c r="A779" s="9" t="s">
        <v>1399</v>
      </c>
      <c r="B779" t="s">
        <v>288</v>
      </c>
      <c r="C779" s="5" t="s">
        <v>290</v>
      </c>
      <c r="G779" s="1">
        <v>469.82</v>
      </c>
      <c r="H779" s="1">
        <v>2339.73</v>
      </c>
    </row>
    <row r="780" spans="1:8">
      <c r="A780" s="9" t="s">
        <v>1399</v>
      </c>
      <c r="B780" t="s">
        <v>1434</v>
      </c>
      <c r="C780" s="5" t="s">
        <v>1436</v>
      </c>
      <c r="D780" s="1">
        <v>6367.45</v>
      </c>
    </row>
    <row r="781" spans="1:8">
      <c r="A781" s="9" t="s">
        <v>1399</v>
      </c>
      <c r="B781" t="s">
        <v>1437</v>
      </c>
      <c r="C781" s="5" t="s">
        <v>1439</v>
      </c>
      <c r="D781" s="1">
        <v>7280</v>
      </c>
    </row>
    <row r="782" spans="1:8">
      <c r="A782" s="9" t="s">
        <v>1399</v>
      </c>
      <c r="B782" t="s">
        <v>1440</v>
      </c>
      <c r="C782" s="5" t="s">
        <v>1442</v>
      </c>
      <c r="D782" s="1">
        <v>16640</v>
      </c>
    </row>
    <row r="783" spans="1:8">
      <c r="A783" s="9" t="s">
        <v>1399</v>
      </c>
      <c r="B783" t="s">
        <v>1443</v>
      </c>
      <c r="C783" s="5" t="s">
        <v>1445</v>
      </c>
      <c r="D783" s="1">
        <v>95992</v>
      </c>
      <c r="G783" s="1">
        <v>74.959999999999994</v>
      </c>
    </row>
    <row r="784" spans="1:8">
      <c r="A784" s="9" t="s">
        <v>1399</v>
      </c>
      <c r="B784" t="s">
        <v>72</v>
      </c>
      <c r="C784" s="5" t="s">
        <v>74</v>
      </c>
      <c r="G784" s="1">
        <v>60.95</v>
      </c>
    </row>
    <row r="785" spans="1:8">
      <c r="A785" s="9" t="s">
        <v>1399</v>
      </c>
      <c r="B785" t="s">
        <v>1446</v>
      </c>
      <c r="C785" s="5" t="s">
        <v>1448</v>
      </c>
      <c r="G785" s="1">
        <v>425.97</v>
      </c>
      <c r="H785" s="1">
        <v>35.75</v>
      </c>
    </row>
    <row r="786" spans="1:8">
      <c r="A786" s="9" t="s">
        <v>1399</v>
      </c>
      <c r="B786" t="s">
        <v>1449</v>
      </c>
      <c r="C786" s="5" t="s">
        <v>1451</v>
      </c>
      <c r="G786" s="1">
        <v>2196.1799999999998</v>
      </c>
    </row>
    <row r="787" spans="1:8">
      <c r="A787" s="9" t="s">
        <v>1399</v>
      </c>
      <c r="B787" t="s">
        <v>1452</v>
      </c>
      <c r="C787" s="5" t="s">
        <v>1454</v>
      </c>
      <c r="G787" s="1">
        <v>1347.44</v>
      </c>
    </row>
    <row r="788" spans="1:8">
      <c r="A788" s="9" t="s">
        <v>1399</v>
      </c>
      <c r="B788" t="s">
        <v>1455</v>
      </c>
      <c r="C788" s="5" t="s">
        <v>1457</v>
      </c>
      <c r="G788" s="1">
        <v>290.27999999999997</v>
      </c>
    </row>
    <row r="789" spans="1:8">
      <c r="A789" s="9" t="s">
        <v>1399</v>
      </c>
      <c r="B789" t="s">
        <v>1334</v>
      </c>
      <c r="C789" s="5" t="s">
        <v>1336</v>
      </c>
      <c r="G789" s="1">
        <v>30.21</v>
      </c>
    </row>
    <row r="790" spans="1:8">
      <c r="A790" s="9" t="s">
        <v>1399</v>
      </c>
      <c r="B790" t="s">
        <v>1108</v>
      </c>
      <c r="C790" s="5" t="s">
        <v>1110</v>
      </c>
      <c r="G790" s="1">
        <v>1823.79</v>
      </c>
      <c r="H790" s="1">
        <v>1501.49</v>
      </c>
    </row>
    <row r="791" spans="1:8">
      <c r="A791" s="9" t="s">
        <v>1399</v>
      </c>
      <c r="B791" t="s">
        <v>1458</v>
      </c>
      <c r="C791" s="5" t="s">
        <v>1460</v>
      </c>
      <c r="G791" s="1">
        <v>694.24</v>
      </c>
    </row>
    <row r="792" spans="1:8">
      <c r="A792" s="9" t="s">
        <v>1399</v>
      </c>
      <c r="B792" t="s">
        <v>1461</v>
      </c>
      <c r="C792" s="5" t="s">
        <v>1463</v>
      </c>
      <c r="G792" s="1">
        <v>119.92</v>
      </c>
    </row>
    <row r="793" spans="1:8">
      <c r="A793" s="9" t="s">
        <v>1399</v>
      </c>
      <c r="B793" t="s">
        <v>1464</v>
      </c>
      <c r="C793" s="5" t="s">
        <v>1466</v>
      </c>
      <c r="D793" s="1">
        <v>0</v>
      </c>
    </row>
    <row r="794" spans="1:8">
      <c r="A794" s="9" t="s">
        <v>1399</v>
      </c>
      <c r="B794" t="s">
        <v>186</v>
      </c>
      <c r="C794" s="5" t="s">
        <v>188</v>
      </c>
      <c r="G794" s="1">
        <v>772.8</v>
      </c>
    </row>
    <row r="795" spans="1:8">
      <c r="A795" s="9" t="s">
        <v>1399</v>
      </c>
      <c r="B795" t="s">
        <v>1307</v>
      </c>
      <c r="C795" s="5" t="s">
        <v>1309</v>
      </c>
      <c r="G795" s="1">
        <v>6.85</v>
      </c>
    </row>
    <row r="796" spans="1:8">
      <c r="A796" s="9" t="s">
        <v>1399</v>
      </c>
      <c r="B796" t="s">
        <v>1467</v>
      </c>
      <c r="C796" s="5" t="s">
        <v>1469</v>
      </c>
      <c r="D796" s="1">
        <v>2643.9</v>
      </c>
    </row>
    <row r="797" spans="1:8">
      <c r="A797" s="9" t="s">
        <v>1399</v>
      </c>
      <c r="B797" t="s">
        <v>1470</v>
      </c>
      <c r="C797" s="5" t="s">
        <v>1472</v>
      </c>
      <c r="D797" s="1">
        <v>220</v>
      </c>
    </row>
    <row r="798" spans="1:8">
      <c r="A798" s="9" t="s">
        <v>1399</v>
      </c>
      <c r="B798" t="s">
        <v>630</v>
      </c>
      <c r="C798" s="5" t="s">
        <v>632</v>
      </c>
      <c r="G798" s="1">
        <v>216.72</v>
      </c>
    </row>
    <row r="799" spans="1:8">
      <c r="A799" s="9" t="s">
        <v>1399</v>
      </c>
      <c r="B799" t="s">
        <v>1326</v>
      </c>
      <c r="C799" s="5" t="s">
        <v>1328</v>
      </c>
      <c r="G799" s="1">
        <v>80.56</v>
      </c>
    </row>
    <row r="800" spans="1:8">
      <c r="A800" s="9" t="s">
        <v>1399</v>
      </c>
      <c r="B800" t="s">
        <v>373</v>
      </c>
      <c r="C800" s="5" t="s">
        <v>375</v>
      </c>
      <c r="G800" s="1">
        <v>552</v>
      </c>
    </row>
    <row r="801" spans="1:8">
      <c r="A801" s="9" t="s">
        <v>1399</v>
      </c>
      <c r="B801" t="s">
        <v>1392</v>
      </c>
      <c r="C801" s="5" t="s">
        <v>1394</v>
      </c>
      <c r="G801" s="1">
        <v>30.21</v>
      </c>
    </row>
    <row r="802" spans="1:8">
      <c r="A802" s="9" t="s">
        <v>1399</v>
      </c>
      <c r="B802" t="s">
        <v>1105</v>
      </c>
      <c r="C802" s="5" t="s">
        <v>1107</v>
      </c>
      <c r="G802" s="1">
        <v>1361.01</v>
      </c>
      <c r="H802" s="1">
        <v>1719.82</v>
      </c>
    </row>
    <row r="803" spans="1:8">
      <c r="A803" s="9" t="s">
        <v>1399</v>
      </c>
      <c r="B803" t="s">
        <v>546</v>
      </c>
      <c r="C803" s="5" t="s">
        <v>548</v>
      </c>
      <c r="G803" s="1">
        <v>240.8</v>
      </c>
    </row>
    <row r="804" spans="1:8">
      <c r="A804" s="9" t="s">
        <v>1473</v>
      </c>
      <c r="B804" t="s">
        <v>1475</v>
      </c>
      <c r="C804" s="5" t="s">
        <v>1477</v>
      </c>
      <c r="D804" s="1">
        <v>5632.08</v>
      </c>
    </row>
    <row r="805" spans="1:8">
      <c r="A805" s="9" t="s">
        <v>1473</v>
      </c>
      <c r="B805" t="s">
        <v>1478</v>
      </c>
      <c r="C805" s="5" t="s">
        <v>1480</v>
      </c>
      <c r="D805" s="1">
        <v>11940</v>
      </c>
    </row>
    <row r="806" spans="1:8">
      <c r="A806" s="9" t="s">
        <v>1473</v>
      </c>
      <c r="B806" t="s">
        <v>1481</v>
      </c>
      <c r="C806" s="5" t="s">
        <v>1483</v>
      </c>
      <c r="D806" s="1">
        <v>8583.7000000000007</v>
      </c>
      <c r="G806" s="1">
        <v>467.005</v>
      </c>
    </row>
    <row r="807" spans="1:8">
      <c r="A807" s="9" t="s">
        <v>1473</v>
      </c>
      <c r="B807" t="s">
        <v>1484</v>
      </c>
      <c r="C807" s="5" t="s">
        <v>1486</v>
      </c>
      <c r="D807" s="1">
        <v>19735</v>
      </c>
      <c r="G807" s="1">
        <v>671.66</v>
      </c>
    </row>
    <row r="808" spans="1:8">
      <c r="A808" s="9" t="s">
        <v>1473</v>
      </c>
      <c r="B808" t="s">
        <v>1487</v>
      </c>
      <c r="C808" s="5" t="s">
        <v>1489</v>
      </c>
      <c r="D808" s="1">
        <v>2600</v>
      </c>
    </row>
    <row r="809" spans="1:8">
      <c r="A809" s="9" t="s">
        <v>1473</v>
      </c>
      <c r="B809" t="s">
        <v>1443</v>
      </c>
      <c r="C809" s="5" t="s">
        <v>1445</v>
      </c>
      <c r="D809" s="1">
        <v>7670</v>
      </c>
      <c r="G809" s="1">
        <v>1911.2</v>
      </c>
    </row>
    <row r="810" spans="1:8">
      <c r="A810" s="9" t="s">
        <v>1473</v>
      </c>
      <c r="B810" t="s">
        <v>1434</v>
      </c>
      <c r="C810" s="5" t="s">
        <v>1436</v>
      </c>
      <c r="D810" s="1">
        <v>6876.97</v>
      </c>
    </row>
    <row r="811" spans="1:8">
      <c r="A811" s="9" t="s">
        <v>1473</v>
      </c>
      <c r="B811" t="s">
        <v>1428</v>
      </c>
      <c r="C811" s="5" t="s">
        <v>1430</v>
      </c>
      <c r="D811" s="1">
        <v>1388</v>
      </c>
      <c r="G811" s="1">
        <v>1931.67</v>
      </c>
    </row>
    <row r="812" spans="1:8">
      <c r="A812" s="9" t="s">
        <v>1473</v>
      </c>
      <c r="B812" t="s">
        <v>1490</v>
      </c>
      <c r="C812" s="5" t="s">
        <v>1492</v>
      </c>
      <c r="D812" s="1">
        <v>0</v>
      </c>
    </row>
    <row r="813" spans="1:8">
      <c r="A813" s="9" t="s">
        <v>1473</v>
      </c>
      <c r="B813" t="s">
        <v>1493</v>
      </c>
      <c r="C813" s="5" t="s">
        <v>1495</v>
      </c>
      <c r="D813" s="1">
        <v>50</v>
      </c>
      <c r="G813" s="1">
        <v>1490.925</v>
      </c>
      <c r="H813" s="1">
        <v>236.53</v>
      </c>
    </row>
    <row r="814" spans="1:8">
      <c r="A814" s="9" t="s">
        <v>1473</v>
      </c>
      <c r="B814" t="s">
        <v>1425</v>
      </c>
      <c r="C814" s="5" t="s">
        <v>1427</v>
      </c>
      <c r="D814" s="1">
        <v>517</v>
      </c>
      <c r="G814" s="1">
        <v>2478.59</v>
      </c>
    </row>
    <row r="815" spans="1:8">
      <c r="A815" s="9" t="s">
        <v>1473</v>
      </c>
      <c r="B815" t="s">
        <v>1496</v>
      </c>
      <c r="C815" s="5" t="s">
        <v>1498</v>
      </c>
      <c r="D815" s="1">
        <v>7622.89</v>
      </c>
    </row>
    <row r="816" spans="1:8">
      <c r="A816" s="9" t="s">
        <v>1473</v>
      </c>
      <c r="B816" t="s">
        <v>192</v>
      </c>
      <c r="C816" s="5" t="s">
        <v>194</v>
      </c>
      <c r="G816" s="1">
        <v>211.76</v>
      </c>
    </row>
    <row r="817" spans="1:7">
      <c r="A817" s="9" t="s">
        <v>1473</v>
      </c>
      <c r="B817" t="s">
        <v>1499</v>
      </c>
      <c r="C817" s="5" t="s">
        <v>1501</v>
      </c>
      <c r="D817" s="1">
        <v>13674.63</v>
      </c>
      <c r="G817" s="1">
        <v>807.875</v>
      </c>
    </row>
    <row r="818" spans="1:7">
      <c r="A818" s="9" t="s">
        <v>1473</v>
      </c>
      <c r="B818" t="s">
        <v>412</v>
      </c>
      <c r="C818" s="5" t="s">
        <v>414</v>
      </c>
      <c r="G818" s="1">
        <v>78.180000000000007</v>
      </c>
    </row>
    <row r="819" spans="1:7">
      <c r="A819" s="9" t="s">
        <v>1473</v>
      </c>
      <c r="B819" t="s">
        <v>1470</v>
      </c>
      <c r="C819" s="5" t="s">
        <v>1472</v>
      </c>
      <c r="D819" s="1">
        <v>15000</v>
      </c>
      <c r="G819" s="1">
        <v>1127.095</v>
      </c>
    </row>
    <row r="820" spans="1:7">
      <c r="A820" s="9" t="s">
        <v>1473</v>
      </c>
      <c r="B820" t="s">
        <v>1449</v>
      </c>
      <c r="C820" s="5" t="s">
        <v>1451</v>
      </c>
      <c r="D820" s="1">
        <v>800</v>
      </c>
      <c r="G820" s="1">
        <v>2117.5700000000002</v>
      </c>
    </row>
    <row r="821" spans="1:7">
      <c r="A821" s="9" t="s">
        <v>1473</v>
      </c>
      <c r="B821" t="s">
        <v>1502</v>
      </c>
      <c r="C821" s="5" t="s">
        <v>1504</v>
      </c>
      <c r="D821" s="1">
        <v>7589.77</v>
      </c>
      <c r="G821" s="1">
        <v>797.78</v>
      </c>
    </row>
    <row r="822" spans="1:7">
      <c r="A822" s="9" t="s">
        <v>1473</v>
      </c>
      <c r="B822" t="s">
        <v>1505</v>
      </c>
      <c r="C822" s="5" t="s">
        <v>1507</v>
      </c>
      <c r="D822" s="1">
        <v>13622.5</v>
      </c>
      <c r="G822" s="1">
        <v>682.245</v>
      </c>
    </row>
    <row r="823" spans="1:7">
      <c r="A823" s="9" t="s">
        <v>1473</v>
      </c>
      <c r="B823" t="s">
        <v>1508</v>
      </c>
      <c r="C823" s="5" t="s">
        <v>1510</v>
      </c>
      <c r="D823" s="1">
        <v>9342.4</v>
      </c>
      <c r="G823" s="1">
        <v>240.23</v>
      </c>
    </row>
    <row r="824" spans="1:7">
      <c r="A824" s="9" t="s">
        <v>1473</v>
      </c>
      <c r="B824" t="s">
        <v>1511</v>
      </c>
      <c r="C824" s="5" t="s">
        <v>1513</v>
      </c>
      <c r="D824" s="1">
        <v>800</v>
      </c>
    </row>
    <row r="825" spans="1:7">
      <c r="A825" s="9" t="s">
        <v>1473</v>
      </c>
      <c r="B825" t="s">
        <v>114</v>
      </c>
      <c r="C825" s="5" t="s">
        <v>116</v>
      </c>
      <c r="D825" s="1">
        <v>16800</v>
      </c>
    </row>
    <row r="826" spans="1:7">
      <c r="A826" s="9" t="s">
        <v>1473</v>
      </c>
      <c r="B826" t="s">
        <v>1514</v>
      </c>
      <c r="C826" s="5" t="s">
        <v>1516</v>
      </c>
      <c r="D826" s="1">
        <v>500</v>
      </c>
    </row>
    <row r="827" spans="1:7">
      <c r="A827" s="9" t="s">
        <v>1473</v>
      </c>
      <c r="B827" t="s">
        <v>1517</v>
      </c>
      <c r="C827" s="5" t="s">
        <v>1519</v>
      </c>
      <c r="D827" s="1">
        <v>760</v>
      </c>
      <c r="G827" s="1">
        <v>1008.475</v>
      </c>
    </row>
    <row r="828" spans="1:7">
      <c r="A828" s="9" t="s">
        <v>1473</v>
      </c>
      <c r="B828" t="s">
        <v>1520</v>
      </c>
      <c r="C828" s="5" t="s">
        <v>1522</v>
      </c>
      <c r="D828" s="1">
        <v>45276.9</v>
      </c>
      <c r="G828" s="1">
        <v>769.36500000000001</v>
      </c>
    </row>
    <row r="829" spans="1:7">
      <c r="A829" s="9" t="s">
        <v>1473</v>
      </c>
      <c r="B829" t="s">
        <v>1523</v>
      </c>
      <c r="C829" s="5" t="s">
        <v>1525</v>
      </c>
      <c r="D829" s="1">
        <v>3424.5</v>
      </c>
    </row>
    <row r="830" spans="1:7">
      <c r="A830" s="9" t="s">
        <v>1473</v>
      </c>
      <c r="B830" t="s">
        <v>1111</v>
      </c>
      <c r="C830" s="5" t="s">
        <v>1113</v>
      </c>
      <c r="D830" s="1">
        <v>24000</v>
      </c>
    </row>
    <row r="831" spans="1:7">
      <c r="A831" s="9" t="s">
        <v>1473</v>
      </c>
      <c r="B831" t="s">
        <v>1437</v>
      </c>
      <c r="C831" s="5" t="s">
        <v>1439</v>
      </c>
      <c r="D831" s="1">
        <v>3000</v>
      </c>
    </row>
    <row r="832" spans="1:7">
      <c r="A832" s="9" t="s">
        <v>1473</v>
      </c>
      <c r="B832" t="s">
        <v>1526</v>
      </c>
      <c r="C832" s="5" t="s">
        <v>1528</v>
      </c>
      <c r="D832" s="1">
        <v>4800</v>
      </c>
    </row>
    <row r="833" spans="1:7">
      <c r="A833" s="9" t="s">
        <v>1473</v>
      </c>
      <c r="B833" t="s">
        <v>1529</v>
      </c>
      <c r="C833" s="5" t="s">
        <v>1531</v>
      </c>
      <c r="D833" s="1">
        <v>5681.51</v>
      </c>
    </row>
    <row r="834" spans="1:7">
      <c r="A834" s="9" t="s">
        <v>1473</v>
      </c>
      <c r="B834" t="s">
        <v>1532</v>
      </c>
      <c r="C834" s="5" t="s">
        <v>1534</v>
      </c>
      <c r="G834" s="1">
        <v>302.93</v>
      </c>
    </row>
    <row r="835" spans="1:7">
      <c r="A835" s="9" t="s">
        <v>1473</v>
      </c>
      <c r="B835" t="s">
        <v>117</v>
      </c>
      <c r="C835" s="5" t="s">
        <v>119</v>
      </c>
      <c r="D835" s="1">
        <v>622.5</v>
      </c>
      <c r="G835" s="1">
        <v>36.96</v>
      </c>
    </row>
    <row r="836" spans="1:7">
      <c r="A836" s="9" t="s">
        <v>1473</v>
      </c>
      <c r="B836" t="s">
        <v>681</v>
      </c>
      <c r="C836" s="5" t="s">
        <v>683</v>
      </c>
      <c r="D836" s="1">
        <v>10857.08</v>
      </c>
      <c r="G836" s="1">
        <v>423.69</v>
      </c>
    </row>
    <row r="837" spans="1:7">
      <c r="A837" s="9" t="s">
        <v>1473</v>
      </c>
      <c r="B837" t="s">
        <v>492</v>
      </c>
      <c r="C837" s="5" t="s">
        <v>494</v>
      </c>
      <c r="G837" s="1">
        <v>385.28</v>
      </c>
    </row>
    <row r="838" spans="1:7">
      <c r="A838" s="9" t="s">
        <v>1473</v>
      </c>
      <c r="B838" t="s">
        <v>1535</v>
      </c>
      <c r="C838" s="5" t="s">
        <v>1537</v>
      </c>
      <c r="D838" s="1">
        <v>11049.5</v>
      </c>
      <c r="G838" s="1">
        <v>374.70499999999998</v>
      </c>
    </row>
    <row r="839" spans="1:7">
      <c r="A839" s="9" t="s">
        <v>1473</v>
      </c>
      <c r="B839" t="s">
        <v>1538</v>
      </c>
      <c r="C839" s="5" t="s">
        <v>1540</v>
      </c>
      <c r="D839" s="1">
        <v>15537.3</v>
      </c>
      <c r="G839" s="1">
        <v>545.91999999999996</v>
      </c>
    </row>
    <row r="840" spans="1:7">
      <c r="A840" s="9" t="s">
        <v>1473</v>
      </c>
      <c r="B840" t="s">
        <v>1541</v>
      </c>
      <c r="C840" s="5" t="s">
        <v>1543</v>
      </c>
      <c r="D840" s="1">
        <v>760</v>
      </c>
      <c r="G840" s="1">
        <v>467.09500000000003</v>
      </c>
    </row>
    <row r="841" spans="1:7">
      <c r="A841" s="9" t="s">
        <v>1473</v>
      </c>
      <c r="B841" t="s">
        <v>1544</v>
      </c>
      <c r="C841" s="5" t="s">
        <v>1546</v>
      </c>
      <c r="D841" s="1">
        <v>500</v>
      </c>
    </row>
    <row r="842" spans="1:7">
      <c r="A842" s="9" t="s">
        <v>1473</v>
      </c>
      <c r="B842" t="s">
        <v>1547</v>
      </c>
      <c r="C842" s="5" t="s">
        <v>1549</v>
      </c>
      <c r="D842" s="1">
        <v>260</v>
      </c>
      <c r="G842" s="1">
        <v>424.82</v>
      </c>
    </row>
    <row r="843" spans="1:7">
      <c r="A843" s="9" t="s">
        <v>1473</v>
      </c>
      <c r="B843" t="s">
        <v>1550</v>
      </c>
      <c r="C843" s="5" t="s">
        <v>1552</v>
      </c>
      <c r="D843" s="1">
        <v>15667.2</v>
      </c>
      <c r="G843" s="1">
        <v>288.04000000000002</v>
      </c>
    </row>
    <row r="844" spans="1:7">
      <c r="A844" s="9" t="s">
        <v>1473</v>
      </c>
      <c r="B844" t="s">
        <v>1553</v>
      </c>
      <c r="C844" s="5" t="s">
        <v>1555</v>
      </c>
      <c r="D844" s="1">
        <v>6669.6</v>
      </c>
      <c r="G844" s="1">
        <v>247.065</v>
      </c>
    </row>
    <row r="845" spans="1:7">
      <c r="A845" s="9" t="s">
        <v>1473</v>
      </c>
      <c r="B845" t="s">
        <v>1556</v>
      </c>
      <c r="C845" s="5" t="s">
        <v>1558</v>
      </c>
      <c r="D845" s="1">
        <v>4939.2</v>
      </c>
    </row>
    <row r="846" spans="1:7">
      <c r="A846" s="9" t="s">
        <v>1473</v>
      </c>
      <c r="B846" t="s">
        <v>1559</v>
      </c>
      <c r="C846" s="5" t="s">
        <v>1561</v>
      </c>
      <c r="G846" s="1">
        <v>431.04</v>
      </c>
    </row>
    <row r="847" spans="1:7">
      <c r="A847" s="9" t="s">
        <v>1473</v>
      </c>
      <c r="B847" t="s">
        <v>1562</v>
      </c>
      <c r="C847" s="5" t="s">
        <v>1564</v>
      </c>
      <c r="G847" s="1">
        <v>2272.1950000000002</v>
      </c>
    </row>
    <row r="848" spans="1:7">
      <c r="A848" s="9" t="s">
        <v>1473</v>
      </c>
      <c r="B848" t="s">
        <v>1565</v>
      </c>
      <c r="C848" s="5" t="s">
        <v>1567</v>
      </c>
      <c r="D848" s="1">
        <v>19239.400000000001</v>
      </c>
      <c r="G848" s="1">
        <v>961.29</v>
      </c>
    </row>
    <row r="849" spans="1:7">
      <c r="A849" s="9" t="s">
        <v>1473</v>
      </c>
      <c r="B849" t="s">
        <v>1292</v>
      </c>
      <c r="C849" s="5" t="s">
        <v>1294</v>
      </c>
      <c r="D849" s="1">
        <v>1267</v>
      </c>
      <c r="G849" s="1">
        <v>3451.77</v>
      </c>
    </row>
    <row r="850" spans="1:7">
      <c r="A850" s="9" t="s">
        <v>1473</v>
      </c>
      <c r="B850" t="s">
        <v>1568</v>
      </c>
      <c r="C850" s="5" t="s">
        <v>1570</v>
      </c>
      <c r="D850" s="1">
        <v>936</v>
      </c>
    </row>
    <row r="851" spans="1:7">
      <c r="A851" s="9" t="s">
        <v>1473</v>
      </c>
      <c r="B851" t="s">
        <v>1571</v>
      </c>
      <c r="C851" s="5" t="s">
        <v>1573</v>
      </c>
      <c r="D851" s="1">
        <v>3411.9</v>
      </c>
    </row>
    <row r="852" spans="1:7">
      <c r="A852" s="9" t="s">
        <v>1473</v>
      </c>
      <c r="B852" t="s">
        <v>347</v>
      </c>
      <c r="C852" s="5" t="s">
        <v>349</v>
      </c>
      <c r="D852" s="1">
        <v>61360</v>
      </c>
      <c r="G852" s="1">
        <v>1263.6600000000001</v>
      </c>
    </row>
    <row r="853" spans="1:7">
      <c r="A853" s="9" t="s">
        <v>1473</v>
      </c>
      <c r="B853" t="s">
        <v>1574</v>
      </c>
      <c r="C853" s="5" t="s">
        <v>1576</v>
      </c>
      <c r="D853" s="1">
        <v>19333.64</v>
      </c>
    </row>
    <row r="854" spans="1:7">
      <c r="A854" s="9" t="s">
        <v>1473</v>
      </c>
      <c r="B854" t="s">
        <v>1577</v>
      </c>
      <c r="C854" s="5" t="s">
        <v>1579</v>
      </c>
      <c r="D854" s="1">
        <v>833</v>
      </c>
    </row>
    <row r="855" spans="1:7">
      <c r="A855" s="9" t="s">
        <v>1473</v>
      </c>
      <c r="B855" t="s">
        <v>1580</v>
      </c>
      <c r="C855" s="5" t="s">
        <v>1582</v>
      </c>
      <c r="D855" s="1">
        <v>0</v>
      </c>
    </row>
    <row r="856" spans="1:7">
      <c r="A856" s="9" t="s">
        <v>1473</v>
      </c>
      <c r="B856" t="s">
        <v>1583</v>
      </c>
      <c r="C856" s="5" t="s">
        <v>1585</v>
      </c>
      <c r="D856" s="1">
        <v>455</v>
      </c>
      <c r="G856" s="1">
        <v>200.42</v>
      </c>
    </row>
    <row r="857" spans="1:7">
      <c r="A857" s="9" t="s">
        <v>1473</v>
      </c>
      <c r="B857" t="s">
        <v>1586</v>
      </c>
      <c r="C857" s="5" t="s">
        <v>1588</v>
      </c>
      <c r="G857" s="1">
        <v>495.55</v>
      </c>
    </row>
    <row r="858" spans="1:7">
      <c r="A858" s="9" t="s">
        <v>1473</v>
      </c>
      <c r="B858" t="s">
        <v>264</v>
      </c>
      <c r="C858" s="5" t="s">
        <v>266</v>
      </c>
      <c r="G858" s="1">
        <v>44.02</v>
      </c>
    </row>
    <row r="859" spans="1:7">
      <c r="A859" s="9" t="s">
        <v>1473</v>
      </c>
      <c r="B859" t="s">
        <v>147</v>
      </c>
      <c r="C859" s="5" t="s">
        <v>149</v>
      </c>
      <c r="D859" s="1">
        <v>760</v>
      </c>
      <c r="G859" s="1">
        <v>151.82</v>
      </c>
    </row>
    <row r="860" spans="1:7">
      <c r="A860" s="9" t="s">
        <v>1473</v>
      </c>
      <c r="B860" t="s">
        <v>1589</v>
      </c>
      <c r="C860" s="5" t="s">
        <v>1591</v>
      </c>
      <c r="G860" s="1">
        <v>556.79999999999995</v>
      </c>
    </row>
    <row r="861" spans="1:7">
      <c r="A861" s="9" t="s">
        <v>1473</v>
      </c>
      <c r="B861" t="s">
        <v>1416</v>
      </c>
      <c r="C861" s="5" t="s">
        <v>1418</v>
      </c>
      <c r="D861" s="1">
        <v>10315.700000000001</v>
      </c>
      <c r="G861" s="1">
        <v>431.815</v>
      </c>
    </row>
    <row r="862" spans="1:7">
      <c r="A862" s="9" t="s">
        <v>1473</v>
      </c>
      <c r="B862" t="s">
        <v>627</v>
      </c>
      <c r="C862" s="5" t="s">
        <v>629</v>
      </c>
      <c r="G862" s="1">
        <v>144.55000000000001</v>
      </c>
    </row>
    <row r="863" spans="1:7">
      <c r="A863" s="9" t="s">
        <v>1473</v>
      </c>
      <c r="B863" t="s">
        <v>1592</v>
      </c>
      <c r="C863" s="5" t="s">
        <v>1594</v>
      </c>
      <c r="G863" s="1">
        <v>530.16</v>
      </c>
    </row>
    <row r="864" spans="1:7">
      <c r="A864" s="9" t="s">
        <v>1473</v>
      </c>
      <c r="B864" t="s">
        <v>1595</v>
      </c>
      <c r="C864" s="5" t="s">
        <v>1597</v>
      </c>
      <c r="D864" s="1">
        <v>34720</v>
      </c>
      <c r="G864" s="1">
        <v>347.12</v>
      </c>
    </row>
    <row r="865" spans="1:7">
      <c r="A865" s="9" t="s">
        <v>1473</v>
      </c>
      <c r="B865" t="s">
        <v>1598</v>
      </c>
      <c r="C865" s="5" t="s">
        <v>1600</v>
      </c>
      <c r="D865" s="1">
        <v>2777.04</v>
      </c>
    </row>
    <row r="866" spans="1:7">
      <c r="A866" s="9" t="s">
        <v>1473</v>
      </c>
      <c r="B866" t="s">
        <v>1601</v>
      </c>
      <c r="C866" s="5" t="s">
        <v>1603</v>
      </c>
      <c r="D866" s="1">
        <v>18811.099999999999</v>
      </c>
    </row>
    <row r="867" spans="1:7">
      <c r="A867" s="9" t="s">
        <v>1473</v>
      </c>
      <c r="B867" t="s">
        <v>1604</v>
      </c>
      <c r="C867" s="5" t="s">
        <v>1606</v>
      </c>
      <c r="D867" s="1">
        <v>36771.019999999997</v>
      </c>
    </row>
    <row r="868" spans="1:7">
      <c r="A868" s="9" t="s">
        <v>1473</v>
      </c>
      <c r="B868" t="s">
        <v>1607</v>
      </c>
      <c r="C868" s="5" t="s">
        <v>1609</v>
      </c>
      <c r="D868" s="1">
        <v>760</v>
      </c>
      <c r="G868" s="1">
        <v>1661.46</v>
      </c>
    </row>
    <row r="869" spans="1:7">
      <c r="A869" s="9" t="s">
        <v>1473</v>
      </c>
      <c r="B869" t="s">
        <v>1610</v>
      </c>
      <c r="C869" s="5" t="s">
        <v>1612</v>
      </c>
      <c r="D869" s="1">
        <v>1485</v>
      </c>
    </row>
    <row r="870" spans="1:7">
      <c r="A870" s="9" t="s">
        <v>1473</v>
      </c>
      <c r="B870" t="s">
        <v>1613</v>
      </c>
      <c r="C870" s="5" t="s">
        <v>1615</v>
      </c>
      <c r="D870" s="1">
        <v>20000</v>
      </c>
    </row>
    <row r="871" spans="1:7">
      <c r="A871" s="9" t="s">
        <v>1473</v>
      </c>
      <c r="B871" t="s">
        <v>1616</v>
      </c>
      <c r="C871" s="5" t="s">
        <v>1618</v>
      </c>
      <c r="D871" s="1">
        <v>9828</v>
      </c>
    </row>
    <row r="872" spans="1:7">
      <c r="A872" s="9" t="s">
        <v>1473</v>
      </c>
      <c r="B872" t="s">
        <v>1129</v>
      </c>
      <c r="C872" s="5" t="s">
        <v>1131</v>
      </c>
      <c r="D872" s="1">
        <v>311003</v>
      </c>
    </row>
    <row r="873" spans="1:7">
      <c r="A873" s="9" t="s">
        <v>1473</v>
      </c>
      <c r="B873" t="s">
        <v>1619</v>
      </c>
      <c r="C873" s="5" t="s">
        <v>1621</v>
      </c>
      <c r="D873" s="1">
        <v>19738.68</v>
      </c>
    </row>
    <row r="874" spans="1:7">
      <c r="A874" s="9" t="s">
        <v>1473</v>
      </c>
      <c r="B874" t="s">
        <v>1622</v>
      </c>
      <c r="C874" s="5" t="s">
        <v>1624</v>
      </c>
      <c r="D874" s="1">
        <v>2126.25</v>
      </c>
    </row>
    <row r="875" spans="1:7">
      <c r="A875" s="9" t="s">
        <v>1473</v>
      </c>
      <c r="B875" t="s">
        <v>513</v>
      </c>
      <c r="C875" s="5" t="s">
        <v>515</v>
      </c>
      <c r="G875" s="1">
        <v>143.33000000000001</v>
      </c>
    </row>
    <row r="876" spans="1:7">
      <c r="A876" s="9" t="s">
        <v>1473</v>
      </c>
      <c r="B876" t="s">
        <v>75</v>
      </c>
      <c r="C876" s="5" t="s">
        <v>77</v>
      </c>
      <c r="G876" s="1">
        <v>1234.585</v>
      </c>
    </row>
    <row r="877" spans="1:7">
      <c r="A877" s="9" t="s">
        <v>1473</v>
      </c>
      <c r="B877" t="s">
        <v>1625</v>
      </c>
      <c r="C877" s="5" t="s">
        <v>1627</v>
      </c>
      <c r="D877" s="1">
        <v>1520</v>
      </c>
      <c r="G877" s="1">
        <v>61.38</v>
      </c>
    </row>
    <row r="878" spans="1:7">
      <c r="A878" s="9" t="s">
        <v>1473</v>
      </c>
      <c r="B878" t="s">
        <v>1628</v>
      </c>
      <c r="C878" s="5" t="s">
        <v>1630</v>
      </c>
      <c r="D878" s="1">
        <v>800</v>
      </c>
      <c r="G878" s="1">
        <v>408.05500000000001</v>
      </c>
    </row>
    <row r="879" spans="1:7">
      <c r="A879" s="9" t="s">
        <v>1473</v>
      </c>
      <c r="B879" t="s">
        <v>1631</v>
      </c>
      <c r="C879" s="5" t="s">
        <v>1633</v>
      </c>
      <c r="D879" s="1">
        <v>4342.6000000000004</v>
      </c>
      <c r="G879" s="1">
        <v>837.07</v>
      </c>
    </row>
    <row r="880" spans="1:7">
      <c r="A880" s="9" t="s">
        <v>1473</v>
      </c>
      <c r="B880" t="s">
        <v>1634</v>
      </c>
      <c r="C880" s="5" t="s">
        <v>1636</v>
      </c>
      <c r="D880" s="1">
        <v>1060</v>
      </c>
      <c r="G880" s="1">
        <v>1767.655</v>
      </c>
    </row>
    <row r="881" spans="1:7">
      <c r="A881" s="9" t="s">
        <v>1473</v>
      </c>
      <c r="B881" t="s">
        <v>1637</v>
      </c>
      <c r="C881" s="5" t="s">
        <v>1639</v>
      </c>
      <c r="D881" s="1">
        <v>1546</v>
      </c>
      <c r="G881" s="1">
        <v>5156.915</v>
      </c>
    </row>
    <row r="882" spans="1:7">
      <c r="A882" s="9" t="s">
        <v>1473</v>
      </c>
      <c r="B882" t="s">
        <v>1640</v>
      </c>
      <c r="C882" s="5" t="s">
        <v>1642</v>
      </c>
      <c r="D882" s="1">
        <v>16959</v>
      </c>
      <c r="G882" s="1">
        <v>622.46</v>
      </c>
    </row>
    <row r="883" spans="1:7">
      <c r="A883" s="9" t="s">
        <v>1473</v>
      </c>
      <c r="B883" t="s">
        <v>1643</v>
      </c>
      <c r="C883" s="5" t="s">
        <v>1645</v>
      </c>
      <c r="D883" s="1">
        <v>15000</v>
      </c>
    </row>
    <row r="884" spans="1:7">
      <c r="A884" s="9" t="s">
        <v>1473</v>
      </c>
      <c r="B884" t="s">
        <v>1646</v>
      </c>
      <c r="C884" s="5" t="s">
        <v>1648</v>
      </c>
      <c r="D884" s="1">
        <v>500</v>
      </c>
    </row>
    <row r="885" spans="1:7">
      <c r="A885" s="9" t="s">
        <v>1473</v>
      </c>
      <c r="B885" t="s">
        <v>1649</v>
      </c>
      <c r="C885" s="5" t="s">
        <v>1651</v>
      </c>
      <c r="D885" s="1">
        <v>4407.8999999999996</v>
      </c>
    </row>
    <row r="886" spans="1:7">
      <c r="A886" s="9" t="s">
        <v>1473</v>
      </c>
      <c r="B886" t="s">
        <v>1652</v>
      </c>
      <c r="C886" s="5" t="s">
        <v>1654</v>
      </c>
      <c r="D886" s="1">
        <v>10096.89</v>
      </c>
      <c r="G886" s="1">
        <v>240.23</v>
      </c>
    </row>
    <row r="887" spans="1:7">
      <c r="A887" s="9" t="s">
        <v>1473</v>
      </c>
      <c r="B887" t="s">
        <v>1655</v>
      </c>
      <c r="C887" s="5" t="s">
        <v>1657</v>
      </c>
      <c r="D887" s="1">
        <v>34144</v>
      </c>
      <c r="G887" s="1">
        <v>319.36</v>
      </c>
    </row>
    <row r="888" spans="1:7">
      <c r="A888" s="9" t="s">
        <v>1473</v>
      </c>
      <c r="B888" t="s">
        <v>1658</v>
      </c>
      <c r="C888" s="5" t="s">
        <v>1660</v>
      </c>
      <c r="D888" s="1">
        <v>1300</v>
      </c>
    </row>
    <row r="889" spans="1:7">
      <c r="A889" s="9" t="s">
        <v>1473</v>
      </c>
      <c r="B889" t="s">
        <v>1464</v>
      </c>
      <c r="C889" s="5" t="s">
        <v>1466</v>
      </c>
      <c r="D889" s="1">
        <v>1551</v>
      </c>
    </row>
    <row r="890" spans="1:7">
      <c r="A890" s="9" t="s">
        <v>1473</v>
      </c>
      <c r="B890" t="s">
        <v>1422</v>
      </c>
      <c r="C890" s="5" t="s">
        <v>1424</v>
      </c>
      <c r="D890" s="1">
        <v>14892.3</v>
      </c>
      <c r="G890" s="1">
        <v>662.88</v>
      </c>
    </row>
    <row r="891" spans="1:7">
      <c r="A891" s="9" t="s">
        <v>1473</v>
      </c>
      <c r="B891" t="s">
        <v>1440</v>
      </c>
      <c r="C891" s="5" t="s">
        <v>1442</v>
      </c>
      <c r="D891" s="1">
        <v>16640</v>
      </c>
    </row>
    <row r="892" spans="1:7">
      <c r="A892" s="9" t="s">
        <v>1473</v>
      </c>
      <c r="B892" t="s">
        <v>1661</v>
      </c>
      <c r="C892" s="5" t="s">
        <v>1663</v>
      </c>
      <c r="D892" s="1">
        <v>1527</v>
      </c>
      <c r="G892" s="1">
        <v>1212.57</v>
      </c>
    </row>
    <row r="893" spans="1:7">
      <c r="A893" s="9" t="s">
        <v>1473</v>
      </c>
      <c r="B893" t="s">
        <v>1268</v>
      </c>
      <c r="C893" s="5" t="s">
        <v>1270</v>
      </c>
      <c r="G893" s="1">
        <v>350.74</v>
      </c>
    </row>
    <row r="894" spans="1:7">
      <c r="A894" s="9" t="s">
        <v>1473</v>
      </c>
      <c r="B894" t="s">
        <v>1664</v>
      </c>
      <c r="C894" s="5" t="s">
        <v>1666</v>
      </c>
      <c r="D894" s="1">
        <v>760</v>
      </c>
      <c r="G894" s="1">
        <v>254.095</v>
      </c>
    </row>
    <row r="895" spans="1:7">
      <c r="A895" s="9" t="s">
        <v>1473</v>
      </c>
      <c r="B895" t="s">
        <v>1667</v>
      </c>
      <c r="C895" s="5" t="s">
        <v>1669</v>
      </c>
      <c r="G895" s="1">
        <v>439.17</v>
      </c>
    </row>
    <row r="896" spans="1:7">
      <c r="A896" s="9" t="s">
        <v>1473</v>
      </c>
      <c r="B896" t="s">
        <v>1431</v>
      </c>
      <c r="C896" s="5" t="s">
        <v>1433</v>
      </c>
      <c r="D896" s="1">
        <v>12961.9</v>
      </c>
      <c r="G896" s="1">
        <v>489.76</v>
      </c>
    </row>
    <row r="897" spans="1:7">
      <c r="A897" s="9" t="s">
        <v>1473</v>
      </c>
      <c r="B897" t="s">
        <v>1670</v>
      </c>
      <c r="C897" s="5" t="s">
        <v>1672</v>
      </c>
      <c r="D897" s="1">
        <v>2183.64</v>
      </c>
    </row>
    <row r="898" spans="1:7">
      <c r="A898" s="9" t="s">
        <v>1473</v>
      </c>
      <c r="B898" t="s">
        <v>1673</v>
      </c>
      <c r="C898" s="5" t="s">
        <v>1675</v>
      </c>
      <c r="D898" s="1">
        <v>5089.5</v>
      </c>
    </row>
    <row r="899" spans="1:7">
      <c r="A899" s="9" t="s">
        <v>1473</v>
      </c>
      <c r="B899" t="s">
        <v>1676</v>
      </c>
      <c r="C899" s="5" t="s">
        <v>1678</v>
      </c>
      <c r="D899" s="1">
        <v>4173.84</v>
      </c>
    </row>
    <row r="900" spans="1:7">
      <c r="A900" s="9" t="s">
        <v>1473</v>
      </c>
      <c r="B900" t="s">
        <v>1679</v>
      </c>
      <c r="C900" s="5" t="s">
        <v>1681</v>
      </c>
      <c r="D900" s="1">
        <v>500</v>
      </c>
    </row>
    <row r="901" spans="1:7">
      <c r="A901" s="9" t="s">
        <v>1473</v>
      </c>
      <c r="B901" t="s">
        <v>1446</v>
      </c>
      <c r="C901" s="5" t="s">
        <v>1448</v>
      </c>
      <c r="D901" s="1">
        <v>760</v>
      </c>
    </row>
    <row r="902" spans="1:7">
      <c r="A902" s="9" t="s">
        <v>1473</v>
      </c>
      <c r="B902" t="s">
        <v>1682</v>
      </c>
      <c r="C902" s="5" t="s">
        <v>1684</v>
      </c>
      <c r="D902" s="1">
        <v>500</v>
      </c>
    </row>
    <row r="903" spans="1:7">
      <c r="A903" s="9" t="s">
        <v>1473</v>
      </c>
      <c r="B903" t="s">
        <v>1685</v>
      </c>
      <c r="C903" s="5" t="s">
        <v>1687</v>
      </c>
      <c r="D903" s="1">
        <v>1144</v>
      </c>
    </row>
    <row r="904" spans="1:7">
      <c r="A904" s="9" t="s">
        <v>1473</v>
      </c>
      <c r="B904" t="s">
        <v>338</v>
      </c>
      <c r="C904" s="5" t="s">
        <v>340</v>
      </c>
      <c r="D904" s="1">
        <v>250</v>
      </c>
    </row>
    <row r="905" spans="1:7">
      <c r="A905" s="9" t="s">
        <v>1473</v>
      </c>
      <c r="B905" t="s">
        <v>243</v>
      </c>
      <c r="C905" s="5" t="s">
        <v>245</v>
      </c>
      <c r="D905" s="1">
        <v>500</v>
      </c>
      <c r="G905" s="1">
        <v>780.67499999999995</v>
      </c>
    </row>
    <row r="906" spans="1:7">
      <c r="A906" s="9" t="s">
        <v>1473</v>
      </c>
      <c r="B906" t="s">
        <v>1688</v>
      </c>
      <c r="C906" s="5" t="s">
        <v>1690</v>
      </c>
      <c r="D906" s="1">
        <v>38199.699999999997</v>
      </c>
    </row>
    <row r="907" spans="1:7">
      <c r="A907" s="9" t="s">
        <v>1473</v>
      </c>
      <c r="B907" t="s">
        <v>1691</v>
      </c>
      <c r="C907" s="5" t="s">
        <v>1693</v>
      </c>
      <c r="D907" s="1">
        <v>26000</v>
      </c>
    </row>
    <row r="908" spans="1:7">
      <c r="A908" s="9" t="s">
        <v>1473</v>
      </c>
      <c r="B908" t="s">
        <v>1694</v>
      </c>
      <c r="C908" s="5" t="s">
        <v>1696</v>
      </c>
      <c r="D908" s="1">
        <v>8407.36</v>
      </c>
    </row>
    <row r="909" spans="1:7">
      <c r="A909" s="9" t="s">
        <v>1473</v>
      </c>
      <c r="B909" t="s">
        <v>1407</v>
      </c>
      <c r="C909" s="5" t="s">
        <v>1409</v>
      </c>
      <c r="D909" s="1">
        <v>13526.07</v>
      </c>
    </row>
    <row r="910" spans="1:7">
      <c r="A910" s="9" t="s">
        <v>1473</v>
      </c>
      <c r="B910" t="s">
        <v>1697</v>
      </c>
      <c r="C910" s="5" t="s">
        <v>1699</v>
      </c>
      <c r="D910" s="1">
        <v>7029.38</v>
      </c>
    </row>
    <row r="911" spans="1:7">
      <c r="A911" s="9" t="s">
        <v>1473</v>
      </c>
      <c r="B911" t="s">
        <v>1458</v>
      </c>
      <c r="C911" s="5" t="s">
        <v>1460</v>
      </c>
      <c r="D911" s="1">
        <v>83</v>
      </c>
    </row>
    <row r="912" spans="1:7">
      <c r="A912" s="9" t="s">
        <v>1473</v>
      </c>
      <c r="B912" t="s">
        <v>99</v>
      </c>
      <c r="C912" s="5" t="s">
        <v>101</v>
      </c>
      <c r="G912" s="1">
        <v>276.48</v>
      </c>
    </row>
    <row r="913" spans="1:8">
      <c r="A913" s="9" t="s">
        <v>1473</v>
      </c>
      <c r="B913" t="s">
        <v>1700</v>
      </c>
      <c r="C913" s="5" t="s">
        <v>1702</v>
      </c>
      <c r="D913" s="1">
        <v>10400</v>
      </c>
    </row>
    <row r="914" spans="1:8">
      <c r="A914" s="9" t="s">
        <v>1473</v>
      </c>
      <c r="B914" t="s">
        <v>546</v>
      </c>
      <c r="C914" s="5" t="s">
        <v>548</v>
      </c>
      <c r="D914" s="1">
        <v>1575</v>
      </c>
    </row>
    <row r="915" spans="1:8">
      <c r="A915" s="9" t="s">
        <v>1473</v>
      </c>
      <c r="B915" t="s">
        <v>1703</v>
      </c>
      <c r="C915" s="5" t="s">
        <v>1705</v>
      </c>
      <c r="D915" s="1">
        <v>18241.3</v>
      </c>
    </row>
    <row r="916" spans="1:8">
      <c r="A916" s="9" t="s">
        <v>1473</v>
      </c>
      <c r="B916" t="s">
        <v>678</v>
      </c>
      <c r="C916" s="5" t="s">
        <v>680</v>
      </c>
      <c r="D916" s="1">
        <v>3150</v>
      </c>
    </row>
    <row r="917" spans="1:8">
      <c r="A917" s="9" t="s">
        <v>1473</v>
      </c>
      <c r="B917" t="s">
        <v>1706</v>
      </c>
      <c r="C917" s="5" t="s">
        <v>1708</v>
      </c>
      <c r="D917" s="1">
        <v>27495.58</v>
      </c>
    </row>
    <row r="918" spans="1:8">
      <c r="A918" s="9" t="s">
        <v>1473</v>
      </c>
      <c r="B918" t="s">
        <v>1709</v>
      </c>
      <c r="C918" s="5" t="s">
        <v>1711</v>
      </c>
      <c r="D918" s="1">
        <v>27583.439999999999</v>
      </c>
    </row>
    <row r="919" spans="1:8">
      <c r="A919" s="9" t="s">
        <v>1473</v>
      </c>
      <c r="B919" t="s">
        <v>288</v>
      </c>
      <c r="C919" s="5" t="s">
        <v>290</v>
      </c>
      <c r="D919" s="1">
        <v>168198</v>
      </c>
    </row>
    <row r="920" spans="1:8">
      <c r="A920" s="9" t="s">
        <v>1473</v>
      </c>
      <c r="B920" t="s">
        <v>558</v>
      </c>
      <c r="C920" s="5" t="s">
        <v>560</v>
      </c>
      <c r="G920" s="1">
        <v>6.5149999999999997</v>
      </c>
    </row>
    <row r="921" spans="1:8">
      <c r="A921" s="9" t="s">
        <v>1473</v>
      </c>
      <c r="B921" t="s">
        <v>1712</v>
      </c>
      <c r="C921" s="5" t="s">
        <v>1714</v>
      </c>
      <c r="G921" s="1">
        <v>732.94</v>
      </c>
    </row>
    <row r="922" spans="1:8">
      <c r="A922" s="9" t="s">
        <v>1715</v>
      </c>
      <c r="B922" t="s">
        <v>231</v>
      </c>
      <c r="C922" s="5" t="s">
        <v>233</v>
      </c>
      <c r="D922" s="1">
        <v>400</v>
      </c>
    </row>
    <row r="923" spans="1:8">
      <c r="A923" s="9" t="s">
        <v>1715</v>
      </c>
      <c r="B923" t="s">
        <v>192</v>
      </c>
      <c r="C923" s="5" t="s">
        <v>194</v>
      </c>
      <c r="D923" s="1">
        <v>520</v>
      </c>
      <c r="E923" s="1">
        <v>382.13</v>
      </c>
      <c r="G923" s="1">
        <v>3143.0749999999998</v>
      </c>
      <c r="H923" s="1">
        <v>1196.6600000000001</v>
      </c>
    </row>
    <row r="924" spans="1:8">
      <c r="A924" s="9" t="s">
        <v>1715</v>
      </c>
      <c r="B924" t="s">
        <v>723</v>
      </c>
      <c r="C924" s="5" t="s">
        <v>725</v>
      </c>
      <c r="D924" s="1">
        <v>17017.13</v>
      </c>
      <c r="E924" s="1">
        <v>119.54</v>
      </c>
      <c r="G924" s="1">
        <v>5543.335</v>
      </c>
      <c r="H924" s="1">
        <v>1742.94</v>
      </c>
    </row>
    <row r="925" spans="1:8">
      <c r="A925" s="9" t="s">
        <v>1715</v>
      </c>
      <c r="B925" t="s">
        <v>159</v>
      </c>
      <c r="C925" s="5" t="s">
        <v>161</v>
      </c>
      <c r="D925" s="1">
        <v>3770.08</v>
      </c>
      <c r="G925" s="1">
        <v>132.06</v>
      </c>
    </row>
    <row r="926" spans="1:8">
      <c r="A926" s="9" t="s">
        <v>1715</v>
      </c>
      <c r="B926" t="s">
        <v>1129</v>
      </c>
      <c r="C926" s="5" t="s">
        <v>1131</v>
      </c>
      <c r="D926" s="1">
        <v>63802.2</v>
      </c>
      <c r="E926" s="1">
        <v>32919.54</v>
      </c>
      <c r="G926" s="1">
        <v>294.41000000000003</v>
      </c>
    </row>
    <row r="927" spans="1:8">
      <c r="A927" s="9" t="s">
        <v>1715</v>
      </c>
      <c r="B927" t="s">
        <v>186</v>
      </c>
      <c r="C927" s="5" t="s">
        <v>188</v>
      </c>
      <c r="D927" s="1">
        <v>3028.95</v>
      </c>
      <c r="E927" s="1">
        <v>61.58</v>
      </c>
      <c r="G927" s="1">
        <v>3727.7350000000001</v>
      </c>
      <c r="H927" s="1">
        <v>409.82</v>
      </c>
    </row>
    <row r="928" spans="1:8">
      <c r="A928" s="9" t="s">
        <v>1715</v>
      </c>
      <c r="B928" t="s">
        <v>804</v>
      </c>
      <c r="C928" s="5" t="s">
        <v>806</v>
      </c>
      <c r="D928" s="1">
        <v>3500</v>
      </c>
      <c r="E928" s="1">
        <v>272</v>
      </c>
      <c r="G928" s="1">
        <v>3523.8850000000002</v>
      </c>
      <c r="H928" s="1">
        <v>100.1</v>
      </c>
    </row>
    <row r="929" spans="1:8">
      <c r="A929" s="9" t="s">
        <v>1715</v>
      </c>
      <c r="B929" t="s">
        <v>525</v>
      </c>
      <c r="C929" s="5" t="s">
        <v>527</v>
      </c>
      <c r="D929" s="1">
        <v>50000</v>
      </c>
    </row>
    <row r="930" spans="1:8">
      <c r="A930" s="9" t="s">
        <v>1715</v>
      </c>
      <c r="B930" t="s">
        <v>264</v>
      </c>
      <c r="C930" s="5" t="s">
        <v>266</v>
      </c>
      <c r="D930" s="1">
        <v>0</v>
      </c>
      <c r="E930" s="1">
        <v>22402.5</v>
      </c>
      <c r="G930" s="1">
        <v>89.625</v>
      </c>
    </row>
    <row r="931" spans="1:8">
      <c r="A931" s="9" t="s">
        <v>1715</v>
      </c>
      <c r="B931" t="s">
        <v>792</v>
      </c>
      <c r="C931" s="5" t="s">
        <v>794</v>
      </c>
      <c r="D931" s="1">
        <v>5000</v>
      </c>
      <c r="E931" s="1">
        <v>17583.27</v>
      </c>
    </row>
    <row r="932" spans="1:8">
      <c r="A932" s="9" t="s">
        <v>1715</v>
      </c>
      <c r="B932" t="s">
        <v>654</v>
      </c>
      <c r="C932" s="5" t="s">
        <v>656</v>
      </c>
      <c r="E932" s="1">
        <v>3036.72</v>
      </c>
      <c r="G932" s="1">
        <v>5398.085</v>
      </c>
    </row>
    <row r="933" spans="1:8">
      <c r="A933" s="9" t="s">
        <v>1715</v>
      </c>
      <c r="B933" t="s">
        <v>513</v>
      </c>
      <c r="C933" s="5" t="s">
        <v>515</v>
      </c>
      <c r="D933" s="1">
        <v>500</v>
      </c>
      <c r="E933" s="1">
        <v>-3376.6</v>
      </c>
      <c r="G933" s="1">
        <v>21677.505000000001</v>
      </c>
      <c r="H933" s="1">
        <v>1628.11</v>
      </c>
    </row>
    <row r="934" spans="1:8">
      <c r="A934" s="9" t="s">
        <v>1715</v>
      </c>
      <c r="B934" t="s">
        <v>370</v>
      </c>
      <c r="C934" s="5" t="s">
        <v>372</v>
      </c>
      <c r="G934" s="1">
        <v>3284.71</v>
      </c>
      <c r="H934" s="1">
        <v>1819.52</v>
      </c>
    </row>
    <row r="935" spans="1:8">
      <c r="A935" s="9" t="s">
        <v>1715</v>
      </c>
      <c r="B935" t="s">
        <v>448</v>
      </c>
      <c r="C935" s="5" t="s">
        <v>450</v>
      </c>
      <c r="D935" s="1">
        <v>38063.980000000003</v>
      </c>
      <c r="E935" s="1">
        <v>6112.61</v>
      </c>
      <c r="G935" s="1">
        <v>8089.4849999999997</v>
      </c>
      <c r="H935" s="1">
        <v>807.2</v>
      </c>
    </row>
    <row r="936" spans="1:8">
      <c r="A936" s="9" t="s">
        <v>1715</v>
      </c>
      <c r="B936" t="s">
        <v>99</v>
      </c>
      <c r="C936" s="5" t="s">
        <v>101</v>
      </c>
      <c r="G936" s="1">
        <v>14755.004999999999</v>
      </c>
      <c r="H936" s="1">
        <v>1941.03</v>
      </c>
    </row>
    <row r="937" spans="1:8">
      <c r="A937" s="9" t="s">
        <v>1715</v>
      </c>
      <c r="B937" t="s">
        <v>48</v>
      </c>
      <c r="C937" s="5" t="s">
        <v>50</v>
      </c>
      <c r="D937" s="1">
        <v>250</v>
      </c>
      <c r="G937" s="1">
        <v>739.89</v>
      </c>
      <c r="H937" s="1">
        <v>137.02000000000001</v>
      </c>
    </row>
    <row r="938" spans="1:8">
      <c r="A938" s="9" t="s">
        <v>1715</v>
      </c>
      <c r="B938" t="s">
        <v>636</v>
      </c>
      <c r="C938" s="5" t="s">
        <v>638</v>
      </c>
      <c r="D938" s="1">
        <v>14052.8</v>
      </c>
      <c r="G938" s="1">
        <v>6365.61</v>
      </c>
      <c r="H938" s="1">
        <v>840</v>
      </c>
    </row>
    <row r="939" spans="1:8">
      <c r="A939" s="9" t="s">
        <v>1715</v>
      </c>
      <c r="B939" t="s">
        <v>72</v>
      </c>
      <c r="C939" s="5" t="s">
        <v>74</v>
      </c>
      <c r="G939" s="1">
        <v>67.72</v>
      </c>
    </row>
    <row r="940" spans="1:8">
      <c r="A940" s="9" t="s">
        <v>1715</v>
      </c>
      <c r="B940" t="s">
        <v>78</v>
      </c>
      <c r="C940" s="5" t="s">
        <v>80</v>
      </c>
      <c r="E940" s="1">
        <v>11379.78</v>
      </c>
      <c r="G940" s="1">
        <v>75.349999999999994</v>
      </c>
    </row>
    <row r="941" spans="1:8">
      <c r="A941" s="9" t="s">
        <v>1715</v>
      </c>
      <c r="B941" t="s">
        <v>504</v>
      </c>
      <c r="C941" s="5" t="s">
        <v>506</v>
      </c>
      <c r="D941" s="1">
        <v>1500</v>
      </c>
      <c r="G941" s="1">
        <v>3040.4650000000001</v>
      </c>
    </row>
    <row r="942" spans="1:8">
      <c r="A942" s="9" t="s">
        <v>1715</v>
      </c>
      <c r="B942" t="s">
        <v>555</v>
      </c>
      <c r="C942" s="5" t="s">
        <v>557</v>
      </c>
      <c r="E942" s="1">
        <v>119.54</v>
      </c>
      <c r="G942" s="1">
        <v>14264.8</v>
      </c>
      <c r="H942" s="1">
        <v>4873.9399999999996</v>
      </c>
    </row>
    <row r="943" spans="1:8">
      <c r="A943" s="9" t="s">
        <v>1715</v>
      </c>
      <c r="B943" t="s">
        <v>552</v>
      </c>
      <c r="C943" s="5" t="s">
        <v>554</v>
      </c>
      <c r="G943" s="1">
        <v>1083.5999999999999</v>
      </c>
    </row>
    <row r="944" spans="1:8">
      <c r="A944" s="9" t="s">
        <v>1715</v>
      </c>
      <c r="B944" t="s">
        <v>18</v>
      </c>
      <c r="C944" s="5" t="s">
        <v>20</v>
      </c>
      <c r="G944" s="1">
        <v>963.2</v>
      </c>
    </row>
    <row r="945" spans="1:8">
      <c r="A945" s="9" t="s">
        <v>1715</v>
      </c>
      <c r="B945" t="s">
        <v>1126</v>
      </c>
      <c r="C945" s="5" t="s">
        <v>1128</v>
      </c>
      <c r="D945" s="1">
        <v>20443.48</v>
      </c>
      <c r="E945" s="1">
        <v>119.54</v>
      </c>
      <c r="G945" s="1">
        <v>3688.91</v>
      </c>
    </row>
    <row r="946" spans="1:8">
      <c r="A946" s="9" t="s">
        <v>1715</v>
      </c>
      <c r="B946" t="s">
        <v>498</v>
      </c>
      <c r="C946" s="5" t="s">
        <v>500</v>
      </c>
      <c r="G946" s="1">
        <v>2682.68</v>
      </c>
    </row>
    <row r="947" spans="1:8">
      <c r="A947" s="9" t="s">
        <v>1715</v>
      </c>
      <c r="B947" t="s">
        <v>303</v>
      </c>
      <c r="C947" s="5" t="s">
        <v>305</v>
      </c>
      <c r="D947" s="1">
        <v>146300</v>
      </c>
      <c r="E947" s="1">
        <v>730.4</v>
      </c>
      <c r="G947" s="1">
        <v>10702.08</v>
      </c>
    </row>
    <row r="948" spans="1:8">
      <c r="A948" s="9" t="s">
        <v>1715</v>
      </c>
      <c r="B948" t="s">
        <v>681</v>
      </c>
      <c r="C948" s="5" t="s">
        <v>683</v>
      </c>
      <c r="E948" s="1">
        <v>5210.9399999999996</v>
      </c>
      <c r="G948" s="1">
        <v>396.18</v>
      </c>
    </row>
    <row r="949" spans="1:8">
      <c r="A949" s="9" t="s">
        <v>1715</v>
      </c>
      <c r="B949" t="s">
        <v>21</v>
      </c>
      <c r="C949" s="5" t="s">
        <v>23</v>
      </c>
      <c r="G949" s="1">
        <v>157.19999999999999</v>
      </c>
    </row>
    <row r="950" spans="1:8">
      <c r="A950" s="9" t="s">
        <v>1715</v>
      </c>
      <c r="B950" t="s">
        <v>240</v>
      </c>
      <c r="C950" s="5" t="s">
        <v>242</v>
      </c>
      <c r="G950" s="1">
        <v>142.02000000000001</v>
      </c>
      <c r="H950" s="1">
        <v>68.5</v>
      </c>
    </row>
    <row r="951" spans="1:8">
      <c r="A951" s="9" t="s">
        <v>1715</v>
      </c>
      <c r="B951" t="s">
        <v>81</v>
      </c>
      <c r="C951" s="5" t="s">
        <v>83</v>
      </c>
      <c r="D951" s="1">
        <v>7800</v>
      </c>
      <c r="G951" s="1">
        <v>1901.0050000000001</v>
      </c>
      <c r="H951" s="1">
        <v>64.05</v>
      </c>
    </row>
    <row r="952" spans="1:8">
      <c r="A952" s="9" t="s">
        <v>1715</v>
      </c>
      <c r="B952" t="s">
        <v>1446</v>
      </c>
      <c r="C952" s="5" t="s">
        <v>1448</v>
      </c>
      <c r="G952" s="1">
        <v>728.1</v>
      </c>
      <c r="H952" s="1">
        <v>83.05</v>
      </c>
    </row>
    <row r="953" spans="1:8">
      <c r="A953" s="9" t="s">
        <v>1715</v>
      </c>
      <c r="B953" t="s">
        <v>344</v>
      </c>
      <c r="C953" s="5" t="s">
        <v>346</v>
      </c>
      <c r="D953" s="1">
        <v>15257.55</v>
      </c>
      <c r="G953" s="1">
        <v>1877.59</v>
      </c>
      <c r="H953" s="1">
        <v>224.76</v>
      </c>
    </row>
    <row r="954" spans="1:8">
      <c r="A954" s="9" t="s">
        <v>1715</v>
      </c>
      <c r="B954" t="s">
        <v>651</v>
      </c>
      <c r="C954" s="5" t="s">
        <v>653</v>
      </c>
      <c r="D954" s="1">
        <v>1118.8</v>
      </c>
    </row>
    <row r="955" spans="1:8">
      <c r="A955" s="9" t="s">
        <v>1715</v>
      </c>
      <c r="B955" t="s">
        <v>57</v>
      </c>
      <c r="C955" s="5" t="s">
        <v>59</v>
      </c>
      <c r="D955" s="1">
        <v>2800</v>
      </c>
    </row>
    <row r="956" spans="1:8">
      <c r="A956" s="9" t="s">
        <v>1715</v>
      </c>
      <c r="B956" t="s">
        <v>657</v>
      </c>
      <c r="C956" s="5" t="s">
        <v>659</v>
      </c>
      <c r="D956" s="1">
        <v>22130.75</v>
      </c>
      <c r="E956" s="1">
        <v>1588.06</v>
      </c>
    </row>
    <row r="957" spans="1:8">
      <c r="A957" s="9" t="s">
        <v>1715</v>
      </c>
      <c r="B957" t="s">
        <v>1108</v>
      </c>
      <c r="C957" s="5" t="s">
        <v>1110</v>
      </c>
      <c r="D957" s="1">
        <v>117.6</v>
      </c>
      <c r="G957" s="1">
        <v>2539.9749999999999</v>
      </c>
      <c r="H957" s="1">
        <v>402</v>
      </c>
    </row>
    <row r="958" spans="1:8">
      <c r="A958" s="9" t="s">
        <v>1715</v>
      </c>
      <c r="B958" t="s">
        <v>63</v>
      </c>
      <c r="C958" s="5" t="s">
        <v>65</v>
      </c>
      <c r="D958" s="1">
        <v>12086.83</v>
      </c>
      <c r="E958" s="1">
        <v>1407.6</v>
      </c>
    </row>
    <row r="959" spans="1:8">
      <c r="A959" s="9" t="s">
        <v>1715</v>
      </c>
      <c r="B959" t="s">
        <v>630</v>
      </c>
      <c r="C959" s="5" t="s">
        <v>632</v>
      </c>
      <c r="D959" s="1">
        <v>372.17</v>
      </c>
      <c r="G959" s="1">
        <v>67.72</v>
      </c>
    </row>
    <row r="960" spans="1:8">
      <c r="A960" s="9" t="s">
        <v>1715</v>
      </c>
      <c r="B960" t="s">
        <v>1099</v>
      </c>
      <c r="C960" s="5" t="s">
        <v>1101</v>
      </c>
      <c r="D960" s="1">
        <v>117.6</v>
      </c>
      <c r="E960" s="1">
        <v>974.54</v>
      </c>
      <c r="G960" s="1">
        <v>4986.99</v>
      </c>
      <c r="H960" s="1">
        <v>3497.93</v>
      </c>
    </row>
    <row r="961" spans="1:8">
      <c r="A961" s="9" t="s">
        <v>1715</v>
      </c>
      <c r="B961" t="s">
        <v>612</v>
      </c>
      <c r="C961" s="5" t="s">
        <v>614</v>
      </c>
      <c r="D961" s="1">
        <v>0</v>
      </c>
    </row>
    <row r="962" spans="1:8">
      <c r="A962" s="9" t="s">
        <v>1715</v>
      </c>
      <c r="B962" t="s">
        <v>222</v>
      </c>
      <c r="C962" s="5" t="s">
        <v>224</v>
      </c>
      <c r="F962" s="1">
        <v>1065.56</v>
      </c>
    </row>
    <row r="963" spans="1:8">
      <c r="A963" s="9" t="s">
        <v>1715</v>
      </c>
      <c r="B963" t="s">
        <v>624</v>
      </c>
      <c r="C963" s="5" t="s">
        <v>626</v>
      </c>
      <c r="D963" s="1">
        <v>10000</v>
      </c>
      <c r="G963" s="1">
        <v>7116.9</v>
      </c>
      <c r="H963" s="1">
        <v>2576.4499999999998</v>
      </c>
    </row>
    <row r="964" spans="1:8">
      <c r="A964" s="9" t="s">
        <v>1715</v>
      </c>
      <c r="B964" t="s">
        <v>355</v>
      </c>
      <c r="C964" s="5" t="s">
        <v>357</v>
      </c>
      <c r="E964" s="1">
        <v>2158.46</v>
      </c>
    </row>
    <row r="965" spans="1:8">
      <c r="A965" s="9" t="s">
        <v>1715</v>
      </c>
      <c r="B965" t="s">
        <v>696</v>
      </c>
      <c r="C965" s="5" t="s">
        <v>698</v>
      </c>
      <c r="E965" s="1">
        <v>7439.25</v>
      </c>
      <c r="G965" s="1">
        <v>14438.13</v>
      </c>
      <c r="H965" s="1">
        <v>712.63</v>
      </c>
    </row>
    <row r="966" spans="1:8">
      <c r="A966" s="9" t="s">
        <v>1715</v>
      </c>
      <c r="B966" t="s">
        <v>285</v>
      </c>
      <c r="C966" s="5" t="s">
        <v>287</v>
      </c>
      <c r="D966" s="1">
        <v>6416.35</v>
      </c>
      <c r="E966" s="1">
        <v>6225.49</v>
      </c>
      <c r="G966" s="1">
        <v>21836.305</v>
      </c>
      <c r="H966" s="1">
        <v>827.57</v>
      </c>
    </row>
    <row r="967" spans="1:8">
      <c r="A967" s="9" t="s">
        <v>1715</v>
      </c>
      <c r="B967" t="s">
        <v>69</v>
      </c>
      <c r="C967" s="5" t="s">
        <v>71</v>
      </c>
      <c r="D967" s="1">
        <v>111561.7</v>
      </c>
      <c r="E967" s="1">
        <v>28731.16</v>
      </c>
      <c r="G967" s="1">
        <v>15976.76</v>
      </c>
    </row>
    <row r="968" spans="1:8">
      <c r="A968" s="9" t="s">
        <v>1715</v>
      </c>
      <c r="B968" t="s">
        <v>717</v>
      </c>
      <c r="C968" s="5" t="s">
        <v>719</v>
      </c>
      <c r="G968" s="1">
        <v>511.28</v>
      </c>
    </row>
    <row r="969" spans="1:8">
      <c r="A969" s="9" t="s">
        <v>1715</v>
      </c>
      <c r="B969" t="s">
        <v>45</v>
      </c>
      <c r="C969" s="5" t="s">
        <v>47</v>
      </c>
      <c r="G969" s="1">
        <v>1270.8599999999999</v>
      </c>
    </row>
    <row r="970" spans="1:8">
      <c r="A970" s="9" t="s">
        <v>1715</v>
      </c>
      <c r="B970" t="s">
        <v>252</v>
      </c>
      <c r="C970" s="5" t="s">
        <v>254</v>
      </c>
      <c r="D970" s="1">
        <v>0</v>
      </c>
      <c r="G970" s="1">
        <v>9741.56</v>
      </c>
      <c r="H970" s="1">
        <v>2431.0500000000002</v>
      </c>
    </row>
    <row r="971" spans="1:8">
      <c r="A971" s="9" t="s">
        <v>1715</v>
      </c>
      <c r="B971" t="s">
        <v>558</v>
      </c>
      <c r="C971" s="5" t="s">
        <v>560</v>
      </c>
      <c r="G971" s="1">
        <v>16705.345000000001</v>
      </c>
    </row>
    <row r="972" spans="1:8">
      <c r="A972" s="9" t="s">
        <v>1715</v>
      </c>
      <c r="B972" t="s">
        <v>258</v>
      </c>
      <c r="C972" s="5" t="s">
        <v>260</v>
      </c>
      <c r="E972" s="1">
        <v>1252.93</v>
      </c>
      <c r="G972" s="1">
        <v>52014.625</v>
      </c>
      <c r="H972" s="1">
        <v>11633.17</v>
      </c>
    </row>
    <row r="973" spans="1:8">
      <c r="A973" s="9" t="s">
        <v>1715</v>
      </c>
      <c r="B973" t="s">
        <v>418</v>
      </c>
      <c r="C973" s="5" t="s">
        <v>420</v>
      </c>
      <c r="D973" s="1">
        <v>450</v>
      </c>
      <c r="G973" s="1">
        <v>211.92</v>
      </c>
    </row>
    <row r="974" spans="1:8">
      <c r="A974" s="9" t="s">
        <v>1715</v>
      </c>
      <c r="B974" t="s">
        <v>543</v>
      </c>
      <c r="C974" s="5" t="s">
        <v>545</v>
      </c>
      <c r="D974" s="1">
        <v>90636</v>
      </c>
      <c r="E974" s="1">
        <v>1259.54</v>
      </c>
      <c r="G974" s="1">
        <v>2839.16</v>
      </c>
    </row>
    <row r="975" spans="1:8">
      <c r="A975" s="9" t="s">
        <v>1715</v>
      </c>
      <c r="B975" t="s">
        <v>135</v>
      </c>
      <c r="C975" s="5" t="s">
        <v>137</v>
      </c>
      <c r="G975" s="1">
        <v>90.99</v>
      </c>
    </row>
    <row r="976" spans="1:8">
      <c r="A976" s="9" t="s">
        <v>1715</v>
      </c>
      <c r="B976" t="s">
        <v>492</v>
      </c>
      <c r="C976" s="5" t="s">
        <v>494</v>
      </c>
      <c r="D976" s="1">
        <v>262</v>
      </c>
      <c r="E976" s="1">
        <v>8621.39</v>
      </c>
      <c r="G976" s="1">
        <v>23718.33</v>
      </c>
    </row>
    <row r="977" spans="1:8">
      <c r="A977" s="9" t="s">
        <v>1715</v>
      </c>
      <c r="B977" t="s">
        <v>84</v>
      </c>
      <c r="C977" s="5" t="s">
        <v>86</v>
      </c>
      <c r="E977" s="1">
        <v>1940.64</v>
      </c>
      <c r="G977" s="1">
        <v>31327.73</v>
      </c>
      <c r="H977" s="1">
        <v>4778.6400000000003</v>
      </c>
    </row>
    <row r="978" spans="1:8">
      <c r="A978" s="9" t="s">
        <v>1715</v>
      </c>
      <c r="B978" t="s">
        <v>60</v>
      </c>
      <c r="C978" s="5" t="s">
        <v>62</v>
      </c>
      <c r="D978" s="1">
        <v>45550.93</v>
      </c>
      <c r="G978" s="1">
        <v>35179.885000000002</v>
      </c>
    </row>
    <row r="979" spans="1:8">
      <c r="A979" s="9" t="s">
        <v>1715</v>
      </c>
      <c r="B979" t="s">
        <v>367</v>
      </c>
      <c r="C979" s="5" t="s">
        <v>369</v>
      </c>
      <c r="D979" s="1">
        <v>28</v>
      </c>
      <c r="E979" s="1">
        <v>15005.57</v>
      </c>
    </row>
    <row r="980" spans="1:8">
      <c r="A980" s="9" t="s">
        <v>1715</v>
      </c>
      <c r="B980" t="s">
        <v>1144</v>
      </c>
      <c r="C980" s="5" t="s">
        <v>1146</v>
      </c>
      <c r="D980" s="1">
        <v>145272.75</v>
      </c>
    </row>
    <row r="981" spans="1:8">
      <c r="A981" s="9" t="s">
        <v>1715</v>
      </c>
      <c r="B981" t="s">
        <v>180</v>
      </c>
      <c r="C981" s="5" t="s">
        <v>182</v>
      </c>
      <c r="D981" s="1">
        <v>0</v>
      </c>
      <c r="G981" s="1">
        <v>4726.76</v>
      </c>
      <c r="H981" s="1">
        <v>373.1</v>
      </c>
    </row>
    <row r="982" spans="1:8">
      <c r="A982" s="9" t="s">
        <v>1715</v>
      </c>
      <c r="B982" t="s">
        <v>762</v>
      </c>
      <c r="C982" s="5" t="s">
        <v>764</v>
      </c>
      <c r="D982" s="1">
        <v>305</v>
      </c>
      <c r="E982" s="1">
        <v>-60.92</v>
      </c>
      <c r="G982" s="1">
        <v>199.65</v>
      </c>
    </row>
    <row r="983" spans="1:8">
      <c r="A983" s="9" t="s">
        <v>1715</v>
      </c>
      <c r="B983" t="s">
        <v>1167</v>
      </c>
      <c r="C983" s="5" t="s">
        <v>1169</v>
      </c>
      <c r="D983" s="1">
        <v>115</v>
      </c>
    </row>
    <row r="984" spans="1:8">
      <c r="A984" s="9" t="s">
        <v>1715</v>
      </c>
      <c r="B984" t="s">
        <v>373</v>
      </c>
      <c r="C984" s="5" t="s">
        <v>375</v>
      </c>
      <c r="D984" s="1">
        <v>10516.34</v>
      </c>
      <c r="E984" s="1">
        <v>420</v>
      </c>
      <c r="G984" s="1">
        <v>214.9</v>
      </c>
    </row>
    <row r="985" spans="1:8">
      <c r="A985" s="9" t="s">
        <v>1715</v>
      </c>
      <c r="B985" t="s">
        <v>315</v>
      </c>
      <c r="C985" s="5" t="s">
        <v>317</v>
      </c>
      <c r="E985" s="1">
        <v>794.71</v>
      </c>
      <c r="G985" s="1">
        <v>24121.96</v>
      </c>
      <c r="H985" s="1">
        <v>9257.52</v>
      </c>
    </row>
    <row r="986" spans="1:8">
      <c r="A986" s="9" t="s">
        <v>1715</v>
      </c>
      <c r="B986" t="s">
        <v>1102</v>
      </c>
      <c r="C986" s="5" t="s">
        <v>1104</v>
      </c>
      <c r="D986" s="1">
        <v>38577.800000000003</v>
      </c>
      <c r="E986" s="1">
        <v>123882.74</v>
      </c>
      <c r="G986" s="1">
        <v>1376.9449999999999</v>
      </c>
      <c r="H986" s="1">
        <v>288</v>
      </c>
    </row>
    <row r="987" spans="1:8">
      <c r="A987" s="9" t="s">
        <v>1715</v>
      </c>
      <c r="B987" t="s">
        <v>759</v>
      </c>
      <c r="C987" s="5" t="s">
        <v>761</v>
      </c>
      <c r="D987" s="1">
        <v>313.75</v>
      </c>
      <c r="E987" s="1">
        <v>2781.42</v>
      </c>
      <c r="G987" s="1">
        <v>12524.575000000001</v>
      </c>
      <c r="H987" s="1">
        <v>979.83</v>
      </c>
    </row>
    <row r="988" spans="1:8">
      <c r="A988" s="9" t="s">
        <v>1715</v>
      </c>
      <c r="B988" t="s">
        <v>771</v>
      </c>
      <c r="C988" s="5" t="s">
        <v>773</v>
      </c>
      <c r="D988" s="1">
        <v>150</v>
      </c>
      <c r="G988" s="1">
        <v>1462.645</v>
      </c>
      <c r="H988" s="1">
        <v>155.76</v>
      </c>
    </row>
    <row r="989" spans="1:8">
      <c r="A989" s="9" t="s">
        <v>1715</v>
      </c>
      <c r="B989" t="s">
        <v>1717</v>
      </c>
      <c r="C989" s="5" t="s">
        <v>1719</v>
      </c>
      <c r="G989" s="1">
        <v>60.96</v>
      </c>
    </row>
    <row r="990" spans="1:8">
      <c r="A990" s="9" t="s">
        <v>1715</v>
      </c>
      <c r="B990" t="s">
        <v>207</v>
      </c>
      <c r="C990" s="5" t="s">
        <v>209</v>
      </c>
      <c r="G990" s="1">
        <v>4490.79</v>
      </c>
      <c r="H990" s="1">
        <v>1122.72</v>
      </c>
    </row>
    <row r="991" spans="1:8">
      <c r="A991" s="9" t="s">
        <v>1715</v>
      </c>
      <c r="B991" t="s">
        <v>459</v>
      </c>
      <c r="C991" s="5" t="s">
        <v>461</v>
      </c>
      <c r="D991" s="1">
        <v>34147.78</v>
      </c>
      <c r="E991" s="1">
        <v>3497.7</v>
      </c>
      <c r="G991" s="1">
        <v>9075.1350000000002</v>
      </c>
      <c r="H991" s="1">
        <v>336.66</v>
      </c>
    </row>
    <row r="992" spans="1:8">
      <c r="A992" s="9" t="s">
        <v>1715</v>
      </c>
      <c r="B992" t="s">
        <v>1123</v>
      </c>
      <c r="C992" s="5" t="s">
        <v>1125</v>
      </c>
      <c r="D992" s="1">
        <v>9040</v>
      </c>
      <c r="E992" s="1">
        <v>119.54</v>
      </c>
      <c r="G992" s="1">
        <v>6336.0550000000003</v>
      </c>
      <c r="H992" s="1">
        <v>582.05999999999995</v>
      </c>
    </row>
    <row r="993" spans="1:8">
      <c r="A993" s="9" t="s">
        <v>1715</v>
      </c>
      <c r="B993" t="s">
        <v>120</v>
      </c>
      <c r="C993" s="5" t="s">
        <v>122</v>
      </c>
      <c r="D993" s="1">
        <v>3585</v>
      </c>
    </row>
    <row r="994" spans="1:8">
      <c r="A994" s="9" t="s">
        <v>1715</v>
      </c>
      <c r="B994" t="s">
        <v>516</v>
      </c>
      <c r="C994" s="5" t="s">
        <v>518</v>
      </c>
      <c r="D994" s="1">
        <v>4035.51</v>
      </c>
      <c r="E994" s="1">
        <v>782.17</v>
      </c>
      <c r="G994" s="1">
        <v>25298.28</v>
      </c>
      <c r="H994" s="1">
        <v>8026.88</v>
      </c>
    </row>
    <row r="995" spans="1:8">
      <c r="A995" s="9" t="s">
        <v>1715</v>
      </c>
      <c r="B995" t="s">
        <v>510</v>
      </c>
      <c r="C995" s="5" t="s">
        <v>512</v>
      </c>
      <c r="D995" s="1">
        <v>21993.5</v>
      </c>
      <c r="E995" s="1">
        <v>17490</v>
      </c>
    </row>
    <row r="996" spans="1:8">
      <c r="A996" s="9" t="s">
        <v>1715</v>
      </c>
      <c r="B996" t="s">
        <v>225</v>
      </c>
      <c r="C996" s="5" t="s">
        <v>227</v>
      </c>
      <c r="E996" s="1">
        <v>1578.49</v>
      </c>
      <c r="G996" s="1">
        <v>223.28</v>
      </c>
    </row>
    <row r="997" spans="1:8">
      <c r="A997" s="9" t="s">
        <v>1715</v>
      </c>
      <c r="B997" t="s">
        <v>609</v>
      </c>
      <c r="C997" s="5" t="s">
        <v>611</v>
      </c>
      <c r="E997" s="1">
        <v>420</v>
      </c>
      <c r="G997" s="1">
        <v>3164.29</v>
      </c>
    </row>
    <row r="998" spans="1:8">
      <c r="A998" s="9" t="s">
        <v>1715</v>
      </c>
      <c r="B998" t="s">
        <v>1105</v>
      </c>
      <c r="C998" s="5" t="s">
        <v>1107</v>
      </c>
      <c r="D998" s="1">
        <v>-383191.14</v>
      </c>
      <c r="E998" s="1">
        <v>501892.73</v>
      </c>
      <c r="G998" s="1">
        <v>1700.3050000000001</v>
      </c>
    </row>
    <row r="999" spans="1:8">
      <c r="A999" s="9" t="s">
        <v>1715</v>
      </c>
      <c r="B999" t="s">
        <v>594</v>
      </c>
      <c r="C999" s="5" t="s">
        <v>596</v>
      </c>
      <c r="G999" s="1">
        <v>353.12</v>
      </c>
    </row>
    <row r="1000" spans="1:8">
      <c r="A1000" s="9" t="s">
        <v>1715</v>
      </c>
      <c r="B1000" t="s">
        <v>288</v>
      </c>
      <c r="C1000" s="5" t="s">
        <v>290</v>
      </c>
      <c r="D1000" s="1">
        <v>3031.24</v>
      </c>
      <c r="E1000" s="1">
        <v>1000.14</v>
      </c>
      <c r="G1000" s="1">
        <v>16486.375</v>
      </c>
      <c r="H1000" s="1">
        <v>3992.34</v>
      </c>
    </row>
    <row r="1001" spans="1:8">
      <c r="A1001" s="9" t="s">
        <v>1715</v>
      </c>
      <c r="B1001" t="s">
        <v>333</v>
      </c>
      <c r="C1001" s="5" t="s">
        <v>335</v>
      </c>
      <c r="G1001" s="1">
        <v>3881.05</v>
      </c>
    </row>
    <row r="1002" spans="1:8">
      <c r="A1002" s="9" t="s">
        <v>1715</v>
      </c>
      <c r="B1002" t="s">
        <v>627</v>
      </c>
      <c r="C1002" s="5" t="s">
        <v>629</v>
      </c>
      <c r="E1002" s="1">
        <v>1894.91</v>
      </c>
      <c r="G1002" s="1">
        <v>4756.3999999999996</v>
      </c>
    </row>
    <row r="1003" spans="1:8">
      <c r="A1003" s="9" t="s">
        <v>1715</v>
      </c>
      <c r="B1003" t="s">
        <v>54</v>
      </c>
      <c r="C1003" s="5" t="s">
        <v>56</v>
      </c>
      <c r="G1003" s="1">
        <v>1292.43</v>
      </c>
      <c r="H1003" s="1">
        <v>346.32</v>
      </c>
    </row>
    <row r="1004" spans="1:8">
      <c r="A1004" s="9" t="s">
        <v>1715</v>
      </c>
      <c r="B1004" t="s">
        <v>388</v>
      </c>
      <c r="C1004" s="5" t="s">
        <v>390</v>
      </c>
      <c r="G1004" s="1">
        <v>1616.4649999999999</v>
      </c>
      <c r="H1004" s="1">
        <v>709.59</v>
      </c>
    </row>
    <row r="1005" spans="1:8">
      <c r="A1005" s="9" t="s">
        <v>1715</v>
      </c>
      <c r="B1005" t="s">
        <v>270</v>
      </c>
      <c r="C1005" s="5" t="s">
        <v>272</v>
      </c>
      <c r="G1005" s="1">
        <v>1198.8900000000001</v>
      </c>
      <c r="H1005" s="1">
        <v>273.73</v>
      </c>
    </row>
    <row r="1006" spans="1:8">
      <c r="A1006" s="9" t="s">
        <v>1715</v>
      </c>
      <c r="B1006" t="s">
        <v>672</v>
      </c>
      <c r="C1006" s="5" t="s">
        <v>674</v>
      </c>
      <c r="F1006" s="1">
        <v>3961.92</v>
      </c>
    </row>
    <row r="1007" spans="1:8">
      <c r="A1007" s="9" t="s">
        <v>1715</v>
      </c>
      <c r="B1007" t="s">
        <v>324</v>
      </c>
      <c r="C1007" s="5" t="s">
        <v>326</v>
      </c>
      <c r="F1007" s="1">
        <v>30120.28</v>
      </c>
    </row>
    <row r="1008" spans="1:8">
      <c r="A1008" s="9" t="s">
        <v>1715</v>
      </c>
      <c r="B1008" t="s">
        <v>1292</v>
      </c>
      <c r="C1008" s="5" t="s">
        <v>1294</v>
      </c>
      <c r="D1008" s="1">
        <v>61823.88</v>
      </c>
    </row>
    <row r="1009" spans="1:8">
      <c r="A1009" s="9" t="s">
        <v>1715</v>
      </c>
      <c r="B1009" t="s">
        <v>156</v>
      </c>
      <c r="C1009" s="5" t="s">
        <v>158</v>
      </c>
      <c r="E1009" s="1">
        <v>22631.119999999999</v>
      </c>
    </row>
    <row r="1010" spans="1:8">
      <c r="A1010" s="9" t="s">
        <v>1715</v>
      </c>
      <c r="B1010" t="s">
        <v>415</v>
      </c>
      <c r="C1010" s="5" t="s">
        <v>417</v>
      </c>
      <c r="G1010" s="1">
        <v>6221.33</v>
      </c>
    </row>
    <row r="1011" spans="1:8">
      <c r="A1011" s="9" t="s">
        <v>1715</v>
      </c>
      <c r="B1011" t="s">
        <v>699</v>
      </c>
      <c r="C1011" s="5" t="s">
        <v>701</v>
      </c>
      <c r="G1011" s="1">
        <v>750.72500000000002</v>
      </c>
    </row>
    <row r="1012" spans="1:8">
      <c r="A1012" s="9" t="s">
        <v>1715</v>
      </c>
      <c r="B1012" t="s">
        <v>177</v>
      </c>
      <c r="C1012" s="5" t="s">
        <v>179</v>
      </c>
      <c r="G1012" s="1">
        <v>772.26499999999999</v>
      </c>
      <c r="H1012" s="1">
        <v>79.89</v>
      </c>
    </row>
    <row r="1013" spans="1:8">
      <c r="A1013" s="9" t="s">
        <v>1715</v>
      </c>
      <c r="B1013" t="s">
        <v>1114</v>
      </c>
      <c r="C1013" s="5" t="s">
        <v>1116</v>
      </c>
      <c r="D1013" s="1">
        <v>13091.6</v>
      </c>
      <c r="E1013" s="1">
        <v>33219.54</v>
      </c>
    </row>
    <row r="1014" spans="1:8">
      <c r="A1014" s="9" t="s">
        <v>1715</v>
      </c>
      <c r="B1014" t="s">
        <v>1720</v>
      </c>
      <c r="C1014" s="5" t="s">
        <v>1722</v>
      </c>
      <c r="D1014" s="1">
        <v>134001.07999999999</v>
      </c>
    </row>
    <row r="1015" spans="1:8">
      <c r="A1015" s="9" t="s">
        <v>1715</v>
      </c>
      <c r="B1015" t="s">
        <v>24</v>
      </c>
      <c r="C1015" s="5" t="s">
        <v>26</v>
      </c>
      <c r="D1015" s="1">
        <v>0</v>
      </c>
    </row>
    <row r="1016" spans="1:8">
      <c r="A1016" s="9" t="s">
        <v>1715</v>
      </c>
      <c r="B1016" t="s">
        <v>702</v>
      </c>
      <c r="C1016" s="5" t="s">
        <v>704</v>
      </c>
      <c r="F1016" s="1">
        <v>3710.96</v>
      </c>
    </row>
    <row r="1017" spans="1:8">
      <c r="A1017" s="9" t="s">
        <v>1715</v>
      </c>
      <c r="B1017" t="s">
        <v>400</v>
      </c>
      <c r="C1017" s="5" t="s">
        <v>402</v>
      </c>
      <c r="D1017" s="1">
        <v>5000</v>
      </c>
    </row>
    <row r="1018" spans="1:8">
      <c r="A1018" s="9" t="s">
        <v>1715</v>
      </c>
      <c r="B1018" t="s">
        <v>189</v>
      </c>
      <c r="C1018" s="5" t="s">
        <v>191</v>
      </c>
      <c r="G1018" s="1">
        <v>211.92</v>
      </c>
    </row>
    <row r="1019" spans="1:8">
      <c r="A1019" s="9" t="s">
        <v>1715</v>
      </c>
      <c r="B1019" t="s">
        <v>210</v>
      </c>
      <c r="C1019" s="5" t="s">
        <v>212</v>
      </c>
      <c r="G1019" s="1">
        <v>115.12</v>
      </c>
    </row>
    <row r="1020" spans="1:8">
      <c r="A1020" s="9" t="s">
        <v>1715</v>
      </c>
      <c r="B1020" t="s">
        <v>385</v>
      </c>
      <c r="C1020" s="5" t="s">
        <v>387</v>
      </c>
      <c r="G1020" s="1">
        <v>53.22</v>
      </c>
    </row>
    <row r="1021" spans="1:8">
      <c r="A1021" s="9" t="s">
        <v>1715</v>
      </c>
      <c r="B1021" t="s">
        <v>255</v>
      </c>
      <c r="C1021" s="5" t="s">
        <v>257</v>
      </c>
      <c r="G1021" s="1">
        <v>140.96</v>
      </c>
    </row>
    <row r="1022" spans="1:8">
      <c r="A1022" s="9" t="s">
        <v>1715</v>
      </c>
      <c r="B1022" t="s">
        <v>195</v>
      </c>
      <c r="C1022" s="5" t="s">
        <v>197</v>
      </c>
      <c r="D1022" s="1">
        <v>525</v>
      </c>
      <c r="G1022" s="1">
        <v>1083.5999999999999</v>
      </c>
    </row>
    <row r="1023" spans="1:8">
      <c r="A1023" s="9" t="s">
        <v>1715</v>
      </c>
      <c r="B1023" t="s">
        <v>108</v>
      </c>
      <c r="C1023" s="5" t="s">
        <v>110</v>
      </c>
      <c r="G1023" s="1">
        <v>7969.34</v>
      </c>
    </row>
    <row r="1024" spans="1:8">
      <c r="A1024" s="9" t="s">
        <v>1715</v>
      </c>
      <c r="B1024" t="s">
        <v>582</v>
      </c>
      <c r="C1024" s="5" t="s">
        <v>584</v>
      </c>
      <c r="G1024" s="1">
        <v>28.78</v>
      </c>
    </row>
    <row r="1025" spans="1:7">
      <c r="A1025" s="9" t="s">
        <v>1715</v>
      </c>
      <c r="B1025" t="s">
        <v>1117</v>
      </c>
      <c r="C1025" s="5" t="s">
        <v>1119</v>
      </c>
      <c r="D1025" s="1">
        <v>12015.13</v>
      </c>
    </row>
    <row r="1026" spans="1:7">
      <c r="A1026" s="9" t="s">
        <v>1715</v>
      </c>
      <c r="B1026" t="s">
        <v>291</v>
      </c>
      <c r="C1026" s="5" t="s">
        <v>293</v>
      </c>
      <c r="D1026" s="1">
        <v>715.42</v>
      </c>
    </row>
    <row r="1027" spans="1:7">
      <c r="A1027" s="9" t="s">
        <v>1715</v>
      </c>
      <c r="B1027" t="s">
        <v>338</v>
      </c>
      <c r="C1027" s="5" t="s">
        <v>340</v>
      </c>
      <c r="D1027" s="1">
        <v>26793.43</v>
      </c>
    </row>
    <row r="1028" spans="1:7">
      <c r="A1028" s="9" t="s">
        <v>1715</v>
      </c>
      <c r="B1028" t="s">
        <v>615</v>
      </c>
      <c r="C1028" s="5" t="s">
        <v>617</v>
      </c>
      <c r="D1028" s="1">
        <v>66190.399999999994</v>
      </c>
    </row>
    <row r="1029" spans="1:7">
      <c r="A1029" s="9" t="s">
        <v>1715</v>
      </c>
      <c r="B1029" t="s">
        <v>1274</v>
      </c>
      <c r="C1029" s="5" t="s">
        <v>1276</v>
      </c>
      <c r="E1029" s="1">
        <v>68.989999999999995</v>
      </c>
    </row>
    <row r="1030" spans="1:7">
      <c r="A1030" s="9" t="s">
        <v>1715</v>
      </c>
      <c r="B1030" t="s">
        <v>267</v>
      </c>
      <c r="C1030" s="5" t="s">
        <v>269</v>
      </c>
      <c r="E1030" s="1">
        <v>1000.67</v>
      </c>
    </row>
    <row r="1031" spans="1:7">
      <c r="A1031" s="9" t="s">
        <v>1715</v>
      </c>
      <c r="B1031" t="s">
        <v>412</v>
      </c>
      <c r="C1031" s="5" t="s">
        <v>414</v>
      </c>
      <c r="G1031" s="1">
        <v>215.87</v>
      </c>
    </row>
    <row r="1032" spans="1:7">
      <c r="A1032" s="9" t="s">
        <v>1715</v>
      </c>
      <c r="B1032" t="s">
        <v>537</v>
      </c>
      <c r="C1032" s="5" t="s">
        <v>539</v>
      </c>
      <c r="D1032" s="1">
        <v>0</v>
      </c>
      <c r="G1032" s="1">
        <v>211.92</v>
      </c>
    </row>
    <row r="1033" spans="1:7">
      <c r="A1033" s="9" t="s">
        <v>1715</v>
      </c>
      <c r="B1033" t="s">
        <v>729</v>
      </c>
      <c r="C1033" s="5" t="s">
        <v>731</v>
      </c>
      <c r="G1033" s="1">
        <v>1152.78</v>
      </c>
    </row>
    <row r="1034" spans="1:7">
      <c r="A1034" s="9" t="s">
        <v>1715</v>
      </c>
      <c r="B1034" t="s">
        <v>30</v>
      </c>
      <c r="C1034" s="5" t="s">
        <v>32</v>
      </c>
      <c r="D1034" s="1">
        <v>5541.5</v>
      </c>
      <c r="G1034" s="1">
        <v>268.66000000000003</v>
      </c>
    </row>
    <row r="1035" spans="1:7">
      <c r="A1035" s="9" t="s">
        <v>1715</v>
      </c>
      <c r="B1035" t="s">
        <v>162</v>
      </c>
      <c r="C1035" s="5" t="s">
        <v>164</v>
      </c>
      <c r="D1035" s="1">
        <v>2951.75</v>
      </c>
    </row>
    <row r="1036" spans="1:7">
      <c r="A1036" s="9" t="s">
        <v>1715</v>
      </c>
      <c r="B1036" t="s">
        <v>1111</v>
      </c>
      <c r="C1036" s="5" t="s">
        <v>1113</v>
      </c>
      <c r="D1036" s="1">
        <v>56186.25</v>
      </c>
    </row>
    <row r="1037" spans="1:7">
      <c r="A1037" s="9" t="s">
        <v>1715</v>
      </c>
      <c r="B1037" t="s">
        <v>330</v>
      </c>
      <c r="C1037" s="5" t="s">
        <v>332</v>
      </c>
      <c r="E1037" s="1">
        <v>2217.69</v>
      </c>
    </row>
    <row r="1038" spans="1:7">
      <c r="A1038" s="9" t="s">
        <v>1715</v>
      </c>
      <c r="B1038" t="s">
        <v>341</v>
      </c>
      <c r="C1038" s="5" t="s">
        <v>343</v>
      </c>
      <c r="E1038" s="1">
        <v>52895.199999999997</v>
      </c>
    </row>
    <row r="1039" spans="1:7">
      <c r="A1039" s="9" t="s">
        <v>1715</v>
      </c>
      <c r="B1039" t="s">
        <v>507</v>
      </c>
      <c r="C1039" s="5" t="s">
        <v>509</v>
      </c>
      <c r="G1039" s="1">
        <v>4065.94</v>
      </c>
    </row>
    <row r="1040" spans="1:7">
      <c r="A1040" s="9" t="s">
        <v>1715</v>
      </c>
      <c r="B1040" t="s">
        <v>666</v>
      </c>
      <c r="C1040" s="5" t="s">
        <v>668</v>
      </c>
      <c r="G1040" s="1">
        <v>14252.4</v>
      </c>
    </row>
    <row r="1041" spans="1:8">
      <c r="A1041" s="9" t="s">
        <v>1715</v>
      </c>
      <c r="B1041" t="s">
        <v>468</v>
      </c>
      <c r="C1041" s="5" t="s">
        <v>470</v>
      </c>
      <c r="G1041" s="1">
        <v>500.58</v>
      </c>
      <c r="H1041" s="1">
        <v>811.72</v>
      </c>
    </row>
    <row r="1042" spans="1:8">
      <c r="A1042" s="9" t="s">
        <v>1723</v>
      </c>
      <c r="B1042" t="s">
        <v>252</v>
      </c>
      <c r="C1042" s="5" t="s">
        <v>254</v>
      </c>
      <c r="D1042" s="1">
        <v>9813.09</v>
      </c>
      <c r="E1042" s="1">
        <v>10239.23</v>
      </c>
    </row>
    <row r="1043" spans="1:8">
      <c r="A1043" s="9" t="s">
        <v>1723</v>
      </c>
      <c r="B1043" t="s">
        <v>63</v>
      </c>
      <c r="C1043" s="5" t="s">
        <v>65</v>
      </c>
      <c r="D1043" s="1">
        <v>21838.97</v>
      </c>
      <c r="E1043" s="1">
        <v>244812.02</v>
      </c>
    </row>
    <row r="1044" spans="1:8">
      <c r="A1044" s="9" t="s">
        <v>1723</v>
      </c>
      <c r="B1044" t="s">
        <v>84</v>
      </c>
      <c r="C1044" s="5" t="s">
        <v>86</v>
      </c>
      <c r="D1044" s="1">
        <v>20323.86</v>
      </c>
      <c r="E1044" s="1">
        <v>7902.55</v>
      </c>
    </row>
    <row r="1045" spans="1:8">
      <c r="A1045" s="9" t="s">
        <v>1723</v>
      </c>
      <c r="B1045" t="s">
        <v>186</v>
      </c>
      <c r="C1045" s="5" t="s">
        <v>188</v>
      </c>
      <c r="D1045" s="1">
        <v>28514.32</v>
      </c>
      <c r="E1045" s="1">
        <v>-1399.01</v>
      </c>
    </row>
    <row r="1046" spans="1:8">
      <c r="A1046" s="9" t="s">
        <v>1723</v>
      </c>
      <c r="B1046" t="s">
        <v>355</v>
      </c>
      <c r="C1046" s="5" t="s">
        <v>357</v>
      </c>
      <c r="D1046" s="1">
        <v>263806.83</v>
      </c>
      <c r="E1046" s="1">
        <v>15610.26</v>
      </c>
    </row>
    <row r="1047" spans="1:8">
      <c r="A1047" s="9" t="s">
        <v>1723</v>
      </c>
      <c r="B1047" t="s">
        <v>660</v>
      </c>
      <c r="C1047" s="5" t="s">
        <v>662</v>
      </c>
      <c r="D1047" s="1">
        <v>1500</v>
      </c>
    </row>
    <row r="1048" spans="1:8">
      <c r="A1048" s="9" t="s">
        <v>1723</v>
      </c>
      <c r="B1048" t="s">
        <v>459</v>
      </c>
      <c r="C1048" s="5" t="s">
        <v>461</v>
      </c>
      <c r="D1048" s="1">
        <v>20383.64</v>
      </c>
      <c r="E1048" s="1">
        <v>554.66999999999996</v>
      </c>
    </row>
    <row r="1049" spans="1:8">
      <c r="A1049" s="9" t="s">
        <v>1723</v>
      </c>
      <c r="B1049" t="s">
        <v>513</v>
      </c>
      <c r="C1049" s="5" t="s">
        <v>515</v>
      </c>
      <c r="D1049" s="1">
        <v>2144</v>
      </c>
      <c r="E1049" s="1">
        <v>24940.89</v>
      </c>
    </row>
    <row r="1050" spans="1:8">
      <c r="A1050" s="9" t="s">
        <v>1723</v>
      </c>
      <c r="B1050" t="s">
        <v>418</v>
      </c>
      <c r="C1050" s="5" t="s">
        <v>420</v>
      </c>
      <c r="D1050" s="1">
        <v>0</v>
      </c>
    </row>
    <row r="1051" spans="1:8">
      <c r="A1051" s="9" t="s">
        <v>1723</v>
      </c>
      <c r="B1051" t="s">
        <v>69</v>
      </c>
      <c r="C1051" s="5" t="s">
        <v>71</v>
      </c>
      <c r="D1051" s="1">
        <v>291392.86</v>
      </c>
      <c r="E1051" s="1">
        <v>81643.72</v>
      </c>
    </row>
    <row r="1052" spans="1:8">
      <c r="A1052" s="9" t="s">
        <v>1723</v>
      </c>
      <c r="B1052" t="s">
        <v>394</v>
      </c>
      <c r="C1052" s="5" t="s">
        <v>396</v>
      </c>
      <c r="D1052" s="1">
        <v>600</v>
      </c>
    </row>
    <row r="1053" spans="1:8">
      <c r="A1053" s="9" t="s">
        <v>1723</v>
      </c>
      <c r="B1053" t="s">
        <v>615</v>
      </c>
      <c r="C1053" s="5" t="s">
        <v>617</v>
      </c>
      <c r="E1053" s="1">
        <v>598.52</v>
      </c>
    </row>
    <row r="1054" spans="1:8">
      <c r="A1054" s="9" t="s">
        <v>1723</v>
      </c>
      <c r="B1054" t="s">
        <v>1725</v>
      </c>
      <c r="C1054" s="5" t="s">
        <v>1727</v>
      </c>
      <c r="D1054" s="1">
        <v>303</v>
      </c>
    </row>
    <row r="1055" spans="1:8">
      <c r="A1055" s="9" t="s">
        <v>1723</v>
      </c>
      <c r="B1055" t="s">
        <v>30</v>
      </c>
      <c r="C1055" s="5" t="s">
        <v>32</v>
      </c>
      <c r="D1055" s="1">
        <v>22155.75</v>
      </c>
      <c r="E1055" s="1">
        <v>13364.16</v>
      </c>
    </row>
    <row r="1056" spans="1:8">
      <c r="A1056" s="9" t="s">
        <v>1723</v>
      </c>
      <c r="B1056" t="s">
        <v>759</v>
      </c>
      <c r="C1056" s="5" t="s">
        <v>761</v>
      </c>
      <c r="D1056" s="1">
        <v>10671.37</v>
      </c>
      <c r="E1056" s="1">
        <v>21944.639999999999</v>
      </c>
    </row>
    <row r="1057" spans="1:5">
      <c r="A1057" s="9" t="s">
        <v>1723</v>
      </c>
      <c r="B1057" t="s">
        <v>285</v>
      </c>
      <c r="C1057" s="5" t="s">
        <v>287</v>
      </c>
      <c r="D1057" s="1">
        <v>16365</v>
      </c>
      <c r="E1057" s="1">
        <v>7584.95</v>
      </c>
    </row>
    <row r="1058" spans="1:5">
      <c r="A1058" s="9" t="s">
        <v>1723</v>
      </c>
      <c r="B1058" t="s">
        <v>552</v>
      </c>
      <c r="C1058" s="5" t="s">
        <v>554</v>
      </c>
      <c r="D1058" s="1">
        <v>2250</v>
      </c>
      <c r="E1058" s="1">
        <v>4839.8500000000004</v>
      </c>
    </row>
    <row r="1059" spans="1:5">
      <c r="A1059" s="9" t="s">
        <v>1723</v>
      </c>
      <c r="B1059" t="s">
        <v>207</v>
      </c>
      <c r="C1059" s="5" t="s">
        <v>209</v>
      </c>
      <c r="D1059" s="1">
        <v>564</v>
      </c>
      <c r="E1059" s="1">
        <v>3383.08</v>
      </c>
    </row>
    <row r="1060" spans="1:5">
      <c r="A1060" s="9" t="s">
        <v>1723</v>
      </c>
      <c r="B1060" t="s">
        <v>609</v>
      </c>
      <c r="C1060" s="5" t="s">
        <v>611</v>
      </c>
      <c r="D1060" s="1">
        <v>12625.14</v>
      </c>
      <c r="E1060" s="1">
        <v>10388.44</v>
      </c>
    </row>
    <row r="1061" spans="1:5">
      <c r="A1061" s="9" t="s">
        <v>1723</v>
      </c>
      <c r="B1061" t="s">
        <v>525</v>
      </c>
      <c r="C1061" s="5" t="s">
        <v>527</v>
      </c>
      <c r="D1061" s="1">
        <v>7968</v>
      </c>
      <c r="E1061" s="1">
        <v>897.96</v>
      </c>
    </row>
    <row r="1062" spans="1:5">
      <c r="A1062" s="9" t="s">
        <v>1723</v>
      </c>
      <c r="B1062" t="s">
        <v>603</v>
      </c>
      <c r="C1062" s="5" t="s">
        <v>605</v>
      </c>
      <c r="E1062" s="1">
        <v>6784.95</v>
      </c>
    </row>
    <row r="1063" spans="1:5">
      <c r="A1063" s="9" t="s">
        <v>1723</v>
      </c>
      <c r="B1063" t="s">
        <v>630</v>
      </c>
      <c r="C1063" s="5" t="s">
        <v>632</v>
      </c>
      <c r="D1063" s="1">
        <v>21233.26</v>
      </c>
      <c r="E1063" s="1">
        <v>16384.240000000002</v>
      </c>
    </row>
    <row r="1064" spans="1:5">
      <c r="A1064" s="9" t="s">
        <v>1723</v>
      </c>
      <c r="B1064" t="s">
        <v>180</v>
      </c>
      <c r="C1064" s="5" t="s">
        <v>182</v>
      </c>
      <c r="D1064" s="1">
        <v>24980.36</v>
      </c>
      <c r="E1064" s="1">
        <v>10565.54</v>
      </c>
    </row>
    <row r="1065" spans="1:5">
      <c r="A1065" s="9" t="s">
        <v>1723</v>
      </c>
      <c r="B1065" t="s">
        <v>60</v>
      </c>
      <c r="C1065" s="5" t="s">
        <v>62</v>
      </c>
      <c r="D1065" s="1">
        <v>795004.16</v>
      </c>
      <c r="E1065" s="1">
        <v>423893.69</v>
      </c>
    </row>
    <row r="1066" spans="1:5">
      <c r="A1066" s="9" t="s">
        <v>1723</v>
      </c>
      <c r="B1066" t="s">
        <v>492</v>
      </c>
      <c r="C1066" s="5" t="s">
        <v>494</v>
      </c>
      <c r="D1066" s="1">
        <v>237.55</v>
      </c>
      <c r="E1066" s="1">
        <v>69741.820000000007</v>
      </c>
    </row>
    <row r="1067" spans="1:5">
      <c r="A1067" s="9" t="s">
        <v>1723</v>
      </c>
      <c r="B1067" t="s">
        <v>666</v>
      </c>
      <c r="C1067" s="5" t="s">
        <v>668</v>
      </c>
      <c r="D1067" s="1">
        <v>76887.16</v>
      </c>
      <c r="E1067" s="1">
        <v>51827.72</v>
      </c>
    </row>
    <row r="1068" spans="1:5">
      <c r="A1068" s="9" t="s">
        <v>1723</v>
      </c>
      <c r="B1068" t="s">
        <v>291</v>
      </c>
      <c r="C1068" s="5" t="s">
        <v>293</v>
      </c>
      <c r="D1068" s="1">
        <v>5007.9399999999996</v>
      </c>
      <c r="E1068" s="1">
        <v>12774</v>
      </c>
    </row>
    <row r="1069" spans="1:5">
      <c r="A1069" s="9" t="s">
        <v>1723</v>
      </c>
      <c r="B1069" t="s">
        <v>315</v>
      </c>
      <c r="C1069" s="5" t="s">
        <v>317</v>
      </c>
      <c r="D1069" s="1">
        <v>59281.47</v>
      </c>
      <c r="E1069" s="1">
        <v>18437.669999999998</v>
      </c>
    </row>
    <row r="1070" spans="1:5">
      <c r="A1070" s="9" t="s">
        <v>1723</v>
      </c>
      <c r="B1070" t="s">
        <v>558</v>
      </c>
      <c r="C1070" s="5" t="s">
        <v>560</v>
      </c>
      <c r="D1070" s="1">
        <v>26237.279999999999</v>
      </c>
      <c r="E1070" s="1">
        <v>-1191.49</v>
      </c>
    </row>
    <row r="1071" spans="1:5">
      <c r="A1071" s="9" t="s">
        <v>1723</v>
      </c>
      <c r="B1071" t="s">
        <v>72</v>
      </c>
      <c r="C1071" s="5" t="s">
        <v>74</v>
      </c>
      <c r="D1071" s="1">
        <v>9860</v>
      </c>
      <c r="E1071" s="1">
        <v>20310.5</v>
      </c>
    </row>
    <row r="1072" spans="1:5">
      <c r="A1072" s="9" t="s">
        <v>1723</v>
      </c>
      <c r="B1072" t="s">
        <v>300</v>
      </c>
      <c r="C1072" s="5" t="s">
        <v>302</v>
      </c>
      <c r="D1072" s="1">
        <v>103333.33</v>
      </c>
    </row>
    <row r="1073" spans="1:6">
      <c r="A1073" s="9" t="s">
        <v>1723</v>
      </c>
      <c r="B1073" t="s">
        <v>376</v>
      </c>
      <c r="C1073" s="5" t="s">
        <v>378</v>
      </c>
      <c r="D1073" s="1">
        <v>3172.12</v>
      </c>
    </row>
    <row r="1074" spans="1:6">
      <c r="A1074" s="9" t="s">
        <v>1723</v>
      </c>
      <c r="B1074" t="s">
        <v>177</v>
      </c>
      <c r="C1074" s="5" t="s">
        <v>179</v>
      </c>
      <c r="D1074" s="1">
        <v>6580</v>
      </c>
      <c r="E1074" s="1">
        <v>1055.44</v>
      </c>
    </row>
    <row r="1075" spans="1:6">
      <c r="A1075" s="9" t="s">
        <v>1723</v>
      </c>
      <c r="B1075" t="s">
        <v>762</v>
      </c>
      <c r="C1075" s="5" t="s">
        <v>764</v>
      </c>
      <c r="D1075" s="1">
        <v>7792.56</v>
      </c>
      <c r="E1075" s="1">
        <v>14941.95</v>
      </c>
    </row>
    <row r="1076" spans="1:6">
      <c r="A1076" s="9" t="s">
        <v>1723</v>
      </c>
      <c r="B1076" t="s">
        <v>48</v>
      </c>
      <c r="C1076" s="5" t="s">
        <v>50</v>
      </c>
      <c r="D1076" s="1">
        <v>8320</v>
      </c>
    </row>
    <row r="1077" spans="1:6">
      <c r="A1077" s="9" t="s">
        <v>1723</v>
      </c>
      <c r="B1077" t="s">
        <v>297</v>
      </c>
      <c r="C1077" s="5" t="s">
        <v>299</v>
      </c>
      <c r="D1077" s="1">
        <v>19500</v>
      </c>
    </row>
    <row r="1078" spans="1:6">
      <c r="A1078" s="9" t="s">
        <v>1723</v>
      </c>
      <c r="B1078" t="s">
        <v>382</v>
      </c>
      <c r="C1078" s="5" t="s">
        <v>384</v>
      </c>
      <c r="D1078" s="1">
        <v>0</v>
      </c>
    </row>
    <row r="1079" spans="1:6">
      <c r="A1079" s="9" t="s">
        <v>1723</v>
      </c>
      <c r="B1079" t="s">
        <v>189</v>
      </c>
      <c r="C1079" s="5" t="s">
        <v>191</v>
      </c>
      <c r="D1079" s="1">
        <v>0</v>
      </c>
    </row>
    <row r="1080" spans="1:6">
      <c r="A1080" s="9" t="s">
        <v>1723</v>
      </c>
      <c r="B1080" t="s">
        <v>454</v>
      </c>
      <c r="C1080" s="5" t="s">
        <v>456</v>
      </c>
      <c r="D1080" s="1">
        <v>80076.039999999994</v>
      </c>
      <c r="E1080" s="1">
        <v>9139.2900000000009</v>
      </c>
      <c r="F1080" s="1">
        <v>45893.02</v>
      </c>
    </row>
    <row r="1081" spans="1:6">
      <c r="A1081" s="9" t="s">
        <v>1723</v>
      </c>
      <c r="B1081" t="s">
        <v>192</v>
      </c>
      <c r="C1081" s="5" t="s">
        <v>194</v>
      </c>
      <c r="D1081" s="1">
        <v>200</v>
      </c>
      <c r="E1081" s="1">
        <v>1437.67</v>
      </c>
    </row>
    <row r="1082" spans="1:6">
      <c r="A1082" s="9" t="s">
        <v>1723</v>
      </c>
      <c r="B1082" t="s">
        <v>373</v>
      </c>
      <c r="C1082" s="5" t="s">
        <v>375</v>
      </c>
      <c r="D1082" s="1">
        <v>2129.19</v>
      </c>
      <c r="E1082" s="1">
        <v>16916.310000000001</v>
      </c>
    </row>
    <row r="1083" spans="1:6">
      <c r="A1083" s="9" t="s">
        <v>1723</v>
      </c>
      <c r="B1083" t="s">
        <v>651</v>
      </c>
      <c r="C1083" s="5" t="s">
        <v>653</v>
      </c>
      <c r="D1083" s="1">
        <v>14503.3</v>
      </c>
      <c r="E1083" s="1">
        <v>3140.15</v>
      </c>
    </row>
    <row r="1084" spans="1:6">
      <c r="A1084" s="9" t="s">
        <v>1723</v>
      </c>
      <c r="B1084" t="s">
        <v>729</v>
      </c>
      <c r="C1084" s="5" t="s">
        <v>731</v>
      </c>
      <c r="D1084" s="1">
        <v>0</v>
      </c>
      <c r="E1084" s="1">
        <v>1953.59</v>
      </c>
    </row>
    <row r="1085" spans="1:6">
      <c r="A1085" s="9" t="s">
        <v>1723</v>
      </c>
      <c r="B1085" t="s">
        <v>792</v>
      </c>
      <c r="C1085" s="5" t="s">
        <v>794</v>
      </c>
      <c r="E1085" s="1">
        <v>10137.299999999999</v>
      </c>
    </row>
    <row r="1086" spans="1:6">
      <c r="A1086" s="9" t="s">
        <v>1723</v>
      </c>
      <c r="B1086" t="s">
        <v>421</v>
      </c>
      <c r="C1086" s="5" t="s">
        <v>423</v>
      </c>
      <c r="E1086" s="1">
        <v>94.05</v>
      </c>
    </row>
    <row r="1087" spans="1:6">
      <c r="A1087" s="9" t="s">
        <v>1723</v>
      </c>
      <c r="B1087" t="s">
        <v>159</v>
      </c>
      <c r="C1087" s="5" t="s">
        <v>161</v>
      </c>
      <c r="D1087" s="1">
        <v>9204</v>
      </c>
      <c r="E1087" s="1">
        <v>1155.2</v>
      </c>
    </row>
    <row r="1088" spans="1:6">
      <c r="A1088" s="9" t="s">
        <v>1723</v>
      </c>
      <c r="B1088" t="s">
        <v>210</v>
      </c>
      <c r="C1088" s="5" t="s">
        <v>212</v>
      </c>
      <c r="D1088" s="1">
        <v>6050</v>
      </c>
    </row>
    <row r="1089" spans="1:5">
      <c r="A1089" s="9" t="s">
        <v>1723</v>
      </c>
      <c r="B1089" t="s">
        <v>415</v>
      </c>
      <c r="C1089" s="5" t="s">
        <v>417</v>
      </c>
      <c r="D1089" s="1">
        <v>13193.3</v>
      </c>
    </row>
    <row r="1090" spans="1:5">
      <c r="A1090" s="9" t="s">
        <v>1723</v>
      </c>
      <c r="B1090" t="s">
        <v>156</v>
      </c>
      <c r="C1090" s="5" t="s">
        <v>158</v>
      </c>
      <c r="D1090" s="1">
        <v>71939.990000000005</v>
      </c>
      <c r="E1090" s="1">
        <v>1132.8699999999999</v>
      </c>
    </row>
    <row r="1091" spans="1:5">
      <c r="A1091" s="9" t="s">
        <v>1723</v>
      </c>
      <c r="B1091" t="s">
        <v>54</v>
      </c>
      <c r="C1091" s="5" t="s">
        <v>56</v>
      </c>
      <c r="D1091" s="1">
        <v>18200</v>
      </c>
    </row>
    <row r="1092" spans="1:5">
      <c r="A1092" s="9" t="s">
        <v>1723</v>
      </c>
      <c r="B1092" t="s">
        <v>264</v>
      </c>
      <c r="C1092" s="5" t="s">
        <v>266</v>
      </c>
      <c r="D1092" s="1">
        <v>5275</v>
      </c>
    </row>
    <row r="1093" spans="1:5">
      <c r="A1093" s="9" t="s">
        <v>1723</v>
      </c>
      <c r="B1093" t="s">
        <v>507</v>
      </c>
      <c r="C1093" s="5" t="s">
        <v>509</v>
      </c>
      <c r="D1093" s="1">
        <v>3389.82</v>
      </c>
      <c r="E1093" s="1">
        <v>2252.33</v>
      </c>
    </row>
    <row r="1094" spans="1:5">
      <c r="A1094" s="9" t="s">
        <v>1723</v>
      </c>
      <c r="B1094" t="s">
        <v>370</v>
      </c>
      <c r="C1094" s="5" t="s">
        <v>372</v>
      </c>
      <c r="D1094" s="1">
        <v>0</v>
      </c>
      <c r="E1094" s="1">
        <v>450</v>
      </c>
    </row>
    <row r="1095" spans="1:5">
      <c r="A1095" s="9" t="s">
        <v>1723</v>
      </c>
      <c r="B1095" t="s">
        <v>445</v>
      </c>
      <c r="C1095" s="5" t="s">
        <v>447</v>
      </c>
      <c r="D1095" s="1">
        <v>5389.73</v>
      </c>
    </row>
    <row r="1096" spans="1:5">
      <c r="A1096" s="9" t="s">
        <v>1723</v>
      </c>
      <c r="B1096" t="s">
        <v>258</v>
      </c>
      <c r="C1096" s="5" t="s">
        <v>260</v>
      </c>
      <c r="E1096" s="1">
        <v>5283.82</v>
      </c>
    </row>
    <row r="1097" spans="1:5">
      <c r="A1097" s="9" t="s">
        <v>1723</v>
      </c>
      <c r="B1097" t="s">
        <v>624</v>
      </c>
      <c r="C1097" s="5" t="s">
        <v>626</v>
      </c>
      <c r="D1097" s="1">
        <v>4185</v>
      </c>
      <c r="E1097" s="1">
        <v>4154.3999999999996</v>
      </c>
    </row>
    <row r="1098" spans="1:5">
      <c r="A1098" s="9" t="s">
        <v>1723</v>
      </c>
      <c r="B1098" t="s">
        <v>771</v>
      </c>
      <c r="C1098" s="5" t="s">
        <v>773</v>
      </c>
      <c r="E1098" s="1">
        <v>8423.0499999999993</v>
      </c>
    </row>
    <row r="1099" spans="1:5">
      <c r="A1099" s="9" t="s">
        <v>1723</v>
      </c>
      <c r="B1099" t="s">
        <v>510</v>
      </c>
      <c r="C1099" s="5" t="s">
        <v>512</v>
      </c>
      <c r="E1099" s="1">
        <v>11491.69</v>
      </c>
    </row>
    <row r="1100" spans="1:5">
      <c r="A1100" s="9" t="s">
        <v>1723</v>
      </c>
      <c r="B1100" t="s">
        <v>108</v>
      </c>
      <c r="C1100" s="5" t="s">
        <v>110</v>
      </c>
      <c r="D1100" s="1">
        <v>2355.4</v>
      </c>
      <c r="E1100" s="1">
        <v>4108</v>
      </c>
    </row>
    <row r="1101" spans="1:5">
      <c r="A1101" s="9" t="s">
        <v>1723</v>
      </c>
      <c r="B1101" t="s">
        <v>612</v>
      </c>
      <c r="C1101" s="5" t="s">
        <v>614</v>
      </c>
      <c r="D1101" s="1">
        <v>2000</v>
      </c>
    </row>
    <row r="1102" spans="1:5">
      <c r="A1102" s="9" t="s">
        <v>1723</v>
      </c>
      <c r="B1102" t="s">
        <v>696</v>
      </c>
      <c r="C1102" s="5" t="s">
        <v>698</v>
      </c>
      <c r="D1102" s="1">
        <v>34920.67</v>
      </c>
      <c r="E1102" s="1">
        <v>-27117.77</v>
      </c>
    </row>
    <row r="1103" spans="1:5">
      <c r="A1103" s="9" t="s">
        <v>1723</v>
      </c>
      <c r="B1103" t="s">
        <v>738</v>
      </c>
      <c r="C1103" s="5" t="s">
        <v>740</v>
      </c>
      <c r="D1103" s="1">
        <v>10184.11</v>
      </c>
    </row>
    <row r="1104" spans="1:5">
      <c r="A1104" s="9" t="s">
        <v>1723</v>
      </c>
      <c r="B1104" t="s">
        <v>468</v>
      </c>
      <c r="C1104" s="5" t="s">
        <v>470</v>
      </c>
      <c r="D1104" s="1">
        <v>10740</v>
      </c>
      <c r="E1104" s="1">
        <v>19723.3</v>
      </c>
    </row>
    <row r="1105" spans="1:5">
      <c r="A1105" s="9" t="s">
        <v>1723</v>
      </c>
      <c r="B1105" t="s">
        <v>324</v>
      </c>
      <c r="C1105" s="5" t="s">
        <v>326</v>
      </c>
      <c r="D1105" s="1">
        <v>6900</v>
      </c>
    </row>
    <row r="1106" spans="1:5">
      <c r="A1106" s="9" t="s">
        <v>1723</v>
      </c>
      <c r="B1106" t="s">
        <v>27</v>
      </c>
      <c r="C1106" s="5" t="s">
        <v>29</v>
      </c>
      <c r="D1106" s="1">
        <v>620.20000000000005</v>
      </c>
    </row>
    <row r="1107" spans="1:5">
      <c r="A1107" s="9" t="s">
        <v>1723</v>
      </c>
      <c r="B1107" t="s">
        <v>385</v>
      </c>
      <c r="C1107" s="5" t="s">
        <v>387</v>
      </c>
      <c r="D1107" s="1">
        <v>538.35</v>
      </c>
    </row>
    <row r="1108" spans="1:5">
      <c r="A1108" s="9" t="s">
        <v>1723</v>
      </c>
      <c r="B1108" t="s">
        <v>654</v>
      </c>
      <c r="C1108" s="5" t="s">
        <v>656</v>
      </c>
      <c r="D1108" s="1">
        <v>20868.97</v>
      </c>
      <c r="E1108" s="1">
        <v>10662.92</v>
      </c>
    </row>
    <row r="1109" spans="1:5">
      <c r="A1109" s="9" t="s">
        <v>1723</v>
      </c>
      <c r="B1109" t="s">
        <v>24</v>
      </c>
      <c r="C1109" s="5" t="s">
        <v>26</v>
      </c>
      <c r="D1109" s="1">
        <v>1700</v>
      </c>
    </row>
    <row r="1110" spans="1:5">
      <c r="A1110" s="9" t="s">
        <v>1723</v>
      </c>
      <c r="B1110" t="s">
        <v>537</v>
      </c>
      <c r="C1110" s="5" t="s">
        <v>539</v>
      </c>
      <c r="D1110" s="1">
        <v>54374.99</v>
      </c>
      <c r="E1110" s="1">
        <v>2954.3</v>
      </c>
    </row>
    <row r="1111" spans="1:5">
      <c r="A1111" s="9" t="s">
        <v>1723</v>
      </c>
      <c r="B1111" t="s">
        <v>99</v>
      </c>
      <c r="C1111" s="5" t="s">
        <v>101</v>
      </c>
      <c r="D1111" s="1">
        <v>22500</v>
      </c>
      <c r="E1111" s="1">
        <v>35237.32</v>
      </c>
    </row>
    <row r="1112" spans="1:5">
      <c r="A1112" s="9" t="s">
        <v>1723</v>
      </c>
      <c r="B1112" t="s">
        <v>338</v>
      </c>
      <c r="C1112" s="5" t="s">
        <v>340</v>
      </c>
      <c r="D1112" s="1">
        <v>87118.51</v>
      </c>
      <c r="E1112" s="1">
        <v>273389.64</v>
      </c>
    </row>
    <row r="1113" spans="1:5">
      <c r="A1113" s="9" t="s">
        <v>1723</v>
      </c>
      <c r="B1113" t="s">
        <v>627</v>
      </c>
      <c r="C1113" s="5" t="s">
        <v>629</v>
      </c>
      <c r="E1113" s="1">
        <v>3498.75</v>
      </c>
    </row>
    <row r="1114" spans="1:5">
      <c r="A1114" s="9" t="s">
        <v>1723</v>
      </c>
      <c r="B1114" t="s">
        <v>165</v>
      </c>
      <c r="C1114" s="5" t="s">
        <v>167</v>
      </c>
      <c r="D1114" s="1">
        <v>17125.490000000002</v>
      </c>
    </row>
    <row r="1115" spans="1:5">
      <c r="A1115" s="9" t="s">
        <v>1723</v>
      </c>
      <c r="B1115" t="s">
        <v>57</v>
      </c>
      <c r="C1115" s="5" t="s">
        <v>59</v>
      </c>
      <c r="D1115" s="1">
        <v>1571.66</v>
      </c>
    </row>
    <row r="1116" spans="1:5">
      <c r="A1116" s="9" t="s">
        <v>1723</v>
      </c>
      <c r="B1116" t="s">
        <v>448</v>
      </c>
      <c r="C1116" s="5" t="s">
        <v>450</v>
      </c>
      <c r="D1116" s="1">
        <v>27598.35</v>
      </c>
    </row>
    <row r="1117" spans="1:5">
      <c r="A1117" s="9" t="s">
        <v>1723</v>
      </c>
      <c r="B1117" t="s">
        <v>657</v>
      </c>
      <c r="C1117" s="5" t="s">
        <v>659</v>
      </c>
      <c r="D1117" s="1">
        <v>145174.73000000001</v>
      </c>
      <c r="E1117" s="1">
        <v>79117.67</v>
      </c>
    </row>
    <row r="1118" spans="1:5">
      <c r="A1118" s="9" t="s">
        <v>1723</v>
      </c>
      <c r="B1118" t="s">
        <v>765</v>
      </c>
      <c r="C1118" s="5" t="s">
        <v>767</v>
      </c>
      <c r="D1118" s="1">
        <v>1396</v>
      </c>
      <c r="E1118" s="1">
        <v>951.81</v>
      </c>
    </row>
    <row r="1119" spans="1:5">
      <c r="A1119" s="9" t="s">
        <v>1723</v>
      </c>
      <c r="B1119" t="s">
        <v>195</v>
      </c>
      <c r="C1119" s="5" t="s">
        <v>197</v>
      </c>
      <c r="D1119" s="1">
        <v>1298</v>
      </c>
      <c r="E1119" s="1">
        <v>1042.52</v>
      </c>
    </row>
    <row r="1120" spans="1:5">
      <c r="A1120" s="9" t="s">
        <v>1723</v>
      </c>
      <c r="B1120" t="s">
        <v>333</v>
      </c>
      <c r="C1120" s="5" t="s">
        <v>335</v>
      </c>
      <c r="D1120" s="1">
        <v>2496</v>
      </c>
      <c r="E1120" s="1">
        <v>5433.98</v>
      </c>
    </row>
    <row r="1121" spans="1:5">
      <c r="A1121" s="9" t="s">
        <v>1723</v>
      </c>
      <c r="B1121" t="s">
        <v>303</v>
      </c>
      <c r="C1121" s="5" t="s">
        <v>305</v>
      </c>
      <c r="D1121" s="1">
        <v>85</v>
      </c>
    </row>
    <row r="1122" spans="1:5">
      <c r="A1122" s="9" t="s">
        <v>1723</v>
      </c>
      <c r="B1122" t="s">
        <v>267</v>
      </c>
      <c r="C1122" s="5" t="s">
        <v>269</v>
      </c>
      <c r="E1122" s="1">
        <v>6498.79</v>
      </c>
    </row>
    <row r="1123" spans="1:5">
      <c r="A1123" s="9" t="s">
        <v>1723</v>
      </c>
      <c r="B1123" t="s">
        <v>1114</v>
      </c>
      <c r="C1123" s="5" t="s">
        <v>1116</v>
      </c>
      <c r="E1123" s="1">
        <v>3410</v>
      </c>
    </row>
    <row r="1124" spans="1:5">
      <c r="A1124" s="9" t="s">
        <v>1723</v>
      </c>
      <c r="B1124" t="s">
        <v>498</v>
      </c>
      <c r="C1124" s="5" t="s">
        <v>500</v>
      </c>
      <c r="D1124" s="1">
        <v>5335.68</v>
      </c>
    </row>
    <row r="1125" spans="1:5">
      <c r="A1125" s="9" t="s">
        <v>1723</v>
      </c>
      <c r="B1125" t="s">
        <v>504</v>
      </c>
      <c r="C1125" s="5" t="s">
        <v>506</v>
      </c>
      <c r="D1125" s="1">
        <v>22250.99</v>
      </c>
      <c r="E1125" s="1">
        <v>21714.82</v>
      </c>
    </row>
    <row r="1126" spans="1:5">
      <c r="A1126" s="9" t="s">
        <v>1723</v>
      </c>
      <c r="B1126" t="s">
        <v>45</v>
      </c>
      <c r="C1126" s="5" t="s">
        <v>47</v>
      </c>
      <c r="D1126" s="1">
        <v>15600</v>
      </c>
    </row>
    <row r="1127" spans="1:5">
      <c r="A1127" s="9" t="s">
        <v>1723</v>
      </c>
      <c r="B1127" t="s">
        <v>231</v>
      </c>
      <c r="C1127" s="5" t="s">
        <v>233</v>
      </c>
      <c r="D1127" s="1">
        <v>252</v>
      </c>
      <c r="E1127" s="1">
        <v>30900</v>
      </c>
    </row>
    <row r="1128" spans="1:5">
      <c r="A1128" s="9" t="s">
        <v>1723</v>
      </c>
      <c r="B1128" t="s">
        <v>681</v>
      </c>
      <c r="C1128" s="5" t="s">
        <v>683</v>
      </c>
      <c r="E1128" s="1">
        <v>536.4</v>
      </c>
    </row>
    <row r="1129" spans="1:5">
      <c r="A1129" s="9" t="s">
        <v>1723</v>
      </c>
      <c r="B1129" t="s">
        <v>397</v>
      </c>
      <c r="C1129" s="5" t="s">
        <v>399</v>
      </c>
      <c r="D1129" s="1">
        <v>800</v>
      </c>
    </row>
    <row r="1130" spans="1:5">
      <c r="A1130" s="9" t="s">
        <v>1723</v>
      </c>
      <c r="B1130" t="s">
        <v>87</v>
      </c>
      <c r="C1130" s="5" t="s">
        <v>89</v>
      </c>
      <c r="D1130" s="1">
        <v>9000</v>
      </c>
    </row>
    <row r="1131" spans="1:5">
      <c r="A1131" s="9" t="s">
        <v>1723</v>
      </c>
      <c r="B1131" t="s">
        <v>81</v>
      </c>
      <c r="C1131" s="5" t="s">
        <v>83</v>
      </c>
      <c r="D1131" s="1">
        <v>1163.6400000000001</v>
      </c>
    </row>
    <row r="1132" spans="1:5">
      <c r="A1132" s="9" t="s">
        <v>1723</v>
      </c>
      <c r="B1132" t="s">
        <v>225</v>
      </c>
      <c r="C1132" s="5" t="s">
        <v>227</v>
      </c>
      <c r="D1132" s="1">
        <v>12000</v>
      </c>
    </row>
    <row r="1133" spans="1:5">
      <c r="A1133" s="9" t="s">
        <v>1723</v>
      </c>
      <c r="B1133" t="s">
        <v>1728</v>
      </c>
      <c r="C1133" s="5" t="s">
        <v>1730</v>
      </c>
      <c r="D1133" s="1">
        <v>33626.03</v>
      </c>
    </row>
    <row r="1134" spans="1:5">
      <c r="A1134" s="9" t="s">
        <v>1723</v>
      </c>
      <c r="B1134" t="s">
        <v>388</v>
      </c>
      <c r="C1134" s="5" t="s">
        <v>390</v>
      </c>
      <c r="D1134" s="1">
        <v>1478.75</v>
      </c>
    </row>
    <row r="1135" spans="1:5">
      <c r="A1135" s="9" t="s">
        <v>1723</v>
      </c>
      <c r="B1135" t="s">
        <v>528</v>
      </c>
      <c r="C1135" s="5" t="s">
        <v>530</v>
      </c>
      <c r="D1135" s="1">
        <v>6343.01</v>
      </c>
      <c r="E1135" s="1">
        <v>1228.57</v>
      </c>
    </row>
    <row r="1136" spans="1:5">
      <c r="A1136" s="9" t="s">
        <v>1723</v>
      </c>
      <c r="B1136" t="s">
        <v>240</v>
      </c>
      <c r="C1136" s="5" t="s">
        <v>242</v>
      </c>
      <c r="D1136" s="1">
        <v>3000</v>
      </c>
    </row>
    <row r="1137" spans="1:8">
      <c r="A1137" s="9" t="s">
        <v>1723</v>
      </c>
      <c r="B1137" t="s">
        <v>1731</v>
      </c>
      <c r="C1137" s="5" t="s">
        <v>1733</v>
      </c>
      <c r="D1137" s="1">
        <v>2285.67</v>
      </c>
    </row>
    <row r="1138" spans="1:8">
      <c r="A1138" s="9" t="s">
        <v>1723</v>
      </c>
      <c r="B1138" t="s">
        <v>367</v>
      </c>
      <c r="C1138" s="5" t="s">
        <v>369</v>
      </c>
      <c r="E1138" s="1">
        <v>1965.36</v>
      </c>
    </row>
    <row r="1139" spans="1:8">
      <c r="A1139" s="9" t="s">
        <v>1723</v>
      </c>
      <c r="B1139" t="s">
        <v>309</v>
      </c>
      <c r="C1139" s="5" t="s">
        <v>311</v>
      </c>
      <c r="E1139" s="1">
        <v>600</v>
      </c>
    </row>
    <row r="1140" spans="1:8">
      <c r="A1140" s="9" t="s">
        <v>1734</v>
      </c>
      <c r="B1140" t="s">
        <v>1247</v>
      </c>
      <c r="C1140" s="5" t="s">
        <v>1249</v>
      </c>
      <c r="D1140" s="1">
        <v>2145.36</v>
      </c>
      <c r="E1140" s="1">
        <v>1487.84</v>
      </c>
      <c r="G1140" s="1">
        <v>3095.81</v>
      </c>
      <c r="H1140" s="1">
        <v>1096.8800000000001</v>
      </c>
    </row>
    <row r="1141" spans="1:8">
      <c r="A1141" s="9" t="s">
        <v>1734</v>
      </c>
      <c r="B1141" t="s">
        <v>1167</v>
      </c>
      <c r="C1141" s="5" t="s">
        <v>1169</v>
      </c>
      <c r="D1141" s="1">
        <v>0</v>
      </c>
      <c r="G1141" s="1">
        <v>1778.12</v>
      </c>
    </row>
    <row r="1142" spans="1:8">
      <c r="A1142" s="9" t="s">
        <v>1734</v>
      </c>
      <c r="B1142" t="s">
        <v>1736</v>
      </c>
      <c r="C1142" s="5" t="s">
        <v>1738</v>
      </c>
      <c r="F1142" s="1">
        <v>732</v>
      </c>
    </row>
    <row r="1143" spans="1:8">
      <c r="A1143" s="9" t="s">
        <v>1734</v>
      </c>
      <c r="B1143" t="s">
        <v>845</v>
      </c>
      <c r="C1143" s="5" t="s">
        <v>847</v>
      </c>
      <c r="F1143" s="1">
        <v>3933.13</v>
      </c>
    </row>
    <row r="1144" spans="1:8">
      <c r="A1144" s="9" t="s">
        <v>1734</v>
      </c>
      <c r="B1144" t="s">
        <v>1194</v>
      </c>
      <c r="C1144" s="5" t="s">
        <v>1196</v>
      </c>
      <c r="E1144" s="1">
        <v>7382.41</v>
      </c>
      <c r="F1144" s="1">
        <v>19098.48</v>
      </c>
      <c r="G1144" s="1">
        <v>1882.89</v>
      </c>
      <c r="H1144" s="1">
        <v>294.83</v>
      </c>
    </row>
    <row r="1145" spans="1:8">
      <c r="A1145" s="9" t="s">
        <v>1734</v>
      </c>
      <c r="B1145" t="s">
        <v>1739</v>
      </c>
      <c r="C1145" s="5" t="s">
        <v>1741</v>
      </c>
      <c r="F1145" s="1">
        <v>1179.0999999999999</v>
      </c>
    </row>
    <row r="1146" spans="1:8">
      <c r="A1146" s="9" t="s">
        <v>1734</v>
      </c>
      <c r="B1146" t="s">
        <v>1742</v>
      </c>
      <c r="C1146" s="5" t="s">
        <v>1744</v>
      </c>
      <c r="F1146" s="1">
        <v>993.36</v>
      </c>
    </row>
    <row r="1147" spans="1:8">
      <c r="A1147" s="9" t="s">
        <v>1734</v>
      </c>
      <c r="B1147" t="s">
        <v>1742</v>
      </c>
      <c r="C1147" s="5" t="s">
        <v>1745</v>
      </c>
      <c r="F1147" s="1">
        <v>578.37</v>
      </c>
    </row>
    <row r="1148" spans="1:8">
      <c r="A1148" s="9" t="s">
        <v>1734</v>
      </c>
      <c r="B1148" t="s">
        <v>1746</v>
      </c>
      <c r="C1148" s="5" t="s">
        <v>1748</v>
      </c>
      <c r="F1148" s="1">
        <v>772.5</v>
      </c>
    </row>
    <row r="1149" spans="1:8">
      <c r="A1149" s="9" t="s">
        <v>1734</v>
      </c>
      <c r="B1149" t="s">
        <v>833</v>
      </c>
      <c r="C1149" s="5" t="s">
        <v>835</v>
      </c>
      <c r="E1149" s="1">
        <v>1128.05</v>
      </c>
      <c r="F1149" s="1">
        <v>3036</v>
      </c>
    </row>
    <row r="1150" spans="1:8">
      <c r="A1150" s="9" t="s">
        <v>1734</v>
      </c>
      <c r="B1150" t="s">
        <v>1749</v>
      </c>
      <c r="C1150" s="5" t="s">
        <v>1751</v>
      </c>
      <c r="E1150" s="1">
        <v>652.57000000000005</v>
      </c>
    </row>
    <row r="1151" spans="1:8">
      <c r="A1151" s="9" t="s">
        <v>1734</v>
      </c>
      <c r="B1151" t="s">
        <v>1752</v>
      </c>
      <c r="C1151" s="5" t="s">
        <v>1754</v>
      </c>
      <c r="E1151" s="1">
        <v>615.69000000000005</v>
      </c>
      <c r="G1151" s="1">
        <v>1320.78</v>
      </c>
    </row>
    <row r="1152" spans="1:8">
      <c r="A1152" s="9" t="s">
        <v>1734</v>
      </c>
      <c r="B1152" t="s">
        <v>1755</v>
      </c>
      <c r="C1152" s="5" t="s">
        <v>1757</v>
      </c>
      <c r="E1152" s="1">
        <v>410</v>
      </c>
      <c r="G1152" s="1">
        <v>207.76</v>
      </c>
      <c r="H1152" s="1">
        <v>72.849999999999994</v>
      </c>
    </row>
    <row r="1153" spans="1:8">
      <c r="A1153" s="9" t="s">
        <v>1734</v>
      </c>
      <c r="B1153" t="s">
        <v>1164</v>
      </c>
      <c r="C1153" s="5" t="s">
        <v>1166</v>
      </c>
      <c r="G1153" s="1">
        <v>23966.36</v>
      </c>
      <c r="H1153" s="1">
        <v>7046.41</v>
      </c>
    </row>
    <row r="1154" spans="1:8">
      <c r="A1154" s="9" t="s">
        <v>1734</v>
      </c>
      <c r="B1154" t="s">
        <v>1268</v>
      </c>
      <c r="C1154" s="5" t="s">
        <v>1270</v>
      </c>
      <c r="G1154" s="1">
        <v>37220.129999999997</v>
      </c>
      <c r="H1154" s="1">
        <v>706.68</v>
      </c>
    </row>
    <row r="1155" spans="1:8">
      <c r="A1155" s="9" t="s">
        <v>1734</v>
      </c>
      <c r="B1155" t="s">
        <v>1049</v>
      </c>
      <c r="C1155" s="5" t="s">
        <v>1051</v>
      </c>
      <c r="D1155" s="1">
        <v>183903.97</v>
      </c>
      <c r="E1155" s="1">
        <v>398221.38</v>
      </c>
      <c r="F1155" s="1">
        <v>377951.88</v>
      </c>
    </row>
    <row r="1156" spans="1:8">
      <c r="A1156" s="9" t="s">
        <v>1734</v>
      </c>
      <c r="B1156" t="s">
        <v>1758</v>
      </c>
      <c r="C1156" s="5" t="s">
        <v>1760</v>
      </c>
      <c r="D1156" s="1">
        <v>250</v>
      </c>
    </row>
    <row r="1157" spans="1:8">
      <c r="A1157" s="9" t="s">
        <v>1734</v>
      </c>
      <c r="B1157" t="s">
        <v>1761</v>
      </c>
      <c r="C1157" s="5" t="s">
        <v>1763</v>
      </c>
      <c r="E1157" s="1">
        <v>16</v>
      </c>
    </row>
    <row r="1158" spans="1:8">
      <c r="A1158" s="9" t="s">
        <v>1734</v>
      </c>
      <c r="B1158" t="s">
        <v>1764</v>
      </c>
      <c r="C1158" s="5" t="s">
        <v>1766</v>
      </c>
      <c r="F1158" s="1">
        <v>350</v>
      </c>
    </row>
    <row r="1159" spans="1:8">
      <c r="A1159" s="9" t="s">
        <v>1734</v>
      </c>
      <c r="B1159" t="s">
        <v>1767</v>
      </c>
      <c r="C1159" s="5" t="s">
        <v>1769</v>
      </c>
      <c r="F1159" s="1">
        <v>5874.87</v>
      </c>
    </row>
    <row r="1160" spans="1:8">
      <c r="A1160" s="9" t="s">
        <v>1734</v>
      </c>
      <c r="B1160" t="s">
        <v>1770</v>
      </c>
      <c r="C1160" s="5" t="s">
        <v>1772</v>
      </c>
      <c r="F1160" s="1">
        <v>2689.08</v>
      </c>
    </row>
    <row r="1161" spans="1:8">
      <c r="A1161" s="9" t="s">
        <v>1734</v>
      </c>
      <c r="B1161" t="s">
        <v>1773</v>
      </c>
      <c r="C1161" s="5" t="s">
        <v>1775</v>
      </c>
      <c r="F1161" s="1">
        <v>1659.33</v>
      </c>
    </row>
    <row r="1162" spans="1:8">
      <c r="A1162" s="9" t="s">
        <v>1734</v>
      </c>
      <c r="B1162" t="s">
        <v>1776</v>
      </c>
      <c r="C1162" s="5" t="s">
        <v>1778</v>
      </c>
      <c r="D1162" s="1">
        <v>5159.03</v>
      </c>
      <c r="F1162" s="1">
        <v>10238.36</v>
      </c>
    </row>
    <row r="1163" spans="1:8">
      <c r="A1163" s="9" t="s">
        <v>1734</v>
      </c>
      <c r="B1163" t="s">
        <v>1779</v>
      </c>
      <c r="C1163" s="5" t="s">
        <v>1781</v>
      </c>
      <c r="F1163" s="1">
        <v>1842.9</v>
      </c>
      <c r="G1163" s="1">
        <v>626.51</v>
      </c>
      <c r="H1163" s="1">
        <v>114.32</v>
      </c>
    </row>
    <row r="1164" spans="1:8">
      <c r="A1164" s="9" t="s">
        <v>1734</v>
      </c>
      <c r="B1164" t="s">
        <v>1782</v>
      </c>
      <c r="C1164" s="5" t="s">
        <v>1784</v>
      </c>
      <c r="G1164" s="1">
        <v>1155.845</v>
      </c>
      <c r="H1164" s="1">
        <v>289.5</v>
      </c>
    </row>
    <row r="1165" spans="1:8">
      <c r="A1165" s="9" t="s">
        <v>1734</v>
      </c>
      <c r="B1165" t="s">
        <v>1280</v>
      </c>
      <c r="C1165" s="5" t="s">
        <v>1282</v>
      </c>
      <c r="D1165" s="1">
        <v>7988.2</v>
      </c>
      <c r="F1165" s="1">
        <v>2447</v>
      </c>
    </row>
    <row r="1166" spans="1:8">
      <c r="A1166" s="9" t="s">
        <v>1734</v>
      </c>
      <c r="B1166" t="s">
        <v>1785</v>
      </c>
      <c r="C1166" s="5" t="s">
        <v>1787</v>
      </c>
      <c r="D1166" s="1">
        <v>0</v>
      </c>
      <c r="F1166" s="1">
        <v>1871.9</v>
      </c>
    </row>
    <row r="1167" spans="1:8">
      <c r="A1167" s="9" t="s">
        <v>1734</v>
      </c>
      <c r="B1167" t="s">
        <v>1788</v>
      </c>
      <c r="C1167" s="5" t="s">
        <v>1790</v>
      </c>
      <c r="F1167" s="1">
        <v>3290.86</v>
      </c>
    </row>
    <row r="1168" spans="1:8">
      <c r="A1168" s="9" t="s">
        <v>1734</v>
      </c>
      <c r="B1168" t="s">
        <v>1791</v>
      </c>
      <c r="C1168" s="5" t="s">
        <v>1793</v>
      </c>
      <c r="F1168" s="1">
        <v>1197.53</v>
      </c>
    </row>
    <row r="1169" spans="1:8">
      <c r="A1169" s="9" t="s">
        <v>1734</v>
      </c>
      <c r="B1169" t="s">
        <v>1794</v>
      </c>
      <c r="C1169" s="5" t="s">
        <v>1796</v>
      </c>
      <c r="F1169" s="1">
        <v>1461.38</v>
      </c>
    </row>
    <row r="1170" spans="1:8">
      <c r="A1170" s="9" t="s">
        <v>1734</v>
      </c>
      <c r="B1170" t="s">
        <v>1797</v>
      </c>
      <c r="C1170" s="5" t="s">
        <v>1799</v>
      </c>
      <c r="F1170" s="1">
        <v>362.8</v>
      </c>
    </row>
    <row r="1171" spans="1:8">
      <c r="A1171" s="9" t="s">
        <v>1734</v>
      </c>
      <c r="B1171" t="s">
        <v>1731</v>
      </c>
      <c r="C1171" s="5" t="s">
        <v>1733</v>
      </c>
      <c r="F1171" s="1">
        <v>5731.33</v>
      </c>
    </row>
    <row r="1172" spans="1:8">
      <c r="A1172" s="9" t="s">
        <v>1734</v>
      </c>
      <c r="B1172" t="s">
        <v>1067</v>
      </c>
      <c r="C1172" s="5" t="s">
        <v>1800</v>
      </c>
      <c r="F1172" s="1">
        <v>830.2</v>
      </c>
    </row>
    <row r="1173" spans="1:8">
      <c r="A1173" s="9" t="s">
        <v>1734</v>
      </c>
      <c r="B1173" t="s">
        <v>1801</v>
      </c>
      <c r="C1173" s="5" t="s">
        <v>1803</v>
      </c>
      <c r="F1173" s="1">
        <v>464.09</v>
      </c>
    </row>
    <row r="1174" spans="1:8">
      <c r="A1174" s="9" t="s">
        <v>1734</v>
      </c>
      <c r="B1174" t="s">
        <v>1804</v>
      </c>
      <c r="C1174" s="5" t="s">
        <v>1806</v>
      </c>
      <c r="D1174" s="1">
        <v>1615</v>
      </c>
      <c r="F1174" s="1">
        <v>1806.18</v>
      </c>
    </row>
    <row r="1175" spans="1:8">
      <c r="A1175" s="9" t="s">
        <v>1734</v>
      </c>
      <c r="B1175" t="s">
        <v>1807</v>
      </c>
      <c r="C1175" s="5" t="s">
        <v>1809</v>
      </c>
      <c r="E1175" s="1">
        <v>1372.18</v>
      </c>
    </row>
    <row r="1176" spans="1:8">
      <c r="A1176" s="9" t="s">
        <v>1734</v>
      </c>
      <c r="B1176" t="s">
        <v>1810</v>
      </c>
      <c r="C1176" s="5" t="s">
        <v>1812</v>
      </c>
      <c r="E1176" s="1">
        <v>5908.66</v>
      </c>
      <c r="F1176" s="1">
        <v>13367.17</v>
      </c>
      <c r="G1176" s="1">
        <v>1264.1600000000001</v>
      </c>
      <c r="H1176" s="1">
        <v>131.72</v>
      </c>
    </row>
    <row r="1177" spans="1:8">
      <c r="A1177" s="9" t="s">
        <v>1734</v>
      </c>
      <c r="B1177" t="s">
        <v>1813</v>
      </c>
      <c r="C1177" s="5" t="s">
        <v>1815</v>
      </c>
      <c r="D1177" s="1">
        <v>200</v>
      </c>
      <c r="G1177" s="1">
        <v>120.4</v>
      </c>
    </row>
    <row r="1178" spans="1:8">
      <c r="A1178" s="9" t="s">
        <v>1734</v>
      </c>
      <c r="B1178" t="s">
        <v>1223</v>
      </c>
      <c r="C1178" s="5" t="s">
        <v>1225</v>
      </c>
      <c r="D1178" s="1">
        <v>208730.66</v>
      </c>
      <c r="F1178" s="1">
        <v>355849.44</v>
      </c>
    </row>
    <row r="1179" spans="1:8">
      <c r="A1179" s="9" t="s">
        <v>1734</v>
      </c>
      <c r="B1179" t="s">
        <v>1816</v>
      </c>
      <c r="C1179" s="5" t="s">
        <v>1818</v>
      </c>
      <c r="F1179" s="1">
        <v>1886.45</v>
      </c>
    </row>
    <row r="1180" spans="1:8">
      <c r="A1180" s="9" t="s">
        <v>1734</v>
      </c>
      <c r="B1180" t="s">
        <v>750</v>
      </c>
      <c r="C1180" s="5" t="s">
        <v>752</v>
      </c>
      <c r="F1180" s="1">
        <v>1236.8499999999999</v>
      </c>
    </row>
    <row r="1181" spans="1:8">
      <c r="A1181" s="9" t="s">
        <v>1734</v>
      </c>
      <c r="B1181" t="s">
        <v>1819</v>
      </c>
      <c r="C1181" s="5" t="s">
        <v>1821</v>
      </c>
      <c r="F1181" s="1">
        <v>4500</v>
      </c>
    </row>
    <row r="1182" spans="1:8">
      <c r="A1182" s="9" t="s">
        <v>1734</v>
      </c>
      <c r="B1182" t="s">
        <v>1822</v>
      </c>
      <c r="C1182" s="5" t="s">
        <v>1824</v>
      </c>
      <c r="F1182" s="1">
        <v>250</v>
      </c>
    </row>
    <row r="1183" spans="1:8">
      <c r="A1183" s="9" t="s">
        <v>1734</v>
      </c>
      <c r="B1183" t="s">
        <v>1307</v>
      </c>
      <c r="C1183" s="5" t="s">
        <v>1309</v>
      </c>
      <c r="E1183" s="1">
        <v>145.21</v>
      </c>
      <c r="F1183" s="1">
        <v>7077.9</v>
      </c>
      <c r="G1183" s="1">
        <v>854.42</v>
      </c>
      <c r="H1183" s="1">
        <v>101.51</v>
      </c>
    </row>
    <row r="1184" spans="1:8">
      <c r="A1184" s="9" t="s">
        <v>1734</v>
      </c>
      <c r="B1184" t="s">
        <v>1274</v>
      </c>
      <c r="C1184" s="5" t="s">
        <v>1276</v>
      </c>
      <c r="F1184" s="1">
        <v>45600</v>
      </c>
    </row>
    <row r="1185" spans="1:8">
      <c r="A1185" s="9" t="s">
        <v>1734</v>
      </c>
      <c r="B1185" t="s">
        <v>1825</v>
      </c>
      <c r="C1185" s="5" t="s">
        <v>1827</v>
      </c>
      <c r="F1185" s="1">
        <v>766.4</v>
      </c>
    </row>
    <row r="1186" spans="1:8">
      <c r="A1186" s="9" t="s">
        <v>1734</v>
      </c>
      <c r="B1186" t="s">
        <v>1828</v>
      </c>
      <c r="C1186" s="5" t="s">
        <v>1830</v>
      </c>
      <c r="F1186" s="1">
        <v>1000</v>
      </c>
    </row>
    <row r="1187" spans="1:8">
      <c r="A1187" s="9" t="s">
        <v>1734</v>
      </c>
      <c r="B1187" t="s">
        <v>756</v>
      </c>
      <c r="C1187" s="5" t="s">
        <v>758</v>
      </c>
      <c r="E1187" s="1">
        <v>14.41</v>
      </c>
    </row>
    <row r="1188" spans="1:8">
      <c r="A1188" s="9" t="s">
        <v>1734</v>
      </c>
      <c r="B1188" t="s">
        <v>1161</v>
      </c>
      <c r="C1188" s="5" t="s">
        <v>1163</v>
      </c>
      <c r="E1188" s="1">
        <v>10583.6</v>
      </c>
      <c r="F1188" s="1">
        <v>19209.39</v>
      </c>
    </row>
    <row r="1189" spans="1:8">
      <c r="A1189" s="9" t="s">
        <v>1734</v>
      </c>
      <c r="B1189" t="s">
        <v>1831</v>
      </c>
      <c r="C1189" s="5" t="s">
        <v>1833</v>
      </c>
      <c r="E1189" s="1">
        <v>3127</v>
      </c>
      <c r="F1189" s="1">
        <v>12500</v>
      </c>
    </row>
    <row r="1190" spans="1:8">
      <c r="A1190" s="9" t="s">
        <v>1734</v>
      </c>
      <c r="B1190" t="s">
        <v>1073</v>
      </c>
      <c r="C1190" s="5" t="s">
        <v>1075</v>
      </c>
      <c r="G1190" s="1">
        <v>14559.01</v>
      </c>
    </row>
    <row r="1191" spans="1:8">
      <c r="A1191" s="9" t="s">
        <v>1734</v>
      </c>
      <c r="B1191" t="s">
        <v>857</v>
      </c>
      <c r="C1191" s="5" t="s">
        <v>859</v>
      </c>
      <c r="G1191" s="1">
        <v>446.08</v>
      </c>
    </row>
    <row r="1192" spans="1:8">
      <c r="A1192" s="9" t="s">
        <v>1734</v>
      </c>
      <c r="B1192" t="s">
        <v>1834</v>
      </c>
      <c r="C1192" s="5" t="s">
        <v>1836</v>
      </c>
      <c r="F1192" s="1">
        <v>2785</v>
      </c>
    </row>
    <row r="1193" spans="1:8">
      <c r="A1193" s="9" t="s">
        <v>1734</v>
      </c>
      <c r="B1193" t="s">
        <v>1253</v>
      </c>
      <c r="C1193" s="5" t="s">
        <v>1255</v>
      </c>
      <c r="F1193" s="1">
        <v>696.52</v>
      </c>
    </row>
    <row r="1194" spans="1:8">
      <c r="A1194" s="9" t="s">
        <v>1734</v>
      </c>
      <c r="B1194" t="s">
        <v>1837</v>
      </c>
      <c r="C1194" s="5" t="s">
        <v>1839</v>
      </c>
      <c r="E1194" s="1">
        <v>1282.98</v>
      </c>
      <c r="F1194" s="1">
        <v>3466.56</v>
      </c>
    </row>
    <row r="1195" spans="1:8">
      <c r="A1195" s="9" t="s">
        <v>1734</v>
      </c>
      <c r="B1195" t="s">
        <v>1840</v>
      </c>
      <c r="C1195" s="5" t="s">
        <v>1842</v>
      </c>
      <c r="E1195" s="1">
        <v>464.03</v>
      </c>
    </row>
    <row r="1196" spans="1:8">
      <c r="A1196" s="9" t="s">
        <v>1734</v>
      </c>
      <c r="B1196" t="s">
        <v>1256</v>
      </c>
      <c r="C1196" s="5" t="s">
        <v>1258</v>
      </c>
      <c r="G1196" s="1">
        <v>1715.08</v>
      </c>
      <c r="H1196" s="1">
        <v>209.56</v>
      </c>
    </row>
    <row r="1197" spans="1:8">
      <c r="A1197" s="9" t="s">
        <v>1734</v>
      </c>
      <c r="B1197" t="s">
        <v>1843</v>
      </c>
      <c r="C1197" s="5" t="s">
        <v>1845</v>
      </c>
      <c r="D1197" s="1">
        <v>0</v>
      </c>
    </row>
    <row r="1198" spans="1:8">
      <c r="A1198" s="9" t="s">
        <v>1734</v>
      </c>
      <c r="B1198" t="s">
        <v>1846</v>
      </c>
      <c r="C1198" s="5" t="s">
        <v>1848</v>
      </c>
      <c r="D1198" s="1">
        <v>0</v>
      </c>
    </row>
    <row r="1199" spans="1:8">
      <c r="A1199" s="9" t="s">
        <v>1734</v>
      </c>
      <c r="B1199" t="s">
        <v>1849</v>
      </c>
      <c r="C1199" s="5" t="s">
        <v>1851</v>
      </c>
      <c r="F1199" s="1">
        <v>3536.47</v>
      </c>
    </row>
    <row r="1200" spans="1:8">
      <c r="A1200" s="9" t="s">
        <v>1734</v>
      </c>
      <c r="B1200" t="s">
        <v>1852</v>
      </c>
      <c r="C1200" s="5" t="s">
        <v>1854</v>
      </c>
      <c r="F1200" s="1">
        <v>1612.45</v>
      </c>
    </row>
    <row r="1201" spans="1:7">
      <c r="A1201" s="9" t="s">
        <v>1734</v>
      </c>
      <c r="B1201" t="s">
        <v>1058</v>
      </c>
      <c r="C1201" s="5" t="s">
        <v>1060</v>
      </c>
      <c r="F1201" s="1">
        <v>2410.96</v>
      </c>
    </row>
    <row r="1202" spans="1:7">
      <c r="A1202" s="9" t="s">
        <v>1734</v>
      </c>
      <c r="B1202" t="s">
        <v>1855</v>
      </c>
      <c r="C1202" s="5" t="s">
        <v>1857</v>
      </c>
      <c r="F1202" s="1">
        <v>789.87</v>
      </c>
    </row>
    <row r="1203" spans="1:7">
      <c r="A1203" s="9" t="s">
        <v>1734</v>
      </c>
      <c r="B1203" t="s">
        <v>1858</v>
      </c>
      <c r="C1203" s="5" t="s">
        <v>1860</v>
      </c>
      <c r="D1203" s="1">
        <v>1500</v>
      </c>
      <c r="F1203" s="1">
        <v>1931.63</v>
      </c>
    </row>
    <row r="1204" spans="1:7">
      <c r="A1204" s="9" t="s">
        <v>1734</v>
      </c>
      <c r="B1204" t="s">
        <v>1028</v>
      </c>
      <c r="C1204" s="5" t="s">
        <v>1030</v>
      </c>
      <c r="F1204" s="1">
        <v>1325.79</v>
      </c>
    </row>
    <row r="1205" spans="1:7">
      <c r="A1205" s="9" t="s">
        <v>1734</v>
      </c>
      <c r="B1205" t="s">
        <v>1861</v>
      </c>
      <c r="C1205" s="5" t="s">
        <v>1863</v>
      </c>
      <c r="F1205" s="1">
        <v>626.74</v>
      </c>
    </row>
    <row r="1206" spans="1:7">
      <c r="A1206" s="9" t="s">
        <v>1734</v>
      </c>
      <c r="B1206" t="s">
        <v>1301</v>
      </c>
      <c r="C1206" s="5" t="s">
        <v>1303</v>
      </c>
      <c r="E1206" s="1">
        <v>696.01</v>
      </c>
    </row>
    <row r="1207" spans="1:7">
      <c r="A1207" s="9" t="s">
        <v>1734</v>
      </c>
      <c r="B1207" t="s">
        <v>717</v>
      </c>
      <c r="C1207" s="5" t="s">
        <v>719</v>
      </c>
      <c r="G1207" s="1">
        <v>880.4</v>
      </c>
    </row>
    <row r="1208" spans="1:7">
      <c r="A1208" s="9" t="s">
        <v>1734</v>
      </c>
      <c r="B1208" t="s">
        <v>1250</v>
      </c>
      <c r="C1208" s="5" t="s">
        <v>1252</v>
      </c>
      <c r="D1208" s="1">
        <v>23263.93</v>
      </c>
    </row>
    <row r="1209" spans="1:7">
      <c r="A1209" s="9" t="s">
        <v>1734</v>
      </c>
      <c r="B1209" t="s">
        <v>1215</v>
      </c>
      <c r="C1209" s="5" t="s">
        <v>1217</v>
      </c>
      <c r="E1209" s="1">
        <v>8178.76</v>
      </c>
    </row>
    <row r="1210" spans="1:7">
      <c r="A1210" s="9" t="s">
        <v>1734</v>
      </c>
      <c r="B1210" t="s">
        <v>1864</v>
      </c>
      <c r="C1210" s="5" t="s">
        <v>1866</v>
      </c>
      <c r="F1210" s="1">
        <v>1500</v>
      </c>
    </row>
    <row r="1211" spans="1:7">
      <c r="A1211" s="9" t="s">
        <v>1734</v>
      </c>
      <c r="B1211" t="s">
        <v>1867</v>
      </c>
      <c r="C1211" s="5" t="s">
        <v>1869</v>
      </c>
      <c r="E1211" s="1">
        <v>397.53</v>
      </c>
      <c r="F1211" s="1">
        <v>1230</v>
      </c>
    </row>
    <row r="1212" spans="1:7">
      <c r="A1212" s="9" t="s">
        <v>1734</v>
      </c>
      <c r="B1212" t="s">
        <v>1870</v>
      </c>
      <c r="C1212" s="5" t="s">
        <v>1872</v>
      </c>
      <c r="F1212" s="1">
        <v>1179.0999999999999</v>
      </c>
    </row>
    <row r="1213" spans="1:7">
      <c r="A1213" s="9" t="s">
        <v>1734</v>
      </c>
      <c r="B1213" t="s">
        <v>1873</v>
      </c>
      <c r="C1213" s="5" t="s">
        <v>1875</v>
      </c>
      <c r="F1213" s="1">
        <v>550</v>
      </c>
    </row>
    <row r="1214" spans="1:7">
      <c r="A1214" s="9" t="s">
        <v>1734</v>
      </c>
      <c r="B1214" t="s">
        <v>1876</v>
      </c>
      <c r="C1214" s="5" t="s">
        <v>1878</v>
      </c>
      <c r="F1214" s="1">
        <v>3136.5</v>
      </c>
    </row>
    <row r="1215" spans="1:7">
      <c r="A1215" s="9" t="s">
        <v>1879</v>
      </c>
      <c r="B1215" t="s">
        <v>1355</v>
      </c>
      <c r="C1215" s="5" t="s">
        <v>1355</v>
      </c>
      <c r="G1215" s="1">
        <v>3494.8</v>
      </c>
    </row>
    <row r="1216" spans="1:7">
      <c r="A1216" s="9" t="s">
        <v>1879</v>
      </c>
      <c r="B1216" t="s">
        <v>457</v>
      </c>
      <c r="C1216" s="5" t="s">
        <v>457</v>
      </c>
      <c r="G1216" s="1">
        <v>2150.2399999999998</v>
      </c>
    </row>
    <row r="1217" spans="1:7">
      <c r="A1217" s="9" t="s">
        <v>1879</v>
      </c>
      <c r="B1217" t="s">
        <v>353</v>
      </c>
      <c r="C1217" s="5" t="s">
        <v>353</v>
      </c>
      <c r="G1217" s="1">
        <v>20817.830000000002</v>
      </c>
    </row>
    <row r="1218" spans="1:7">
      <c r="A1218" s="9" t="s">
        <v>1879</v>
      </c>
      <c r="B1218" t="s">
        <v>1315</v>
      </c>
      <c r="C1218" s="5" t="s">
        <v>1315</v>
      </c>
      <c r="G1218" s="1">
        <v>6732.02</v>
      </c>
    </row>
    <row r="1219" spans="1:7">
      <c r="A1219" s="9" t="s">
        <v>1879</v>
      </c>
      <c r="B1219" t="s">
        <v>1397</v>
      </c>
      <c r="C1219" s="5" t="s">
        <v>1397</v>
      </c>
      <c r="G1219" s="1">
        <v>1728.08</v>
      </c>
    </row>
    <row r="1220" spans="1:7">
      <c r="A1220" s="9" t="s">
        <v>1879</v>
      </c>
      <c r="B1220" t="s">
        <v>759</v>
      </c>
      <c r="C1220" s="5" t="s">
        <v>761</v>
      </c>
      <c r="G1220" s="1">
        <v>22.78</v>
      </c>
    </row>
    <row r="1221" spans="1:7">
      <c r="A1221" s="9" t="s">
        <v>1879</v>
      </c>
      <c r="B1221" t="s">
        <v>1387</v>
      </c>
      <c r="C1221" s="5" t="s">
        <v>1387</v>
      </c>
      <c r="G1221" s="1">
        <v>247855.41500000001</v>
      </c>
    </row>
    <row r="1222" spans="1:7">
      <c r="A1222" s="9" t="s">
        <v>1879</v>
      </c>
      <c r="B1222" t="s">
        <v>336</v>
      </c>
      <c r="C1222" s="5" t="s">
        <v>336</v>
      </c>
      <c r="G1222" s="1">
        <v>8532.92</v>
      </c>
    </row>
    <row r="1223" spans="1:7">
      <c r="A1223" s="9" t="s">
        <v>1879</v>
      </c>
      <c r="B1223" t="s">
        <v>1372</v>
      </c>
      <c r="C1223" s="5" t="s">
        <v>1372</v>
      </c>
      <c r="G1223" s="1">
        <v>145100.375</v>
      </c>
    </row>
    <row r="1224" spans="1:7">
      <c r="A1224" s="9" t="s">
        <v>1879</v>
      </c>
      <c r="B1224" t="s">
        <v>1395</v>
      </c>
      <c r="C1224" s="5" t="s">
        <v>1395</v>
      </c>
      <c r="G1224" s="1">
        <v>361.94</v>
      </c>
    </row>
    <row r="1225" spans="1:7">
      <c r="A1225" s="9" t="s">
        <v>1879</v>
      </c>
      <c r="B1225" t="s">
        <v>1359</v>
      </c>
      <c r="C1225" s="5" t="s">
        <v>1359</v>
      </c>
      <c r="G1225" s="1">
        <v>11000.64</v>
      </c>
    </row>
    <row r="1226" spans="1:7">
      <c r="A1226" s="9" t="s">
        <v>1879</v>
      </c>
      <c r="B1226" t="s">
        <v>636</v>
      </c>
      <c r="C1226" s="5" t="s">
        <v>638</v>
      </c>
      <c r="G1226" s="1">
        <v>95.44</v>
      </c>
    </row>
    <row r="1227" spans="1:7">
      <c r="A1227" s="9" t="s">
        <v>1879</v>
      </c>
      <c r="B1227" t="s">
        <v>1357</v>
      </c>
      <c r="C1227" s="5" t="s">
        <v>1357</v>
      </c>
      <c r="G1227" s="1">
        <v>2380.96</v>
      </c>
    </row>
    <row r="1228" spans="1:7">
      <c r="A1228" s="9" t="s">
        <v>1881</v>
      </c>
      <c r="B1228" t="s">
        <v>1470</v>
      </c>
      <c r="C1228" s="5" t="s">
        <v>1472</v>
      </c>
      <c r="G1228" s="1">
        <v>6811.83</v>
      </c>
    </row>
    <row r="1229" spans="1:7">
      <c r="A1229" s="9" t="s">
        <v>1881</v>
      </c>
      <c r="B1229" t="s">
        <v>1616</v>
      </c>
      <c r="C1229" s="5" t="s">
        <v>1618</v>
      </c>
      <c r="D1229" s="1">
        <v>9280</v>
      </c>
    </row>
    <row r="1230" spans="1:7">
      <c r="A1230" s="9" t="s">
        <v>1881</v>
      </c>
      <c r="B1230" t="s">
        <v>1337</v>
      </c>
      <c r="C1230" s="5" t="s">
        <v>1339</v>
      </c>
      <c r="G1230" s="1">
        <v>807.84</v>
      </c>
    </row>
    <row r="1231" spans="1:7">
      <c r="A1231" s="9" t="s">
        <v>1881</v>
      </c>
      <c r="B1231" t="s">
        <v>1532</v>
      </c>
      <c r="C1231" s="5" t="s">
        <v>1534</v>
      </c>
      <c r="G1231" s="1">
        <v>398.72</v>
      </c>
    </row>
    <row r="1232" spans="1:7">
      <c r="A1232" s="9" t="s">
        <v>1881</v>
      </c>
      <c r="B1232" t="s">
        <v>1577</v>
      </c>
      <c r="C1232" s="5" t="s">
        <v>1579</v>
      </c>
      <c r="G1232" s="1">
        <v>1468.22</v>
      </c>
    </row>
    <row r="1233" spans="1:8">
      <c r="A1233" s="9" t="s">
        <v>1881</v>
      </c>
      <c r="B1233" t="s">
        <v>1361</v>
      </c>
      <c r="C1233" s="5" t="s">
        <v>1363</v>
      </c>
      <c r="G1233" s="1">
        <v>7607.5950000000003</v>
      </c>
    </row>
    <row r="1234" spans="1:8">
      <c r="A1234" s="9" t="s">
        <v>1883</v>
      </c>
      <c r="B1234" t="s">
        <v>615</v>
      </c>
      <c r="C1234" s="5" t="s">
        <v>617</v>
      </c>
      <c r="D1234" s="1">
        <v>1850</v>
      </c>
      <c r="E1234" s="1">
        <v>39987.94</v>
      </c>
    </row>
    <row r="1235" spans="1:8">
      <c r="A1235" s="9" t="s">
        <v>1883</v>
      </c>
      <c r="B1235" t="s">
        <v>60</v>
      </c>
      <c r="C1235" s="5" t="s">
        <v>62</v>
      </c>
      <c r="D1235" s="1">
        <v>66847.47</v>
      </c>
      <c r="E1235" s="1">
        <v>626082.14</v>
      </c>
    </row>
    <row r="1236" spans="1:8">
      <c r="A1236" s="9" t="s">
        <v>1883</v>
      </c>
      <c r="B1236" t="s">
        <v>1123</v>
      </c>
      <c r="C1236" s="5" t="s">
        <v>1125</v>
      </c>
      <c r="D1236" s="1">
        <v>100</v>
      </c>
    </row>
    <row r="1237" spans="1:8">
      <c r="A1237" s="9" t="s">
        <v>1883</v>
      </c>
      <c r="B1237" t="s">
        <v>477</v>
      </c>
      <c r="C1237" s="5" t="s">
        <v>479</v>
      </c>
      <c r="D1237" s="1">
        <v>725</v>
      </c>
      <c r="E1237" s="1">
        <v>98760.46</v>
      </c>
    </row>
    <row r="1238" spans="1:8">
      <c r="A1238" s="9" t="s">
        <v>1883</v>
      </c>
      <c r="B1238" t="s">
        <v>525</v>
      </c>
      <c r="C1238" s="5" t="s">
        <v>527</v>
      </c>
      <c r="D1238" s="1">
        <v>10</v>
      </c>
      <c r="E1238" s="1">
        <v>36467.29</v>
      </c>
    </row>
    <row r="1239" spans="1:8">
      <c r="A1239" s="9" t="s">
        <v>1883</v>
      </c>
      <c r="B1239" t="s">
        <v>1301</v>
      </c>
      <c r="C1239" s="5" t="s">
        <v>1303</v>
      </c>
      <c r="E1239" s="1">
        <v>54.3</v>
      </c>
    </row>
    <row r="1240" spans="1:8">
      <c r="A1240" s="9" t="s">
        <v>1885</v>
      </c>
      <c r="B1240" t="s">
        <v>180</v>
      </c>
      <c r="C1240" s="5" t="s">
        <v>182</v>
      </c>
      <c r="G1240" s="1">
        <v>786.25</v>
      </c>
      <c r="H1240" s="1">
        <v>441.91</v>
      </c>
    </row>
    <row r="1241" spans="1:8">
      <c r="A1241" s="9" t="s">
        <v>1885</v>
      </c>
      <c r="B1241" t="s">
        <v>60</v>
      </c>
      <c r="C1241" s="5" t="s">
        <v>62</v>
      </c>
      <c r="G1241" s="1">
        <v>4161.6000000000004</v>
      </c>
    </row>
    <row r="1242" spans="1:8">
      <c r="A1242" s="9" t="s">
        <v>1885</v>
      </c>
      <c r="B1242" t="s">
        <v>759</v>
      </c>
      <c r="C1242" s="5" t="s">
        <v>761</v>
      </c>
      <c r="H1242" s="1">
        <v>217</v>
      </c>
    </row>
    <row r="1243" spans="1:8">
      <c r="A1243" s="9" t="s">
        <v>1885</v>
      </c>
      <c r="B1243" t="s">
        <v>477</v>
      </c>
      <c r="C1243" s="5" t="s">
        <v>479</v>
      </c>
      <c r="E1243" s="1">
        <v>4190.6499999999996</v>
      </c>
    </row>
    <row r="1244" spans="1:8">
      <c r="A1244" s="9" t="s">
        <v>1887</v>
      </c>
      <c r="B1244" t="s">
        <v>303</v>
      </c>
      <c r="C1244" s="5" t="s">
        <v>305</v>
      </c>
      <c r="E1244" s="1">
        <v>57650.86</v>
      </c>
    </row>
    <row r="1245" spans="1:8">
      <c r="A1245" s="9" t="s">
        <v>1889</v>
      </c>
      <c r="B1245" t="s">
        <v>666</v>
      </c>
      <c r="C1245" s="5" t="s">
        <v>668</v>
      </c>
      <c r="E1245" s="1">
        <v>18197.89</v>
      </c>
    </row>
    <row r="1246" spans="1:8">
      <c r="A1246" s="9" t="s">
        <v>1891</v>
      </c>
      <c r="B1246" t="s">
        <v>84</v>
      </c>
      <c r="C1246" s="5" t="s">
        <v>86</v>
      </c>
      <c r="G1246" s="1">
        <v>227.8</v>
      </c>
    </row>
    <row r="1247" spans="1:8">
      <c r="A1247" s="9" t="s">
        <v>1893</v>
      </c>
      <c r="B1247" t="s">
        <v>1425</v>
      </c>
      <c r="C1247" s="5" t="s">
        <v>1427</v>
      </c>
      <c r="D1247" s="1">
        <v>800</v>
      </c>
    </row>
    <row r="1248" spans="1:8">
      <c r="A1248" s="9" t="s">
        <v>1895</v>
      </c>
      <c r="B1248" t="s">
        <v>1337</v>
      </c>
      <c r="C1248" s="5" t="s">
        <v>1339</v>
      </c>
      <c r="E1248" s="1">
        <v>1.39</v>
      </c>
    </row>
    <row r="1249" spans="1:7">
      <c r="A1249" s="9" t="s">
        <v>1897</v>
      </c>
      <c r="B1249" t="s">
        <v>558</v>
      </c>
      <c r="C1249" s="5" t="s">
        <v>560</v>
      </c>
      <c r="G1249" s="1">
        <v>211.92</v>
      </c>
    </row>
  </sheetData>
  <autoFilter ref="A6:H1249" xr:uid="{9FF7CC4C-02E0-4508-9DF5-53D7D2D536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A22D-A1AB-44ED-869F-EDC92D7A6CEE}">
  <dimension ref="A1:I1249"/>
  <sheetViews>
    <sheetView workbookViewId="0">
      <pane ySplit="6" topLeftCell="A652" activePane="bottomLeft" state="frozen"/>
      <selection activeCell="C1" sqref="C1"/>
      <selection pane="bottomLeft" activeCell="D667" sqref="D667"/>
    </sheetView>
  </sheetViews>
  <sheetFormatPr defaultRowHeight="15"/>
  <cols>
    <col min="1" max="1" width="22.85546875" customWidth="1"/>
    <col min="2" max="2" width="27.42578125" bestFit="1" customWidth="1"/>
    <col min="3" max="3" width="22.5703125" customWidth="1"/>
    <col min="4" max="4" width="99.5703125" customWidth="1"/>
    <col min="5" max="9" width="15.140625" customWidth="1"/>
  </cols>
  <sheetData>
    <row r="1" spans="1:9" ht="48" customHeight="1">
      <c r="A1" s="6" t="s">
        <v>0</v>
      </c>
      <c r="B1" s="6"/>
    </row>
    <row r="2" spans="1:9" ht="21.75" customHeight="1">
      <c r="A2" s="7" t="s">
        <v>1</v>
      </c>
      <c r="B2" s="7"/>
    </row>
    <row r="3" spans="1:9" ht="18">
      <c r="A3" s="8" t="s">
        <v>2</v>
      </c>
      <c r="B3" s="8"/>
    </row>
    <row r="4" spans="1:9">
      <c r="E4" s="11">
        <f>SUM(E7:E1249)</f>
        <v>25437431.960000001</v>
      </c>
      <c r="F4" s="11">
        <f t="shared" ref="F4:I4" si="0">SUM(F7:F1249)</f>
        <v>9636069.5800000038</v>
      </c>
      <c r="G4" s="11">
        <f t="shared" si="0"/>
        <v>35514776.840000018</v>
      </c>
      <c r="H4" s="11">
        <f t="shared" si="0"/>
        <v>4002963.7799999979</v>
      </c>
      <c r="I4" s="11">
        <f t="shared" si="0"/>
        <v>125482.19000000005</v>
      </c>
    </row>
    <row r="5" spans="1:9">
      <c r="A5" s="2"/>
      <c r="B5" s="2"/>
      <c r="C5" s="2"/>
      <c r="D5" s="2"/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1:9">
      <c r="A6" s="2" t="s">
        <v>8</v>
      </c>
      <c r="B6" s="10" t="s">
        <v>1899</v>
      </c>
      <c r="C6" s="2" t="s">
        <v>9</v>
      </c>
      <c r="D6" s="2" t="s">
        <v>10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>
      <c r="A7" s="9" t="s">
        <v>13</v>
      </c>
      <c r="B7" s="9"/>
      <c r="C7" t="s">
        <v>15</v>
      </c>
      <c r="D7" s="5" t="s">
        <v>17</v>
      </c>
      <c r="E7" s="1">
        <v>61886.57</v>
      </c>
      <c r="G7" s="1">
        <v>227733.94</v>
      </c>
      <c r="H7" s="1">
        <v>2487.1799999999998</v>
      </c>
    </row>
    <row r="8" spans="1:9">
      <c r="A8" s="9" t="s">
        <v>13</v>
      </c>
      <c r="B8" s="9"/>
      <c r="C8" t="s">
        <v>18</v>
      </c>
      <c r="D8" s="5" t="s">
        <v>20</v>
      </c>
      <c r="E8" s="1">
        <v>16721.7</v>
      </c>
      <c r="G8" s="1">
        <v>29637.93</v>
      </c>
      <c r="H8" s="1">
        <v>4238.88</v>
      </c>
    </row>
    <row r="9" spans="1:9">
      <c r="A9" s="9" t="s">
        <v>13</v>
      </c>
      <c r="B9" s="9"/>
      <c r="C9" t="s">
        <v>21</v>
      </c>
      <c r="D9" s="5" t="s">
        <v>23</v>
      </c>
      <c r="E9" s="1">
        <v>122848.96000000001</v>
      </c>
      <c r="H9" s="1">
        <v>234.58</v>
      </c>
    </row>
    <row r="10" spans="1:9">
      <c r="A10" s="9" t="s">
        <v>13</v>
      </c>
      <c r="B10" s="9"/>
      <c r="C10" t="s">
        <v>24</v>
      </c>
      <c r="D10" s="5" t="s">
        <v>26</v>
      </c>
      <c r="E10" s="1">
        <v>9885.3799999999992</v>
      </c>
      <c r="G10" s="1">
        <v>8437.2999999999993</v>
      </c>
      <c r="H10" s="1">
        <v>1478.92</v>
      </c>
    </row>
    <row r="11" spans="1:9">
      <c r="A11" s="9" t="s">
        <v>13</v>
      </c>
      <c r="B11" s="9"/>
      <c r="C11" t="s">
        <v>27</v>
      </c>
      <c r="D11" s="5" t="s">
        <v>29</v>
      </c>
      <c r="E11" s="1">
        <v>27022.91</v>
      </c>
      <c r="G11" s="1">
        <v>142052.04999999999</v>
      </c>
    </row>
    <row r="12" spans="1:9">
      <c r="A12" s="9" t="s">
        <v>13</v>
      </c>
      <c r="B12" s="9"/>
      <c r="C12" t="s">
        <v>30</v>
      </c>
      <c r="D12" s="5" t="s">
        <v>32</v>
      </c>
      <c r="E12" s="1">
        <v>33561.57</v>
      </c>
      <c r="F12" s="1">
        <v>5829.8</v>
      </c>
      <c r="G12" s="1">
        <v>44955.67</v>
      </c>
      <c r="H12" s="1">
        <v>544.07000000000005</v>
      </c>
    </row>
    <row r="13" spans="1:9">
      <c r="A13" s="9" t="s">
        <v>13</v>
      </c>
      <c r="B13" s="9"/>
      <c r="C13" t="s">
        <v>33</v>
      </c>
      <c r="D13" s="5" t="s">
        <v>35</v>
      </c>
      <c r="E13" s="1">
        <v>1386</v>
      </c>
      <c r="G13" s="1">
        <v>11760</v>
      </c>
    </row>
    <row r="14" spans="1:9">
      <c r="A14" s="9" t="s">
        <v>13</v>
      </c>
      <c r="B14" s="9"/>
      <c r="C14" t="s">
        <v>36</v>
      </c>
      <c r="D14" s="5" t="s">
        <v>38</v>
      </c>
      <c r="E14" s="1">
        <v>348171.3</v>
      </c>
      <c r="F14" s="1">
        <v>-7758.87</v>
      </c>
      <c r="G14" s="1">
        <v>517223.31</v>
      </c>
      <c r="H14" s="1">
        <v>3600.8150000000001</v>
      </c>
    </row>
    <row r="15" spans="1:9">
      <c r="A15" s="9" t="s">
        <v>13</v>
      </c>
      <c r="B15" s="9"/>
      <c r="C15" t="s">
        <v>39</v>
      </c>
      <c r="D15" s="5" t="s">
        <v>41</v>
      </c>
      <c r="E15" s="1">
        <v>18167.59</v>
      </c>
      <c r="G15" s="1">
        <v>27440.43</v>
      </c>
    </row>
    <row r="16" spans="1:9">
      <c r="A16" s="9" t="s">
        <v>13</v>
      </c>
      <c r="B16" s="9"/>
      <c r="C16" t="s">
        <v>42</v>
      </c>
      <c r="D16" s="5" t="s">
        <v>44</v>
      </c>
      <c r="E16" s="1">
        <v>25608.46</v>
      </c>
      <c r="F16" s="1">
        <v>196.43</v>
      </c>
      <c r="G16" s="1">
        <v>60063.71</v>
      </c>
      <c r="H16" s="1">
        <v>70.069999999999993</v>
      </c>
    </row>
    <row r="17" spans="1:9">
      <c r="A17" s="9" t="s">
        <v>13</v>
      </c>
      <c r="B17" s="9"/>
      <c r="C17" t="s">
        <v>45</v>
      </c>
      <c r="D17" s="5" t="s">
        <v>47</v>
      </c>
      <c r="E17" s="1">
        <v>30820.13</v>
      </c>
      <c r="H17" s="1">
        <v>1570.72</v>
      </c>
    </row>
    <row r="18" spans="1:9">
      <c r="A18" s="9" t="s">
        <v>13</v>
      </c>
      <c r="B18" s="9"/>
      <c r="C18" t="s">
        <v>48</v>
      </c>
      <c r="D18" s="5" t="s">
        <v>50</v>
      </c>
      <c r="E18" s="1">
        <v>25551.32</v>
      </c>
      <c r="G18" s="1">
        <v>75639.41</v>
      </c>
      <c r="H18" s="1">
        <v>1063.3599999999999</v>
      </c>
    </row>
    <row r="19" spans="1:9">
      <c r="A19" s="9" t="s">
        <v>13</v>
      </c>
      <c r="B19" s="9"/>
      <c r="C19" t="s">
        <v>51</v>
      </c>
      <c r="D19" s="5" t="s">
        <v>53</v>
      </c>
      <c r="E19" s="1">
        <v>34439.339999999997</v>
      </c>
      <c r="G19" s="1">
        <v>27711.35</v>
      </c>
    </row>
    <row r="20" spans="1:9">
      <c r="A20" s="9" t="s">
        <v>13</v>
      </c>
      <c r="B20" s="9"/>
      <c r="C20" t="s">
        <v>54</v>
      </c>
      <c r="D20" s="5" t="s">
        <v>56</v>
      </c>
      <c r="E20" s="1">
        <v>48892.84</v>
      </c>
      <c r="F20" s="1">
        <v>1043.4100000000001</v>
      </c>
      <c r="G20" s="1">
        <v>177024.62</v>
      </c>
      <c r="H20" s="1">
        <v>2160.2399999999998</v>
      </c>
    </row>
    <row r="21" spans="1:9">
      <c r="A21" s="9" t="s">
        <v>13</v>
      </c>
      <c r="B21" s="9"/>
      <c r="C21" t="s">
        <v>57</v>
      </c>
      <c r="D21" s="5" t="s">
        <v>59</v>
      </c>
      <c r="E21" s="1">
        <v>13823.66</v>
      </c>
      <c r="G21" s="1">
        <v>56604.73</v>
      </c>
      <c r="H21" s="1">
        <v>497.82</v>
      </c>
    </row>
    <row r="22" spans="1:9">
      <c r="A22" s="9" t="s">
        <v>13</v>
      </c>
      <c r="B22" s="9"/>
      <c r="C22" t="s">
        <v>60</v>
      </c>
      <c r="D22" s="5" t="s">
        <v>62</v>
      </c>
      <c r="E22" s="1">
        <v>59405.32</v>
      </c>
      <c r="G22" s="1">
        <v>10282.5</v>
      </c>
    </row>
    <row r="23" spans="1:9">
      <c r="A23" s="9" t="s">
        <v>13</v>
      </c>
      <c r="B23" s="9"/>
      <c r="C23" t="s">
        <v>63</v>
      </c>
      <c r="D23" s="5" t="s">
        <v>65</v>
      </c>
      <c r="E23" s="1">
        <v>108870.1</v>
      </c>
      <c r="G23" s="1">
        <v>293523.5</v>
      </c>
    </row>
    <row r="24" spans="1:9">
      <c r="A24" s="9" t="s">
        <v>13</v>
      </c>
      <c r="B24" s="9"/>
      <c r="C24" t="s">
        <v>66</v>
      </c>
      <c r="D24" s="5" t="s">
        <v>68</v>
      </c>
      <c r="E24" s="1">
        <v>19562.25</v>
      </c>
      <c r="F24" s="1">
        <v>7580</v>
      </c>
      <c r="G24" s="1">
        <v>71034.929999999993</v>
      </c>
      <c r="H24" s="1">
        <v>2228.84</v>
      </c>
    </row>
    <row r="25" spans="1:9">
      <c r="A25" s="9" t="s">
        <v>13</v>
      </c>
      <c r="B25" s="9"/>
      <c r="C25" t="s">
        <v>69</v>
      </c>
      <c r="D25" s="5" t="s">
        <v>71</v>
      </c>
      <c r="E25" s="1">
        <v>185782.99</v>
      </c>
      <c r="G25" s="1">
        <v>223152.93</v>
      </c>
      <c r="H25" s="1">
        <v>108.01</v>
      </c>
    </row>
    <row r="26" spans="1:9">
      <c r="A26" s="9" t="s">
        <v>13</v>
      </c>
      <c r="B26" s="9"/>
      <c r="C26" t="s">
        <v>72</v>
      </c>
      <c r="D26" s="5" t="s">
        <v>74</v>
      </c>
      <c r="E26" s="1">
        <v>22915.67</v>
      </c>
      <c r="G26" s="1">
        <v>13183.47</v>
      </c>
      <c r="H26" s="1">
        <v>33.86</v>
      </c>
    </row>
    <row r="27" spans="1:9">
      <c r="A27" s="9" t="s">
        <v>13</v>
      </c>
      <c r="B27" s="9"/>
      <c r="C27" t="s">
        <v>75</v>
      </c>
      <c r="D27" s="5" t="s">
        <v>77</v>
      </c>
      <c r="E27" s="1">
        <v>414.34</v>
      </c>
      <c r="F27" s="1">
        <v>255.36</v>
      </c>
    </row>
    <row r="28" spans="1:9">
      <c r="A28" s="9" t="s">
        <v>13</v>
      </c>
      <c r="B28" s="9"/>
      <c r="C28" t="s">
        <v>78</v>
      </c>
      <c r="D28" s="5" t="s">
        <v>80</v>
      </c>
      <c r="E28" s="1">
        <v>17744.23</v>
      </c>
      <c r="G28" s="1">
        <v>50000.44</v>
      </c>
      <c r="H28" s="1">
        <v>1278.5</v>
      </c>
      <c r="I28" s="1">
        <v>410.7</v>
      </c>
    </row>
    <row r="29" spans="1:9">
      <c r="A29" s="9" t="s">
        <v>13</v>
      </c>
      <c r="B29" s="9"/>
      <c r="C29" t="s">
        <v>81</v>
      </c>
      <c r="D29" s="5" t="s">
        <v>83</v>
      </c>
      <c r="E29" s="1">
        <v>11147.47</v>
      </c>
      <c r="G29" s="1">
        <v>13587.51</v>
      </c>
      <c r="H29" s="1">
        <v>502.99</v>
      </c>
    </row>
    <row r="30" spans="1:9">
      <c r="A30" s="9" t="s">
        <v>13</v>
      </c>
      <c r="B30" s="9"/>
      <c r="C30" t="s">
        <v>84</v>
      </c>
      <c r="D30" s="5" t="s">
        <v>86</v>
      </c>
      <c r="E30" s="1">
        <v>23837.47</v>
      </c>
      <c r="G30" s="1">
        <v>72618</v>
      </c>
      <c r="H30" s="1">
        <v>3291.77</v>
      </c>
    </row>
    <row r="31" spans="1:9">
      <c r="A31" s="9" t="s">
        <v>13</v>
      </c>
      <c r="B31" s="9"/>
      <c r="C31" t="s">
        <v>87</v>
      </c>
      <c r="D31" s="5" t="s">
        <v>89</v>
      </c>
      <c r="E31" s="1">
        <v>24813.02</v>
      </c>
      <c r="F31" s="1">
        <v>277.20999999999998</v>
      </c>
      <c r="G31" s="1">
        <v>88114.74</v>
      </c>
      <c r="H31" s="1">
        <v>2412.1950000000002</v>
      </c>
      <c r="I31" s="1">
        <v>799.76</v>
      </c>
    </row>
    <row r="32" spans="1:9">
      <c r="A32" s="9" t="s">
        <v>13</v>
      </c>
      <c r="B32" s="9"/>
      <c r="C32" t="s">
        <v>90</v>
      </c>
      <c r="D32" s="5" t="s">
        <v>92</v>
      </c>
      <c r="E32" s="1">
        <v>1734.49</v>
      </c>
    </row>
    <row r="33" spans="1:9">
      <c r="A33" s="9" t="s">
        <v>13</v>
      </c>
      <c r="B33" s="9"/>
      <c r="C33" t="s">
        <v>93</v>
      </c>
      <c r="D33" s="5" t="s">
        <v>95</v>
      </c>
      <c r="E33" s="1">
        <v>21794.799999999999</v>
      </c>
      <c r="F33" s="1">
        <v>766.39</v>
      </c>
      <c r="G33" s="1">
        <v>102844.91</v>
      </c>
      <c r="H33" s="1">
        <v>199</v>
      </c>
    </row>
    <row r="34" spans="1:9">
      <c r="A34" s="9" t="s">
        <v>13</v>
      </c>
      <c r="B34" s="9"/>
      <c r="C34" t="s">
        <v>96</v>
      </c>
      <c r="D34" s="5" t="s">
        <v>98</v>
      </c>
      <c r="E34" s="1">
        <v>24945.1</v>
      </c>
      <c r="G34" s="1">
        <v>89283.96</v>
      </c>
      <c r="H34" s="1">
        <v>2483.36</v>
      </c>
    </row>
    <row r="35" spans="1:9">
      <c r="A35" s="9" t="s">
        <v>13</v>
      </c>
      <c r="B35" s="9"/>
      <c r="C35" t="s">
        <v>99</v>
      </c>
      <c r="D35" s="5" t="s">
        <v>101</v>
      </c>
      <c r="E35" s="1">
        <v>38569.980000000003</v>
      </c>
      <c r="F35" s="1">
        <v>4280.32</v>
      </c>
      <c r="G35" s="1">
        <v>187292.19</v>
      </c>
      <c r="H35" s="1">
        <v>330.97</v>
      </c>
      <c r="I35" s="1">
        <v>86.1</v>
      </c>
    </row>
    <row r="36" spans="1:9">
      <c r="A36" s="9" t="s">
        <v>13</v>
      </c>
      <c r="B36" s="9"/>
      <c r="C36" t="s">
        <v>102</v>
      </c>
      <c r="D36" s="5" t="s">
        <v>104</v>
      </c>
      <c r="E36" s="1">
        <v>13154.91</v>
      </c>
      <c r="F36" s="1">
        <v>104.98</v>
      </c>
      <c r="G36" s="1">
        <v>92354.99</v>
      </c>
      <c r="H36" s="1">
        <v>2273.4949999999999</v>
      </c>
      <c r="I36" s="1">
        <v>1101.1199999999999</v>
      </c>
    </row>
    <row r="37" spans="1:9">
      <c r="A37" s="9" t="s">
        <v>13</v>
      </c>
      <c r="B37" s="9"/>
      <c r="C37" t="s">
        <v>105</v>
      </c>
      <c r="D37" s="5" t="s">
        <v>107</v>
      </c>
      <c r="E37" s="1">
        <v>30640.42</v>
      </c>
      <c r="G37" s="1">
        <v>101423.44</v>
      </c>
      <c r="H37" s="1">
        <v>24.99</v>
      </c>
    </row>
    <row r="38" spans="1:9">
      <c r="A38" s="9" t="s">
        <v>13</v>
      </c>
      <c r="B38" s="9"/>
      <c r="C38" t="s">
        <v>108</v>
      </c>
      <c r="D38" s="5" t="s">
        <v>110</v>
      </c>
      <c r="E38" s="1">
        <v>12160.48</v>
      </c>
      <c r="F38" s="1">
        <v>5968.7</v>
      </c>
      <c r="G38" s="1">
        <v>55590.96</v>
      </c>
      <c r="H38" s="1">
        <v>52.93</v>
      </c>
    </row>
    <row r="39" spans="1:9">
      <c r="A39" s="9" t="s">
        <v>13</v>
      </c>
      <c r="B39" s="9"/>
      <c r="C39" t="s">
        <v>111</v>
      </c>
      <c r="D39" s="5" t="s">
        <v>113</v>
      </c>
      <c r="E39" s="1">
        <v>27746.33</v>
      </c>
      <c r="G39" s="1">
        <v>33665.72</v>
      </c>
    </row>
    <row r="40" spans="1:9">
      <c r="A40" s="12" t="s">
        <v>13</v>
      </c>
      <c r="B40" s="12" t="s">
        <v>1908</v>
      </c>
      <c r="C40" s="14" t="s">
        <v>114</v>
      </c>
      <c r="D40" s="15" t="s">
        <v>116</v>
      </c>
      <c r="E40" s="16">
        <v>8718.77</v>
      </c>
    </row>
    <row r="41" spans="1:9">
      <c r="A41" s="9" t="s">
        <v>13</v>
      </c>
      <c r="B41" s="9"/>
      <c r="C41" t="s">
        <v>117</v>
      </c>
      <c r="D41" s="5" t="s">
        <v>119</v>
      </c>
      <c r="E41" s="1">
        <v>1404</v>
      </c>
    </row>
    <row r="42" spans="1:9">
      <c r="A42" s="9" t="s">
        <v>13</v>
      </c>
      <c r="B42" s="9"/>
      <c r="C42" t="s">
        <v>120</v>
      </c>
      <c r="D42" s="5" t="s">
        <v>122</v>
      </c>
      <c r="E42" s="1">
        <v>22241.48</v>
      </c>
      <c r="G42" s="1">
        <v>39911.06</v>
      </c>
    </row>
    <row r="43" spans="1:9">
      <c r="A43" s="9" t="s">
        <v>13</v>
      </c>
      <c r="B43" s="9"/>
      <c r="C43" t="s">
        <v>123</v>
      </c>
      <c r="D43" s="5" t="s">
        <v>125</v>
      </c>
      <c r="E43" s="1">
        <v>-0.28000000000000003</v>
      </c>
    </row>
    <row r="44" spans="1:9">
      <c r="A44" s="9" t="s">
        <v>13</v>
      </c>
      <c r="B44" s="9"/>
      <c r="C44" t="s">
        <v>126</v>
      </c>
      <c r="D44" s="5" t="s">
        <v>128</v>
      </c>
      <c r="E44" s="1">
        <v>11405.62</v>
      </c>
      <c r="G44" s="1">
        <v>14249.31</v>
      </c>
    </row>
    <row r="45" spans="1:9">
      <c r="A45" s="9" t="s">
        <v>13</v>
      </c>
      <c r="B45" s="9"/>
      <c r="C45" t="s">
        <v>129</v>
      </c>
      <c r="D45" s="5" t="s">
        <v>131</v>
      </c>
      <c r="E45" s="1">
        <v>151601.07</v>
      </c>
      <c r="G45" s="1">
        <v>341535.64</v>
      </c>
    </row>
    <row r="46" spans="1:9">
      <c r="A46" s="9" t="s">
        <v>13</v>
      </c>
      <c r="B46" s="9"/>
      <c r="C46" t="s">
        <v>132</v>
      </c>
      <c r="D46" s="5" t="s">
        <v>134</v>
      </c>
      <c r="E46" s="1">
        <v>80079.53</v>
      </c>
      <c r="G46" s="1">
        <v>297710.40999999997</v>
      </c>
      <c r="H46" s="1">
        <v>3542.21</v>
      </c>
    </row>
    <row r="47" spans="1:9">
      <c r="A47" s="9" t="s">
        <v>13</v>
      </c>
      <c r="B47" s="9"/>
      <c r="C47" t="s">
        <v>135</v>
      </c>
      <c r="D47" s="5" t="s">
        <v>137</v>
      </c>
      <c r="E47" s="1">
        <v>139559.20000000001</v>
      </c>
      <c r="G47" s="1">
        <v>286217.95</v>
      </c>
    </row>
    <row r="48" spans="1:9">
      <c r="A48" s="9" t="s">
        <v>13</v>
      </c>
      <c r="B48" s="9"/>
      <c r="C48" t="s">
        <v>138</v>
      </c>
      <c r="D48" s="5" t="s">
        <v>140</v>
      </c>
      <c r="E48" s="1">
        <v>116842.17</v>
      </c>
      <c r="G48" s="1">
        <v>128095.78</v>
      </c>
    </row>
    <row r="49" spans="1:9">
      <c r="A49" s="9" t="s">
        <v>13</v>
      </c>
      <c r="B49" s="9"/>
      <c r="C49" t="s">
        <v>141</v>
      </c>
      <c r="D49" s="5" t="s">
        <v>143</v>
      </c>
      <c r="E49" s="1">
        <v>260790.69</v>
      </c>
      <c r="F49" s="1">
        <v>7167.58</v>
      </c>
      <c r="G49" s="1">
        <v>726225.09</v>
      </c>
      <c r="H49" s="1">
        <v>437.8</v>
      </c>
    </row>
    <row r="50" spans="1:9">
      <c r="A50" s="9" t="s">
        <v>13</v>
      </c>
      <c r="B50" s="9"/>
      <c r="C50" t="s">
        <v>144</v>
      </c>
      <c r="D50" s="5" t="s">
        <v>146</v>
      </c>
      <c r="E50" s="1">
        <v>119968.54</v>
      </c>
      <c r="F50" s="1">
        <v>474</v>
      </c>
      <c r="G50" s="1">
        <v>517097.07</v>
      </c>
      <c r="H50" s="1">
        <v>10367.25</v>
      </c>
    </row>
    <row r="51" spans="1:9">
      <c r="A51" s="9" t="s">
        <v>13</v>
      </c>
      <c r="B51" s="9"/>
      <c r="C51" t="s">
        <v>147</v>
      </c>
      <c r="D51" s="5" t="s">
        <v>149</v>
      </c>
      <c r="E51" s="1">
        <v>3946.15</v>
      </c>
    </row>
    <row r="52" spans="1:9">
      <c r="A52" s="9" t="s">
        <v>13</v>
      </c>
      <c r="B52" s="9"/>
      <c r="C52" t="s">
        <v>150</v>
      </c>
      <c r="D52" s="5" t="s">
        <v>152</v>
      </c>
      <c r="E52" s="1">
        <v>7187.87</v>
      </c>
    </row>
    <row r="53" spans="1:9">
      <c r="A53" s="9" t="s">
        <v>13</v>
      </c>
      <c r="B53" s="9"/>
      <c r="C53" t="s">
        <v>153</v>
      </c>
      <c r="D53" s="5" t="s">
        <v>155</v>
      </c>
      <c r="E53" s="1">
        <v>2159</v>
      </c>
      <c r="F53" s="1">
        <v>2595.4</v>
      </c>
      <c r="H53" s="1">
        <v>7983.27</v>
      </c>
    </row>
    <row r="54" spans="1:9">
      <c r="A54" s="9" t="s">
        <v>13</v>
      </c>
      <c r="B54" s="9"/>
      <c r="C54" t="s">
        <v>156</v>
      </c>
      <c r="D54" s="5" t="s">
        <v>158</v>
      </c>
      <c r="E54" s="1">
        <v>34413.18</v>
      </c>
      <c r="F54" s="1">
        <v>1622.82</v>
      </c>
      <c r="G54" s="1">
        <v>140548.68</v>
      </c>
    </row>
    <row r="55" spans="1:9">
      <c r="A55" s="9" t="s">
        <v>13</v>
      </c>
      <c r="B55" s="9"/>
      <c r="C55" t="s">
        <v>159</v>
      </c>
      <c r="D55" s="5" t="s">
        <v>161</v>
      </c>
      <c r="E55" s="1">
        <v>20316.48</v>
      </c>
      <c r="G55" s="1">
        <v>30116.92</v>
      </c>
      <c r="H55" s="1">
        <v>1746.41</v>
      </c>
    </row>
    <row r="56" spans="1:9">
      <c r="A56" s="9" t="s">
        <v>13</v>
      </c>
      <c r="B56" s="9"/>
      <c r="C56" t="s">
        <v>162</v>
      </c>
      <c r="D56" s="5" t="s">
        <v>164</v>
      </c>
      <c r="E56" s="1">
        <v>124764.3</v>
      </c>
      <c r="F56" s="1">
        <v>4827.49</v>
      </c>
      <c r="G56" s="1">
        <v>383338.29</v>
      </c>
    </row>
    <row r="57" spans="1:9">
      <c r="A57" s="9" t="s">
        <v>13</v>
      </c>
      <c r="B57" s="9"/>
      <c r="C57" t="s">
        <v>165</v>
      </c>
      <c r="D57" s="5" t="s">
        <v>167</v>
      </c>
      <c r="E57" s="1">
        <v>75084.320000000007</v>
      </c>
      <c r="F57" s="1">
        <v>1210.03</v>
      </c>
      <c r="G57" s="1">
        <v>84677.67</v>
      </c>
    </row>
    <row r="58" spans="1:9">
      <c r="A58" s="9" t="s">
        <v>13</v>
      </c>
      <c r="B58" s="9"/>
      <c r="C58" t="s">
        <v>168</v>
      </c>
      <c r="D58" s="5" t="s">
        <v>170</v>
      </c>
      <c r="E58" s="1">
        <v>28053.45</v>
      </c>
      <c r="F58" s="1">
        <v>75.7</v>
      </c>
      <c r="G58" s="1">
        <v>109586.26</v>
      </c>
    </row>
    <row r="59" spans="1:9">
      <c r="A59" s="9" t="s">
        <v>13</v>
      </c>
      <c r="B59" s="9"/>
      <c r="C59" t="s">
        <v>171</v>
      </c>
      <c r="D59" s="5" t="s">
        <v>173</v>
      </c>
      <c r="E59" s="1">
        <v>26051.51</v>
      </c>
      <c r="F59" s="1">
        <v>1238.1300000000001</v>
      </c>
      <c r="G59" s="1">
        <v>113098.16</v>
      </c>
    </row>
    <row r="60" spans="1:9">
      <c r="A60" s="9" t="s">
        <v>13</v>
      </c>
      <c r="B60" s="9"/>
      <c r="C60" t="s">
        <v>174</v>
      </c>
      <c r="D60" s="5" t="s">
        <v>176</v>
      </c>
      <c r="E60" s="1">
        <v>27286.85</v>
      </c>
      <c r="G60" s="1">
        <v>104472.34</v>
      </c>
    </row>
    <row r="61" spans="1:9">
      <c r="A61" s="9" t="s">
        <v>13</v>
      </c>
      <c r="B61" s="9"/>
      <c r="C61" t="s">
        <v>177</v>
      </c>
      <c r="D61" s="5" t="s">
        <v>179</v>
      </c>
      <c r="E61" s="1">
        <v>20576.93</v>
      </c>
      <c r="F61" s="1">
        <v>42.5</v>
      </c>
      <c r="G61" s="1">
        <v>74358.13</v>
      </c>
      <c r="H61" s="1">
        <v>1147.04</v>
      </c>
      <c r="I61" s="1">
        <v>238.3</v>
      </c>
    </row>
    <row r="62" spans="1:9">
      <c r="A62" s="9" t="s">
        <v>13</v>
      </c>
      <c r="B62" s="9"/>
      <c r="C62" t="s">
        <v>180</v>
      </c>
      <c r="D62" s="5" t="s">
        <v>182</v>
      </c>
      <c r="E62" s="1">
        <v>17000.03</v>
      </c>
      <c r="F62" s="1">
        <v>1520.08</v>
      </c>
      <c r="G62" s="1">
        <v>59999.31</v>
      </c>
      <c r="H62" s="1">
        <v>823.12</v>
      </c>
    </row>
    <row r="63" spans="1:9">
      <c r="A63" s="9" t="s">
        <v>13</v>
      </c>
      <c r="B63" s="9"/>
      <c r="C63" t="s">
        <v>183</v>
      </c>
      <c r="D63" s="5" t="s">
        <v>185</v>
      </c>
      <c r="E63" s="1">
        <v>14548.11</v>
      </c>
      <c r="G63" s="1">
        <v>72935.87</v>
      </c>
    </row>
    <row r="64" spans="1:9">
      <c r="A64" s="9" t="s">
        <v>13</v>
      </c>
      <c r="B64" s="9"/>
      <c r="C64" t="s">
        <v>186</v>
      </c>
      <c r="D64" s="5" t="s">
        <v>188</v>
      </c>
      <c r="E64" s="1">
        <v>12715.79</v>
      </c>
      <c r="G64" s="1">
        <v>23499.18</v>
      </c>
    </row>
    <row r="65" spans="1:9">
      <c r="A65" s="9" t="s">
        <v>13</v>
      </c>
      <c r="B65" s="9"/>
      <c r="C65" t="s">
        <v>189</v>
      </c>
      <c r="D65" s="5" t="s">
        <v>191</v>
      </c>
      <c r="E65" s="1">
        <v>20262.61</v>
      </c>
      <c r="G65" s="1">
        <v>43353.31</v>
      </c>
      <c r="H65" s="1">
        <v>359.12</v>
      </c>
    </row>
    <row r="66" spans="1:9">
      <c r="A66" s="9" t="s">
        <v>13</v>
      </c>
      <c r="B66" s="9"/>
      <c r="C66" t="s">
        <v>192</v>
      </c>
      <c r="D66" s="5" t="s">
        <v>194</v>
      </c>
      <c r="E66" s="1">
        <v>33535.410000000003</v>
      </c>
      <c r="F66" s="1">
        <v>380</v>
      </c>
      <c r="G66" s="1">
        <v>97941.69</v>
      </c>
    </row>
    <row r="67" spans="1:9">
      <c r="A67" s="9" t="s">
        <v>13</v>
      </c>
      <c r="B67" s="9"/>
      <c r="C67" t="s">
        <v>195</v>
      </c>
      <c r="D67" s="5" t="s">
        <v>197</v>
      </c>
      <c r="E67" s="1">
        <v>81943.350000000006</v>
      </c>
      <c r="G67" s="1">
        <v>119903.71</v>
      </c>
      <c r="H67" s="1">
        <v>1351.6</v>
      </c>
    </row>
    <row r="68" spans="1:9">
      <c r="A68" s="9" t="s">
        <v>13</v>
      </c>
      <c r="B68" s="9"/>
      <c r="C68" t="s">
        <v>198</v>
      </c>
      <c r="D68" s="5" t="s">
        <v>200</v>
      </c>
      <c r="E68" s="1">
        <v>8058.17</v>
      </c>
      <c r="F68" s="1">
        <v>97.76</v>
      </c>
      <c r="G68" s="1">
        <v>23167.83</v>
      </c>
      <c r="H68" s="1">
        <v>204.315</v>
      </c>
      <c r="I68" s="1">
        <v>44</v>
      </c>
    </row>
    <row r="69" spans="1:9">
      <c r="A69" s="9" t="s">
        <v>13</v>
      </c>
      <c r="B69" s="9"/>
      <c r="C69" t="s">
        <v>201</v>
      </c>
      <c r="D69" s="5" t="s">
        <v>203</v>
      </c>
      <c r="E69" s="1">
        <v>16710.91</v>
      </c>
      <c r="F69" s="1">
        <v>1045.6199999999999</v>
      </c>
      <c r="G69" s="1">
        <v>52732.54</v>
      </c>
      <c r="H69" s="1">
        <v>101.58</v>
      </c>
    </row>
    <row r="70" spans="1:9">
      <c r="A70" s="9" t="s">
        <v>13</v>
      </c>
      <c r="B70" s="9"/>
      <c r="C70" t="s">
        <v>204</v>
      </c>
      <c r="D70" s="5" t="s">
        <v>206</v>
      </c>
      <c r="E70" s="1">
        <v>12994.69</v>
      </c>
      <c r="F70" s="1">
        <v>236.05</v>
      </c>
      <c r="G70" s="1">
        <v>35323.050000000003</v>
      </c>
      <c r="H70" s="1">
        <v>596.24</v>
      </c>
      <c r="I70" s="1">
        <v>214</v>
      </c>
    </row>
    <row r="71" spans="1:9">
      <c r="A71" s="9" t="s">
        <v>13</v>
      </c>
      <c r="B71" s="9"/>
      <c r="C71" t="s">
        <v>207</v>
      </c>
      <c r="D71" s="5" t="s">
        <v>209</v>
      </c>
      <c r="E71" s="1">
        <v>35733.33</v>
      </c>
      <c r="F71" s="1">
        <v>667.61</v>
      </c>
      <c r="G71" s="1">
        <v>142827.39000000001</v>
      </c>
      <c r="H71" s="1">
        <v>2401.21</v>
      </c>
      <c r="I71" s="1">
        <v>149.03</v>
      </c>
    </row>
    <row r="72" spans="1:9">
      <c r="A72" s="9" t="s">
        <v>13</v>
      </c>
      <c r="B72" s="9"/>
      <c r="C72" t="s">
        <v>210</v>
      </c>
      <c r="D72" s="5" t="s">
        <v>212</v>
      </c>
      <c r="E72" s="1">
        <v>145542.22</v>
      </c>
      <c r="F72" s="1">
        <v>3848.13</v>
      </c>
      <c r="G72" s="1">
        <v>225209.27</v>
      </c>
      <c r="H72" s="1">
        <v>856.45</v>
      </c>
    </row>
    <row r="73" spans="1:9">
      <c r="A73" s="9" t="s">
        <v>13</v>
      </c>
      <c r="B73" s="9"/>
      <c r="C73" t="s">
        <v>213</v>
      </c>
      <c r="D73" s="5" t="s">
        <v>215</v>
      </c>
      <c r="E73" s="1">
        <v>8282.5400000000009</v>
      </c>
      <c r="G73" s="1">
        <v>8282.5400000000009</v>
      </c>
      <c r="H73" s="1">
        <v>372.34500000000003</v>
      </c>
      <c r="I73" s="1">
        <v>140.5</v>
      </c>
    </row>
    <row r="74" spans="1:9">
      <c r="A74" s="9" t="s">
        <v>13</v>
      </c>
      <c r="B74" s="9"/>
      <c r="C74" t="s">
        <v>216</v>
      </c>
      <c r="D74" s="5" t="s">
        <v>218</v>
      </c>
      <c r="G74" s="1">
        <v>24750</v>
      </c>
    </row>
    <row r="75" spans="1:9">
      <c r="A75" s="9" t="s">
        <v>13</v>
      </c>
      <c r="B75" s="9"/>
      <c r="C75" t="s">
        <v>219</v>
      </c>
      <c r="D75" s="5" t="s">
        <v>221</v>
      </c>
      <c r="G75" s="1">
        <v>7570.5</v>
      </c>
    </row>
    <row r="76" spans="1:9">
      <c r="A76" s="9" t="s">
        <v>13</v>
      </c>
      <c r="B76" s="9"/>
      <c r="C76" t="s">
        <v>222</v>
      </c>
      <c r="D76" s="5" t="s">
        <v>224</v>
      </c>
      <c r="E76" s="1">
        <v>2182</v>
      </c>
      <c r="G76" s="1">
        <v>3196.71</v>
      </c>
    </row>
    <row r="77" spans="1:9">
      <c r="A77" s="9" t="s">
        <v>13</v>
      </c>
      <c r="B77" s="9"/>
      <c r="C77" t="s">
        <v>225</v>
      </c>
      <c r="D77" s="5" t="s">
        <v>227</v>
      </c>
      <c r="E77" s="1">
        <v>40066.1</v>
      </c>
      <c r="F77" s="1">
        <v>2040.17</v>
      </c>
      <c r="G77" s="1">
        <v>100658.64</v>
      </c>
      <c r="H77" s="1">
        <v>3348.2350000000001</v>
      </c>
      <c r="I77" s="1">
        <v>1395.84</v>
      </c>
    </row>
    <row r="78" spans="1:9">
      <c r="A78" s="9" t="s">
        <v>13</v>
      </c>
      <c r="B78" s="9"/>
      <c r="C78" t="s">
        <v>228</v>
      </c>
      <c r="D78" s="5" t="s">
        <v>230</v>
      </c>
      <c r="E78" s="1">
        <v>23215.01</v>
      </c>
      <c r="F78" s="1">
        <v>940.57</v>
      </c>
      <c r="G78" s="1">
        <v>70126.490000000005</v>
      </c>
      <c r="H78" s="1">
        <v>213.52</v>
      </c>
    </row>
    <row r="79" spans="1:9">
      <c r="A79" s="9" t="s">
        <v>13</v>
      </c>
      <c r="B79" s="9"/>
      <c r="C79" t="s">
        <v>231</v>
      </c>
      <c r="D79" s="5" t="s">
        <v>233</v>
      </c>
      <c r="E79" s="1">
        <v>38364.339999999997</v>
      </c>
      <c r="F79" s="1">
        <v>2557.3200000000002</v>
      </c>
      <c r="G79" s="1">
        <v>158927.79</v>
      </c>
      <c r="H79" s="1">
        <v>623.74</v>
      </c>
    </row>
    <row r="80" spans="1:9">
      <c r="A80" s="9" t="s">
        <v>13</v>
      </c>
      <c r="B80" s="9"/>
      <c r="C80" t="s">
        <v>234</v>
      </c>
      <c r="D80" s="5" t="s">
        <v>236</v>
      </c>
      <c r="E80" s="1">
        <v>28833.96</v>
      </c>
      <c r="F80" s="1">
        <v>1814.04</v>
      </c>
      <c r="G80" s="1">
        <v>39541.879999999997</v>
      </c>
      <c r="H80" s="1">
        <v>2147.125</v>
      </c>
    </row>
    <row r="81" spans="1:9">
      <c r="A81" s="9" t="s">
        <v>13</v>
      </c>
      <c r="B81" s="9"/>
      <c r="C81" t="s">
        <v>237</v>
      </c>
      <c r="D81" s="5" t="s">
        <v>239</v>
      </c>
      <c r="E81" s="1">
        <v>14583.8</v>
      </c>
      <c r="F81" s="1">
        <v>893.99</v>
      </c>
      <c r="G81" s="1">
        <v>23682.3</v>
      </c>
    </row>
    <row r="82" spans="1:9">
      <c r="A82" s="9" t="s">
        <v>13</v>
      </c>
      <c r="B82" s="9"/>
      <c r="C82" t="s">
        <v>240</v>
      </c>
      <c r="D82" s="5" t="s">
        <v>242</v>
      </c>
      <c r="E82" s="1">
        <v>7767.37</v>
      </c>
      <c r="F82" s="1">
        <v>105.67</v>
      </c>
      <c r="G82" s="1">
        <v>34230.28</v>
      </c>
      <c r="H82" s="1">
        <v>231.065</v>
      </c>
      <c r="I82" s="1">
        <v>75.5</v>
      </c>
    </row>
    <row r="83" spans="1:9">
      <c r="A83" s="9" t="s">
        <v>13</v>
      </c>
      <c r="B83" s="9"/>
      <c r="C83" t="s">
        <v>243</v>
      </c>
      <c r="D83" s="5" t="s">
        <v>245</v>
      </c>
      <c r="E83" s="1">
        <v>7243.07</v>
      </c>
      <c r="F83" s="1">
        <v>317.82</v>
      </c>
      <c r="H83" s="1">
        <v>497.96</v>
      </c>
    </row>
    <row r="84" spans="1:9">
      <c r="A84" s="9" t="s">
        <v>13</v>
      </c>
      <c r="B84" s="9"/>
      <c r="C84" t="s">
        <v>246</v>
      </c>
      <c r="D84" s="5" t="s">
        <v>248</v>
      </c>
      <c r="E84" s="1">
        <v>29455.55</v>
      </c>
      <c r="F84" s="1">
        <v>292.37</v>
      </c>
      <c r="G84" s="1">
        <v>62574.3</v>
      </c>
      <c r="H84" s="1">
        <v>2186.1999999999998</v>
      </c>
      <c r="I84" s="1">
        <v>678.27</v>
      </c>
    </row>
    <row r="85" spans="1:9">
      <c r="A85" s="9" t="s">
        <v>13</v>
      </c>
      <c r="B85" s="9"/>
      <c r="C85" t="s">
        <v>249</v>
      </c>
      <c r="D85" s="5" t="s">
        <v>251</v>
      </c>
      <c r="E85" s="1">
        <v>101350.43</v>
      </c>
      <c r="F85" s="1">
        <v>1125</v>
      </c>
      <c r="G85" s="1">
        <v>356198.36</v>
      </c>
      <c r="H85" s="1">
        <v>4677.99</v>
      </c>
    </row>
    <row r="86" spans="1:9">
      <c r="A86" s="9" t="s">
        <v>13</v>
      </c>
      <c r="B86" s="9"/>
      <c r="C86" t="s">
        <v>252</v>
      </c>
      <c r="D86" s="5" t="s">
        <v>254</v>
      </c>
      <c r="E86" s="1">
        <v>48048.69</v>
      </c>
      <c r="G86" s="1">
        <v>59133.97</v>
      </c>
      <c r="H86" s="1">
        <v>48.06</v>
      </c>
    </row>
    <row r="87" spans="1:9">
      <c r="A87" s="9" t="s">
        <v>13</v>
      </c>
      <c r="B87" s="9"/>
      <c r="C87" t="s">
        <v>255</v>
      </c>
      <c r="D87" s="5" t="s">
        <v>257</v>
      </c>
      <c r="E87" s="1">
        <v>126243.16</v>
      </c>
      <c r="G87" s="1">
        <v>129713.48</v>
      </c>
      <c r="H87" s="1">
        <v>760.78</v>
      </c>
    </row>
    <row r="88" spans="1:9">
      <c r="A88" s="9" t="s">
        <v>13</v>
      </c>
      <c r="B88" s="9"/>
      <c r="C88" t="s">
        <v>258</v>
      </c>
      <c r="D88" s="5" t="s">
        <v>260</v>
      </c>
      <c r="E88" s="1">
        <v>93168.63</v>
      </c>
      <c r="F88" s="1">
        <v>57.84</v>
      </c>
      <c r="G88" s="1">
        <v>406878.01</v>
      </c>
      <c r="H88" s="1">
        <v>493.57</v>
      </c>
      <c r="I88" s="1">
        <v>187.2</v>
      </c>
    </row>
    <row r="89" spans="1:9">
      <c r="A89" s="9" t="s">
        <v>13</v>
      </c>
      <c r="B89" s="9"/>
      <c r="C89" t="s">
        <v>261</v>
      </c>
      <c r="D89" s="5" t="s">
        <v>263</v>
      </c>
      <c r="E89" s="1">
        <v>26986.44</v>
      </c>
      <c r="F89" s="1">
        <v>9.5</v>
      </c>
      <c r="G89" s="1">
        <v>85806.98</v>
      </c>
      <c r="H89" s="1">
        <v>179.12</v>
      </c>
    </row>
    <row r="90" spans="1:9">
      <c r="A90" s="9" t="s">
        <v>13</v>
      </c>
      <c r="B90" s="9"/>
      <c r="C90" t="s">
        <v>264</v>
      </c>
      <c r="D90" s="5" t="s">
        <v>266</v>
      </c>
      <c r="E90" s="1">
        <v>35220.03</v>
      </c>
      <c r="G90" s="1">
        <v>56872.65</v>
      </c>
      <c r="H90" s="1">
        <v>33.86</v>
      </c>
    </row>
    <row r="91" spans="1:9">
      <c r="A91" s="9" t="s">
        <v>13</v>
      </c>
      <c r="B91" s="9"/>
      <c r="C91" t="s">
        <v>267</v>
      </c>
      <c r="D91" s="5" t="s">
        <v>269</v>
      </c>
      <c r="E91" s="1">
        <v>54412.66</v>
      </c>
      <c r="F91" s="1">
        <v>3582.25</v>
      </c>
      <c r="G91" s="1">
        <v>187768.71</v>
      </c>
      <c r="H91" s="1">
        <v>168.97</v>
      </c>
      <c r="I91" s="1">
        <v>255.32</v>
      </c>
    </row>
    <row r="92" spans="1:9">
      <c r="A92" s="9" t="s">
        <v>13</v>
      </c>
      <c r="B92" s="9"/>
      <c r="C92" t="s">
        <v>270</v>
      </c>
      <c r="D92" s="5" t="s">
        <v>272</v>
      </c>
      <c r="E92" s="1">
        <v>9547.24</v>
      </c>
      <c r="F92" s="1">
        <v>47.4</v>
      </c>
      <c r="G92" s="1">
        <v>23079.919999999998</v>
      </c>
      <c r="H92" s="1">
        <v>894.45</v>
      </c>
      <c r="I92" s="1">
        <v>527.65</v>
      </c>
    </row>
    <row r="93" spans="1:9">
      <c r="A93" s="9" t="s">
        <v>13</v>
      </c>
      <c r="B93" s="9"/>
      <c r="C93" t="s">
        <v>273</v>
      </c>
      <c r="D93" s="5" t="s">
        <v>275</v>
      </c>
      <c r="E93" s="1">
        <v>89252.78</v>
      </c>
      <c r="G93" s="1">
        <v>226998.93</v>
      </c>
      <c r="H93" s="1">
        <v>5840.64</v>
      </c>
    </row>
    <row r="94" spans="1:9">
      <c r="A94" s="9" t="s">
        <v>13</v>
      </c>
      <c r="B94" s="9"/>
      <c r="C94" t="s">
        <v>276</v>
      </c>
      <c r="D94" s="5" t="s">
        <v>278</v>
      </c>
      <c r="E94" s="1">
        <v>69910.2</v>
      </c>
      <c r="G94" s="1">
        <v>230836.82</v>
      </c>
      <c r="H94" s="1">
        <v>1663.28</v>
      </c>
    </row>
    <row r="95" spans="1:9">
      <c r="A95" s="9" t="s">
        <v>13</v>
      </c>
      <c r="B95" s="9"/>
      <c r="C95" t="s">
        <v>279</v>
      </c>
      <c r="D95" s="5" t="s">
        <v>281</v>
      </c>
      <c r="E95" s="1">
        <v>34345.57</v>
      </c>
      <c r="G95" s="1">
        <v>105679.31</v>
      </c>
      <c r="H95" s="1">
        <v>2320.4299999999998</v>
      </c>
    </row>
    <row r="96" spans="1:9">
      <c r="A96" s="9" t="s">
        <v>13</v>
      </c>
      <c r="B96" s="9"/>
      <c r="C96" t="s">
        <v>282</v>
      </c>
      <c r="D96" s="5" t="s">
        <v>284</v>
      </c>
      <c r="E96" s="1">
        <v>181537.87</v>
      </c>
      <c r="G96" s="1">
        <v>97445.83</v>
      </c>
      <c r="H96" s="1">
        <v>3993.0149999999999</v>
      </c>
    </row>
    <row r="97" spans="1:9">
      <c r="A97" s="9" t="s">
        <v>13</v>
      </c>
      <c r="B97" s="9"/>
      <c r="C97" t="s">
        <v>285</v>
      </c>
      <c r="D97" s="5" t="s">
        <v>287</v>
      </c>
      <c r="E97" s="1">
        <v>39882.35</v>
      </c>
      <c r="F97" s="1">
        <v>-2909.4</v>
      </c>
      <c r="G97" s="1">
        <v>64774.5</v>
      </c>
      <c r="H97" s="1">
        <v>951.04</v>
      </c>
      <c r="I97" s="1">
        <v>358.46</v>
      </c>
    </row>
    <row r="98" spans="1:9">
      <c r="A98" s="9" t="s">
        <v>13</v>
      </c>
      <c r="B98" s="9"/>
      <c r="C98" t="s">
        <v>288</v>
      </c>
      <c r="D98" s="5" t="s">
        <v>290</v>
      </c>
      <c r="E98" s="1">
        <v>14.27</v>
      </c>
    </row>
    <row r="99" spans="1:9">
      <c r="A99" s="9" t="s">
        <v>13</v>
      </c>
      <c r="B99" s="9"/>
      <c r="C99" t="s">
        <v>291</v>
      </c>
      <c r="D99" s="5" t="s">
        <v>293</v>
      </c>
      <c r="E99" s="1">
        <v>80315.649999999994</v>
      </c>
      <c r="F99" s="1">
        <v>1970.2</v>
      </c>
      <c r="G99" s="1">
        <v>268090.06</v>
      </c>
      <c r="H99" s="1">
        <v>158.64500000000001</v>
      </c>
      <c r="I99" s="1">
        <v>187.88</v>
      </c>
    </row>
    <row r="100" spans="1:9">
      <c r="A100" s="9" t="s">
        <v>13</v>
      </c>
      <c r="B100" s="9"/>
      <c r="C100" t="s">
        <v>294</v>
      </c>
      <c r="D100" s="5" t="s">
        <v>296</v>
      </c>
      <c r="E100" s="1">
        <v>20052.18</v>
      </c>
      <c r="G100" s="1">
        <v>26206.85</v>
      </c>
    </row>
    <row r="101" spans="1:9">
      <c r="A101" s="9" t="s">
        <v>13</v>
      </c>
      <c r="B101" s="9"/>
      <c r="C101" t="s">
        <v>297</v>
      </c>
      <c r="D101" s="5" t="s">
        <v>299</v>
      </c>
      <c r="E101" s="1">
        <v>66483.25</v>
      </c>
      <c r="F101" s="1">
        <v>2524.02</v>
      </c>
      <c r="G101" s="1">
        <v>26439.57</v>
      </c>
      <c r="H101" s="1">
        <v>3840.16</v>
      </c>
    </row>
    <row r="102" spans="1:9">
      <c r="A102" s="9" t="s">
        <v>13</v>
      </c>
      <c r="B102" s="9"/>
      <c r="C102" t="s">
        <v>300</v>
      </c>
      <c r="D102" s="5" t="s">
        <v>302</v>
      </c>
      <c r="E102" s="1">
        <v>541561.66</v>
      </c>
      <c r="G102" s="1">
        <v>865831.76</v>
      </c>
    </row>
    <row r="103" spans="1:9">
      <c r="A103" s="9" t="s">
        <v>13</v>
      </c>
      <c r="B103" s="9"/>
      <c r="C103" t="s">
        <v>303</v>
      </c>
      <c r="D103" s="5" t="s">
        <v>305</v>
      </c>
      <c r="E103" s="1">
        <v>46371.4</v>
      </c>
      <c r="G103" s="1">
        <v>35605.5</v>
      </c>
      <c r="H103" s="1">
        <v>2162.4</v>
      </c>
    </row>
    <row r="104" spans="1:9">
      <c r="A104" s="9" t="s">
        <v>13</v>
      </c>
      <c r="B104" s="9"/>
      <c r="C104" t="s">
        <v>306</v>
      </c>
      <c r="D104" s="5" t="s">
        <v>308</v>
      </c>
      <c r="E104" s="1">
        <v>17347.560000000001</v>
      </c>
      <c r="F104" s="1">
        <v>1648.34</v>
      </c>
      <c r="G104" s="1">
        <v>51277.86</v>
      </c>
    </row>
    <row r="105" spans="1:9">
      <c r="A105" s="9" t="s">
        <v>13</v>
      </c>
      <c r="B105" s="9"/>
      <c r="C105" t="s">
        <v>309</v>
      </c>
      <c r="D105" s="5" t="s">
        <v>311</v>
      </c>
      <c r="E105" s="1">
        <v>8728.58</v>
      </c>
      <c r="F105" s="1">
        <v>2005.92</v>
      </c>
      <c r="G105" s="1">
        <v>27042.19</v>
      </c>
      <c r="H105" s="1">
        <v>184.16</v>
      </c>
    </row>
    <row r="106" spans="1:9">
      <c r="A106" s="9" t="s">
        <v>13</v>
      </c>
      <c r="B106" s="9"/>
      <c r="C106" t="s">
        <v>312</v>
      </c>
      <c r="D106" s="5" t="s">
        <v>314</v>
      </c>
      <c r="E106" s="1">
        <v>19284.54</v>
      </c>
      <c r="G106" s="1">
        <v>8250</v>
      </c>
      <c r="H106" s="1">
        <v>51.625</v>
      </c>
    </row>
    <row r="107" spans="1:9">
      <c r="A107" s="9" t="s">
        <v>13</v>
      </c>
      <c r="B107" s="9"/>
      <c r="C107" t="s">
        <v>315</v>
      </c>
      <c r="D107" s="5" t="s">
        <v>317</v>
      </c>
      <c r="E107" s="1">
        <v>43411.91</v>
      </c>
      <c r="G107" s="1">
        <v>192451.21</v>
      </c>
    </row>
    <row r="108" spans="1:9">
      <c r="A108" s="9" t="s">
        <v>13</v>
      </c>
      <c r="B108" s="9"/>
      <c r="C108" t="s">
        <v>318</v>
      </c>
      <c r="D108" s="5" t="s">
        <v>320</v>
      </c>
      <c r="E108" s="1">
        <v>8048.07</v>
      </c>
      <c r="G108" s="1">
        <v>48735.98</v>
      </c>
    </row>
    <row r="109" spans="1:9">
      <c r="A109" s="9" t="s">
        <v>13</v>
      </c>
      <c r="B109" s="9"/>
      <c r="C109" t="s">
        <v>321</v>
      </c>
      <c r="D109" s="5" t="s">
        <v>323</v>
      </c>
      <c r="E109" s="1">
        <v>30422.19</v>
      </c>
    </row>
    <row r="110" spans="1:9">
      <c r="A110" s="9" t="s">
        <v>13</v>
      </c>
      <c r="B110" s="9"/>
      <c r="C110" t="s">
        <v>324</v>
      </c>
      <c r="D110" s="5" t="s">
        <v>326</v>
      </c>
      <c r="E110" s="1">
        <v>43106</v>
      </c>
      <c r="G110" s="1">
        <v>75163.16</v>
      </c>
    </row>
    <row r="111" spans="1:9">
      <c r="A111" s="9" t="s">
        <v>13</v>
      </c>
      <c r="B111" s="9"/>
      <c r="C111" t="s">
        <v>327</v>
      </c>
      <c r="D111" s="5" t="s">
        <v>329</v>
      </c>
      <c r="E111" s="1">
        <v>2540.5</v>
      </c>
    </row>
    <row r="112" spans="1:9">
      <c r="A112" s="9" t="s">
        <v>13</v>
      </c>
      <c r="B112" s="9"/>
      <c r="C112" t="s">
        <v>330</v>
      </c>
      <c r="D112" s="5" t="s">
        <v>332</v>
      </c>
      <c r="E112" s="1">
        <v>8346.93</v>
      </c>
      <c r="G112" s="1">
        <v>29923.4</v>
      </c>
    </row>
    <row r="113" spans="1:8">
      <c r="A113" s="9" t="s">
        <v>13</v>
      </c>
      <c r="B113" s="9"/>
      <c r="C113" t="s">
        <v>333</v>
      </c>
      <c r="D113" s="5" t="s">
        <v>335</v>
      </c>
      <c r="E113" s="1">
        <v>37374.35</v>
      </c>
      <c r="F113" s="1">
        <v>8274.2099999999991</v>
      </c>
      <c r="G113" s="1">
        <v>175979.04</v>
      </c>
      <c r="H113" s="1">
        <v>9094.42</v>
      </c>
    </row>
    <row r="114" spans="1:8">
      <c r="A114" s="9" t="s">
        <v>13</v>
      </c>
      <c r="B114" s="9"/>
      <c r="C114" t="s">
        <v>336</v>
      </c>
      <c r="D114" s="5" t="s">
        <v>336</v>
      </c>
      <c r="E114" s="1">
        <v>1759</v>
      </c>
    </row>
    <row r="115" spans="1:8">
      <c r="A115" s="9" t="s">
        <v>13</v>
      </c>
      <c r="B115" s="9"/>
      <c r="C115" t="s">
        <v>338</v>
      </c>
      <c r="D115" s="5" t="s">
        <v>340</v>
      </c>
      <c r="E115" s="1">
        <v>44045.75</v>
      </c>
      <c r="G115" s="1">
        <v>72144.25</v>
      </c>
    </row>
    <row r="116" spans="1:8">
      <c r="A116" s="9" t="s">
        <v>13</v>
      </c>
      <c r="B116" s="9"/>
      <c r="C116" t="s">
        <v>341</v>
      </c>
      <c r="D116" s="5" t="s">
        <v>343</v>
      </c>
      <c r="E116" s="1">
        <v>1664.65</v>
      </c>
    </row>
    <row r="117" spans="1:8">
      <c r="A117" s="9" t="s">
        <v>13</v>
      </c>
      <c r="B117" s="9"/>
      <c r="C117" t="s">
        <v>344</v>
      </c>
      <c r="D117" s="5" t="s">
        <v>346</v>
      </c>
      <c r="E117" s="1">
        <v>2794.74</v>
      </c>
      <c r="G117" s="1">
        <v>22166.62</v>
      </c>
      <c r="H117" s="1">
        <v>928.4</v>
      </c>
    </row>
    <row r="118" spans="1:8">
      <c r="A118" s="9" t="s">
        <v>13</v>
      </c>
      <c r="B118" s="9"/>
      <c r="C118" t="s">
        <v>347</v>
      </c>
      <c r="D118" s="5" t="s">
        <v>349</v>
      </c>
      <c r="E118" s="1">
        <v>3150</v>
      </c>
    </row>
    <row r="119" spans="1:8">
      <c r="A119" s="9" t="s">
        <v>13</v>
      </c>
      <c r="B119" s="9"/>
      <c r="C119" t="s">
        <v>350</v>
      </c>
      <c r="D119" s="5" t="s">
        <v>352</v>
      </c>
      <c r="E119" s="1">
        <v>125220.21</v>
      </c>
      <c r="F119" s="1">
        <v>1172.8800000000001</v>
      </c>
      <c r="G119" s="1">
        <v>310651.17</v>
      </c>
      <c r="H119" s="1">
        <v>5533.335</v>
      </c>
    </row>
    <row r="120" spans="1:8">
      <c r="A120" s="9" t="s">
        <v>13</v>
      </c>
      <c r="B120" s="9"/>
      <c r="C120" t="s">
        <v>353</v>
      </c>
      <c r="D120" s="5" t="s">
        <v>353</v>
      </c>
      <c r="E120" s="1">
        <v>-128.78</v>
      </c>
    </row>
    <row r="121" spans="1:8">
      <c r="A121" s="9" t="s">
        <v>13</v>
      </c>
      <c r="B121" s="9"/>
      <c r="C121" t="s">
        <v>355</v>
      </c>
      <c r="D121" s="5" t="s">
        <v>357</v>
      </c>
      <c r="E121" s="1">
        <v>626973.91</v>
      </c>
      <c r="G121" s="1">
        <v>473424.82</v>
      </c>
    </row>
    <row r="122" spans="1:8">
      <c r="A122" s="9" t="s">
        <v>13</v>
      </c>
      <c r="B122" s="9"/>
      <c r="C122" t="s">
        <v>358</v>
      </c>
      <c r="D122" s="5" t="s">
        <v>360</v>
      </c>
      <c r="E122" s="1">
        <v>111362.32</v>
      </c>
      <c r="G122" s="1">
        <v>400994.42</v>
      </c>
      <c r="H122" s="1">
        <v>3146.3850000000002</v>
      </c>
    </row>
    <row r="123" spans="1:8">
      <c r="A123" s="9" t="s">
        <v>13</v>
      </c>
      <c r="B123" s="9"/>
      <c r="C123" t="s">
        <v>361</v>
      </c>
      <c r="D123" s="5" t="s">
        <v>363</v>
      </c>
      <c r="E123" s="1">
        <v>9986.0300000000007</v>
      </c>
      <c r="G123" s="1">
        <v>16244.38</v>
      </c>
    </row>
    <row r="124" spans="1:8">
      <c r="A124" s="9" t="s">
        <v>13</v>
      </c>
      <c r="B124" s="9"/>
      <c r="C124" t="s">
        <v>364</v>
      </c>
      <c r="D124" s="5" t="s">
        <v>366</v>
      </c>
      <c r="E124" s="1">
        <v>6108.51</v>
      </c>
      <c r="G124" s="1">
        <v>5931.54</v>
      </c>
    </row>
    <row r="125" spans="1:8">
      <c r="A125" s="9" t="s">
        <v>13</v>
      </c>
      <c r="B125" s="9"/>
      <c r="C125" t="s">
        <v>367</v>
      </c>
      <c r="D125" s="5" t="s">
        <v>369</v>
      </c>
      <c r="E125" s="1">
        <v>62.67</v>
      </c>
      <c r="F125" s="1">
        <v>2350.87</v>
      </c>
      <c r="H125" s="1">
        <v>3622.4</v>
      </c>
    </row>
    <row r="126" spans="1:8">
      <c r="A126" s="9" t="s">
        <v>13</v>
      </c>
      <c r="B126" s="9"/>
      <c r="C126" t="s">
        <v>370</v>
      </c>
      <c r="D126" s="5" t="s">
        <v>372</v>
      </c>
      <c r="E126" s="1">
        <v>57938.43</v>
      </c>
      <c r="F126" s="1">
        <v>829.84</v>
      </c>
      <c r="G126" s="1">
        <v>202991.46</v>
      </c>
      <c r="H126" s="1">
        <v>179.12</v>
      </c>
    </row>
    <row r="127" spans="1:8">
      <c r="A127" s="9" t="s">
        <v>13</v>
      </c>
      <c r="B127" s="9"/>
      <c r="C127" t="s">
        <v>373</v>
      </c>
      <c r="D127" s="5" t="s">
        <v>375</v>
      </c>
      <c r="E127" s="1">
        <v>6852.48</v>
      </c>
      <c r="G127" s="1">
        <v>55989.64</v>
      </c>
      <c r="H127" s="1">
        <v>2550.64</v>
      </c>
    </row>
    <row r="128" spans="1:8">
      <c r="A128" s="9" t="s">
        <v>13</v>
      </c>
      <c r="B128" s="9"/>
      <c r="C128" t="s">
        <v>376</v>
      </c>
      <c r="D128" s="5" t="s">
        <v>378</v>
      </c>
      <c r="E128" s="1">
        <v>24402.92</v>
      </c>
      <c r="F128" s="1">
        <v>4544.7700000000004</v>
      </c>
      <c r="G128" s="1">
        <v>84231.46</v>
      </c>
    </row>
    <row r="129" spans="1:9">
      <c r="A129" s="9" t="s">
        <v>13</v>
      </c>
      <c r="B129" s="9"/>
      <c r="C129" t="s">
        <v>379</v>
      </c>
      <c r="D129" s="5" t="s">
        <v>381</v>
      </c>
      <c r="E129" s="1">
        <v>6690</v>
      </c>
      <c r="F129" s="1">
        <v>108</v>
      </c>
      <c r="G129" s="1">
        <v>35438.239999999998</v>
      </c>
      <c r="H129" s="1">
        <v>485.11500000000001</v>
      </c>
      <c r="I129" s="1">
        <v>161.15</v>
      </c>
    </row>
    <row r="130" spans="1:9">
      <c r="A130" s="9" t="s">
        <v>13</v>
      </c>
      <c r="B130" s="9"/>
      <c r="C130" t="s">
        <v>382</v>
      </c>
      <c r="D130" s="5" t="s">
        <v>384</v>
      </c>
      <c r="E130" s="1">
        <v>10436.629999999999</v>
      </c>
      <c r="G130" s="1">
        <v>50741.27</v>
      </c>
      <c r="H130" s="1">
        <v>1450.48</v>
      </c>
    </row>
    <row r="131" spans="1:9">
      <c r="A131" s="9" t="s">
        <v>13</v>
      </c>
      <c r="B131" s="9"/>
      <c r="C131" t="s">
        <v>385</v>
      </c>
      <c r="D131" s="5" t="s">
        <v>387</v>
      </c>
      <c r="E131" s="1">
        <v>2133.06</v>
      </c>
      <c r="F131" s="1">
        <v>181.51</v>
      </c>
      <c r="G131" s="1">
        <v>11992.47</v>
      </c>
    </row>
    <row r="132" spans="1:9">
      <c r="A132" s="9" t="s">
        <v>13</v>
      </c>
      <c r="B132" s="9"/>
      <c r="C132" t="s">
        <v>388</v>
      </c>
      <c r="D132" s="5" t="s">
        <v>390</v>
      </c>
      <c r="E132" s="1">
        <v>44907.92</v>
      </c>
      <c r="F132" s="1">
        <v>4111.08</v>
      </c>
      <c r="G132" s="1">
        <v>171902.4</v>
      </c>
    </row>
    <row r="133" spans="1:9">
      <c r="A133" s="9" t="s">
        <v>13</v>
      </c>
      <c r="B133" s="9"/>
      <c r="C133" t="s">
        <v>391</v>
      </c>
      <c r="D133" s="5" t="s">
        <v>393</v>
      </c>
      <c r="E133" s="1">
        <v>13339.37</v>
      </c>
      <c r="F133" s="1">
        <v>161.19999999999999</v>
      </c>
      <c r="G133" s="1">
        <v>29644.79</v>
      </c>
      <c r="H133" s="1">
        <v>640.55999999999995</v>
      </c>
    </row>
    <row r="134" spans="1:9">
      <c r="A134" s="9" t="s">
        <v>13</v>
      </c>
      <c r="B134" s="9"/>
      <c r="C134" t="s">
        <v>394</v>
      </c>
      <c r="D134" s="5" t="s">
        <v>396</v>
      </c>
      <c r="E134" s="1">
        <v>7430.34</v>
      </c>
      <c r="F134" s="1">
        <v>1159.48</v>
      </c>
      <c r="G134" s="1">
        <v>30516.26</v>
      </c>
      <c r="H134" s="1">
        <v>33.86</v>
      </c>
    </row>
    <row r="135" spans="1:9">
      <c r="A135" s="9" t="s">
        <v>13</v>
      </c>
      <c r="B135" s="9"/>
      <c r="C135" t="s">
        <v>397</v>
      </c>
      <c r="D135" s="5" t="s">
        <v>399</v>
      </c>
      <c r="E135" s="1">
        <v>28532.97</v>
      </c>
      <c r="F135" s="1">
        <v>10943.06</v>
      </c>
      <c r="G135" s="1">
        <v>79007.06</v>
      </c>
    </row>
    <row r="136" spans="1:9">
      <c r="A136" s="9" t="s">
        <v>13</v>
      </c>
      <c r="B136" s="9"/>
      <c r="C136" t="s">
        <v>400</v>
      </c>
      <c r="D136" s="5" t="s">
        <v>402</v>
      </c>
      <c r="E136" s="1">
        <v>24764.82</v>
      </c>
      <c r="F136" s="1">
        <v>255</v>
      </c>
      <c r="G136" s="1">
        <v>34966.5</v>
      </c>
      <c r="H136" s="1">
        <v>212.26</v>
      </c>
    </row>
    <row r="137" spans="1:9">
      <c r="A137" s="9" t="s">
        <v>13</v>
      </c>
      <c r="B137" s="9"/>
      <c r="C137" t="s">
        <v>403</v>
      </c>
      <c r="D137" s="5" t="s">
        <v>405</v>
      </c>
      <c r="E137" s="1">
        <v>77035.39</v>
      </c>
      <c r="F137" s="1">
        <v>2702.49</v>
      </c>
      <c r="G137" s="1">
        <v>265114.99</v>
      </c>
      <c r="H137" s="1">
        <v>179.12</v>
      </c>
    </row>
    <row r="138" spans="1:9">
      <c r="A138" s="9" t="s">
        <v>13</v>
      </c>
      <c r="B138" s="9"/>
      <c r="C138" t="s">
        <v>406</v>
      </c>
      <c r="D138" s="5" t="s">
        <v>408</v>
      </c>
      <c r="F138" s="1">
        <v>3225.72</v>
      </c>
    </row>
    <row r="139" spans="1:9">
      <c r="A139" s="9" t="s">
        <v>13</v>
      </c>
      <c r="B139" s="9"/>
      <c r="C139" t="s">
        <v>409</v>
      </c>
      <c r="D139" s="5" t="s">
        <v>411</v>
      </c>
      <c r="E139" s="1">
        <v>18809.25</v>
      </c>
      <c r="F139" s="1">
        <v>422.76</v>
      </c>
      <c r="G139" s="1">
        <v>139971.72</v>
      </c>
      <c r="H139" s="1">
        <v>144.18</v>
      </c>
    </row>
    <row r="140" spans="1:9">
      <c r="A140" s="9" t="s">
        <v>13</v>
      </c>
      <c r="B140" s="9"/>
      <c r="C140" t="s">
        <v>412</v>
      </c>
      <c r="D140" s="5" t="s">
        <v>414</v>
      </c>
      <c r="E140" s="1">
        <v>33289.82</v>
      </c>
      <c r="F140" s="1">
        <v>78.349999999999994</v>
      </c>
      <c r="G140" s="1">
        <v>70471.8</v>
      </c>
    </row>
    <row r="141" spans="1:9">
      <c r="A141" s="9" t="s">
        <v>13</v>
      </c>
      <c r="B141" s="9"/>
      <c r="C141" t="s">
        <v>415</v>
      </c>
      <c r="D141" s="5" t="s">
        <v>417</v>
      </c>
      <c r="E141" s="1">
        <v>14281.06</v>
      </c>
      <c r="G141" s="1">
        <v>9070.35</v>
      </c>
      <c r="H141" s="1">
        <v>107.04</v>
      </c>
    </row>
    <row r="142" spans="1:9">
      <c r="A142" s="9" t="s">
        <v>13</v>
      </c>
      <c r="B142" s="9"/>
      <c r="C142" t="s">
        <v>418</v>
      </c>
      <c r="D142" s="5" t="s">
        <v>420</v>
      </c>
      <c r="E142" s="1">
        <v>45830.57</v>
      </c>
      <c r="F142" s="1">
        <v>194.95</v>
      </c>
      <c r="G142" s="1">
        <v>132453.71</v>
      </c>
      <c r="H142" s="1">
        <v>1247.6600000000001</v>
      </c>
    </row>
    <row r="143" spans="1:9">
      <c r="A143" s="9" t="s">
        <v>13</v>
      </c>
      <c r="B143" s="9"/>
      <c r="C143" t="s">
        <v>421</v>
      </c>
      <c r="D143" s="5" t="s">
        <v>423</v>
      </c>
      <c r="G143" s="1">
        <v>135000</v>
      </c>
      <c r="H143" s="1">
        <v>60.08</v>
      </c>
    </row>
    <row r="144" spans="1:9">
      <c r="A144" s="9" t="s">
        <v>13</v>
      </c>
      <c r="B144" s="9"/>
      <c r="C144" t="s">
        <v>424</v>
      </c>
      <c r="D144" s="5" t="s">
        <v>426</v>
      </c>
      <c r="H144" s="1">
        <v>200.88</v>
      </c>
    </row>
    <row r="145" spans="1:8">
      <c r="A145" s="9" t="s">
        <v>13</v>
      </c>
      <c r="B145" s="9"/>
      <c r="C145" t="s">
        <v>427</v>
      </c>
      <c r="D145" s="5" t="s">
        <v>429</v>
      </c>
      <c r="E145" s="1">
        <v>44770.239999999998</v>
      </c>
      <c r="F145" s="1">
        <v>1620</v>
      </c>
      <c r="G145" s="1">
        <v>175576.16</v>
      </c>
      <c r="H145" s="1">
        <v>2786.74</v>
      </c>
    </row>
    <row r="146" spans="1:8">
      <c r="A146" s="9" t="s">
        <v>13</v>
      </c>
      <c r="B146" s="9"/>
      <c r="C146" t="s">
        <v>430</v>
      </c>
      <c r="D146" s="5" t="s">
        <v>432</v>
      </c>
      <c r="E146" s="1">
        <v>48089.71</v>
      </c>
      <c r="G146" s="1">
        <v>225114.99</v>
      </c>
      <c r="H146" s="1">
        <v>575.02499999999998</v>
      </c>
    </row>
    <row r="147" spans="1:8">
      <c r="A147" s="9" t="s">
        <v>13</v>
      </c>
      <c r="B147" s="9"/>
      <c r="C147" t="s">
        <v>433</v>
      </c>
      <c r="D147" s="5" t="s">
        <v>435</v>
      </c>
      <c r="E147" s="1">
        <v>33212</v>
      </c>
      <c r="G147" s="1">
        <v>123242.97</v>
      </c>
      <c r="H147" s="1">
        <v>605.54999999999995</v>
      </c>
    </row>
    <row r="148" spans="1:8">
      <c r="A148" s="9" t="s">
        <v>13</v>
      </c>
      <c r="B148" s="9"/>
      <c r="C148" t="s">
        <v>436</v>
      </c>
      <c r="D148" s="5" t="s">
        <v>438</v>
      </c>
      <c r="E148" s="1">
        <v>29747.9</v>
      </c>
      <c r="G148" s="1">
        <v>122644.81</v>
      </c>
      <c r="H148" s="1">
        <v>883.45</v>
      </c>
    </row>
    <row r="149" spans="1:8">
      <c r="A149" s="9" t="s">
        <v>13</v>
      </c>
      <c r="B149" s="9"/>
      <c r="C149" t="s">
        <v>439</v>
      </c>
      <c r="D149" s="5" t="s">
        <v>441</v>
      </c>
      <c r="E149" s="1">
        <v>17388.599999999999</v>
      </c>
      <c r="G149" s="1">
        <v>40436.339999999997</v>
      </c>
      <c r="H149" s="1">
        <v>120.4</v>
      </c>
    </row>
    <row r="150" spans="1:8">
      <c r="A150" s="9" t="s">
        <v>13</v>
      </c>
      <c r="B150" s="9"/>
      <c r="C150" t="s">
        <v>442</v>
      </c>
      <c r="D150" s="5" t="s">
        <v>444</v>
      </c>
      <c r="E150" s="1">
        <v>174678.93</v>
      </c>
      <c r="F150" s="1">
        <v>3.64</v>
      </c>
      <c r="G150" s="1">
        <v>247597.52</v>
      </c>
      <c r="H150" s="1">
        <v>11476.69</v>
      </c>
    </row>
    <row r="151" spans="1:8">
      <c r="A151" s="9" t="s">
        <v>13</v>
      </c>
      <c r="B151" s="9"/>
      <c r="C151" t="s">
        <v>445</v>
      </c>
      <c r="D151" s="5" t="s">
        <v>447</v>
      </c>
      <c r="E151" s="1">
        <v>19005.990000000002</v>
      </c>
      <c r="F151" s="1">
        <v>99.77</v>
      </c>
      <c r="G151" s="1">
        <v>45970.3</v>
      </c>
      <c r="H151" s="1">
        <v>535.97</v>
      </c>
    </row>
    <row r="152" spans="1:8">
      <c r="A152" s="9" t="s">
        <v>13</v>
      </c>
      <c r="B152" s="9"/>
      <c r="C152" t="s">
        <v>448</v>
      </c>
      <c r="D152" s="5" t="s">
        <v>450</v>
      </c>
      <c r="E152" s="1">
        <v>84469.8</v>
      </c>
      <c r="G152" s="1">
        <v>2497.5</v>
      </c>
      <c r="H152" s="1">
        <v>749.12</v>
      </c>
    </row>
    <row r="153" spans="1:8">
      <c r="A153" s="9" t="s">
        <v>13</v>
      </c>
      <c r="B153" s="9"/>
      <c r="C153" t="s">
        <v>451</v>
      </c>
      <c r="D153" s="5" t="s">
        <v>453</v>
      </c>
      <c r="E153" s="1">
        <v>28074.54</v>
      </c>
      <c r="F153" s="1">
        <v>1314.51</v>
      </c>
      <c r="G153" s="1">
        <v>39388.78</v>
      </c>
    </row>
    <row r="154" spans="1:8">
      <c r="A154" s="9" t="s">
        <v>13</v>
      </c>
      <c r="B154" s="9"/>
      <c r="C154" t="s">
        <v>454</v>
      </c>
      <c r="D154" s="5" t="s">
        <v>456</v>
      </c>
      <c r="E154" s="1">
        <v>338709.91</v>
      </c>
      <c r="G154" s="1">
        <v>948553.48</v>
      </c>
    </row>
    <row r="155" spans="1:8">
      <c r="A155" s="9" t="s">
        <v>13</v>
      </c>
      <c r="B155" s="9"/>
      <c r="C155" t="s">
        <v>457</v>
      </c>
      <c r="D155" s="5" t="s">
        <v>457</v>
      </c>
      <c r="E155" s="1">
        <v>1499.66</v>
      </c>
    </row>
    <row r="156" spans="1:8">
      <c r="A156" s="9" t="s">
        <v>13</v>
      </c>
      <c r="B156" s="9"/>
      <c r="C156" t="s">
        <v>459</v>
      </c>
      <c r="D156" s="5" t="s">
        <v>461</v>
      </c>
      <c r="E156" s="1">
        <v>111024.5</v>
      </c>
      <c r="G156" s="1">
        <v>102872.94</v>
      </c>
      <c r="H156" s="1">
        <v>537.36</v>
      </c>
    </row>
    <row r="157" spans="1:8">
      <c r="A157" s="9" t="s">
        <v>13</v>
      </c>
      <c r="B157" s="9"/>
      <c r="C157" t="s">
        <v>462</v>
      </c>
      <c r="D157" s="5" t="s">
        <v>464</v>
      </c>
      <c r="E157" s="1">
        <v>4466.45</v>
      </c>
      <c r="F157" s="1">
        <v>1219.05</v>
      </c>
      <c r="G157" s="1">
        <v>40730.550000000003</v>
      </c>
    </row>
    <row r="158" spans="1:8">
      <c r="A158" s="9" t="s">
        <v>13</v>
      </c>
      <c r="B158" s="9"/>
      <c r="C158" t="s">
        <v>465</v>
      </c>
      <c r="D158" s="5" t="s">
        <v>467</v>
      </c>
      <c r="E158" s="1">
        <v>872.65</v>
      </c>
      <c r="G158" s="1">
        <v>3325</v>
      </c>
    </row>
    <row r="159" spans="1:8">
      <c r="A159" s="9" t="s">
        <v>13</v>
      </c>
      <c r="B159" s="9"/>
      <c r="C159" t="s">
        <v>468</v>
      </c>
      <c r="D159" s="5" t="s">
        <v>470</v>
      </c>
      <c r="E159" s="1">
        <v>46159.61</v>
      </c>
      <c r="F159" s="1">
        <v>5752.83</v>
      </c>
      <c r="G159" s="1">
        <v>110118.58</v>
      </c>
      <c r="H159" s="1">
        <v>1765.7</v>
      </c>
    </row>
    <row r="160" spans="1:8">
      <c r="A160" s="9" t="s">
        <v>13</v>
      </c>
      <c r="B160" s="9"/>
      <c r="C160" t="s">
        <v>471</v>
      </c>
      <c r="D160" s="5" t="s">
        <v>473</v>
      </c>
      <c r="E160" s="1">
        <v>3338.62</v>
      </c>
    </row>
    <row r="161" spans="1:9">
      <c r="A161" s="9" t="s">
        <v>13</v>
      </c>
      <c r="B161" s="9"/>
      <c r="C161" t="s">
        <v>474</v>
      </c>
      <c r="D161" s="5" t="s">
        <v>476</v>
      </c>
      <c r="E161" s="1">
        <v>31506.36</v>
      </c>
      <c r="G161" s="1">
        <v>94774.13</v>
      </c>
      <c r="H161" s="1">
        <v>1302.9100000000001</v>
      </c>
    </row>
    <row r="162" spans="1:9">
      <c r="A162" s="9" t="s">
        <v>13</v>
      </c>
      <c r="B162" s="9"/>
      <c r="C162" t="s">
        <v>477</v>
      </c>
      <c r="D162" s="5" t="s">
        <v>479</v>
      </c>
      <c r="E162" s="1">
        <v>27081.75</v>
      </c>
      <c r="G162" s="1">
        <v>56994.96</v>
      </c>
    </row>
    <row r="163" spans="1:9">
      <c r="A163" s="9" t="s">
        <v>13</v>
      </c>
      <c r="B163" s="9"/>
      <c r="C163" t="s">
        <v>480</v>
      </c>
      <c r="D163" s="5" t="s">
        <v>482</v>
      </c>
      <c r="E163" s="1">
        <v>35337.17</v>
      </c>
      <c r="F163" s="1">
        <v>4117.3599999999997</v>
      </c>
      <c r="G163" s="1">
        <v>62000</v>
      </c>
      <c r="H163" s="1">
        <v>13276.65</v>
      </c>
    </row>
    <row r="164" spans="1:9">
      <c r="A164" s="9" t="s">
        <v>13</v>
      </c>
      <c r="B164" s="9"/>
      <c r="C164" t="s">
        <v>483</v>
      </c>
      <c r="D164" s="5" t="s">
        <v>485</v>
      </c>
      <c r="E164" s="1">
        <v>6050.01</v>
      </c>
      <c r="G164" s="1">
        <v>35543.69</v>
      </c>
      <c r="H164" s="1">
        <v>582.88</v>
      </c>
    </row>
    <row r="165" spans="1:9">
      <c r="A165" s="9" t="s">
        <v>13</v>
      </c>
      <c r="B165" s="9"/>
      <c r="C165" t="s">
        <v>486</v>
      </c>
      <c r="D165" s="5" t="s">
        <v>488</v>
      </c>
      <c r="E165" s="1">
        <v>1328</v>
      </c>
    </row>
    <row r="166" spans="1:9">
      <c r="A166" s="9" t="s">
        <v>13</v>
      </c>
      <c r="B166" s="9"/>
      <c r="C166" t="s">
        <v>489</v>
      </c>
      <c r="D166" s="5" t="s">
        <v>491</v>
      </c>
      <c r="E166" s="1">
        <v>199215.61</v>
      </c>
      <c r="G166" s="1">
        <v>559215.35</v>
      </c>
      <c r="H166" s="1">
        <v>4405.5649999999996</v>
      </c>
    </row>
    <row r="167" spans="1:9">
      <c r="A167" s="9" t="s">
        <v>13</v>
      </c>
      <c r="B167" s="9"/>
      <c r="C167" t="s">
        <v>492</v>
      </c>
      <c r="D167" s="5" t="s">
        <v>494</v>
      </c>
      <c r="E167" s="1">
        <v>131267.28</v>
      </c>
      <c r="G167" s="1">
        <v>835092.83</v>
      </c>
      <c r="H167" s="1">
        <v>12089.075000000001</v>
      </c>
    </row>
    <row r="168" spans="1:9">
      <c r="A168" s="9" t="s">
        <v>13</v>
      </c>
      <c r="B168" s="9"/>
      <c r="C168" t="s">
        <v>495</v>
      </c>
      <c r="D168" s="5" t="s">
        <v>497</v>
      </c>
      <c r="E168" s="1">
        <v>18615.060000000001</v>
      </c>
      <c r="G168" s="1">
        <v>76568.759999999995</v>
      </c>
      <c r="H168" s="1">
        <v>1603.7</v>
      </c>
    </row>
    <row r="169" spans="1:9">
      <c r="A169" s="9" t="s">
        <v>13</v>
      </c>
      <c r="B169" s="9"/>
      <c r="C169" t="s">
        <v>498</v>
      </c>
      <c r="D169" s="5" t="s">
        <v>500</v>
      </c>
      <c r="E169" s="1">
        <v>6387.25</v>
      </c>
      <c r="G169" s="1">
        <v>14614.44</v>
      </c>
      <c r="H169" s="1">
        <v>126.65</v>
      </c>
    </row>
    <row r="170" spans="1:9">
      <c r="A170" s="9" t="s">
        <v>13</v>
      </c>
      <c r="B170" s="9"/>
      <c r="C170" t="s">
        <v>501</v>
      </c>
      <c r="D170" s="5" t="s">
        <v>503</v>
      </c>
      <c r="E170" s="1">
        <v>10066.51</v>
      </c>
      <c r="G170" s="1">
        <v>14522.87</v>
      </c>
    </row>
    <row r="171" spans="1:9">
      <c r="A171" s="9" t="s">
        <v>13</v>
      </c>
      <c r="B171" s="9"/>
      <c r="C171" t="s">
        <v>504</v>
      </c>
      <c r="D171" s="5" t="s">
        <v>506</v>
      </c>
      <c r="E171" s="1">
        <v>4983.75</v>
      </c>
      <c r="G171" s="1">
        <v>19143.419999999998</v>
      </c>
      <c r="H171" s="1">
        <v>537.36</v>
      </c>
    </row>
    <row r="172" spans="1:9">
      <c r="A172" s="9" t="s">
        <v>13</v>
      </c>
      <c r="B172" s="9"/>
      <c r="C172" t="s">
        <v>507</v>
      </c>
      <c r="D172" s="5" t="s">
        <v>509</v>
      </c>
      <c r="E172" s="1">
        <v>3769.5</v>
      </c>
      <c r="G172" s="1">
        <v>27484.27</v>
      </c>
      <c r="H172" s="1">
        <v>1093.68</v>
      </c>
    </row>
    <row r="173" spans="1:9">
      <c r="A173" s="9" t="s">
        <v>13</v>
      </c>
      <c r="B173" s="9"/>
      <c r="C173" t="s">
        <v>510</v>
      </c>
      <c r="D173" s="5" t="s">
        <v>512</v>
      </c>
      <c r="E173" s="1">
        <v>53136.85</v>
      </c>
      <c r="G173" s="1">
        <v>171683.96</v>
      </c>
    </row>
    <row r="174" spans="1:9">
      <c r="A174" s="9" t="s">
        <v>13</v>
      </c>
      <c r="B174" s="9"/>
      <c r="C174" t="s">
        <v>513</v>
      </c>
      <c r="D174" s="5" t="s">
        <v>515</v>
      </c>
      <c r="E174" s="1">
        <v>78654.66</v>
      </c>
      <c r="F174" s="1">
        <v>26.73</v>
      </c>
      <c r="G174" s="1">
        <v>208932.43</v>
      </c>
      <c r="H174" s="1">
        <v>1700.655</v>
      </c>
      <c r="I174" s="1">
        <v>351.23</v>
      </c>
    </row>
    <row r="175" spans="1:9">
      <c r="A175" s="9" t="s">
        <v>13</v>
      </c>
      <c r="B175" s="9"/>
      <c r="C175" t="s">
        <v>516</v>
      </c>
      <c r="D175" s="5" t="s">
        <v>518</v>
      </c>
      <c r="E175" s="1">
        <v>165203.65</v>
      </c>
      <c r="G175" s="1">
        <v>155778.28</v>
      </c>
      <c r="H175" s="1">
        <v>4246.4799999999996</v>
      </c>
    </row>
    <row r="176" spans="1:9">
      <c r="A176" s="9" t="s">
        <v>13</v>
      </c>
      <c r="B176" s="9"/>
      <c r="C176" t="s">
        <v>519</v>
      </c>
      <c r="D176" s="5" t="s">
        <v>521</v>
      </c>
      <c r="E176" s="1">
        <v>61815.86</v>
      </c>
      <c r="G176" s="1">
        <v>-82457.350000000006</v>
      </c>
      <c r="H176" s="1">
        <v>1820.1949999999999</v>
      </c>
    </row>
    <row r="177" spans="1:8">
      <c r="A177" s="9" t="s">
        <v>13</v>
      </c>
      <c r="B177" s="9"/>
      <c r="C177" t="s">
        <v>522</v>
      </c>
      <c r="D177" s="5" t="s">
        <v>524</v>
      </c>
      <c r="E177" s="1">
        <v>41453.69</v>
      </c>
      <c r="G177" s="1">
        <v>63516.84</v>
      </c>
      <c r="H177" s="1">
        <v>284</v>
      </c>
    </row>
    <row r="178" spans="1:8">
      <c r="A178" s="9" t="s">
        <v>13</v>
      </c>
      <c r="B178" s="9"/>
      <c r="C178" t="s">
        <v>525</v>
      </c>
      <c r="D178" s="5" t="s">
        <v>527</v>
      </c>
      <c r="E178" s="1">
        <v>37978.97</v>
      </c>
      <c r="F178" s="1">
        <v>500</v>
      </c>
      <c r="G178" s="1">
        <v>112286.69</v>
      </c>
    </row>
    <row r="179" spans="1:8">
      <c r="A179" s="9" t="s">
        <v>13</v>
      </c>
      <c r="B179" s="9"/>
      <c r="C179" t="s">
        <v>528</v>
      </c>
      <c r="D179" s="5" t="s">
        <v>530</v>
      </c>
      <c r="E179" s="1">
        <v>53705.03</v>
      </c>
      <c r="F179" s="1">
        <v>5084.71</v>
      </c>
      <c r="G179" s="1">
        <v>110634.93</v>
      </c>
    </row>
    <row r="180" spans="1:8">
      <c r="A180" s="9" t="s">
        <v>13</v>
      </c>
      <c r="B180" s="9"/>
      <c r="C180" t="s">
        <v>531</v>
      </c>
      <c r="D180" s="5" t="s">
        <v>533</v>
      </c>
      <c r="E180" s="1">
        <v>24492.94</v>
      </c>
      <c r="F180" s="1">
        <v>212.88</v>
      </c>
      <c r="G180" s="1">
        <v>63170.8</v>
      </c>
      <c r="H180" s="1">
        <v>39.090000000000003</v>
      </c>
    </row>
    <row r="181" spans="1:8">
      <c r="A181" s="9" t="s">
        <v>13</v>
      </c>
      <c r="B181" s="9"/>
      <c r="C181" t="s">
        <v>534</v>
      </c>
      <c r="D181" s="5" t="s">
        <v>536</v>
      </c>
      <c r="E181" s="1">
        <v>42126.39</v>
      </c>
      <c r="F181" s="1">
        <v>655.82</v>
      </c>
      <c r="G181" s="1">
        <v>160414.59</v>
      </c>
      <c r="H181" s="1">
        <v>190.745</v>
      </c>
    </row>
    <row r="182" spans="1:8">
      <c r="A182" s="9" t="s">
        <v>13</v>
      </c>
      <c r="B182" s="9"/>
      <c r="C182" t="s">
        <v>537</v>
      </c>
      <c r="D182" s="5" t="s">
        <v>539</v>
      </c>
      <c r="E182" s="1">
        <v>98325.58</v>
      </c>
      <c r="G182" s="1">
        <v>286714.68</v>
      </c>
      <c r="H182" s="1">
        <v>491.44</v>
      </c>
    </row>
    <row r="183" spans="1:8">
      <c r="A183" s="9" t="s">
        <v>13</v>
      </c>
      <c r="B183" s="9"/>
      <c r="C183" t="s">
        <v>540</v>
      </c>
      <c r="D183" s="5" t="s">
        <v>542</v>
      </c>
      <c r="E183" s="1">
        <v>57933.56</v>
      </c>
      <c r="F183" s="1">
        <v>2524.02</v>
      </c>
      <c r="G183" s="1">
        <v>201972.89</v>
      </c>
      <c r="H183" s="1">
        <v>1972.88</v>
      </c>
    </row>
    <row r="184" spans="1:8">
      <c r="A184" s="9" t="s">
        <v>13</v>
      </c>
      <c r="B184" s="9"/>
      <c r="C184" t="s">
        <v>543</v>
      </c>
      <c r="D184" s="5" t="s">
        <v>545</v>
      </c>
      <c r="H184" s="1">
        <v>232.5</v>
      </c>
    </row>
    <row r="185" spans="1:8">
      <c r="A185" s="9" t="s">
        <v>13</v>
      </c>
      <c r="B185" s="9"/>
      <c r="C185" t="s">
        <v>546</v>
      </c>
      <c r="D185" s="5" t="s">
        <v>548</v>
      </c>
      <c r="E185" s="1">
        <v>12672.02</v>
      </c>
      <c r="H185" s="1">
        <v>140.68</v>
      </c>
    </row>
    <row r="186" spans="1:8">
      <c r="A186" s="9" t="s">
        <v>13</v>
      </c>
      <c r="B186" s="9"/>
      <c r="C186" t="s">
        <v>549</v>
      </c>
      <c r="D186" s="5" t="s">
        <v>551</v>
      </c>
      <c r="E186" s="1">
        <v>22144.95</v>
      </c>
      <c r="G186" s="1">
        <v>34988.76</v>
      </c>
      <c r="H186" s="1">
        <v>1020.01</v>
      </c>
    </row>
    <row r="187" spans="1:8">
      <c r="A187" s="9" t="s">
        <v>13</v>
      </c>
      <c r="B187" s="9"/>
      <c r="C187" t="s">
        <v>552</v>
      </c>
      <c r="D187" s="5" t="s">
        <v>554</v>
      </c>
      <c r="E187" s="1">
        <v>25243.53</v>
      </c>
      <c r="G187" s="1">
        <v>52383.24</v>
      </c>
      <c r="H187" s="1">
        <v>1953.6</v>
      </c>
    </row>
    <row r="188" spans="1:8">
      <c r="A188" s="9" t="s">
        <v>13</v>
      </c>
      <c r="B188" s="9"/>
      <c r="C188" t="s">
        <v>555</v>
      </c>
      <c r="D188" s="5" t="s">
        <v>557</v>
      </c>
      <c r="E188" s="1">
        <v>15.54</v>
      </c>
    </row>
    <row r="189" spans="1:8">
      <c r="A189" s="9" t="s">
        <v>13</v>
      </c>
      <c r="B189" s="9"/>
      <c r="C189" t="s">
        <v>558</v>
      </c>
      <c r="D189" s="5" t="s">
        <v>560</v>
      </c>
      <c r="E189" s="1">
        <v>19749.37</v>
      </c>
      <c r="G189" s="1">
        <v>45626.31</v>
      </c>
      <c r="H189" s="1">
        <v>213.52</v>
      </c>
    </row>
    <row r="190" spans="1:8">
      <c r="A190" s="9" t="s">
        <v>13</v>
      </c>
      <c r="B190" s="9"/>
      <c r="C190" t="s">
        <v>561</v>
      </c>
      <c r="D190" s="5" t="s">
        <v>563</v>
      </c>
      <c r="E190" s="1">
        <v>14727.6</v>
      </c>
      <c r="G190" s="1">
        <v>9835.43</v>
      </c>
      <c r="H190" s="1">
        <v>420.27</v>
      </c>
    </row>
    <row r="191" spans="1:8">
      <c r="A191" s="9" t="s">
        <v>13</v>
      </c>
      <c r="B191" s="9"/>
      <c r="C191" t="s">
        <v>564</v>
      </c>
      <c r="D191" s="5" t="s">
        <v>566</v>
      </c>
      <c r="E191" s="1">
        <v>54146.9</v>
      </c>
      <c r="G191" s="1">
        <v>124381.15</v>
      </c>
      <c r="H191" s="1">
        <v>1290.45</v>
      </c>
    </row>
    <row r="192" spans="1:8">
      <c r="A192" s="9" t="s">
        <v>13</v>
      </c>
      <c r="B192" s="9"/>
      <c r="C192" t="s">
        <v>567</v>
      </c>
      <c r="D192" s="5" t="s">
        <v>569</v>
      </c>
      <c r="E192" s="1">
        <v>38070</v>
      </c>
      <c r="F192" s="1">
        <v>3643.69</v>
      </c>
      <c r="H192" s="1">
        <v>2508.65</v>
      </c>
    </row>
    <row r="193" spans="1:8">
      <c r="A193" s="9" t="s">
        <v>13</v>
      </c>
      <c r="B193" s="9"/>
      <c r="C193" t="s">
        <v>570</v>
      </c>
      <c r="D193" s="5" t="s">
        <v>572</v>
      </c>
      <c r="E193" s="1">
        <v>29467.81</v>
      </c>
      <c r="F193" s="1">
        <v>181.7</v>
      </c>
      <c r="G193" s="1">
        <v>71710.240000000005</v>
      </c>
    </row>
    <row r="194" spans="1:8">
      <c r="A194" s="9" t="s">
        <v>13</v>
      </c>
      <c r="B194" s="9"/>
      <c r="C194" t="s">
        <v>573</v>
      </c>
      <c r="D194" s="5" t="s">
        <v>575</v>
      </c>
      <c r="E194" s="1">
        <v>63878</v>
      </c>
      <c r="G194" s="1">
        <v>106312.8</v>
      </c>
    </row>
    <row r="195" spans="1:8">
      <c r="A195" s="9" t="s">
        <v>13</v>
      </c>
      <c r="B195" s="9"/>
      <c r="C195" t="s">
        <v>576</v>
      </c>
      <c r="D195" s="5" t="s">
        <v>578</v>
      </c>
      <c r="E195" s="1">
        <v>20920.47</v>
      </c>
      <c r="G195" s="1">
        <v>40906.019999999997</v>
      </c>
    </row>
    <row r="196" spans="1:8">
      <c r="A196" s="9" t="s">
        <v>13</v>
      </c>
      <c r="B196" s="9"/>
      <c r="C196" t="s">
        <v>579</v>
      </c>
      <c r="D196" s="5" t="s">
        <v>581</v>
      </c>
      <c r="E196" s="1">
        <v>2000</v>
      </c>
      <c r="G196" s="1">
        <v>64527.6</v>
      </c>
    </row>
    <row r="197" spans="1:8">
      <c r="A197" s="9" t="s">
        <v>13</v>
      </c>
      <c r="B197" s="9"/>
      <c r="C197" t="s">
        <v>582</v>
      </c>
      <c r="D197" s="5" t="s">
        <v>584</v>
      </c>
      <c r="E197" s="1">
        <v>27503.67</v>
      </c>
      <c r="F197" s="1">
        <v>713</v>
      </c>
      <c r="G197" s="1">
        <v>177657.99</v>
      </c>
      <c r="H197" s="1">
        <v>1520.0050000000001</v>
      </c>
    </row>
    <row r="198" spans="1:8">
      <c r="A198" s="9" t="s">
        <v>13</v>
      </c>
      <c r="B198" s="9"/>
      <c r="C198" t="s">
        <v>585</v>
      </c>
      <c r="D198" s="5" t="s">
        <v>587</v>
      </c>
      <c r="E198" s="1">
        <v>25561.13</v>
      </c>
      <c r="G198" s="1">
        <v>49997.760000000002</v>
      </c>
    </row>
    <row r="199" spans="1:8">
      <c r="A199" s="9" t="s">
        <v>13</v>
      </c>
      <c r="B199" s="9"/>
      <c r="C199" t="s">
        <v>588</v>
      </c>
      <c r="D199" s="5" t="s">
        <v>590</v>
      </c>
      <c r="E199" s="1">
        <v>25621.72</v>
      </c>
      <c r="G199" s="1">
        <v>117657.60000000001</v>
      </c>
      <c r="H199" s="1">
        <v>268.47000000000003</v>
      </c>
    </row>
    <row r="200" spans="1:8">
      <c r="A200" s="9" t="s">
        <v>13</v>
      </c>
      <c r="B200" s="9"/>
      <c r="C200" t="s">
        <v>591</v>
      </c>
      <c r="D200" s="5" t="s">
        <v>593</v>
      </c>
      <c r="E200" s="1">
        <v>40</v>
      </c>
    </row>
    <row r="201" spans="1:8">
      <c r="A201" s="9" t="s">
        <v>13</v>
      </c>
      <c r="B201" s="9"/>
      <c r="C201" t="s">
        <v>594</v>
      </c>
      <c r="D201" s="5" t="s">
        <v>596</v>
      </c>
      <c r="E201" s="1">
        <v>660</v>
      </c>
    </row>
    <row r="202" spans="1:8">
      <c r="A202" s="9" t="s">
        <v>13</v>
      </c>
      <c r="B202" s="9"/>
      <c r="C202" t="s">
        <v>597</v>
      </c>
      <c r="D202" s="5" t="s">
        <v>599</v>
      </c>
      <c r="E202" s="1">
        <v>6383.62</v>
      </c>
    </row>
    <row r="203" spans="1:8">
      <c r="A203" s="9" t="s">
        <v>13</v>
      </c>
      <c r="B203" s="9"/>
      <c r="C203" t="s">
        <v>600</v>
      </c>
      <c r="D203" s="5" t="s">
        <v>602</v>
      </c>
      <c r="G203" s="1">
        <v>459590.16</v>
      </c>
    </row>
    <row r="204" spans="1:8">
      <c r="A204" s="9" t="s">
        <v>13</v>
      </c>
      <c r="B204" s="9"/>
      <c r="C204" t="s">
        <v>603</v>
      </c>
      <c r="D204" s="5" t="s">
        <v>605</v>
      </c>
      <c r="E204" s="1">
        <v>58825.21</v>
      </c>
      <c r="G204" s="1">
        <v>274660.19</v>
      </c>
    </row>
    <row r="205" spans="1:8">
      <c r="A205" s="9" t="s">
        <v>13</v>
      </c>
      <c r="B205" s="9"/>
      <c r="C205" t="s">
        <v>606</v>
      </c>
      <c r="D205" s="5" t="s">
        <v>608</v>
      </c>
      <c r="E205" s="1">
        <v>31528.560000000001</v>
      </c>
      <c r="F205" s="1">
        <v>428.86</v>
      </c>
      <c r="G205" s="1">
        <v>96867.26</v>
      </c>
    </row>
    <row r="206" spans="1:8">
      <c r="A206" s="9" t="s">
        <v>13</v>
      </c>
      <c r="B206" s="9"/>
      <c r="C206" t="s">
        <v>609</v>
      </c>
      <c r="D206" s="5" t="s">
        <v>611</v>
      </c>
      <c r="E206" s="1">
        <v>14834.69</v>
      </c>
      <c r="G206" s="1">
        <v>20101.95</v>
      </c>
    </row>
    <row r="207" spans="1:8">
      <c r="A207" s="9" t="s">
        <v>13</v>
      </c>
      <c r="B207" s="9"/>
      <c r="C207" t="s">
        <v>612</v>
      </c>
      <c r="D207" s="5" t="s">
        <v>614</v>
      </c>
      <c r="E207" s="1">
        <v>38319.33</v>
      </c>
      <c r="F207" s="1">
        <v>5400</v>
      </c>
      <c r="G207" s="1">
        <v>71619.02</v>
      </c>
      <c r="H207" s="1">
        <v>3405.24</v>
      </c>
    </row>
    <row r="208" spans="1:8">
      <c r="A208" s="9" t="s">
        <v>13</v>
      </c>
      <c r="B208" s="9"/>
      <c r="C208" t="s">
        <v>615</v>
      </c>
      <c r="D208" s="5" t="s">
        <v>617</v>
      </c>
      <c r="E208" s="1">
        <v>138957.32</v>
      </c>
      <c r="G208" s="1">
        <v>-10188.24</v>
      </c>
    </row>
    <row r="209" spans="1:9">
      <c r="A209" s="9" t="s">
        <v>13</v>
      </c>
      <c r="B209" s="9"/>
      <c r="C209" t="s">
        <v>618</v>
      </c>
      <c r="D209" s="5" t="s">
        <v>620</v>
      </c>
      <c r="E209" s="1">
        <v>329823.14</v>
      </c>
      <c r="F209" s="1">
        <v>9020.06</v>
      </c>
      <c r="G209" s="1">
        <v>1255923.57</v>
      </c>
      <c r="H209" s="1">
        <v>5434.96</v>
      </c>
    </row>
    <row r="210" spans="1:9">
      <c r="A210" s="9" t="s">
        <v>13</v>
      </c>
      <c r="B210" s="9"/>
      <c r="C210" t="s">
        <v>621</v>
      </c>
      <c r="D210" s="5" t="s">
        <v>623</v>
      </c>
      <c r="F210" s="1">
        <v>1900.71</v>
      </c>
      <c r="G210" s="1">
        <v>225068.87</v>
      </c>
    </row>
    <row r="211" spans="1:9">
      <c r="A211" s="9" t="s">
        <v>13</v>
      </c>
      <c r="B211" s="9"/>
      <c r="C211" t="s">
        <v>624</v>
      </c>
      <c r="D211" s="5" t="s">
        <v>626</v>
      </c>
      <c r="E211" s="1">
        <v>18199.419999999998</v>
      </c>
      <c r="F211" s="1">
        <v>897.98</v>
      </c>
      <c r="G211" s="1">
        <v>20611.48</v>
      </c>
      <c r="H211" s="1">
        <v>917.52</v>
      </c>
    </row>
    <row r="212" spans="1:9">
      <c r="A212" s="9" t="s">
        <v>13</v>
      </c>
      <c r="B212" s="9"/>
      <c r="C212" t="s">
        <v>627</v>
      </c>
      <c r="D212" s="5" t="s">
        <v>629</v>
      </c>
      <c r="E212" s="1">
        <v>8690</v>
      </c>
      <c r="F212" s="1">
        <v>200</v>
      </c>
      <c r="G212" s="1">
        <v>17308.02</v>
      </c>
      <c r="H212" s="1">
        <v>1625.35</v>
      </c>
    </row>
    <row r="213" spans="1:9">
      <c r="A213" s="9" t="s">
        <v>13</v>
      </c>
      <c r="B213" s="9"/>
      <c r="C213" t="s">
        <v>630</v>
      </c>
      <c r="D213" s="5" t="s">
        <v>632</v>
      </c>
      <c r="E213" s="1">
        <v>58898.67</v>
      </c>
      <c r="G213" s="1">
        <v>78356.11</v>
      </c>
      <c r="H213" s="1">
        <v>101.58</v>
      </c>
    </row>
    <row r="214" spans="1:9">
      <c r="A214" s="9" t="s">
        <v>13</v>
      </c>
      <c r="B214" s="9"/>
      <c r="C214" t="s">
        <v>633</v>
      </c>
      <c r="D214" s="5" t="s">
        <v>635</v>
      </c>
      <c r="G214" s="1">
        <v>3291.85</v>
      </c>
      <c r="H214" s="1">
        <v>476.49</v>
      </c>
      <c r="I214" s="1">
        <v>104.5</v>
      </c>
    </row>
    <row r="215" spans="1:9">
      <c r="A215" s="9" t="s">
        <v>13</v>
      </c>
      <c r="B215" s="9"/>
      <c r="C215" t="s">
        <v>636</v>
      </c>
      <c r="D215" s="5" t="s">
        <v>638</v>
      </c>
      <c r="E215" s="1">
        <v>3204.84</v>
      </c>
      <c r="G215" s="1">
        <v>22983.31</v>
      </c>
      <c r="H215" s="1">
        <v>1408.4</v>
      </c>
    </row>
    <row r="216" spans="1:9">
      <c r="A216" s="9" t="s">
        <v>13</v>
      </c>
      <c r="B216" s="9"/>
      <c r="C216" t="s">
        <v>639</v>
      </c>
      <c r="D216" s="5" t="s">
        <v>641</v>
      </c>
      <c r="H216" s="1">
        <v>1229.52</v>
      </c>
    </row>
    <row r="217" spans="1:9">
      <c r="A217" s="9" t="s">
        <v>13</v>
      </c>
      <c r="B217" s="9"/>
      <c r="C217" t="s">
        <v>642</v>
      </c>
      <c r="D217" s="5" t="s">
        <v>644</v>
      </c>
      <c r="E217" s="1">
        <v>7470.96</v>
      </c>
      <c r="G217" s="1">
        <v>-8246</v>
      </c>
      <c r="H217" s="1">
        <v>602.69500000000005</v>
      </c>
    </row>
    <row r="218" spans="1:9">
      <c r="A218" s="9" t="s">
        <v>13</v>
      </c>
      <c r="B218" s="9"/>
      <c r="C218" t="s">
        <v>645</v>
      </c>
      <c r="D218" s="5" t="s">
        <v>647</v>
      </c>
      <c r="E218" s="1">
        <v>9106.9699999999993</v>
      </c>
      <c r="G218" s="1">
        <v>14156.68</v>
      </c>
    </row>
    <row r="219" spans="1:9">
      <c r="A219" s="9" t="s">
        <v>13</v>
      </c>
      <c r="B219" s="9"/>
      <c r="C219" t="s">
        <v>648</v>
      </c>
      <c r="D219" s="5" t="s">
        <v>650</v>
      </c>
      <c r="E219" s="1">
        <v>14187.02</v>
      </c>
      <c r="G219" s="1">
        <v>53826.75</v>
      </c>
    </row>
    <row r="220" spans="1:9">
      <c r="A220" s="9" t="s">
        <v>13</v>
      </c>
      <c r="B220" s="9"/>
      <c r="C220" t="s">
        <v>651</v>
      </c>
      <c r="D220" s="5" t="s">
        <v>653</v>
      </c>
      <c r="E220" s="1">
        <v>57886.54</v>
      </c>
      <c r="F220" s="1">
        <v>2171.9699999999998</v>
      </c>
      <c r="G220" s="1">
        <v>92225.919999999998</v>
      </c>
    </row>
    <row r="221" spans="1:9">
      <c r="A221" s="9" t="s">
        <v>13</v>
      </c>
      <c r="B221" s="9"/>
      <c r="C221" t="s">
        <v>654</v>
      </c>
      <c r="D221" s="5" t="s">
        <v>656</v>
      </c>
      <c r="E221" s="1">
        <v>36565.24</v>
      </c>
      <c r="G221" s="1">
        <v>33362.07</v>
      </c>
    </row>
    <row r="222" spans="1:9">
      <c r="A222" s="9" t="s">
        <v>13</v>
      </c>
      <c r="B222" s="9"/>
      <c r="C222" t="s">
        <v>657</v>
      </c>
      <c r="D222" s="5" t="s">
        <v>659</v>
      </c>
      <c r="E222" s="1">
        <v>100418.73</v>
      </c>
      <c r="G222" s="1">
        <v>293110.37</v>
      </c>
    </row>
    <row r="223" spans="1:9">
      <c r="A223" s="9" t="s">
        <v>13</v>
      </c>
      <c r="B223" s="9"/>
      <c r="C223" t="s">
        <v>660</v>
      </c>
      <c r="D223" s="5" t="s">
        <v>662</v>
      </c>
      <c r="E223" s="1">
        <v>18141.849999999999</v>
      </c>
      <c r="G223" s="1">
        <v>65463.16</v>
      </c>
      <c r="H223" s="1">
        <v>446.56</v>
      </c>
    </row>
    <row r="224" spans="1:9">
      <c r="A224" s="9" t="s">
        <v>13</v>
      </c>
      <c r="B224" s="9"/>
      <c r="C224" t="s">
        <v>663</v>
      </c>
      <c r="D224" s="5" t="s">
        <v>665</v>
      </c>
      <c r="E224" s="1">
        <v>41998.63</v>
      </c>
      <c r="F224" s="1">
        <v>2241.6799999999998</v>
      </c>
      <c r="G224" s="1">
        <v>199237.38</v>
      </c>
      <c r="H224" s="1">
        <v>3085</v>
      </c>
      <c r="I224" s="1">
        <v>1013.92</v>
      </c>
    </row>
    <row r="225" spans="1:9">
      <c r="A225" s="9" t="s">
        <v>13</v>
      </c>
      <c r="B225" s="9"/>
      <c r="C225" t="s">
        <v>666</v>
      </c>
      <c r="D225" s="5" t="s">
        <v>668</v>
      </c>
      <c r="E225" s="1">
        <v>59289.96</v>
      </c>
    </row>
    <row r="226" spans="1:9">
      <c r="A226" s="9" t="s">
        <v>13</v>
      </c>
      <c r="B226" s="9"/>
      <c r="C226" t="s">
        <v>669</v>
      </c>
      <c r="D226" s="5" t="s">
        <v>671</v>
      </c>
      <c r="E226" s="1">
        <v>107.48</v>
      </c>
    </row>
    <row r="227" spans="1:9">
      <c r="A227" s="9" t="s">
        <v>13</v>
      </c>
      <c r="B227" s="9"/>
      <c r="C227" t="s">
        <v>672</v>
      </c>
      <c r="D227" s="5" t="s">
        <v>674</v>
      </c>
      <c r="E227" s="1">
        <v>5598</v>
      </c>
      <c r="G227" s="1">
        <v>11885.77</v>
      </c>
    </row>
    <row r="228" spans="1:9">
      <c r="A228" s="9" t="s">
        <v>13</v>
      </c>
      <c r="B228" s="9"/>
      <c r="C228" t="s">
        <v>675</v>
      </c>
      <c r="D228" s="5" t="s">
        <v>677</v>
      </c>
      <c r="E228" s="1">
        <v>74053.16</v>
      </c>
      <c r="F228" s="1">
        <v>5140.32</v>
      </c>
      <c r="G228" s="1">
        <v>459866.76</v>
      </c>
      <c r="H228" s="1">
        <v>2726</v>
      </c>
    </row>
    <row r="229" spans="1:9">
      <c r="A229" s="9" t="s">
        <v>13</v>
      </c>
      <c r="B229" s="9"/>
      <c r="C229" t="s">
        <v>678</v>
      </c>
      <c r="D229" s="5" t="s">
        <v>680</v>
      </c>
      <c r="E229" s="1">
        <v>20972.71</v>
      </c>
    </row>
    <row r="230" spans="1:9">
      <c r="A230" s="9" t="s">
        <v>13</v>
      </c>
      <c r="B230" s="9"/>
      <c r="C230" t="s">
        <v>681</v>
      </c>
      <c r="D230" s="5" t="s">
        <v>683</v>
      </c>
      <c r="E230" s="1">
        <v>1920</v>
      </c>
    </row>
    <row r="231" spans="1:9">
      <c r="A231" s="9" t="s">
        <v>13</v>
      </c>
      <c r="B231" s="9"/>
      <c r="C231" t="s">
        <v>684</v>
      </c>
      <c r="D231" s="5" t="s">
        <v>686</v>
      </c>
      <c r="E231" s="1">
        <v>-27.28</v>
      </c>
    </row>
    <row r="232" spans="1:9">
      <c r="A232" s="9" t="s">
        <v>13</v>
      </c>
      <c r="B232" s="9"/>
      <c r="C232" t="s">
        <v>687</v>
      </c>
      <c r="D232" s="5" t="s">
        <v>689</v>
      </c>
      <c r="E232" s="1">
        <v>12970.6</v>
      </c>
    </row>
    <row r="233" spans="1:9">
      <c r="A233" s="9" t="s">
        <v>13</v>
      </c>
      <c r="B233" s="9"/>
      <c r="C233" t="s">
        <v>690</v>
      </c>
      <c r="D233" s="5" t="s">
        <v>692</v>
      </c>
      <c r="E233" s="1">
        <v>11522.4</v>
      </c>
      <c r="G233" s="1">
        <v>11522.4</v>
      </c>
    </row>
    <row r="234" spans="1:9">
      <c r="A234" s="9" t="s">
        <v>13</v>
      </c>
      <c r="B234" s="9"/>
      <c r="C234" t="s">
        <v>693</v>
      </c>
      <c r="D234" s="5" t="s">
        <v>695</v>
      </c>
      <c r="E234" s="1">
        <v>3169.26</v>
      </c>
      <c r="F234" s="1">
        <v>705.43</v>
      </c>
      <c r="G234" s="1">
        <v>17892.84</v>
      </c>
      <c r="H234" s="1">
        <v>149.91999999999999</v>
      </c>
    </row>
    <row r="235" spans="1:9">
      <c r="A235" s="9" t="s">
        <v>13</v>
      </c>
      <c r="B235" s="9"/>
      <c r="C235" t="s">
        <v>696</v>
      </c>
      <c r="D235" s="5" t="s">
        <v>698</v>
      </c>
      <c r="E235" s="1">
        <v>55538.400000000001</v>
      </c>
      <c r="G235" s="1">
        <v>252697.9</v>
      </c>
    </row>
    <row r="236" spans="1:9">
      <c r="A236" s="9" t="s">
        <v>13</v>
      </c>
      <c r="B236" s="9"/>
      <c r="C236" t="s">
        <v>699</v>
      </c>
      <c r="D236" s="5" t="s">
        <v>701</v>
      </c>
      <c r="E236" s="1">
        <v>14830.97</v>
      </c>
      <c r="F236" s="1">
        <v>823.8</v>
      </c>
      <c r="G236" s="1">
        <v>39927.26</v>
      </c>
    </row>
    <row r="237" spans="1:9">
      <c r="A237" s="9" t="s">
        <v>13</v>
      </c>
      <c r="B237" s="9"/>
      <c r="C237" t="s">
        <v>702</v>
      </c>
      <c r="D237" s="5" t="s">
        <v>704</v>
      </c>
      <c r="E237" s="1">
        <v>4867.3100000000004</v>
      </c>
      <c r="G237" s="1">
        <v>11132.91</v>
      </c>
    </row>
    <row r="238" spans="1:9">
      <c r="A238" s="9" t="s">
        <v>13</v>
      </c>
      <c r="B238" s="9"/>
      <c r="C238" t="s">
        <v>705</v>
      </c>
      <c r="D238" s="5" t="s">
        <v>707</v>
      </c>
      <c r="F238" s="1">
        <v>1650.86</v>
      </c>
      <c r="G238" s="1">
        <v>48239.45</v>
      </c>
      <c r="H238" s="1">
        <v>3444.61</v>
      </c>
      <c r="I238" s="1">
        <v>1046.93</v>
      </c>
    </row>
    <row r="239" spans="1:9">
      <c r="A239" s="9" t="s">
        <v>13</v>
      </c>
      <c r="B239" s="9"/>
      <c r="C239" t="s">
        <v>708</v>
      </c>
      <c r="D239" s="5" t="s">
        <v>710</v>
      </c>
      <c r="F239" s="1">
        <v>23.36</v>
      </c>
    </row>
    <row r="240" spans="1:9">
      <c r="A240" s="9" t="s">
        <v>13</v>
      </c>
      <c r="B240" s="9"/>
      <c r="C240" t="s">
        <v>711</v>
      </c>
      <c r="D240" s="5" t="s">
        <v>713</v>
      </c>
      <c r="F240" s="1">
        <v>567.84</v>
      </c>
    </row>
    <row r="241" spans="1:8">
      <c r="A241" s="9" t="s">
        <v>13</v>
      </c>
      <c r="B241" s="9"/>
      <c r="C241" t="s">
        <v>714</v>
      </c>
      <c r="D241" s="5" t="s">
        <v>716</v>
      </c>
      <c r="F241" s="1">
        <v>2494.86</v>
      </c>
    </row>
    <row r="242" spans="1:8">
      <c r="A242" s="9" t="s">
        <v>13</v>
      </c>
      <c r="B242" s="9"/>
      <c r="C242" t="s">
        <v>717</v>
      </c>
      <c r="D242" s="5" t="s">
        <v>719</v>
      </c>
      <c r="H242" s="1">
        <v>2642.72</v>
      </c>
    </row>
    <row r="243" spans="1:8">
      <c r="A243" s="9" t="s">
        <v>13</v>
      </c>
      <c r="B243" s="9"/>
      <c r="C243" t="s">
        <v>720</v>
      </c>
      <c r="D243" s="5" t="s">
        <v>722</v>
      </c>
      <c r="G243" s="1">
        <v>-10186.040000000001</v>
      </c>
      <c r="H243" s="1">
        <v>2180.8000000000002</v>
      </c>
    </row>
    <row r="244" spans="1:8">
      <c r="A244" s="9" t="s">
        <v>13</v>
      </c>
      <c r="B244" s="9"/>
      <c r="C244" t="s">
        <v>723</v>
      </c>
      <c r="D244" s="5" t="s">
        <v>725</v>
      </c>
      <c r="H244" s="1">
        <v>218.21</v>
      </c>
    </row>
    <row r="245" spans="1:8">
      <c r="A245" s="9" t="s">
        <v>13</v>
      </c>
      <c r="B245" s="9"/>
      <c r="C245" t="s">
        <v>726</v>
      </c>
      <c r="D245" s="5" t="s">
        <v>728</v>
      </c>
      <c r="E245" s="1">
        <v>40324.449999999997</v>
      </c>
      <c r="G245" s="1">
        <v>54842.14</v>
      </c>
    </row>
    <row r="246" spans="1:8">
      <c r="A246" s="9" t="s">
        <v>13</v>
      </c>
      <c r="B246" s="9"/>
      <c r="C246" t="s">
        <v>729</v>
      </c>
      <c r="D246" s="5" t="s">
        <v>731</v>
      </c>
      <c r="E246" s="1">
        <v>15013.04</v>
      </c>
      <c r="G246" s="1">
        <v>35554.5</v>
      </c>
      <c r="H246" s="1">
        <v>302.56</v>
      </c>
    </row>
    <row r="247" spans="1:8">
      <c r="A247" s="9" t="s">
        <v>13</v>
      </c>
      <c r="B247" s="9"/>
      <c r="C247" t="s">
        <v>732</v>
      </c>
      <c r="D247" s="5" t="s">
        <v>734</v>
      </c>
      <c r="E247" s="1">
        <v>135.47999999999999</v>
      </c>
    </row>
    <row r="248" spans="1:8">
      <c r="A248" s="9" t="s">
        <v>13</v>
      </c>
      <c r="B248" s="9"/>
      <c r="C248" t="s">
        <v>735</v>
      </c>
      <c r="D248" s="5" t="s">
        <v>737</v>
      </c>
      <c r="E248" s="1">
        <v>243</v>
      </c>
      <c r="H248" s="1">
        <v>939.94</v>
      </c>
    </row>
    <row r="249" spans="1:8">
      <c r="A249" s="9" t="s">
        <v>13</v>
      </c>
      <c r="B249" s="9"/>
      <c r="C249" t="s">
        <v>738</v>
      </c>
      <c r="D249" s="5" t="s">
        <v>740</v>
      </c>
      <c r="E249" s="1">
        <v>33925.94</v>
      </c>
    </row>
    <row r="250" spans="1:8">
      <c r="A250" s="9" t="s">
        <v>13</v>
      </c>
      <c r="B250" s="9"/>
      <c r="C250" t="s">
        <v>741</v>
      </c>
      <c r="D250" s="5" t="s">
        <v>743</v>
      </c>
      <c r="E250" s="1">
        <v>1602.42</v>
      </c>
    </row>
    <row r="251" spans="1:8">
      <c r="A251" s="9" t="s">
        <v>13</v>
      </c>
      <c r="B251" s="9"/>
      <c r="C251" t="s">
        <v>744</v>
      </c>
      <c r="D251" s="5" t="s">
        <v>746</v>
      </c>
      <c r="G251" s="1">
        <v>103333.32</v>
      </c>
    </row>
    <row r="252" spans="1:8">
      <c r="A252" s="9" t="s">
        <v>13</v>
      </c>
      <c r="B252" s="9"/>
      <c r="C252" t="s">
        <v>747</v>
      </c>
      <c r="D252" s="5" t="s">
        <v>749</v>
      </c>
      <c r="F252" s="1">
        <v>3532.76</v>
      </c>
      <c r="G252" s="1">
        <v>243334.34</v>
      </c>
    </row>
    <row r="253" spans="1:8">
      <c r="A253" s="9" t="s">
        <v>13</v>
      </c>
      <c r="B253" s="9"/>
      <c r="C253" t="s">
        <v>750</v>
      </c>
      <c r="D253" s="5" t="s">
        <v>752</v>
      </c>
      <c r="E253" s="1">
        <v>18525.080000000002</v>
      </c>
      <c r="G253" s="1">
        <v>40317.9</v>
      </c>
    </row>
    <row r="254" spans="1:8">
      <c r="A254" s="9" t="s">
        <v>13</v>
      </c>
      <c r="B254" s="9"/>
      <c r="C254" t="s">
        <v>753</v>
      </c>
      <c r="D254" s="5" t="s">
        <v>755</v>
      </c>
      <c r="E254" s="1">
        <v>216976.96</v>
      </c>
      <c r="F254" s="1">
        <v>18190</v>
      </c>
      <c r="G254" s="1">
        <v>566705.52</v>
      </c>
      <c r="H254" s="1">
        <v>3490.95</v>
      </c>
    </row>
    <row r="255" spans="1:8">
      <c r="A255" s="9" t="s">
        <v>13</v>
      </c>
      <c r="B255" s="9"/>
      <c r="C255" t="s">
        <v>756</v>
      </c>
      <c r="D255" s="5" t="s">
        <v>758</v>
      </c>
      <c r="G255" s="1">
        <v>146000</v>
      </c>
    </row>
    <row r="256" spans="1:8">
      <c r="A256" s="9" t="s">
        <v>13</v>
      </c>
      <c r="B256" s="9"/>
      <c r="C256" t="s">
        <v>759</v>
      </c>
      <c r="D256" s="5" t="s">
        <v>761</v>
      </c>
      <c r="E256" s="1">
        <v>27192.68</v>
      </c>
      <c r="G256" s="1">
        <v>88062.66</v>
      </c>
    </row>
    <row r="257" spans="1:8">
      <c r="A257" s="9" t="s">
        <v>13</v>
      </c>
      <c r="B257" s="9"/>
      <c r="C257" t="s">
        <v>762</v>
      </c>
      <c r="D257" s="5" t="s">
        <v>764</v>
      </c>
      <c r="E257" s="1">
        <v>36651.57</v>
      </c>
      <c r="G257" s="1">
        <v>104391.98</v>
      </c>
    </row>
    <row r="258" spans="1:8">
      <c r="A258" s="9" t="s">
        <v>13</v>
      </c>
      <c r="B258" s="9"/>
      <c r="C258" t="s">
        <v>765</v>
      </c>
      <c r="D258" s="5" t="s">
        <v>767</v>
      </c>
      <c r="E258" s="1">
        <v>13776.56</v>
      </c>
      <c r="F258" s="1">
        <v>3334.73</v>
      </c>
      <c r="G258" s="1">
        <v>54164.28</v>
      </c>
    </row>
    <row r="259" spans="1:8">
      <c r="A259" s="9" t="s">
        <v>13</v>
      </c>
      <c r="B259" s="9"/>
      <c r="C259" t="s">
        <v>768</v>
      </c>
      <c r="D259" s="5" t="s">
        <v>770</v>
      </c>
      <c r="E259" s="1">
        <v>34393.730000000003</v>
      </c>
      <c r="G259" s="1">
        <v>34330.089999999997</v>
      </c>
    </row>
    <row r="260" spans="1:8">
      <c r="A260" s="9" t="s">
        <v>13</v>
      </c>
      <c r="B260" s="9"/>
      <c r="C260" t="s">
        <v>771</v>
      </c>
      <c r="D260" s="5" t="s">
        <v>773</v>
      </c>
      <c r="E260" s="1">
        <v>13133.65</v>
      </c>
      <c r="G260" s="1">
        <v>15136.41</v>
      </c>
    </row>
    <row r="261" spans="1:8">
      <c r="A261" s="9" t="s">
        <v>13</v>
      </c>
      <c r="B261" s="9"/>
      <c r="C261" t="s">
        <v>774</v>
      </c>
      <c r="D261" s="5" t="s">
        <v>776</v>
      </c>
      <c r="G261" s="1">
        <v>6190</v>
      </c>
    </row>
    <row r="262" spans="1:8">
      <c r="A262" s="9" t="s">
        <v>13</v>
      </c>
      <c r="B262" s="9"/>
      <c r="C262" t="s">
        <v>777</v>
      </c>
      <c r="D262" s="5" t="s">
        <v>779</v>
      </c>
      <c r="F262" s="1">
        <v>1088.8499999999999</v>
      </c>
    </row>
    <row r="263" spans="1:8">
      <c r="A263" s="9" t="s">
        <v>13</v>
      </c>
      <c r="B263" s="9"/>
      <c r="C263" t="s">
        <v>780</v>
      </c>
      <c r="D263" s="5" t="s">
        <v>782</v>
      </c>
      <c r="F263" s="1">
        <v>19334.03</v>
      </c>
    </row>
    <row r="264" spans="1:8">
      <c r="A264" s="9" t="s">
        <v>13</v>
      </c>
      <c r="B264" s="9"/>
      <c r="C264" t="s">
        <v>783</v>
      </c>
      <c r="D264" s="5" t="s">
        <v>785</v>
      </c>
      <c r="E264" s="1">
        <v>3737.73</v>
      </c>
    </row>
    <row r="265" spans="1:8">
      <c r="A265" s="9" t="s">
        <v>13</v>
      </c>
      <c r="B265" s="9"/>
      <c r="C265" t="s">
        <v>786</v>
      </c>
      <c r="D265" s="5" t="s">
        <v>788</v>
      </c>
      <c r="E265" s="1">
        <v>31504.79</v>
      </c>
      <c r="F265" s="1">
        <v>757.5</v>
      </c>
      <c r="H265" s="1">
        <v>6809.33</v>
      </c>
    </row>
    <row r="266" spans="1:8">
      <c r="A266" s="9" t="s">
        <v>13</v>
      </c>
      <c r="B266" s="9"/>
      <c r="C266" t="s">
        <v>789</v>
      </c>
      <c r="D266" s="5" t="s">
        <v>791</v>
      </c>
      <c r="E266" s="1">
        <v>3652.7</v>
      </c>
    </row>
    <row r="267" spans="1:8">
      <c r="A267" s="9" t="s">
        <v>13</v>
      </c>
      <c r="B267" s="9"/>
      <c r="C267" t="s">
        <v>792</v>
      </c>
      <c r="D267" s="5" t="s">
        <v>794</v>
      </c>
      <c r="E267" s="1">
        <v>51676.2</v>
      </c>
      <c r="G267" s="1">
        <v>0</v>
      </c>
    </row>
    <row r="268" spans="1:8">
      <c r="A268" s="9" t="s">
        <v>13</v>
      </c>
      <c r="B268" s="9"/>
      <c r="C268" t="s">
        <v>795</v>
      </c>
      <c r="D268" s="5" t="s">
        <v>797</v>
      </c>
      <c r="G268" s="1">
        <v>40789.980000000003</v>
      </c>
    </row>
    <row r="269" spans="1:8">
      <c r="A269" s="9" t="s">
        <v>13</v>
      </c>
      <c r="B269" s="9"/>
      <c r="C269" t="s">
        <v>798</v>
      </c>
      <c r="D269" s="5" t="s">
        <v>800</v>
      </c>
      <c r="F269" s="1">
        <v>1015.2</v>
      </c>
    </row>
    <row r="270" spans="1:8">
      <c r="A270" s="9" t="s">
        <v>13</v>
      </c>
      <c r="B270" s="9"/>
      <c r="C270" t="s">
        <v>801</v>
      </c>
      <c r="D270" s="5" t="s">
        <v>803</v>
      </c>
      <c r="H270" s="1">
        <v>918.8</v>
      </c>
    </row>
    <row r="271" spans="1:8">
      <c r="A271" s="9" t="s">
        <v>13</v>
      </c>
      <c r="B271" s="9"/>
      <c r="C271" t="s">
        <v>804</v>
      </c>
      <c r="D271" s="5" t="s">
        <v>806</v>
      </c>
      <c r="E271" s="1">
        <v>40642.79</v>
      </c>
      <c r="G271" s="1">
        <v>44246.8</v>
      </c>
    </row>
    <row r="272" spans="1:8">
      <c r="A272" s="9" t="s">
        <v>13</v>
      </c>
      <c r="B272" s="9"/>
      <c r="C272" t="s">
        <v>807</v>
      </c>
      <c r="D272" s="5" t="s">
        <v>809</v>
      </c>
      <c r="E272" s="1">
        <v>1262</v>
      </c>
    </row>
    <row r="273" spans="1:9">
      <c r="A273" s="9" t="s">
        <v>13</v>
      </c>
      <c r="B273" s="9"/>
      <c r="C273" t="s">
        <v>810</v>
      </c>
      <c r="D273" s="5" t="s">
        <v>812</v>
      </c>
      <c r="E273" s="1">
        <v>20000</v>
      </c>
      <c r="G273" s="1">
        <v>20882.07</v>
      </c>
    </row>
    <row r="274" spans="1:9">
      <c r="A274" s="9" t="s">
        <v>13</v>
      </c>
      <c r="B274" s="9"/>
      <c r="C274" t="s">
        <v>813</v>
      </c>
      <c r="D274" s="5" t="s">
        <v>815</v>
      </c>
      <c r="E274" s="1">
        <v>5671.91</v>
      </c>
    </row>
    <row r="275" spans="1:9">
      <c r="A275" s="9" t="s">
        <v>13</v>
      </c>
      <c r="B275" s="9"/>
      <c r="C275" t="s">
        <v>816</v>
      </c>
      <c r="D275" s="5" t="s">
        <v>818</v>
      </c>
      <c r="E275" s="1">
        <v>4678.0600000000004</v>
      </c>
    </row>
    <row r="276" spans="1:9">
      <c r="A276" s="9" t="s">
        <v>13</v>
      </c>
      <c r="B276" s="9"/>
      <c r="C276" t="s">
        <v>819</v>
      </c>
      <c r="D276" s="5" t="s">
        <v>821</v>
      </c>
      <c r="G276" s="1">
        <v>4060</v>
      </c>
    </row>
    <row r="277" spans="1:9">
      <c r="A277" s="9" t="s">
        <v>13</v>
      </c>
      <c r="B277" s="9"/>
      <c r="C277" t="s">
        <v>822</v>
      </c>
      <c r="D277" s="5" t="s">
        <v>824</v>
      </c>
      <c r="G277" s="1">
        <v>2667.5</v>
      </c>
    </row>
    <row r="278" spans="1:9">
      <c r="A278" s="9" t="s">
        <v>825</v>
      </c>
      <c r="B278" s="9"/>
      <c r="C278" t="s">
        <v>827</v>
      </c>
      <c r="D278" s="5" t="s">
        <v>829</v>
      </c>
      <c r="E278" s="1">
        <v>2066</v>
      </c>
      <c r="G278" s="1">
        <v>1380.67</v>
      </c>
    </row>
    <row r="279" spans="1:9">
      <c r="A279" s="9" t="s">
        <v>825</v>
      </c>
      <c r="B279" s="9"/>
      <c r="C279" t="s">
        <v>830</v>
      </c>
      <c r="D279" s="5" t="s">
        <v>832</v>
      </c>
      <c r="E279" s="1">
        <v>50</v>
      </c>
      <c r="F279" s="1">
        <v>355.43</v>
      </c>
    </row>
    <row r="280" spans="1:9">
      <c r="A280" s="9" t="s">
        <v>825</v>
      </c>
      <c r="B280" s="9"/>
      <c r="C280" t="s">
        <v>833</v>
      </c>
      <c r="D280" s="5" t="s">
        <v>835</v>
      </c>
      <c r="E280" s="1">
        <v>311736.90999999997</v>
      </c>
      <c r="F280" s="1">
        <v>846.59</v>
      </c>
    </row>
    <row r="281" spans="1:9">
      <c r="A281" s="9" t="s">
        <v>825</v>
      </c>
      <c r="B281" s="9"/>
      <c r="C281" t="s">
        <v>836</v>
      </c>
      <c r="D281" s="5" t="s">
        <v>838</v>
      </c>
      <c r="E281" s="1">
        <v>191.08</v>
      </c>
      <c r="H281" s="1">
        <v>349.47</v>
      </c>
    </row>
    <row r="282" spans="1:9">
      <c r="A282" s="9" t="s">
        <v>825</v>
      </c>
      <c r="B282" s="9"/>
      <c r="C282" t="s">
        <v>807</v>
      </c>
      <c r="D282" s="5" t="s">
        <v>809</v>
      </c>
      <c r="E282" s="1">
        <v>9475.7999999999993</v>
      </c>
      <c r="G282" s="1">
        <v>1923.41</v>
      </c>
    </row>
    <row r="283" spans="1:9">
      <c r="A283" s="9" t="s">
        <v>825</v>
      </c>
      <c r="B283" s="9"/>
      <c r="C283" t="s">
        <v>839</v>
      </c>
      <c r="D283" s="5" t="s">
        <v>841</v>
      </c>
      <c r="E283" s="1">
        <v>555</v>
      </c>
      <c r="G283" s="1">
        <v>715.91</v>
      </c>
    </row>
    <row r="284" spans="1:9">
      <c r="A284" s="9" t="s">
        <v>825</v>
      </c>
      <c r="B284" s="9"/>
      <c r="C284" t="s">
        <v>842</v>
      </c>
      <c r="D284" s="5" t="s">
        <v>844</v>
      </c>
      <c r="G284" s="1">
        <v>6571.58</v>
      </c>
    </row>
    <row r="285" spans="1:9">
      <c r="A285" s="9" t="s">
        <v>825</v>
      </c>
      <c r="B285" s="9"/>
      <c r="C285" t="s">
        <v>845</v>
      </c>
      <c r="D285" s="5" t="s">
        <v>847</v>
      </c>
      <c r="G285" s="1">
        <v>1055.3800000000001</v>
      </c>
    </row>
    <row r="286" spans="1:9">
      <c r="A286" s="9" t="s">
        <v>825</v>
      </c>
      <c r="B286" s="9"/>
      <c r="C286" t="s">
        <v>848</v>
      </c>
      <c r="D286" s="5" t="s">
        <v>850</v>
      </c>
      <c r="F286" s="1">
        <v>330.62</v>
      </c>
      <c r="G286" s="1">
        <v>7529.99</v>
      </c>
      <c r="H286" s="1">
        <v>1182.5350000000001</v>
      </c>
      <c r="I286" s="1">
        <v>1180.4000000000001</v>
      </c>
    </row>
    <row r="287" spans="1:9">
      <c r="A287" s="9" t="s">
        <v>825</v>
      </c>
      <c r="B287" s="9"/>
      <c r="C287" t="s">
        <v>851</v>
      </c>
      <c r="D287" s="5" t="s">
        <v>853</v>
      </c>
      <c r="G287" s="1">
        <v>7332.06</v>
      </c>
    </row>
    <row r="288" spans="1:9">
      <c r="A288" s="9" t="s">
        <v>825</v>
      </c>
      <c r="B288" s="9"/>
      <c r="C288" t="s">
        <v>854</v>
      </c>
      <c r="D288" s="5" t="s">
        <v>856</v>
      </c>
      <c r="E288" s="1">
        <v>5416</v>
      </c>
      <c r="F288" s="1">
        <v>1100</v>
      </c>
      <c r="G288" s="1">
        <v>19108.61</v>
      </c>
    </row>
    <row r="289" spans="1:9">
      <c r="A289" s="9" t="s">
        <v>825</v>
      </c>
      <c r="B289" s="9"/>
      <c r="C289" t="s">
        <v>857</v>
      </c>
      <c r="D289" s="5" t="s">
        <v>859</v>
      </c>
      <c r="G289" s="1">
        <v>1484.7</v>
      </c>
    </row>
    <row r="290" spans="1:9">
      <c r="A290" s="9" t="s">
        <v>825</v>
      </c>
      <c r="B290" s="9"/>
      <c r="C290" t="s">
        <v>860</v>
      </c>
      <c r="D290" s="5" t="s">
        <v>862</v>
      </c>
      <c r="G290" s="1">
        <v>2796.51</v>
      </c>
    </row>
    <row r="291" spans="1:9">
      <c r="A291" s="9" t="s">
        <v>825</v>
      </c>
      <c r="B291" s="9"/>
      <c r="C291" t="s">
        <v>863</v>
      </c>
      <c r="D291" s="5" t="s">
        <v>865</v>
      </c>
      <c r="G291" s="1">
        <v>-180</v>
      </c>
      <c r="H291" s="1">
        <v>1477.34</v>
      </c>
    </row>
    <row r="292" spans="1:9">
      <c r="A292" s="9" t="s">
        <v>825</v>
      </c>
      <c r="B292" s="9"/>
      <c r="C292" t="s">
        <v>866</v>
      </c>
      <c r="D292" s="5" t="s">
        <v>868</v>
      </c>
      <c r="E292" s="1">
        <v>1539.15</v>
      </c>
      <c r="F292" s="1">
        <v>29288.95</v>
      </c>
      <c r="G292" s="1">
        <v>83319.03</v>
      </c>
    </row>
    <row r="293" spans="1:9">
      <c r="A293" s="9" t="s">
        <v>825</v>
      </c>
      <c r="B293" s="9"/>
      <c r="C293" t="s">
        <v>869</v>
      </c>
      <c r="D293" s="5" t="s">
        <v>871</v>
      </c>
      <c r="F293" s="1">
        <v>856.43</v>
      </c>
      <c r="G293" s="1">
        <v>1620.48</v>
      </c>
    </row>
    <row r="294" spans="1:9">
      <c r="A294" s="9" t="s">
        <v>825</v>
      </c>
      <c r="B294" s="9"/>
      <c r="C294" t="s">
        <v>872</v>
      </c>
      <c r="D294" s="5" t="s">
        <v>874</v>
      </c>
      <c r="F294" s="1">
        <v>434.45</v>
      </c>
      <c r="G294" s="1">
        <v>1300</v>
      </c>
      <c r="H294" s="1">
        <v>1252.7349999999999</v>
      </c>
      <c r="I294" s="1">
        <v>180.16</v>
      </c>
    </row>
    <row r="295" spans="1:9">
      <c r="A295" s="9" t="s">
        <v>825</v>
      </c>
      <c r="B295" s="9"/>
      <c r="C295" t="s">
        <v>875</v>
      </c>
      <c r="D295" s="5" t="s">
        <v>877</v>
      </c>
      <c r="F295" s="1">
        <v>1636.52</v>
      </c>
      <c r="H295" s="1">
        <v>542.44000000000005</v>
      </c>
    </row>
    <row r="296" spans="1:9">
      <c r="A296" s="9" t="s">
        <v>825</v>
      </c>
      <c r="B296" s="9"/>
      <c r="C296" t="s">
        <v>878</v>
      </c>
      <c r="D296" s="5" t="s">
        <v>880</v>
      </c>
      <c r="E296" s="1">
        <v>0</v>
      </c>
      <c r="F296" s="1">
        <v>1843</v>
      </c>
      <c r="H296" s="1">
        <v>981.47</v>
      </c>
    </row>
    <row r="297" spans="1:9">
      <c r="A297" s="9" t="s">
        <v>825</v>
      </c>
      <c r="B297" s="9"/>
      <c r="C297" t="s">
        <v>881</v>
      </c>
      <c r="D297" s="5" t="s">
        <v>883</v>
      </c>
      <c r="H297" s="1">
        <v>463.15</v>
      </c>
      <c r="I297" s="1">
        <v>348.49</v>
      </c>
    </row>
    <row r="298" spans="1:9">
      <c r="A298" s="9" t="s">
        <v>825</v>
      </c>
      <c r="B298" s="9"/>
      <c r="C298" t="s">
        <v>884</v>
      </c>
      <c r="D298" s="5" t="s">
        <v>886</v>
      </c>
      <c r="E298" s="1">
        <v>5910</v>
      </c>
      <c r="G298" s="1">
        <v>13670.49</v>
      </c>
    </row>
    <row r="299" spans="1:9">
      <c r="A299" s="9" t="s">
        <v>825</v>
      </c>
      <c r="B299" s="9"/>
      <c r="C299" t="s">
        <v>887</v>
      </c>
      <c r="D299" s="5" t="s">
        <v>889</v>
      </c>
      <c r="E299" s="1">
        <v>2340</v>
      </c>
      <c r="F299" s="1">
        <v>60035.9</v>
      </c>
      <c r="G299" s="1">
        <v>414231.28</v>
      </c>
      <c r="H299" s="1">
        <v>6503.15</v>
      </c>
    </row>
    <row r="300" spans="1:9">
      <c r="A300" s="9" t="s">
        <v>825</v>
      </c>
      <c r="B300" s="9"/>
      <c r="C300" t="s">
        <v>406</v>
      </c>
      <c r="D300" s="5" t="s">
        <v>408</v>
      </c>
      <c r="E300" s="1">
        <v>10724</v>
      </c>
      <c r="H300" s="1">
        <v>91.1</v>
      </c>
    </row>
    <row r="301" spans="1:9">
      <c r="A301" s="9" t="s">
        <v>825</v>
      </c>
      <c r="B301" s="9"/>
      <c r="C301" t="s">
        <v>890</v>
      </c>
      <c r="D301" s="5" t="s">
        <v>892</v>
      </c>
      <c r="E301" s="1">
        <v>4254.92</v>
      </c>
    </row>
    <row r="302" spans="1:9">
      <c r="A302" s="9" t="s">
        <v>825</v>
      </c>
      <c r="B302" s="9"/>
      <c r="C302" t="s">
        <v>893</v>
      </c>
      <c r="D302" s="5" t="s">
        <v>895</v>
      </c>
      <c r="E302" s="1">
        <v>850</v>
      </c>
      <c r="G302" s="1">
        <v>2599.87</v>
      </c>
    </row>
    <row r="303" spans="1:9">
      <c r="A303" s="9" t="s">
        <v>825</v>
      </c>
      <c r="B303" s="9"/>
      <c r="C303" t="s">
        <v>896</v>
      </c>
      <c r="D303" s="5" t="s">
        <v>898</v>
      </c>
      <c r="E303" s="1">
        <v>724</v>
      </c>
    </row>
    <row r="304" spans="1:9">
      <c r="A304" s="9" t="s">
        <v>825</v>
      </c>
      <c r="B304" s="9"/>
      <c r="C304" t="s">
        <v>899</v>
      </c>
      <c r="D304" s="5" t="s">
        <v>901</v>
      </c>
      <c r="E304" s="1">
        <v>8900</v>
      </c>
    </row>
    <row r="305" spans="1:9">
      <c r="A305" s="9" t="s">
        <v>825</v>
      </c>
      <c r="B305" s="9"/>
      <c r="C305" t="s">
        <v>902</v>
      </c>
      <c r="D305" s="5" t="s">
        <v>904</v>
      </c>
      <c r="E305" s="1">
        <v>390</v>
      </c>
      <c r="F305" s="1">
        <v>72902.490000000005</v>
      </c>
      <c r="G305" s="1">
        <v>16679.53</v>
      </c>
    </row>
    <row r="306" spans="1:9">
      <c r="A306" s="9" t="s">
        <v>825</v>
      </c>
      <c r="B306" s="9"/>
      <c r="C306" t="s">
        <v>905</v>
      </c>
      <c r="D306" s="5" t="s">
        <v>907</v>
      </c>
      <c r="E306" s="1">
        <v>6300</v>
      </c>
      <c r="F306" s="1">
        <v>2488</v>
      </c>
      <c r="G306" s="1">
        <v>16038.98</v>
      </c>
    </row>
    <row r="307" spans="1:9">
      <c r="A307" s="9" t="s">
        <v>825</v>
      </c>
      <c r="B307" s="9"/>
      <c r="C307" t="s">
        <v>908</v>
      </c>
      <c r="D307" s="5" t="s">
        <v>910</v>
      </c>
      <c r="G307" s="1">
        <v>16400</v>
      </c>
    </row>
    <row r="308" spans="1:9">
      <c r="A308" s="9" t="s">
        <v>825</v>
      </c>
      <c r="B308" s="9"/>
      <c r="C308" t="s">
        <v>911</v>
      </c>
      <c r="D308" s="5" t="s">
        <v>913</v>
      </c>
      <c r="G308" s="1">
        <v>951.89</v>
      </c>
      <c r="H308" s="1">
        <v>248.42500000000001</v>
      </c>
      <c r="I308" s="1">
        <v>45.33</v>
      </c>
    </row>
    <row r="309" spans="1:9">
      <c r="A309" s="9" t="s">
        <v>825</v>
      </c>
      <c r="B309" s="9"/>
      <c r="C309" t="s">
        <v>914</v>
      </c>
      <c r="D309" s="5" t="s">
        <v>916</v>
      </c>
      <c r="E309" s="1">
        <v>6540</v>
      </c>
      <c r="G309" s="1">
        <v>12295.08</v>
      </c>
    </row>
    <row r="310" spans="1:9">
      <c r="A310" s="9" t="s">
        <v>825</v>
      </c>
      <c r="B310" s="9"/>
      <c r="C310" t="s">
        <v>917</v>
      </c>
      <c r="D310" s="5" t="s">
        <v>919</v>
      </c>
      <c r="G310" s="1">
        <v>32447.08</v>
      </c>
    </row>
    <row r="311" spans="1:9">
      <c r="A311" s="9" t="s">
        <v>825</v>
      </c>
      <c r="B311" s="9"/>
      <c r="C311" t="s">
        <v>920</v>
      </c>
      <c r="D311" s="5" t="s">
        <v>922</v>
      </c>
      <c r="E311" s="1">
        <v>0</v>
      </c>
      <c r="F311" s="1">
        <v>352.37</v>
      </c>
      <c r="H311" s="1">
        <v>285.91000000000003</v>
      </c>
      <c r="I311" s="1">
        <v>135.83000000000001</v>
      </c>
    </row>
    <row r="312" spans="1:9">
      <c r="A312" s="9" t="s">
        <v>825</v>
      </c>
      <c r="B312" s="9"/>
      <c r="C312" t="s">
        <v>708</v>
      </c>
      <c r="D312" s="5" t="s">
        <v>710</v>
      </c>
      <c r="F312" s="1">
        <v>2387.63</v>
      </c>
      <c r="H312" s="1">
        <v>2540.7600000000002</v>
      </c>
    </row>
    <row r="313" spans="1:9">
      <c r="A313" s="9" t="s">
        <v>825</v>
      </c>
      <c r="B313" s="9"/>
      <c r="C313" t="s">
        <v>923</v>
      </c>
      <c r="D313" s="5" t="s">
        <v>925</v>
      </c>
      <c r="F313" s="1">
        <v>3360</v>
      </c>
      <c r="G313" s="1">
        <v>31855.919999999998</v>
      </c>
    </row>
    <row r="314" spans="1:9">
      <c r="A314" s="9" t="s">
        <v>825</v>
      </c>
      <c r="B314" s="9"/>
      <c r="C314" t="s">
        <v>926</v>
      </c>
      <c r="D314" s="5" t="s">
        <v>928</v>
      </c>
      <c r="F314" s="1">
        <v>2554.4499999999998</v>
      </c>
      <c r="H314" s="1">
        <v>88.04</v>
      </c>
    </row>
    <row r="315" spans="1:9">
      <c r="A315" s="9" t="s">
        <v>825</v>
      </c>
      <c r="B315" s="9"/>
      <c r="C315" t="s">
        <v>929</v>
      </c>
      <c r="D315" s="5" t="s">
        <v>931</v>
      </c>
      <c r="H315" s="1">
        <v>73.92</v>
      </c>
    </row>
    <row r="316" spans="1:9">
      <c r="A316" s="9" t="s">
        <v>825</v>
      </c>
      <c r="B316" s="9"/>
      <c r="C316" t="s">
        <v>932</v>
      </c>
      <c r="D316" s="5" t="s">
        <v>934</v>
      </c>
      <c r="E316" s="1">
        <v>919</v>
      </c>
    </row>
    <row r="317" spans="1:9">
      <c r="A317" s="9" t="s">
        <v>825</v>
      </c>
      <c r="B317" s="9"/>
      <c r="C317" t="s">
        <v>935</v>
      </c>
      <c r="D317" s="5" t="s">
        <v>937</v>
      </c>
      <c r="E317" s="1">
        <v>634</v>
      </c>
      <c r="F317" s="1">
        <v>55706.41</v>
      </c>
      <c r="G317" s="1">
        <v>41634</v>
      </c>
    </row>
    <row r="318" spans="1:9">
      <c r="A318" s="9" t="s">
        <v>825</v>
      </c>
      <c r="B318" s="9"/>
      <c r="C318" t="s">
        <v>938</v>
      </c>
      <c r="D318" s="5" t="s">
        <v>940</v>
      </c>
      <c r="E318" s="1">
        <v>40</v>
      </c>
    </row>
    <row r="319" spans="1:9">
      <c r="A319" s="12" t="s">
        <v>825</v>
      </c>
      <c r="B319" s="12" t="s">
        <v>1901</v>
      </c>
      <c r="C319" s="14" t="s">
        <v>941</v>
      </c>
      <c r="D319" s="15" t="s">
        <v>943</v>
      </c>
      <c r="G319" s="16">
        <v>499.86</v>
      </c>
    </row>
    <row r="320" spans="1:9">
      <c r="A320" s="9" t="s">
        <v>825</v>
      </c>
      <c r="B320" s="9"/>
      <c r="C320" t="s">
        <v>944</v>
      </c>
      <c r="D320" s="5" t="s">
        <v>946</v>
      </c>
      <c r="G320" s="1">
        <v>8196.7099999999991</v>
      </c>
      <c r="H320" s="1">
        <v>72.275000000000006</v>
      </c>
    </row>
    <row r="321" spans="1:8">
      <c r="A321" s="9" t="s">
        <v>825</v>
      </c>
      <c r="B321" s="9"/>
      <c r="C321" t="s">
        <v>947</v>
      </c>
      <c r="D321" s="5" t="s">
        <v>949</v>
      </c>
      <c r="G321" s="1">
        <v>2530.3200000000002</v>
      </c>
    </row>
    <row r="322" spans="1:8">
      <c r="A322" s="9" t="s">
        <v>825</v>
      </c>
      <c r="B322" s="9"/>
      <c r="C322" t="s">
        <v>950</v>
      </c>
      <c r="D322" s="5" t="s">
        <v>952</v>
      </c>
      <c r="F322" s="1">
        <v>2334.61</v>
      </c>
      <c r="H322" s="1">
        <v>807.06</v>
      </c>
    </row>
    <row r="323" spans="1:8">
      <c r="A323" s="9" t="s">
        <v>825</v>
      </c>
      <c r="B323" s="9"/>
      <c r="C323" t="s">
        <v>953</v>
      </c>
      <c r="D323" s="5" t="s">
        <v>955</v>
      </c>
      <c r="F323" s="1">
        <v>8099</v>
      </c>
    </row>
    <row r="324" spans="1:8">
      <c r="A324" s="9" t="s">
        <v>825</v>
      </c>
      <c r="B324" s="9"/>
      <c r="C324" t="s">
        <v>798</v>
      </c>
      <c r="D324" s="5" t="s">
        <v>800</v>
      </c>
      <c r="F324" s="1">
        <v>173.56</v>
      </c>
      <c r="H324" s="1">
        <v>571.20000000000005</v>
      </c>
    </row>
    <row r="325" spans="1:8">
      <c r="A325" s="9" t="s">
        <v>825</v>
      </c>
      <c r="B325" s="9"/>
      <c r="C325" t="s">
        <v>956</v>
      </c>
      <c r="D325" s="5" t="s">
        <v>958</v>
      </c>
      <c r="H325" s="1">
        <v>72.275000000000006</v>
      </c>
    </row>
    <row r="326" spans="1:8">
      <c r="A326" s="9" t="s">
        <v>825</v>
      </c>
      <c r="B326" s="9"/>
      <c r="C326" t="s">
        <v>959</v>
      </c>
      <c r="D326" s="5" t="s">
        <v>961</v>
      </c>
      <c r="H326" s="1">
        <v>41.3</v>
      </c>
    </row>
    <row r="327" spans="1:8">
      <c r="A327" s="9" t="s">
        <v>825</v>
      </c>
      <c r="B327" s="9"/>
      <c r="C327" t="s">
        <v>756</v>
      </c>
      <c r="D327" s="5" t="s">
        <v>758</v>
      </c>
      <c r="F327" s="1">
        <v>8548.39</v>
      </c>
      <c r="G327" s="1">
        <v>194595.31</v>
      </c>
    </row>
    <row r="328" spans="1:8">
      <c r="A328" s="9" t="s">
        <v>825</v>
      </c>
      <c r="B328" s="9"/>
      <c r="C328" t="s">
        <v>962</v>
      </c>
      <c r="D328" s="5" t="s">
        <v>964</v>
      </c>
      <c r="G328" s="1">
        <v>13596.66</v>
      </c>
    </row>
    <row r="329" spans="1:8">
      <c r="A329" s="9" t="s">
        <v>825</v>
      </c>
      <c r="B329" s="9"/>
      <c r="C329" t="s">
        <v>965</v>
      </c>
      <c r="D329" s="5" t="s">
        <v>967</v>
      </c>
      <c r="E329" s="1">
        <v>2010</v>
      </c>
    </row>
    <row r="330" spans="1:8">
      <c r="A330" s="9" t="s">
        <v>825</v>
      </c>
      <c r="B330" s="9"/>
      <c r="C330" t="s">
        <v>968</v>
      </c>
      <c r="D330" s="5" t="s">
        <v>970</v>
      </c>
      <c r="G330" s="1">
        <v>11503.63</v>
      </c>
    </row>
    <row r="331" spans="1:8">
      <c r="A331" s="9" t="s">
        <v>825</v>
      </c>
      <c r="B331" s="9"/>
      <c r="C331" t="s">
        <v>327</v>
      </c>
      <c r="D331" s="5" t="s">
        <v>329</v>
      </c>
      <c r="G331" s="1">
        <v>3661.92</v>
      </c>
    </row>
    <row r="332" spans="1:8">
      <c r="A332" s="9" t="s">
        <v>825</v>
      </c>
      <c r="B332" s="9"/>
      <c r="C332" t="s">
        <v>971</v>
      </c>
      <c r="D332" s="5" t="s">
        <v>973</v>
      </c>
      <c r="G332" s="1">
        <v>0</v>
      </c>
    </row>
    <row r="333" spans="1:8">
      <c r="A333" s="9" t="s">
        <v>825</v>
      </c>
      <c r="B333" s="9"/>
      <c r="C333" t="s">
        <v>974</v>
      </c>
      <c r="D333" s="5" t="s">
        <v>976</v>
      </c>
      <c r="E333" s="1">
        <v>4346.2700000000004</v>
      </c>
      <c r="G333" s="1">
        <v>1053.57</v>
      </c>
    </row>
    <row r="334" spans="1:8">
      <c r="A334" s="9" t="s">
        <v>825</v>
      </c>
      <c r="B334" s="9"/>
      <c r="C334" t="s">
        <v>977</v>
      </c>
      <c r="D334" s="5" t="s">
        <v>979</v>
      </c>
      <c r="G334" s="1">
        <v>940</v>
      </c>
    </row>
    <row r="335" spans="1:8">
      <c r="A335" s="9" t="s">
        <v>825</v>
      </c>
      <c r="B335" s="9"/>
      <c r="C335" t="s">
        <v>980</v>
      </c>
      <c r="D335" s="5" t="s">
        <v>982</v>
      </c>
      <c r="G335" s="1">
        <v>8612.8799999999992</v>
      </c>
    </row>
    <row r="336" spans="1:8">
      <c r="A336" s="9" t="s">
        <v>825</v>
      </c>
      <c r="B336" s="9"/>
      <c r="C336" t="s">
        <v>983</v>
      </c>
      <c r="D336" s="5" t="s">
        <v>985</v>
      </c>
      <c r="G336" s="1">
        <v>8010</v>
      </c>
    </row>
    <row r="337" spans="1:9">
      <c r="A337" s="9" t="s">
        <v>825</v>
      </c>
      <c r="B337" s="9"/>
      <c r="C337" t="s">
        <v>986</v>
      </c>
      <c r="D337" s="5" t="s">
        <v>988</v>
      </c>
      <c r="F337" s="1">
        <v>128</v>
      </c>
    </row>
    <row r="338" spans="1:9">
      <c r="A338" s="9" t="s">
        <v>825</v>
      </c>
      <c r="B338" s="9"/>
      <c r="C338" t="s">
        <v>989</v>
      </c>
      <c r="D338" s="5" t="s">
        <v>991</v>
      </c>
      <c r="F338" s="1">
        <v>3691.6</v>
      </c>
      <c r="G338" s="1">
        <v>19621.060000000001</v>
      </c>
    </row>
    <row r="339" spans="1:9">
      <c r="A339" s="9" t="s">
        <v>825</v>
      </c>
      <c r="B339" s="9"/>
      <c r="C339" t="s">
        <v>992</v>
      </c>
      <c r="D339" s="5" t="s">
        <v>994</v>
      </c>
      <c r="F339" s="1">
        <v>1644.48</v>
      </c>
      <c r="H339" s="1">
        <v>1647.96</v>
      </c>
    </row>
    <row r="340" spans="1:9">
      <c r="A340" s="9" t="s">
        <v>825</v>
      </c>
      <c r="B340" s="9"/>
      <c r="C340" t="s">
        <v>995</v>
      </c>
      <c r="D340" s="5" t="s">
        <v>997</v>
      </c>
      <c r="G340" s="1">
        <v>3947.56</v>
      </c>
      <c r="H340" s="1">
        <v>1323.67</v>
      </c>
      <c r="I340" s="1">
        <v>300.22000000000003</v>
      </c>
    </row>
    <row r="341" spans="1:9">
      <c r="A341" s="9" t="s">
        <v>825</v>
      </c>
      <c r="B341" s="9"/>
      <c r="C341" t="s">
        <v>998</v>
      </c>
      <c r="D341" s="5" t="s">
        <v>1000</v>
      </c>
      <c r="E341" s="1">
        <v>12635.6</v>
      </c>
    </row>
    <row r="342" spans="1:9">
      <c r="A342" s="9" t="s">
        <v>825</v>
      </c>
      <c r="B342" s="9"/>
      <c r="C342" t="s">
        <v>1001</v>
      </c>
      <c r="D342" s="5" t="s">
        <v>1003</v>
      </c>
      <c r="E342" s="1">
        <v>40</v>
      </c>
    </row>
    <row r="343" spans="1:9">
      <c r="A343" s="9" t="s">
        <v>825</v>
      </c>
      <c r="B343" s="9"/>
      <c r="C343" t="s">
        <v>1004</v>
      </c>
      <c r="D343" s="5" t="s">
        <v>1006</v>
      </c>
      <c r="G343" s="1">
        <v>83333.36</v>
      </c>
    </row>
    <row r="344" spans="1:9">
      <c r="A344" s="9" t="s">
        <v>825</v>
      </c>
      <c r="B344" s="9"/>
      <c r="C344" t="s">
        <v>1007</v>
      </c>
      <c r="D344" s="5" t="s">
        <v>1009</v>
      </c>
      <c r="G344" s="1">
        <v>20240.71</v>
      </c>
    </row>
    <row r="345" spans="1:9">
      <c r="A345" s="9" t="s">
        <v>825</v>
      </c>
      <c r="B345" s="9"/>
      <c r="C345" t="s">
        <v>1010</v>
      </c>
      <c r="D345" s="5" t="s">
        <v>1012</v>
      </c>
      <c r="G345" s="1">
        <v>3195.16</v>
      </c>
    </row>
    <row r="346" spans="1:9">
      <c r="A346" s="9" t="s">
        <v>825</v>
      </c>
      <c r="B346" s="9"/>
      <c r="C346" t="s">
        <v>1013</v>
      </c>
      <c r="D346" s="5" t="s">
        <v>1015</v>
      </c>
      <c r="F346" s="1">
        <v>17830.689999999999</v>
      </c>
    </row>
    <row r="347" spans="1:9">
      <c r="A347" s="9" t="s">
        <v>825</v>
      </c>
      <c r="B347" s="9"/>
      <c r="C347" t="s">
        <v>1016</v>
      </c>
      <c r="D347" s="5" t="s">
        <v>1018</v>
      </c>
      <c r="E347" s="1">
        <v>1005</v>
      </c>
      <c r="F347" s="1">
        <v>1820</v>
      </c>
      <c r="H347" s="1">
        <v>492</v>
      </c>
    </row>
    <row r="348" spans="1:9">
      <c r="A348" s="12" t="s">
        <v>825</v>
      </c>
      <c r="B348" s="12" t="s">
        <v>1900</v>
      </c>
      <c r="C348" s="14" t="s">
        <v>333</v>
      </c>
      <c r="D348" s="15" t="s">
        <v>335</v>
      </c>
      <c r="H348" s="16">
        <v>188.03</v>
      </c>
    </row>
    <row r="349" spans="1:9">
      <c r="A349" s="9" t="s">
        <v>825</v>
      </c>
      <c r="B349" s="9"/>
      <c r="C349" t="s">
        <v>1019</v>
      </c>
      <c r="D349" s="5" t="s">
        <v>1021</v>
      </c>
      <c r="H349" s="1">
        <v>1854.8</v>
      </c>
    </row>
    <row r="350" spans="1:9">
      <c r="A350" s="9" t="s">
        <v>825</v>
      </c>
      <c r="B350" s="9"/>
      <c r="C350" t="s">
        <v>1022</v>
      </c>
      <c r="D350" s="5" t="s">
        <v>1024</v>
      </c>
      <c r="E350" s="1">
        <v>1199</v>
      </c>
      <c r="H350" s="1">
        <v>296.67</v>
      </c>
    </row>
    <row r="351" spans="1:9">
      <c r="A351" s="9" t="s">
        <v>825</v>
      </c>
      <c r="B351" s="9"/>
      <c r="C351" t="s">
        <v>1025</v>
      </c>
      <c r="D351" s="5" t="s">
        <v>1027</v>
      </c>
      <c r="E351" s="1">
        <v>850</v>
      </c>
    </row>
    <row r="352" spans="1:9">
      <c r="A352" s="9" t="s">
        <v>825</v>
      </c>
      <c r="B352" s="9"/>
      <c r="C352" t="s">
        <v>822</v>
      </c>
      <c r="D352" s="5" t="s">
        <v>824</v>
      </c>
      <c r="E352" s="1">
        <v>5704.62</v>
      </c>
    </row>
    <row r="353" spans="1:7">
      <c r="A353" s="9" t="s">
        <v>825</v>
      </c>
      <c r="B353" s="9"/>
      <c r="C353" t="s">
        <v>1028</v>
      </c>
      <c r="D353" s="5" t="s">
        <v>1030</v>
      </c>
      <c r="G353" s="1">
        <v>4988.45</v>
      </c>
    </row>
    <row r="354" spans="1:7">
      <c r="A354" s="9" t="s">
        <v>825</v>
      </c>
      <c r="B354" s="9"/>
      <c r="C354" t="s">
        <v>1031</v>
      </c>
      <c r="D354" s="5" t="s">
        <v>1033</v>
      </c>
      <c r="G354" s="1">
        <v>1644.63</v>
      </c>
    </row>
    <row r="355" spans="1:7">
      <c r="A355" s="9" t="s">
        <v>825</v>
      </c>
      <c r="B355" s="9"/>
      <c r="C355" t="s">
        <v>1034</v>
      </c>
      <c r="D355" s="5" t="s">
        <v>1036</v>
      </c>
      <c r="F355" s="1">
        <v>3926.5</v>
      </c>
      <c r="G355" s="1">
        <v>14314.23</v>
      </c>
    </row>
    <row r="356" spans="1:7">
      <c r="A356" s="9" t="s">
        <v>825</v>
      </c>
      <c r="B356" s="9"/>
      <c r="C356" t="s">
        <v>1037</v>
      </c>
      <c r="D356" s="5" t="s">
        <v>1039</v>
      </c>
      <c r="F356" s="1">
        <v>2404</v>
      </c>
    </row>
    <row r="357" spans="1:7">
      <c r="A357" s="9" t="s">
        <v>825</v>
      </c>
      <c r="B357" s="9"/>
      <c r="C357" t="s">
        <v>1040</v>
      </c>
      <c r="D357" s="5" t="s">
        <v>1042</v>
      </c>
      <c r="F357" s="1">
        <v>1048</v>
      </c>
    </row>
    <row r="358" spans="1:7">
      <c r="A358" s="9" t="s">
        <v>825</v>
      </c>
      <c r="B358" s="9"/>
      <c r="C358" t="s">
        <v>1043</v>
      </c>
      <c r="D358" s="5" t="s">
        <v>1045</v>
      </c>
      <c r="F358" s="1">
        <v>6943</v>
      </c>
    </row>
    <row r="359" spans="1:7">
      <c r="A359" s="9" t="s">
        <v>825</v>
      </c>
      <c r="B359" s="9"/>
      <c r="C359" t="s">
        <v>1046</v>
      </c>
      <c r="D359" s="5" t="s">
        <v>1048</v>
      </c>
      <c r="F359" s="1">
        <v>516</v>
      </c>
    </row>
    <row r="360" spans="1:7">
      <c r="A360" s="9" t="s">
        <v>825</v>
      </c>
      <c r="B360" s="9"/>
      <c r="C360" t="s">
        <v>1049</v>
      </c>
      <c r="D360" s="5" t="s">
        <v>1051</v>
      </c>
      <c r="F360" s="1">
        <v>48468.85</v>
      </c>
    </row>
    <row r="361" spans="1:7">
      <c r="A361" s="9" t="s">
        <v>825</v>
      </c>
      <c r="B361" s="9"/>
      <c r="C361" t="s">
        <v>1052</v>
      </c>
      <c r="D361" s="5" t="s">
        <v>1054</v>
      </c>
      <c r="F361" s="1">
        <v>396</v>
      </c>
    </row>
    <row r="362" spans="1:7">
      <c r="A362" s="9" t="s">
        <v>825</v>
      </c>
      <c r="B362" s="9"/>
      <c r="C362" t="s">
        <v>1055</v>
      </c>
      <c r="D362" s="5" t="s">
        <v>1057</v>
      </c>
      <c r="F362" s="1">
        <v>3635.63</v>
      </c>
    </row>
    <row r="363" spans="1:7">
      <c r="A363" s="9" t="s">
        <v>825</v>
      </c>
      <c r="B363" s="9"/>
      <c r="C363" t="s">
        <v>1058</v>
      </c>
      <c r="D363" s="5" t="s">
        <v>1060</v>
      </c>
      <c r="E363" s="1">
        <v>530</v>
      </c>
    </row>
    <row r="364" spans="1:7">
      <c r="A364" s="9" t="s">
        <v>825</v>
      </c>
      <c r="B364" s="9"/>
      <c r="C364" t="s">
        <v>1061</v>
      </c>
      <c r="D364" s="5" t="s">
        <v>1063</v>
      </c>
      <c r="E364" s="1">
        <v>0</v>
      </c>
    </row>
    <row r="365" spans="1:7">
      <c r="A365" s="9" t="s">
        <v>825</v>
      </c>
      <c r="B365" s="9"/>
      <c r="C365" t="s">
        <v>219</v>
      </c>
      <c r="D365" s="5" t="s">
        <v>221</v>
      </c>
      <c r="F365" s="1">
        <v>4957.8</v>
      </c>
      <c r="G365" s="1">
        <v>9629.8700000000008</v>
      </c>
    </row>
    <row r="366" spans="1:7">
      <c r="A366" s="9" t="s">
        <v>825</v>
      </c>
      <c r="B366" s="9"/>
      <c r="C366" t="s">
        <v>1064</v>
      </c>
      <c r="D366" s="5" t="s">
        <v>1066</v>
      </c>
      <c r="G366" s="1">
        <v>2415.38</v>
      </c>
    </row>
    <row r="367" spans="1:7">
      <c r="A367" s="9" t="s">
        <v>825</v>
      </c>
      <c r="B367" s="9"/>
      <c r="C367" t="s">
        <v>1067</v>
      </c>
      <c r="D367" s="5" t="s">
        <v>1069</v>
      </c>
      <c r="G367" s="1">
        <v>3871.27</v>
      </c>
    </row>
    <row r="368" spans="1:7">
      <c r="A368" s="9" t="s">
        <v>825</v>
      </c>
      <c r="B368" s="9"/>
      <c r="C368" t="s">
        <v>1070</v>
      </c>
      <c r="D368" s="5" t="s">
        <v>1072</v>
      </c>
      <c r="F368" s="1">
        <v>5333.67</v>
      </c>
    </row>
    <row r="369" spans="1:8">
      <c r="A369" s="9" t="s">
        <v>825</v>
      </c>
      <c r="B369" s="9"/>
      <c r="C369" t="s">
        <v>1073</v>
      </c>
      <c r="D369" s="5" t="s">
        <v>1075</v>
      </c>
      <c r="E369" s="1">
        <v>300</v>
      </c>
    </row>
    <row r="370" spans="1:8">
      <c r="A370" s="9" t="s">
        <v>825</v>
      </c>
      <c r="B370" s="9"/>
      <c r="C370" t="s">
        <v>1076</v>
      </c>
      <c r="D370" s="5" t="s">
        <v>1078</v>
      </c>
      <c r="E370" s="1">
        <v>3868</v>
      </c>
    </row>
    <row r="371" spans="1:8">
      <c r="A371" s="9" t="s">
        <v>825</v>
      </c>
      <c r="B371" s="9"/>
      <c r="C371" t="s">
        <v>1079</v>
      </c>
      <c r="D371" s="5" t="s">
        <v>1081</v>
      </c>
      <c r="E371" s="1">
        <v>33</v>
      </c>
    </row>
    <row r="372" spans="1:8">
      <c r="A372" s="9" t="s">
        <v>825</v>
      </c>
      <c r="B372" s="9"/>
      <c r="C372" t="s">
        <v>1082</v>
      </c>
      <c r="D372" s="5" t="s">
        <v>1084</v>
      </c>
      <c r="G372" s="1">
        <v>4511.68</v>
      </c>
    </row>
    <row r="373" spans="1:8">
      <c r="A373" s="9" t="s">
        <v>825</v>
      </c>
      <c r="B373" s="9"/>
      <c r="C373" t="s">
        <v>1085</v>
      </c>
      <c r="D373" s="5" t="s">
        <v>1087</v>
      </c>
      <c r="G373" s="1">
        <v>5713.14</v>
      </c>
    </row>
    <row r="374" spans="1:8">
      <c r="A374" s="9" t="s">
        <v>825</v>
      </c>
      <c r="B374" s="9"/>
      <c r="C374" t="s">
        <v>1088</v>
      </c>
      <c r="D374" s="5" t="s">
        <v>1090</v>
      </c>
      <c r="G374" s="1">
        <v>2610.7399999999998</v>
      </c>
    </row>
    <row r="375" spans="1:8">
      <c r="A375" s="9" t="s">
        <v>825</v>
      </c>
      <c r="B375" s="9"/>
      <c r="C375" t="s">
        <v>1091</v>
      </c>
      <c r="D375" s="5" t="s">
        <v>1093</v>
      </c>
      <c r="H375" s="1">
        <v>211.92</v>
      </c>
    </row>
    <row r="376" spans="1:8">
      <c r="A376" s="9" t="s">
        <v>825</v>
      </c>
      <c r="B376" s="9"/>
      <c r="C376" t="s">
        <v>1094</v>
      </c>
      <c r="D376" s="5" t="s">
        <v>1096</v>
      </c>
      <c r="H376" s="1">
        <v>154.875</v>
      </c>
    </row>
    <row r="377" spans="1:8">
      <c r="A377" s="9" t="s">
        <v>1097</v>
      </c>
      <c r="B377" s="9"/>
      <c r="C377" t="s">
        <v>341</v>
      </c>
      <c r="D377" s="5" t="s">
        <v>343</v>
      </c>
      <c r="E377" s="1">
        <v>4600.08</v>
      </c>
      <c r="F377" s="1">
        <v>140414.72</v>
      </c>
    </row>
    <row r="378" spans="1:8">
      <c r="A378" s="9" t="s">
        <v>1097</v>
      </c>
      <c r="B378" s="9"/>
      <c r="C378" t="s">
        <v>543</v>
      </c>
      <c r="D378" s="5" t="s">
        <v>545</v>
      </c>
      <c r="E378" s="1">
        <v>105703.2</v>
      </c>
      <c r="F378" s="1">
        <v>452769.8</v>
      </c>
    </row>
    <row r="379" spans="1:8">
      <c r="A379" s="9" t="s">
        <v>1097</v>
      </c>
      <c r="B379" s="9"/>
      <c r="C379" t="s">
        <v>1099</v>
      </c>
      <c r="D379" s="5" t="s">
        <v>1101</v>
      </c>
      <c r="E379" s="1">
        <v>234914.31</v>
      </c>
      <c r="F379" s="1">
        <v>455272.37</v>
      </c>
    </row>
    <row r="380" spans="1:8">
      <c r="A380" s="9" t="s">
        <v>1097</v>
      </c>
      <c r="B380" s="9"/>
      <c r="C380" t="s">
        <v>338</v>
      </c>
      <c r="D380" s="5" t="s">
        <v>340</v>
      </c>
      <c r="E380" s="1">
        <v>216782.36</v>
      </c>
      <c r="F380" s="1">
        <v>177871.39</v>
      </c>
    </row>
    <row r="381" spans="1:8">
      <c r="A381" s="9" t="s">
        <v>1097</v>
      </c>
      <c r="B381" s="9"/>
      <c r="C381" t="s">
        <v>636</v>
      </c>
      <c r="D381" s="5" t="s">
        <v>638</v>
      </c>
      <c r="E381" s="1">
        <v>39258.92</v>
      </c>
      <c r="F381" s="1">
        <v>25703.59</v>
      </c>
    </row>
    <row r="382" spans="1:8">
      <c r="A382" s="9" t="s">
        <v>1097</v>
      </c>
      <c r="B382" s="9"/>
      <c r="C382" t="s">
        <v>195</v>
      </c>
      <c r="D382" s="5" t="s">
        <v>197</v>
      </c>
      <c r="E382" s="1">
        <v>0</v>
      </c>
    </row>
    <row r="383" spans="1:8">
      <c r="A383" s="9" t="s">
        <v>1097</v>
      </c>
      <c r="B383" s="9"/>
      <c r="C383" t="s">
        <v>516</v>
      </c>
      <c r="D383" s="5" t="s">
        <v>518</v>
      </c>
      <c r="E383" s="1">
        <v>93431.89</v>
      </c>
      <c r="F383" s="1">
        <v>6355.77</v>
      </c>
    </row>
    <row r="384" spans="1:8">
      <c r="A384" s="9" t="s">
        <v>1097</v>
      </c>
      <c r="B384" s="9"/>
      <c r="C384" t="s">
        <v>1102</v>
      </c>
      <c r="D384" s="5" t="s">
        <v>1104</v>
      </c>
      <c r="E384" s="1">
        <v>145906.72</v>
      </c>
      <c r="F384" s="1">
        <v>320444.63</v>
      </c>
    </row>
    <row r="385" spans="1:6">
      <c r="A385" s="9" t="s">
        <v>1097</v>
      </c>
      <c r="B385" s="9"/>
      <c r="C385" t="s">
        <v>1105</v>
      </c>
      <c r="D385" s="5" t="s">
        <v>1107</v>
      </c>
      <c r="E385" s="1">
        <v>651972.81999999995</v>
      </c>
      <c r="F385" s="1">
        <v>671218.22</v>
      </c>
    </row>
    <row r="386" spans="1:6">
      <c r="A386" s="9" t="s">
        <v>1097</v>
      </c>
      <c r="B386" s="9"/>
      <c r="C386" t="s">
        <v>1108</v>
      </c>
      <c r="D386" s="5" t="s">
        <v>1110</v>
      </c>
      <c r="E386" s="1">
        <v>110769.43</v>
      </c>
    </row>
    <row r="387" spans="1:6">
      <c r="A387" s="9" t="s">
        <v>1097</v>
      </c>
      <c r="B387" s="9"/>
      <c r="C387" t="s">
        <v>60</v>
      </c>
      <c r="D387" s="5" t="s">
        <v>62</v>
      </c>
      <c r="E387" s="1">
        <v>69501.22</v>
      </c>
      <c r="F387" s="1">
        <v>88269.95</v>
      </c>
    </row>
    <row r="388" spans="1:6">
      <c r="A388" s="9" t="s">
        <v>1097</v>
      </c>
      <c r="B388" s="9"/>
      <c r="C388" t="s">
        <v>1111</v>
      </c>
      <c r="D388" s="5" t="s">
        <v>1113</v>
      </c>
      <c r="E388" s="1">
        <v>154624.9</v>
      </c>
    </row>
    <row r="389" spans="1:6">
      <c r="A389" s="9" t="s">
        <v>1097</v>
      </c>
      <c r="B389" s="9"/>
      <c r="C389" t="s">
        <v>525</v>
      </c>
      <c r="D389" s="5" t="s">
        <v>527</v>
      </c>
      <c r="E389" s="1">
        <v>245954.22</v>
      </c>
    </row>
    <row r="390" spans="1:6">
      <c r="A390" s="9" t="s">
        <v>1097</v>
      </c>
      <c r="B390" s="9"/>
      <c r="C390" t="s">
        <v>558</v>
      </c>
      <c r="D390" s="5" t="s">
        <v>560</v>
      </c>
      <c r="E390" s="1">
        <v>0</v>
      </c>
    </row>
    <row r="391" spans="1:6">
      <c r="A391" s="9" t="s">
        <v>1097</v>
      </c>
      <c r="B391" s="9"/>
      <c r="C391" t="s">
        <v>81</v>
      </c>
      <c r="D391" s="5" t="s">
        <v>83</v>
      </c>
      <c r="E391" s="1">
        <v>4061.97</v>
      </c>
      <c r="F391" s="1">
        <v>8.9</v>
      </c>
    </row>
    <row r="392" spans="1:6">
      <c r="A392" s="9" t="s">
        <v>1097</v>
      </c>
      <c r="B392" s="9"/>
      <c r="C392" t="s">
        <v>723</v>
      </c>
      <c r="D392" s="5" t="s">
        <v>725</v>
      </c>
      <c r="E392" s="1">
        <v>113978.26</v>
      </c>
      <c r="F392" s="1">
        <v>434377.03</v>
      </c>
    </row>
    <row r="393" spans="1:6">
      <c r="A393" s="9" t="s">
        <v>1097</v>
      </c>
      <c r="B393" s="9"/>
      <c r="C393" t="s">
        <v>288</v>
      </c>
      <c r="D393" s="5" t="s">
        <v>290</v>
      </c>
      <c r="E393" s="1">
        <v>211753.86</v>
      </c>
      <c r="F393" s="1">
        <v>452451.27</v>
      </c>
    </row>
    <row r="394" spans="1:6">
      <c r="A394" s="9" t="s">
        <v>1097</v>
      </c>
      <c r="B394" s="9"/>
      <c r="C394" t="s">
        <v>1114</v>
      </c>
      <c r="D394" s="5" t="s">
        <v>1116</v>
      </c>
      <c r="E394" s="1">
        <v>246583</v>
      </c>
      <c r="F394" s="1">
        <v>115770.85</v>
      </c>
    </row>
    <row r="395" spans="1:6">
      <c r="A395" s="9" t="s">
        <v>1097</v>
      </c>
      <c r="B395" s="9"/>
      <c r="C395" t="s">
        <v>486</v>
      </c>
      <c r="D395" s="5" t="s">
        <v>488</v>
      </c>
      <c r="E395" s="1">
        <v>109209.91</v>
      </c>
    </row>
    <row r="396" spans="1:6">
      <c r="A396" s="9" t="s">
        <v>1097</v>
      </c>
      <c r="B396" s="9"/>
      <c r="C396" t="s">
        <v>1117</v>
      </c>
      <c r="D396" s="5" t="s">
        <v>1119</v>
      </c>
      <c r="E396" s="1">
        <v>113296.09</v>
      </c>
    </row>
    <row r="397" spans="1:6">
      <c r="A397" s="9" t="s">
        <v>1097</v>
      </c>
      <c r="B397" s="9"/>
      <c r="C397" t="s">
        <v>1120</v>
      </c>
      <c r="D397" s="5" t="s">
        <v>1122</v>
      </c>
      <c r="E397" s="1">
        <v>95138.14</v>
      </c>
    </row>
    <row r="398" spans="1:6">
      <c r="A398" s="9" t="s">
        <v>1097</v>
      </c>
      <c r="B398" s="9"/>
      <c r="C398" t="s">
        <v>415</v>
      </c>
      <c r="D398" s="5" t="s">
        <v>417</v>
      </c>
      <c r="E398" s="1">
        <v>0</v>
      </c>
    </row>
    <row r="399" spans="1:6">
      <c r="A399" s="9" t="s">
        <v>1097</v>
      </c>
      <c r="B399" s="9"/>
      <c r="C399" t="s">
        <v>804</v>
      </c>
      <c r="D399" s="5" t="s">
        <v>806</v>
      </c>
      <c r="E399" s="1">
        <v>45689.22</v>
      </c>
      <c r="F399" s="1">
        <v>-1478.08</v>
      </c>
    </row>
    <row r="400" spans="1:6">
      <c r="A400" s="9" t="s">
        <v>1097</v>
      </c>
      <c r="B400" s="9"/>
      <c r="C400" t="s">
        <v>1123</v>
      </c>
      <c r="D400" s="5" t="s">
        <v>1125</v>
      </c>
      <c r="E400" s="1">
        <v>97028.64</v>
      </c>
      <c r="F400" s="1">
        <v>407133.21</v>
      </c>
    </row>
    <row r="401" spans="1:6">
      <c r="A401" s="9" t="s">
        <v>1097</v>
      </c>
      <c r="B401" s="9"/>
      <c r="C401" t="s">
        <v>555</v>
      </c>
      <c r="D401" s="5" t="s">
        <v>557</v>
      </c>
      <c r="E401" s="1">
        <v>180526.8</v>
      </c>
      <c r="F401" s="1">
        <v>430569.03</v>
      </c>
    </row>
    <row r="402" spans="1:6">
      <c r="A402" s="9" t="s">
        <v>1097</v>
      </c>
      <c r="B402" s="9"/>
      <c r="C402" t="s">
        <v>477</v>
      </c>
      <c r="D402" s="5" t="s">
        <v>479</v>
      </c>
      <c r="E402" s="1">
        <v>110903.36</v>
      </c>
      <c r="F402" s="1">
        <v>81303.66</v>
      </c>
    </row>
    <row r="403" spans="1:6">
      <c r="A403" s="9" t="s">
        <v>1097</v>
      </c>
      <c r="B403" s="9"/>
      <c r="C403" t="s">
        <v>1126</v>
      </c>
      <c r="D403" s="5" t="s">
        <v>1128</v>
      </c>
      <c r="E403" s="1">
        <v>364892.89</v>
      </c>
      <c r="F403" s="1">
        <v>431408.92</v>
      </c>
    </row>
    <row r="404" spans="1:6">
      <c r="A404" s="9" t="s">
        <v>1097</v>
      </c>
      <c r="B404" s="9"/>
      <c r="C404" t="s">
        <v>669</v>
      </c>
      <c r="D404" s="5" t="s">
        <v>671</v>
      </c>
      <c r="E404" s="1">
        <v>33.520000000000003</v>
      </c>
    </row>
    <row r="405" spans="1:6">
      <c r="A405" s="9" t="s">
        <v>1097</v>
      </c>
      <c r="B405" s="9"/>
      <c r="C405" t="s">
        <v>448</v>
      </c>
      <c r="D405" s="5" t="s">
        <v>450</v>
      </c>
      <c r="E405" s="1">
        <v>33292.410000000003</v>
      </c>
      <c r="F405" s="1">
        <v>42058.42</v>
      </c>
    </row>
    <row r="406" spans="1:6">
      <c r="A406" s="9" t="s">
        <v>1097</v>
      </c>
      <c r="B406" s="9"/>
      <c r="C406" t="s">
        <v>1129</v>
      </c>
      <c r="D406" s="5" t="s">
        <v>1131</v>
      </c>
      <c r="E406" s="1">
        <v>62465.81</v>
      </c>
      <c r="F406" s="1">
        <v>288809.44</v>
      </c>
    </row>
    <row r="407" spans="1:6">
      <c r="A407" s="9" t="s">
        <v>1097</v>
      </c>
      <c r="B407" s="9"/>
      <c r="C407" t="s">
        <v>459</v>
      </c>
      <c r="D407" s="5" t="s">
        <v>461</v>
      </c>
      <c r="E407" s="1">
        <v>77130.23</v>
      </c>
      <c r="F407" s="1">
        <v>-35476.47</v>
      </c>
    </row>
    <row r="408" spans="1:6">
      <c r="A408" s="9" t="s">
        <v>1097</v>
      </c>
      <c r="B408" s="9"/>
      <c r="C408" t="s">
        <v>1132</v>
      </c>
      <c r="D408" s="5" t="s">
        <v>1134</v>
      </c>
      <c r="E408" s="1">
        <v>227577.2</v>
      </c>
    </row>
    <row r="409" spans="1:6">
      <c r="A409" s="9" t="s">
        <v>1097</v>
      </c>
      <c r="B409" s="9"/>
      <c r="C409" t="s">
        <v>1135</v>
      </c>
      <c r="D409" s="5" t="s">
        <v>1137</v>
      </c>
      <c r="E409" s="1">
        <v>287778.7</v>
      </c>
    </row>
    <row r="410" spans="1:6">
      <c r="A410" s="9" t="s">
        <v>1097</v>
      </c>
      <c r="B410" s="9"/>
      <c r="C410" t="s">
        <v>792</v>
      </c>
      <c r="D410" s="5" t="s">
        <v>794</v>
      </c>
      <c r="E410" s="1">
        <v>20847.810000000001</v>
      </c>
    </row>
    <row r="411" spans="1:6">
      <c r="A411" s="9" t="s">
        <v>1097</v>
      </c>
      <c r="B411" s="9"/>
      <c r="C411" t="s">
        <v>594</v>
      </c>
      <c r="D411" s="5" t="s">
        <v>596</v>
      </c>
      <c r="E411" s="1">
        <v>139884.32</v>
      </c>
    </row>
    <row r="412" spans="1:6">
      <c r="A412" s="9" t="s">
        <v>1097</v>
      </c>
      <c r="B412" s="9"/>
      <c r="C412" t="s">
        <v>186</v>
      </c>
      <c r="D412" s="5" t="s">
        <v>188</v>
      </c>
      <c r="E412" s="1">
        <v>0</v>
      </c>
    </row>
    <row r="413" spans="1:6">
      <c r="A413" s="9" t="s">
        <v>1097</v>
      </c>
      <c r="B413" s="9"/>
      <c r="C413" t="s">
        <v>1138</v>
      </c>
      <c r="D413" s="5" t="s">
        <v>1140</v>
      </c>
      <c r="E413" s="1">
        <v>205501.81</v>
      </c>
    </row>
    <row r="414" spans="1:6">
      <c r="A414" s="9" t="s">
        <v>1097</v>
      </c>
      <c r="B414" s="9"/>
      <c r="C414" t="s">
        <v>1141</v>
      </c>
      <c r="D414" s="5" t="s">
        <v>1143</v>
      </c>
      <c r="E414" s="1">
        <v>166791.60999999999</v>
      </c>
    </row>
    <row r="415" spans="1:6">
      <c r="A415" s="9" t="s">
        <v>1097</v>
      </c>
      <c r="B415" s="9"/>
      <c r="C415" t="s">
        <v>1144</v>
      </c>
      <c r="D415" s="5" t="s">
        <v>1146</v>
      </c>
      <c r="E415" s="1">
        <v>212727</v>
      </c>
    </row>
    <row r="416" spans="1:6">
      <c r="A416" s="9" t="s">
        <v>1097</v>
      </c>
      <c r="B416" s="9"/>
      <c r="C416" t="s">
        <v>303</v>
      </c>
      <c r="D416" s="5" t="s">
        <v>305</v>
      </c>
      <c r="E416" s="1">
        <v>9787.6200000000008</v>
      </c>
      <c r="F416" s="1">
        <v>2036.65</v>
      </c>
    </row>
    <row r="417" spans="1:9">
      <c r="A417" s="9" t="s">
        <v>1097</v>
      </c>
      <c r="B417" s="9"/>
      <c r="C417" t="s">
        <v>1147</v>
      </c>
      <c r="D417" s="5" t="s">
        <v>1149</v>
      </c>
      <c r="E417" s="1">
        <v>49844</v>
      </c>
    </row>
    <row r="418" spans="1:9">
      <c r="A418" s="9" t="s">
        <v>1097</v>
      </c>
      <c r="B418" s="9"/>
      <c r="C418" t="s">
        <v>666</v>
      </c>
      <c r="D418" s="5" t="s">
        <v>668</v>
      </c>
      <c r="E418" s="1">
        <v>0</v>
      </c>
    </row>
    <row r="419" spans="1:9">
      <c r="A419" s="9" t="s">
        <v>1097</v>
      </c>
      <c r="B419" s="9"/>
      <c r="C419" t="s">
        <v>330</v>
      </c>
      <c r="D419" s="5" t="s">
        <v>332</v>
      </c>
      <c r="E419" s="1">
        <v>59391.839999999997</v>
      </c>
    </row>
    <row r="420" spans="1:9">
      <c r="A420" s="9" t="s">
        <v>1097</v>
      </c>
      <c r="B420" s="9"/>
      <c r="C420" t="s">
        <v>439</v>
      </c>
      <c r="D420" s="5" t="s">
        <v>441</v>
      </c>
      <c r="F420" s="1">
        <v>670</v>
      </c>
    </row>
    <row r="421" spans="1:9">
      <c r="A421" s="9" t="s">
        <v>1097</v>
      </c>
      <c r="B421" s="9"/>
      <c r="C421" t="s">
        <v>510</v>
      </c>
      <c r="D421" s="5" t="s">
        <v>512</v>
      </c>
      <c r="E421" s="1">
        <v>87164</v>
      </c>
    </row>
    <row r="422" spans="1:9">
      <c r="A422" s="9" t="s">
        <v>1097</v>
      </c>
      <c r="B422" s="9"/>
      <c r="C422" t="s">
        <v>741</v>
      </c>
      <c r="D422" s="5" t="s">
        <v>743</v>
      </c>
      <c r="E422" s="1">
        <v>231696.82</v>
      </c>
    </row>
    <row r="423" spans="1:9">
      <c r="A423" s="9" t="s">
        <v>1097</v>
      </c>
      <c r="B423" s="9"/>
      <c r="C423" t="s">
        <v>344</v>
      </c>
      <c r="D423" s="5" t="s">
        <v>346</v>
      </c>
      <c r="E423" s="1">
        <v>38004.949999999997</v>
      </c>
      <c r="F423" s="1">
        <v>-2774.17</v>
      </c>
    </row>
    <row r="424" spans="1:9">
      <c r="A424" s="9" t="s">
        <v>1097</v>
      </c>
      <c r="B424" s="9"/>
      <c r="C424" t="s">
        <v>615</v>
      </c>
      <c r="D424" s="5" t="s">
        <v>617</v>
      </c>
      <c r="E424" s="1">
        <v>258556.48</v>
      </c>
    </row>
    <row r="425" spans="1:9">
      <c r="A425" s="9" t="s">
        <v>1150</v>
      </c>
      <c r="B425" s="9"/>
      <c r="C425" t="s">
        <v>285</v>
      </c>
      <c r="D425" s="5" t="s">
        <v>287</v>
      </c>
      <c r="E425" s="1">
        <v>3619.21</v>
      </c>
      <c r="F425" s="1">
        <v>301.64</v>
      </c>
      <c r="G425" s="1">
        <v>9253.5</v>
      </c>
      <c r="H425" s="1">
        <v>302.77</v>
      </c>
      <c r="I425" s="1">
        <v>107.46</v>
      </c>
    </row>
    <row r="426" spans="1:9">
      <c r="A426" s="9" t="s">
        <v>1150</v>
      </c>
      <c r="B426" s="9"/>
      <c r="C426" t="s">
        <v>183</v>
      </c>
      <c r="D426" s="5" t="s">
        <v>185</v>
      </c>
      <c r="E426" s="1">
        <v>2664.75</v>
      </c>
      <c r="G426" s="1">
        <v>10419.41</v>
      </c>
    </row>
    <row r="427" spans="1:9">
      <c r="A427" s="9" t="s">
        <v>1150</v>
      </c>
      <c r="B427" s="9"/>
      <c r="C427" t="s">
        <v>252</v>
      </c>
      <c r="D427" s="5" t="s">
        <v>254</v>
      </c>
      <c r="E427" s="1">
        <v>9607.6299999999992</v>
      </c>
      <c r="G427" s="1">
        <v>8447.7099999999991</v>
      </c>
    </row>
    <row r="428" spans="1:9">
      <c r="A428" s="9" t="s">
        <v>1150</v>
      </c>
      <c r="B428" s="9"/>
      <c r="C428" t="s">
        <v>318</v>
      </c>
      <c r="D428" s="5" t="s">
        <v>320</v>
      </c>
      <c r="E428" s="1">
        <v>2743.27</v>
      </c>
      <c r="G428" s="1">
        <v>14178.86</v>
      </c>
    </row>
    <row r="429" spans="1:9">
      <c r="A429" s="9" t="s">
        <v>1150</v>
      </c>
      <c r="B429" s="9"/>
      <c r="C429" t="s">
        <v>690</v>
      </c>
      <c r="D429" s="5" t="s">
        <v>692</v>
      </c>
      <c r="E429" s="1">
        <v>1919.45</v>
      </c>
      <c r="G429" s="1">
        <v>4119.45</v>
      </c>
    </row>
    <row r="430" spans="1:9">
      <c r="A430" s="9" t="s">
        <v>1150</v>
      </c>
      <c r="B430" s="9"/>
      <c r="C430" t="s">
        <v>552</v>
      </c>
      <c r="D430" s="5" t="s">
        <v>554</v>
      </c>
      <c r="E430" s="1">
        <v>3542.44</v>
      </c>
      <c r="G430" s="1">
        <v>7483.32</v>
      </c>
    </row>
    <row r="431" spans="1:9">
      <c r="A431" s="9" t="s">
        <v>1150</v>
      </c>
      <c r="B431" s="9"/>
      <c r="C431" t="s">
        <v>207</v>
      </c>
      <c r="D431" s="5" t="s">
        <v>209</v>
      </c>
      <c r="E431" s="1">
        <v>5882.52</v>
      </c>
      <c r="G431" s="1">
        <v>47609.13</v>
      </c>
    </row>
    <row r="432" spans="1:9">
      <c r="A432" s="9" t="s">
        <v>1150</v>
      </c>
      <c r="B432" s="9"/>
      <c r="C432" t="s">
        <v>177</v>
      </c>
      <c r="D432" s="5" t="s">
        <v>179</v>
      </c>
      <c r="E432" s="1">
        <v>3271.2</v>
      </c>
      <c r="F432" s="1">
        <v>192.51</v>
      </c>
      <c r="G432" s="1">
        <v>10622.59</v>
      </c>
      <c r="H432" s="1">
        <v>308.125</v>
      </c>
      <c r="I432" s="1">
        <v>38.9</v>
      </c>
    </row>
    <row r="433" spans="1:9">
      <c r="A433" s="9" t="s">
        <v>1150</v>
      </c>
      <c r="B433" s="9"/>
      <c r="C433" t="s">
        <v>81</v>
      </c>
      <c r="D433" s="5" t="s">
        <v>83</v>
      </c>
      <c r="E433" s="1">
        <v>2280.66</v>
      </c>
      <c r="G433" s="1">
        <v>7560.32</v>
      </c>
    </row>
    <row r="434" spans="1:9">
      <c r="A434" s="9" t="s">
        <v>1150</v>
      </c>
      <c r="B434" s="9"/>
      <c r="C434" t="s">
        <v>531</v>
      </c>
      <c r="D434" s="5" t="s">
        <v>533</v>
      </c>
      <c r="E434" s="1">
        <v>2937.01</v>
      </c>
      <c r="G434" s="1">
        <v>9024.4</v>
      </c>
    </row>
    <row r="435" spans="1:9">
      <c r="A435" s="9" t="s">
        <v>1150</v>
      </c>
      <c r="B435" s="9"/>
      <c r="C435" t="s">
        <v>534</v>
      </c>
      <c r="D435" s="5" t="s">
        <v>536</v>
      </c>
      <c r="E435" s="1">
        <v>7789.59</v>
      </c>
      <c r="G435" s="1">
        <v>22916.37</v>
      </c>
    </row>
    <row r="436" spans="1:9">
      <c r="A436" s="9" t="s">
        <v>1150</v>
      </c>
      <c r="B436" s="9"/>
      <c r="C436" t="s">
        <v>78</v>
      </c>
      <c r="D436" s="5" t="s">
        <v>80</v>
      </c>
      <c r="E436" s="1">
        <v>2905.33</v>
      </c>
      <c r="G436" s="1">
        <v>7142.92</v>
      </c>
      <c r="H436" s="1">
        <v>1295.21</v>
      </c>
      <c r="I436" s="1">
        <v>333</v>
      </c>
    </row>
    <row r="437" spans="1:9">
      <c r="A437" s="9" t="s">
        <v>1150</v>
      </c>
      <c r="B437" s="9"/>
      <c r="C437" t="s">
        <v>582</v>
      </c>
      <c r="D437" s="5" t="s">
        <v>584</v>
      </c>
      <c r="E437" s="1">
        <v>4139.16</v>
      </c>
      <c r="H437" s="1">
        <v>814.34</v>
      </c>
    </row>
    <row r="438" spans="1:9">
      <c r="A438" s="9" t="s">
        <v>1150</v>
      </c>
      <c r="B438" s="9"/>
      <c r="C438" t="s">
        <v>1152</v>
      </c>
      <c r="D438" s="5" t="s">
        <v>1154</v>
      </c>
      <c r="E438" s="1">
        <v>1600</v>
      </c>
    </row>
    <row r="439" spans="1:9">
      <c r="A439" s="9" t="s">
        <v>1150</v>
      </c>
      <c r="B439" s="9"/>
      <c r="C439" t="s">
        <v>448</v>
      </c>
      <c r="D439" s="5" t="s">
        <v>450</v>
      </c>
      <c r="E439" s="1">
        <v>18843.97</v>
      </c>
      <c r="G439" s="1">
        <v>269712.58</v>
      </c>
    </row>
    <row r="440" spans="1:9">
      <c r="A440" s="9" t="s">
        <v>1150</v>
      </c>
      <c r="B440" s="9"/>
      <c r="C440" t="s">
        <v>213</v>
      </c>
      <c r="D440" s="5" t="s">
        <v>215</v>
      </c>
      <c r="E440" s="1">
        <v>1336.3</v>
      </c>
      <c r="G440" s="1">
        <v>2936.3</v>
      </c>
    </row>
    <row r="441" spans="1:9">
      <c r="A441" s="9" t="s">
        <v>1150</v>
      </c>
      <c r="B441" s="9"/>
      <c r="C441" t="s">
        <v>1070</v>
      </c>
      <c r="D441" s="5" t="s">
        <v>1072</v>
      </c>
      <c r="F441" s="1">
        <v>381.79</v>
      </c>
      <c r="G441" s="1">
        <v>29807.95</v>
      </c>
    </row>
    <row r="442" spans="1:9">
      <c r="A442" s="9" t="s">
        <v>1150</v>
      </c>
      <c r="B442" s="9"/>
      <c r="C442" t="s">
        <v>1155</v>
      </c>
      <c r="D442" s="5" t="s">
        <v>1157</v>
      </c>
      <c r="G442" s="1">
        <v>2776.67</v>
      </c>
    </row>
    <row r="443" spans="1:9">
      <c r="A443" s="9" t="s">
        <v>1150</v>
      </c>
      <c r="B443" s="9"/>
      <c r="C443" t="s">
        <v>1158</v>
      </c>
      <c r="D443" s="5" t="s">
        <v>1160</v>
      </c>
      <c r="G443" s="1">
        <v>14320.93</v>
      </c>
    </row>
    <row r="444" spans="1:9">
      <c r="A444" s="9" t="s">
        <v>1150</v>
      </c>
      <c r="B444" s="9"/>
      <c r="C444" t="s">
        <v>344</v>
      </c>
      <c r="D444" s="5" t="s">
        <v>346</v>
      </c>
      <c r="E444" s="1">
        <v>931.58</v>
      </c>
      <c r="G444" s="1">
        <v>3166.66</v>
      </c>
    </row>
    <row r="445" spans="1:9">
      <c r="A445" s="9" t="s">
        <v>1150</v>
      </c>
      <c r="B445" s="9"/>
      <c r="C445" t="s">
        <v>681</v>
      </c>
      <c r="D445" s="5" t="s">
        <v>683</v>
      </c>
      <c r="E445" s="1">
        <v>9198</v>
      </c>
      <c r="G445" s="1">
        <v>76843.7</v>
      </c>
    </row>
    <row r="446" spans="1:9">
      <c r="A446" s="9" t="s">
        <v>1150</v>
      </c>
      <c r="B446" s="9"/>
      <c r="C446" t="s">
        <v>385</v>
      </c>
      <c r="D446" s="5" t="s">
        <v>387</v>
      </c>
      <c r="E446" s="1">
        <v>711.02</v>
      </c>
      <c r="G446" s="1">
        <v>1713.21</v>
      </c>
      <c r="H446" s="1">
        <v>291.53500000000003</v>
      </c>
    </row>
    <row r="447" spans="1:9">
      <c r="A447" s="9" t="s">
        <v>1150</v>
      </c>
      <c r="B447" s="9"/>
      <c r="C447" t="s">
        <v>388</v>
      </c>
      <c r="D447" s="5" t="s">
        <v>390</v>
      </c>
      <c r="E447" s="1">
        <v>1560.78</v>
      </c>
      <c r="F447" s="1">
        <v>4510.16</v>
      </c>
      <c r="G447" s="1">
        <v>24557.49</v>
      </c>
    </row>
    <row r="448" spans="1:9">
      <c r="A448" s="9" t="s">
        <v>1150</v>
      </c>
      <c r="B448" s="9"/>
      <c r="C448" t="s">
        <v>412</v>
      </c>
      <c r="D448" s="5" t="s">
        <v>414</v>
      </c>
      <c r="E448" s="1">
        <v>10644.94</v>
      </c>
      <c r="G448" s="1">
        <v>10067.4</v>
      </c>
    </row>
    <row r="449" spans="1:9">
      <c r="A449" s="9" t="s">
        <v>1150</v>
      </c>
      <c r="B449" s="9"/>
      <c r="C449" t="s">
        <v>258</v>
      </c>
      <c r="D449" s="5" t="s">
        <v>260</v>
      </c>
      <c r="E449" s="1">
        <v>16408.47</v>
      </c>
      <c r="G449" s="1">
        <v>58125.43</v>
      </c>
      <c r="H449" s="1">
        <v>13.7</v>
      </c>
    </row>
    <row r="450" spans="1:9">
      <c r="A450" s="9" t="s">
        <v>1150</v>
      </c>
      <c r="B450" s="9"/>
      <c r="C450" t="s">
        <v>540</v>
      </c>
      <c r="D450" s="5" t="s">
        <v>542</v>
      </c>
      <c r="E450" s="1">
        <v>10834.69</v>
      </c>
      <c r="G450" s="1">
        <v>28853.27</v>
      </c>
      <c r="H450" s="1">
        <v>3083.84</v>
      </c>
    </row>
    <row r="451" spans="1:9">
      <c r="A451" s="9" t="s">
        <v>1150</v>
      </c>
      <c r="B451" s="9"/>
      <c r="C451" t="s">
        <v>370</v>
      </c>
      <c r="D451" s="5" t="s">
        <v>372</v>
      </c>
      <c r="E451" s="1">
        <v>9808.08</v>
      </c>
      <c r="G451" s="1">
        <v>28998.78</v>
      </c>
    </row>
    <row r="452" spans="1:9">
      <c r="A452" s="9" t="s">
        <v>1150</v>
      </c>
      <c r="B452" s="9"/>
      <c r="C452" t="s">
        <v>465</v>
      </c>
      <c r="D452" s="5" t="s">
        <v>467</v>
      </c>
      <c r="E452" s="1">
        <v>135.69999999999999</v>
      </c>
      <c r="G452" s="1">
        <v>475</v>
      </c>
    </row>
    <row r="453" spans="1:9">
      <c r="A453" s="9" t="s">
        <v>1150</v>
      </c>
      <c r="B453" s="9"/>
      <c r="C453" t="s">
        <v>240</v>
      </c>
      <c r="D453" s="5" t="s">
        <v>242</v>
      </c>
      <c r="E453" s="1">
        <v>2775.82</v>
      </c>
      <c r="G453" s="1">
        <v>13394.46</v>
      </c>
    </row>
    <row r="454" spans="1:9">
      <c r="A454" s="9" t="s">
        <v>1150</v>
      </c>
      <c r="B454" s="9"/>
      <c r="C454" t="s">
        <v>144</v>
      </c>
      <c r="D454" s="5" t="s">
        <v>146</v>
      </c>
      <c r="E454" s="1">
        <v>17773.7</v>
      </c>
      <c r="G454" s="1">
        <v>-765.47</v>
      </c>
      <c r="H454" s="1">
        <v>1339.8</v>
      </c>
    </row>
    <row r="455" spans="1:9">
      <c r="A455" s="9" t="s">
        <v>1150</v>
      </c>
      <c r="B455" s="9"/>
      <c r="C455" t="s">
        <v>376</v>
      </c>
      <c r="D455" s="5" t="s">
        <v>378</v>
      </c>
      <c r="E455" s="1">
        <v>4008.29</v>
      </c>
      <c r="F455" s="1">
        <v>327.37</v>
      </c>
      <c r="G455" s="1">
        <v>11073.5</v>
      </c>
    </row>
    <row r="456" spans="1:9">
      <c r="A456" s="9" t="s">
        <v>1150</v>
      </c>
      <c r="B456" s="9"/>
      <c r="C456" t="s">
        <v>306</v>
      </c>
      <c r="D456" s="5" t="s">
        <v>308</v>
      </c>
      <c r="E456" s="1">
        <v>3155.81</v>
      </c>
      <c r="F456" s="1">
        <v>1255.81</v>
      </c>
      <c r="G456" s="1">
        <v>17092.62</v>
      </c>
    </row>
    <row r="457" spans="1:9">
      <c r="A457" s="9" t="s">
        <v>1150</v>
      </c>
      <c r="B457" s="9"/>
      <c r="C457" t="s">
        <v>935</v>
      </c>
      <c r="D457" s="5" t="s">
        <v>937</v>
      </c>
      <c r="F457" s="1">
        <v>492.25</v>
      </c>
    </row>
    <row r="458" spans="1:9">
      <c r="A458" s="9" t="s">
        <v>1150</v>
      </c>
      <c r="B458" s="9"/>
      <c r="C458" t="s">
        <v>30</v>
      </c>
      <c r="D458" s="5" t="s">
        <v>32</v>
      </c>
      <c r="E458" s="1">
        <v>3592.78</v>
      </c>
      <c r="F458" s="1">
        <v>1336.66</v>
      </c>
      <c r="G458" s="1">
        <v>61325.15</v>
      </c>
      <c r="H458" s="1">
        <v>264.12</v>
      </c>
    </row>
    <row r="459" spans="1:9">
      <c r="A459" s="9" t="s">
        <v>1150</v>
      </c>
      <c r="B459" s="9"/>
      <c r="C459" t="s">
        <v>270</v>
      </c>
      <c r="D459" s="5" t="s">
        <v>272</v>
      </c>
      <c r="E459" s="1">
        <v>1563.71</v>
      </c>
      <c r="F459" s="1">
        <v>57.3</v>
      </c>
      <c r="G459" s="1">
        <v>7693.31</v>
      </c>
      <c r="H459" s="1">
        <v>171.45</v>
      </c>
      <c r="I459" s="1">
        <v>131.38999999999999</v>
      </c>
    </row>
    <row r="460" spans="1:9">
      <c r="A460" s="9" t="s">
        <v>1150</v>
      </c>
      <c r="B460" s="9"/>
      <c r="C460" t="s">
        <v>1161</v>
      </c>
      <c r="D460" s="5" t="s">
        <v>1163</v>
      </c>
      <c r="F460" s="1">
        <v>1990</v>
      </c>
    </row>
    <row r="461" spans="1:9">
      <c r="A461" s="9" t="s">
        <v>1150</v>
      </c>
      <c r="B461" s="9"/>
      <c r="C461" t="s">
        <v>612</v>
      </c>
      <c r="D461" s="5" t="s">
        <v>614</v>
      </c>
      <c r="E461" s="1">
        <v>2700</v>
      </c>
      <c r="H461" s="1">
        <v>1382.64</v>
      </c>
    </row>
    <row r="462" spans="1:9">
      <c r="A462" s="9" t="s">
        <v>1150</v>
      </c>
      <c r="B462" s="9"/>
      <c r="C462" t="s">
        <v>255</v>
      </c>
      <c r="D462" s="5" t="s">
        <v>257</v>
      </c>
      <c r="E462" s="1">
        <v>3100</v>
      </c>
      <c r="G462" s="1">
        <v>284916.78000000003</v>
      </c>
      <c r="H462" s="1">
        <v>169.74</v>
      </c>
    </row>
    <row r="463" spans="1:9">
      <c r="A463" s="9" t="s">
        <v>1150</v>
      </c>
      <c r="B463" s="9"/>
      <c r="C463" t="s">
        <v>1164</v>
      </c>
      <c r="D463" s="5" t="s">
        <v>1166</v>
      </c>
      <c r="H463" s="1">
        <v>534.98</v>
      </c>
    </row>
    <row r="464" spans="1:9">
      <c r="A464" s="9" t="s">
        <v>1150</v>
      </c>
      <c r="B464" s="9"/>
      <c r="C464" t="s">
        <v>234</v>
      </c>
      <c r="D464" s="5" t="s">
        <v>236</v>
      </c>
      <c r="E464" s="1">
        <v>4824.3900000000003</v>
      </c>
      <c r="G464" s="1">
        <v>64350.16</v>
      </c>
      <c r="H464" s="1">
        <v>1257.31</v>
      </c>
    </row>
    <row r="465" spans="1:9">
      <c r="A465" s="9" t="s">
        <v>1150</v>
      </c>
      <c r="B465" s="9"/>
      <c r="C465" t="s">
        <v>1167</v>
      </c>
      <c r="D465" s="5" t="s">
        <v>1169</v>
      </c>
      <c r="H465" s="1">
        <v>361.2</v>
      </c>
    </row>
    <row r="466" spans="1:9">
      <c r="A466" s="9" t="s">
        <v>1150</v>
      </c>
      <c r="B466" s="9"/>
      <c r="C466" t="s">
        <v>1073</v>
      </c>
      <c r="D466" s="5" t="s">
        <v>1075</v>
      </c>
      <c r="H466" s="1">
        <v>4799.99</v>
      </c>
    </row>
    <row r="467" spans="1:9">
      <c r="A467" s="9" t="s">
        <v>1150</v>
      </c>
      <c r="B467" s="9"/>
      <c r="C467" t="s">
        <v>249</v>
      </c>
      <c r="D467" s="5" t="s">
        <v>251</v>
      </c>
      <c r="E467" s="1">
        <v>21026.01</v>
      </c>
      <c r="H467" s="1">
        <v>1261.56</v>
      </c>
    </row>
    <row r="468" spans="1:9">
      <c r="A468" s="9" t="s">
        <v>1150</v>
      </c>
      <c r="B468" s="9"/>
      <c r="C468" t="s">
        <v>15</v>
      </c>
      <c r="D468" s="5" t="s">
        <v>17</v>
      </c>
      <c r="F468" s="1">
        <v>650</v>
      </c>
      <c r="H468" s="1">
        <v>78.599999999999994</v>
      </c>
    </row>
    <row r="469" spans="1:9">
      <c r="A469" s="9" t="s">
        <v>1150</v>
      </c>
      <c r="B469" s="9"/>
      <c r="C469" t="s">
        <v>282</v>
      </c>
      <c r="D469" s="5" t="s">
        <v>284</v>
      </c>
      <c r="E469" s="1">
        <v>9200.77</v>
      </c>
      <c r="H469" s="1">
        <v>623.58000000000004</v>
      </c>
    </row>
    <row r="470" spans="1:9">
      <c r="A470" s="9" t="s">
        <v>1150</v>
      </c>
      <c r="B470" s="9"/>
      <c r="C470" t="s">
        <v>857</v>
      </c>
      <c r="D470" s="5" t="s">
        <v>859</v>
      </c>
      <c r="H470" s="1">
        <v>722.4</v>
      </c>
    </row>
    <row r="471" spans="1:9">
      <c r="A471" s="9" t="s">
        <v>1150</v>
      </c>
      <c r="B471" s="9"/>
      <c r="C471" t="s">
        <v>433</v>
      </c>
      <c r="D471" s="5" t="s">
        <v>435</v>
      </c>
      <c r="E471" s="1">
        <v>4333.41</v>
      </c>
      <c r="H471" s="1">
        <v>285.04000000000002</v>
      </c>
    </row>
    <row r="472" spans="1:9">
      <c r="A472" s="9" t="s">
        <v>1150</v>
      </c>
      <c r="B472" s="9"/>
      <c r="C472" t="s">
        <v>1170</v>
      </c>
      <c r="D472" s="5" t="s">
        <v>1172</v>
      </c>
      <c r="E472" s="1">
        <v>19.690000000000001</v>
      </c>
    </row>
    <row r="473" spans="1:9">
      <c r="A473" s="9" t="s">
        <v>1150</v>
      </c>
      <c r="B473" s="9"/>
      <c r="C473" t="s">
        <v>189</v>
      </c>
      <c r="D473" s="5" t="s">
        <v>191</v>
      </c>
      <c r="E473" s="1">
        <v>4254.3999999999996</v>
      </c>
      <c r="G473" s="1">
        <v>6193.33</v>
      </c>
    </row>
    <row r="474" spans="1:9">
      <c r="A474" s="9" t="s">
        <v>1150</v>
      </c>
      <c r="B474" s="9"/>
      <c r="C474" t="s">
        <v>168</v>
      </c>
      <c r="D474" s="5" t="s">
        <v>170</v>
      </c>
      <c r="E474" s="1">
        <v>4808.6400000000003</v>
      </c>
      <c r="F474" s="1">
        <v>219.71</v>
      </c>
      <c r="G474" s="1">
        <v>15655.18</v>
      </c>
    </row>
    <row r="475" spans="1:9">
      <c r="A475" s="9" t="s">
        <v>1150</v>
      </c>
      <c r="B475" s="9"/>
      <c r="C475" t="s">
        <v>663</v>
      </c>
      <c r="D475" s="5" t="s">
        <v>665</v>
      </c>
      <c r="E475" s="1">
        <v>6822.16</v>
      </c>
      <c r="F475" s="1">
        <v>208.63</v>
      </c>
      <c r="G475" s="1">
        <v>9487.49</v>
      </c>
      <c r="H475" s="1">
        <v>1609.19</v>
      </c>
      <c r="I475" s="1">
        <v>455.5</v>
      </c>
    </row>
    <row r="476" spans="1:9">
      <c r="A476" s="9" t="s">
        <v>1150</v>
      </c>
      <c r="B476" s="9"/>
      <c r="C476" t="s">
        <v>96</v>
      </c>
      <c r="D476" s="5" t="s">
        <v>98</v>
      </c>
      <c r="E476" s="1">
        <v>2724.41</v>
      </c>
      <c r="H476" s="1">
        <v>722.4</v>
      </c>
    </row>
    <row r="477" spans="1:9">
      <c r="A477" s="9" t="s">
        <v>1150</v>
      </c>
      <c r="B477" s="9"/>
      <c r="C477" t="s">
        <v>355</v>
      </c>
      <c r="D477" s="5" t="s">
        <v>357</v>
      </c>
      <c r="E477" s="1">
        <v>131571</v>
      </c>
      <c r="G477" s="1">
        <v>327617.44</v>
      </c>
    </row>
    <row r="478" spans="1:9">
      <c r="A478" s="9" t="s">
        <v>1150</v>
      </c>
      <c r="B478" s="9"/>
      <c r="C478" t="s">
        <v>439</v>
      </c>
      <c r="D478" s="5" t="s">
        <v>441</v>
      </c>
      <c r="E478" s="1">
        <v>2022.17</v>
      </c>
      <c r="G478" s="1">
        <v>5776.62</v>
      </c>
    </row>
    <row r="479" spans="1:9">
      <c r="A479" s="9" t="s">
        <v>1150</v>
      </c>
      <c r="B479" s="9"/>
      <c r="C479" t="s">
        <v>768</v>
      </c>
      <c r="D479" s="5" t="s">
        <v>770</v>
      </c>
      <c r="E479" s="1">
        <v>5795.42</v>
      </c>
      <c r="G479" s="1">
        <v>11795.42</v>
      </c>
    </row>
    <row r="480" spans="1:9">
      <c r="A480" s="9" t="s">
        <v>1150</v>
      </c>
      <c r="B480" s="9"/>
      <c r="C480" t="s">
        <v>141</v>
      </c>
      <c r="D480" s="5" t="s">
        <v>143</v>
      </c>
      <c r="E480" s="1">
        <v>43662.63</v>
      </c>
      <c r="F480" s="1">
        <v>1687.56</v>
      </c>
      <c r="H480" s="1">
        <v>39.299999999999997</v>
      </c>
    </row>
    <row r="481" spans="1:8">
      <c r="A481" s="9" t="s">
        <v>1150</v>
      </c>
      <c r="B481" s="9"/>
      <c r="C481" t="s">
        <v>397</v>
      </c>
      <c r="D481" s="5" t="s">
        <v>399</v>
      </c>
      <c r="E481" s="1">
        <v>7591.03</v>
      </c>
      <c r="F481" s="1">
        <v>999.7</v>
      </c>
      <c r="G481" s="1">
        <v>26372.43</v>
      </c>
    </row>
    <row r="482" spans="1:8">
      <c r="A482" s="9" t="s">
        <v>1150</v>
      </c>
      <c r="B482" s="9"/>
      <c r="C482" t="s">
        <v>672</v>
      </c>
      <c r="D482" s="5" t="s">
        <v>674</v>
      </c>
      <c r="E482" s="1">
        <v>1866</v>
      </c>
    </row>
    <row r="483" spans="1:8">
      <c r="A483" s="9" t="s">
        <v>1150</v>
      </c>
      <c r="B483" s="9"/>
      <c r="C483" t="s">
        <v>228</v>
      </c>
      <c r="D483" s="5" t="s">
        <v>230</v>
      </c>
      <c r="E483" s="1">
        <v>4746.32</v>
      </c>
      <c r="G483" s="1">
        <v>10018.07</v>
      </c>
    </row>
    <row r="484" spans="1:8">
      <c r="A484" s="9" t="s">
        <v>1150</v>
      </c>
      <c r="B484" s="9"/>
      <c r="C484" t="s">
        <v>45</v>
      </c>
      <c r="D484" s="5" t="s">
        <v>47</v>
      </c>
      <c r="E484" s="1">
        <v>8583.4500000000007</v>
      </c>
      <c r="G484" s="1">
        <v>133362.16</v>
      </c>
    </row>
    <row r="485" spans="1:8">
      <c r="A485" s="9" t="s">
        <v>1150</v>
      </c>
      <c r="B485" s="9"/>
      <c r="C485" t="s">
        <v>594</v>
      </c>
      <c r="D485" s="5" t="s">
        <v>596</v>
      </c>
      <c r="E485" s="1">
        <v>977.4</v>
      </c>
      <c r="G485" s="1">
        <v>750.75</v>
      </c>
    </row>
    <row r="486" spans="1:8">
      <c r="A486" s="9" t="s">
        <v>1150</v>
      </c>
      <c r="B486" s="9"/>
      <c r="C486" t="s">
        <v>666</v>
      </c>
      <c r="D486" s="5" t="s">
        <v>668</v>
      </c>
      <c r="E486" s="1">
        <v>8251.92</v>
      </c>
      <c r="G486" s="1">
        <v>67896.320000000007</v>
      </c>
    </row>
    <row r="487" spans="1:8">
      <c r="A487" s="9" t="s">
        <v>1150</v>
      </c>
      <c r="B487" s="9"/>
      <c r="C487" t="s">
        <v>597</v>
      </c>
      <c r="D487" s="5" t="s">
        <v>599</v>
      </c>
      <c r="E487" s="1">
        <v>3247.13</v>
      </c>
    </row>
    <row r="488" spans="1:8">
      <c r="A488" s="9" t="s">
        <v>1150</v>
      </c>
      <c r="B488" s="9"/>
      <c r="C488" t="s">
        <v>636</v>
      </c>
      <c r="D488" s="5" t="s">
        <v>638</v>
      </c>
      <c r="E488" s="1">
        <v>1602.42</v>
      </c>
      <c r="G488" s="1">
        <v>3283.33</v>
      </c>
    </row>
    <row r="489" spans="1:8">
      <c r="A489" s="9" t="s">
        <v>1150</v>
      </c>
      <c r="B489" s="9"/>
      <c r="C489" t="s">
        <v>813</v>
      </c>
      <c r="D489" s="5" t="s">
        <v>815</v>
      </c>
      <c r="E489" s="1">
        <v>2335.31</v>
      </c>
    </row>
    <row r="490" spans="1:8">
      <c r="A490" s="9" t="s">
        <v>1150</v>
      </c>
      <c r="B490" s="9"/>
      <c r="C490" t="s">
        <v>427</v>
      </c>
      <c r="D490" s="5" t="s">
        <v>429</v>
      </c>
      <c r="E490" s="1">
        <v>5607.69</v>
      </c>
      <c r="H490" s="1">
        <v>669.06</v>
      </c>
    </row>
    <row r="491" spans="1:8">
      <c r="A491" s="9" t="s">
        <v>1150</v>
      </c>
      <c r="B491" s="9"/>
      <c r="C491" t="s">
        <v>627</v>
      </c>
      <c r="D491" s="5" t="s">
        <v>629</v>
      </c>
      <c r="E491" s="1">
        <v>2080</v>
      </c>
      <c r="F491" s="1">
        <v>1325</v>
      </c>
      <c r="H491" s="1">
        <v>564.81500000000005</v>
      </c>
    </row>
    <row r="492" spans="1:8">
      <c r="A492" s="9" t="s">
        <v>1150</v>
      </c>
      <c r="B492" s="9"/>
      <c r="C492" t="s">
        <v>338</v>
      </c>
      <c r="D492" s="5" t="s">
        <v>340</v>
      </c>
      <c r="E492" s="1">
        <v>36951.599999999999</v>
      </c>
      <c r="G492" s="1">
        <v>84608.57</v>
      </c>
    </row>
    <row r="493" spans="1:8">
      <c r="A493" s="9" t="s">
        <v>1150</v>
      </c>
      <c r="B493" s="9"/>
      <c r="C493" t="s">
        <v>373</v>
      </c>
      <c r="D493" s="5" t="s">
        <v>375</v>
      </c>
      <c r="E493" s="1">
        <v>1692.22</v>
      </c>
      <c r="G493" s="1">
        <v>7998.52</v>
      </c>
    </row>
    <row r="494" spans="1:8">
      <c r="A494" s="9" t="s">
        <v>1150</v>
      </c>
      <c r="B494" s="9"/>
      <c r="C494" t="s">
        <v>1173</v>
      </c>
      <c r="D494" s="5" t="s">
        <v>1175</v>
      </c>
      <c r="F494" s="1">
        <v>313.44</v>
      </c>
      <c r="G494" s="1">
        <v>1457.07</v>
      </c>
    </row>
    <row r="495" spans="1:8">
      <c r="A495" s="9" t="s">
        <v>1150</v>
      </c>
      <c r="B495" s="9"/>
      <c r="C495" t="s">
        <v>1076</v>
      </c>
      <c r="D495" s="5" t="s">
        <v>1078</v>
      </c>
      <c r="G495" s="1">
        <v>12233.6</v>
      </c>
    </row>
    <row r="496" spans="1:8">
      <c r="A496" s="9" t="s">
        <v>1150</v>
      </c>
      <c r="B496" s="9"/>
      <c r="C496" t="s">
        <v>93</v>
      </c>
      <c r="D496" s="5" t="s">
        <v>95</v>
      </c>
      <c r="E496" s="1">
        <v>853.47</v>
      </c>
      <c r="F496" s="1">
        <v>44.6</v>
      </c>
      <c r="G496" s="1">
        <v>14692.13</v>
      </c>
    </row>
    <row r="497" spans="1:9">
      <c r="A497" s="9" t="s">
        <v>1150</v>
      </c>
      <c r="B497" s="9"/>
      <c r="C497" t="s">
        <v>201</v>
      </c>
      <c r="D497" s="5" t="s">
        <v>203</v>
      </c>
      <c r="E497" s="1">
        <v>70</v>
      </c>
      <c r="G497" s="1">
        <v>7533.22</v>
      </c>
    </row>
    <row r="498" spans="1:9">
      <c r="A498" s="9" t="s">
        <v>1150</v>
      </c>
      <c r="B498" s="9"/>
      <c r="C498" t="s">
        <v>792</v>
      </c>
      <c r="D498" s="5" t="s">
        <v>794</v>
      </c>
      <c r="E498" s="1">
        <v>5133.38</v>
      </c>
      <c r="G498" s="1">
        <v>190024.08</v>
      </c>
    </row>
    <row r="499" spans="1:9">
      <c r="A499" s="9" t="s">
        <v>1150</v>
      </c>
      <c r="B499" s="9"/>
      <c r="C499" t="s">
        <v>525</v>
      </c>
      <c r="D499" s="5" t="s">
        <v>527</v>
      </c>
      <c r="E499" s="1">
        <v>34091.19</v>
      </c>
      <c r="F499" s="1">
        <v>793.43</v>
      </c>
      <c r="G499" s="1">
        <v>37428.9</v>
      </c>
    </row>
    <row r="500" spans="1:9">
      <c r="A500" s="9" t="s">
        <v>1150</v>
      </c>
      <c r="B500" s="9"/>
      <c r="C500" t="s">
        <v>330</v>
      </c>
      <c r="D500" s="5" t="s">
        <v>332</v>
      </c>
      <c r="E500" s="1">
        <v>49466.77</v>
      </c>
      <c r="G500" s="1">
        <v>9974.4599999999991</v>
      </c>
    </row>
    <row r="501" spans="1:9">
      <c r="A501" s="9" t="s">
        <v>1150</v>
      </c>
      <c r="B501" s="9"/>
      <c r="C501" t="s">
        <v>477</v>
      </c>
      <c r="D501" s="5" t="s">
        <v>479</v>
      </c>
      <c r="E501" s="1">
        <v>98427.25</v>
      </c>
      <c r="G501" s="1">
        <v>19000</v>
      </c>
    </row>
    <row r="502" spans="1:9">
      <c r="A502" s="9" t="s">
        <v>1150</v>
      </c>
      <c r="B502" s="9"/>
      <c r="C502" t="s">
        <v>1176</v>
      </c>
      <c r="D502" s="5" t="s">
        <v>1178</v>
      </c>
      <c r="E502" s="1">
        <v>196.66</v>
      </c>
      <c r="G502" s="1">
        <v>3638.72</v>
      </c>
    </row>
    <row r="503" spans="1:9">
      <c r="A503" s="9" t="s">
        <v>1150</v>
      </c>
      <c r="B503" s="9"/>
      <c r="C503" t="s">
        <v>762</v>
      </c>
      <c r="D503" s="5" t="s">
        <v>764</v>
      </c>
      <c r="E503" s="1">
        <v>7866.14</v>
      </c>
      <c r="G503" s="1">
        <v>14913.14</v>
      </c>
    </row>
    <row r="504" spans="1:9">
      <c r="A504" s="9" t="s">
        <v>1150</v>
      </c>
      <c r="B504" s="9"/>
      <c r="C504" t="s">
        <v>1179</v>
      </c>
      <c r="D504" s="5" t="s">
        <v>1181</v>
      </c>
      <c r="G504" s="1">
        <v>297.44</v>
      </c>
    </row>
    <row r="505" spans="1:9">
      <c r="A505" s="9" t="s">
        <v>1150</v>
      </c>
      <c r="B505" s="9"/>
      <c r="C505" t="s">
        <v>705</v>
      </c>
      <c r="D505" s="5" t="s">
        <v>707</v>
      </c>
      <c r="F505" s="1">
        <v>3.14</v>
      </c>
      <c r="G505" s="1">
        <v>6454.58</v>
      </c>
      <c r="H505" s="1">
        <v>695.91</v>
      </c>
      <c r="I505" s="1">
        <v>477.93</v>
      </c>
    </row>
    <row r="506" spans="1:9">
      <c r="A506" s="9" t="s">
        <v>1150</v>
      </c>
      <c r="B506" s="9"/>
      <c r="C506" t="s">
        <v>27</v>
      </c>
      <c r="D506" s="5" t="s">
        <v>29</v>
      </c>
      <c r="E506" s="1">
        <v>4861.99</v>
      </c>
      <c r="G506" s="1">
        <v>20293.150000000001</v>
      </c>
    </row>
    <row r="507" spans="1:9">
      <c r="A507" s="9" t="s">
        <v>1150</v>
      </c>
      <c r="B507" s="9"/>
      <c r="C507" t="s">
        <v>394</v>
      </c>
      <c r="D507" s="5" t="s">
        <v>396</v>
      </c>
      <c r="E507" s="1">
        <v>1234.94</v>
      </c>
      <c r="G507" s="1">
        <v>8235.27</v>
      </c>
    </row>
    <row r="508" spans="1:9">
      <c r="A508" s="9" t="s">
        <v>1150</v>
      </c>
      <c r="B508" s="9"/>
      <c r="C508" t="s">
        <v>415</v>
      </c>
      <c r="D508" s="5" t="s">
        <v>417</v>
      </c>
      <c r="E508" s="1">
        <v>352.07</v>
      </c>
      <c r="G508" s="1">
        <v>3023.45</v>
      </c>
    </row>
    <row r="509" spans="1:9">
      <c r="A509" s="9" t="s">
        <v>1150</v>
      </c>
      <c r="B509" s="9"/>
      <c r="C509" t="s">
        <v>507</v>
      </c>
      <c r="D509" s="5" t="s">
        <v>509</v>
      </c>
      <c r="E509" s="1">
        <v>1256.5</v>
      </c>
      <c r="G509" s="1">
        <v>3900.61</v>
      </c>
    </row>
    <row r="510" spans="1:9">
      <c r="A510" s="9" t="s">
        <v>1150</v>
      </c>
      <c r="B510" s="9"/>
      <c r="C510" t="s">
        <v>261</v>
      </c>
      <c r="D510" s="5" t="s">
        <v>263</v>
      </c>
      <c r="E510" s="1">
        <v>4941.4399999999996</v>
      </c>
      <c r="G510" s="1">
        <v>12258.14</v>
      </c>
      <c r="H510" s="1">
        <v>380</v>
      </c>
    </row>
    <row r="511" spans="1:9">
      <c r="A511" s="9" t="s">
        <v>1150</v>
      </c>
      <c r="B511" s="9"/>
      <c r="C511" t="s">
        <v>570</v>
      </c>
      <c r="D511" s="5" t="s">
        <v>572</v>
      </c>
      <c r="E511" s="1">
        <v>5358.58</v>
      </c>
      <c r="G511" s="1">
        <v>10244.32</v>
      </c>
    </row>
    <row r="512" spans="1:9">
      <c r="A512" s="9" t="s">
        <v>1150</v>
      </c>
      <c r="B512" s="9"/>
      <c r="C512" t="s">
        <v>693</v>
      </c>
      <c r="D512" s="5" t="s">
        <v>695</v>
      </c>
      <c r="E512" s="1">
        <v>1056.42</v>
      </c>
      <c r="G512" s="1">
        <v>2556.12</v>
      </c>
    </row>
    <row r="513" spans="1:9">
      <c r="A513" s="9" t="s">
        <v>1150</v>
      </c>
      <c r="B513" s="9"/>
      <c r="C513" t="s">
        <v>1182</v>
      </c>
      <c r="D513" s="5" t="s">
        <v>1184</v>
      </c>
      <c r="G513" s="1">
        <v>1269.03</v>
      </c>
    </row>
    <row r="514" spans="1:9">
      <c r="A514" s="9" t="s">
        <v>1150</v>
      </c>
      <c r="B514" s="9"/>
      <c r="C514" t="s">
        <v>759</v>
      </c>
      <c r="D514" s="5" t="s">
        <v>761</v>
      </c>
      <c r="E514" s="1">
        <v>5018.47</v>
      </c>
      <c r="G514" s="1">
        <v>12580.38</v>
      </c>
    </row>
    <row r="515" spans="1:9">
      <c r="A515" s="9" t="s">
        <v>1150</v>
      </c>
      <c r="B515" s="9"/>
      <c r="C515" t="s">
        <v>315</v>
      </c>
      <c r="D515" s="5" t="s">
        <v>317</v>
      </c>
      <c r="E515" s="1">
        <v>3729</v>
      </c>
      <c r="G515" s="1">
        <v>27493.03</v>
      </c>
    </row>
    <row r="516" spans="1:9">
      <c r="A516" s="9" t="s">
        <v>1150</v>
      </c>
      <c r="B516" s="9"/>
      <c r="C516" t="s">
        <v>1185</v>
      </c>
      <c r="D516" s="5" t="s">
        <v>1187</v>
      </c>
      <c r="G516" s="1">
        <v>3488.7</v>
      </c>
    </row>
    <row r="517" spans="1:9">
      <c r="A517" s="9" t="s">
        <v>1150</v>
      </c>
      <c r="B517" s="9"/>
      <c r="C517" t="s">
        <v>1188</v>
      </c>
      <c r="D517" s="5" t="s">
        <v>1190</v>
      </c>
      <c r="G517" s="1">
        <v>4230.96</v>
      </c>
    </row>
    <row r="518" spans="1:9">
      <c r="A518" s="9" t="s">
        <v>1150</v>
      </c>
      <c r="B518" s="9"/>
      <c r="C518" t="s">
        <v>651</v>
      </c>
      <c r="D518" s="5" t="s">
        <v>653</v>
      </c>
      <c r="E518" s="1">
        <v>5231.2</v>
      </c>
      <c r="F518" s="1">
        <v>1152.33</v>
      </c>
      <c r="G518" s="1">
        <v>30958.639999999999</v>
      </c>
    </row>
    <row r="519" spans="1:9">
      <c r="A519" s="9" t="s">
        <v>1150</v>
      </c>
      <c r="B519" s="9"/>
      <c r="C519" t="s">
        <v>162</v>
      </c>
      <c r="D519" s="5" t="s">
        <v>164</v>
      </c>
      <c r="E519" s="1">
        <v>16813.07</v>
      </c>
      <c r="F519" s="1">
        <v>529.04999999999995</v>
      </c>
      <c r="G519" s="1">
        <v>46854.83</v>
      </c>
      <c r="H519" s="1">
        <v>54.18</v>
      </c>
    </row>
    <row r="520" spans="1:9">
      <c r="A520" s="9" t="s">
        <v>1150</v>
      </c>
      <c r="B520" s="9"/>
      <c r="C520" t="s">
        <v>1191</v>
      </c>
      <c r="D520" s="5" t="s">
        <v>1193</v>
      </c>
      <c r="F520" s="1">
        <v>429.87</v>
      </c>
    </row>
    <row r="521" spans="1:9">
      <c r="A521" s="9" t="s">
        <v>1150</v>
      </c>
      <c r="B521" s="9"/>
      <c r="C521" t="s">
        <v>980</v>
      </c>
      <c r="D521" s="5" t="s">
        <v>982</v>
      </c>
      <c r="H521" s="1">
        <v>201.03</v>
      </c>
      <c r="I521" s="1">
        <v>502.8</v>
      </c>
    </row>
    <row r="522" spans="1:9">
      <c r="A522" s="9" t="s">
        <v>1150</v>
      </c>
      <c r="B522" s="9"/>
      <c r="C522" t="s">
        <v>1194</v>
      </c>
      <c r="D522" s="5" t="s">
        <v>1196</v>
      </c>
      <c r="F522" s="1">
        <v>2058.1</v>
      </c>
      <c r="H522" s="1">
        <v>1287.6849999999999</v>
      </c>
      <c r="I522" s="1">
        <v>166.5</v>
      </c>
    </row>
    <row r="523" spans="1:9">
      <c r="A523" s="9" t="s">
        <v>1150</v>
      </c>
      <c r="B523" s="9"/>
      <c r="C523" t="s">
        <v>567</v>
      </c>
      <c r="D523" s="5" t="s">
        <v>569</v>
      </c>
      <c r="H523" s="1">
        <v>3873.49</v>
      </c>
    </row>
    <row r="524" spans="1:9">
      <c r="A524" s="9" t="s">
        <v>1150</v>
      </c>
      <c r="B524" s="9"/>
      <c r="C524" t="s">
        <v>279</v>
      </c>
      <c r="D524" s="5" t="s">
        <v>281</v>
      </c>
      <c r="E524" s="1">
        <v>4824.1400000000003</v>
      </c>
      <c r="H524" s="1">
        <v>302.67</v>
      </c>
    </row>
    <row r="525" spans="1:9">
      <c r="A525" s="9" t="s">
        <v>1150</v>
      </c>
      <c r="B525" s="9"/>
      <c r="C525" t="s">
        <v>36</v>
      </c>
      <c r="D525" s="5" t="s">
        <v>38</v>
      </c>
      <c r="E525" s="1">
        <v>30689.22</v>
      </c>
      <c r="H525" s="1">
        <v>1303.92</v>
      </c>
    </row>
    <row r="526" spans="1:9">
      <c r="A526" s="9" t="s">
        <v>1150</v>
      </c>
      <c r="B526" s="9"/>
      <c r="C526" t="s">
        <v>878</v>
      </c>
      <c r="D526" s="5" t="s">
        <v>880</v>
      </c>
      <c r="H526" s="1">
        <v>58.95</v>
      </c>
    </row>
    <row r="527" spans="1:9">
      <c r="A527" s="9" t="s">
        <v>1150</v>
      </c>
      <c r="B527" s="9"/>
      <c r="C527" t="s">
        <v>246</v>
      </c>
      <c r="D527" s="5" t="s">
        <v>248</v>
      </c>
      <c r="E527" s="1">
        <v>4855.6000000000004</v>
      </c>
      <c r="F527" s="1">
        <v>103.93</v>
      </c>
      <c r="G527" s="1">
        <v>20858.099999999999</v>
      </c>
      <c r="H527" s="1">
        <v>359.18</v>
      </c>
      <c r="I527" s="1">
        <v>132.80000000000001</v>
      </c>
    </row>
    <row r="528" spans="1:9">
      <c r="A528" s="9" t="s">
        <v>1150</v>
      </c>
      <c r="B528" s="9"/>
      <c r="C528" t="s">
        <v>1197</v>
      </c>
      <c r="D528" s="5" t="s">
        <v>1199</v>
      </c>
      <c r="H528" s="1">
        <v>2748.5549999999998</v>
      </c>
      <c r="I528" s="1">
        <v>687.26</v>
      </c>
    </row>
    <row r="529" spans="1:8">
      <c r="A529" s="9" t="s">
        <v>1150</v>
      </c>
      <c r="B529" s="9"/>
      <c r="C529" t="s">
        <v>192</v>
      </c>
      <c r="D529" s="5" t="s">
        <v>194</v>
      </c>
      <c r="E529" s="1">
        <v>8761.83</v>
      </c>
      <c r="G529" s="1">
        <v>13991.67</v>
      </c>
    </row>
    <row r="530" spans="1:8">
      <c r="A530" s="9" t="s">
        <v>1150</v>
      </c>
      <c r="B530" s="9"/>
      <c r="C530" t="s">
        <v>603</v>
      </c>
      <c r="D530" s="5" t="s">
        <v>605</v>
      </c>
      <c r="E530" s="1">
        <v>19897.66</v>
      </c>
      <c r="G530" s="1">
        <v>39310.61</v>
      </c>
    </row>
    <row r="531" spans="1:8">
      <c r="A531" s="9" t="s">
        <v>1150</v>
      </c>
      <c r="B531" s="9"/>
      <c r="C531" t="s">
        <v>204</v>
      </c>
      <c r="D531" s="5" t="s">
        <v>206</v>
      </c>
      <c r="E531" s="1">
        <v>2192.83</v>
      </c>
      <c r="G531" s="1">
        <v>11774.35</v>
      </c>
    </row>
    <row r="532" spans="1:8">
      <c r="A532" s="9" t="s">
        <v>1150</v>
      </c>
      <c r="B532" s="9"/>
      <c r="C532" t="s">
        <v>492</v>
      </c>
      <c r="D532" s="5" t="s">
        <v>494</v>
      </c>
      <c r="E532" s="1">
        <v>21491.4</v>
      </c>
    </row>
    <row r="533" spans="1:8">
      <c r="A533" s="9" t="s">
        <v>1150</v>
      </c>
      <c r="B533" s="9"/>
      <c r="C533" t="s">
        <v>198</v>
      </c>
      <c r="D533" s="5" t="s">
        <v>200</v>
      </c>
      <c r="E533" s="1">
        <v>1338.01</v>
      </c>
      <c r="G533" s="1">
        <v>3309.69</v>
      </c>
      <c r="H533" s="1">
        <v>32.24</v>
      </c>
    </row>
    <row r="534" spans="1:8">
      <c r="A534" s="9" t="s">
        <v>1150</v>
      </c>
      <c r="B534" s="9"/>
      <c r="C534" t="s">
        <v>549</v>
      </c>
      <c r="D534" s="5" t="s">
        <v>551</v>
      </c>
      <c r="E534" s="1">
        <v>1797</v>
      </c>
    </row>
    <row r="535" spans="1:8">
      <c r="A535" s="9" t="s">
        <v>1150</v>
      </c>
      <c r="B535" s="9"/>
      <c r="C535" t="s">
        <v>660</v>
      </c>
      <c r="D535" s="5" t="s">
        <v>662</v>
      </c>
      <c r="E535" s="1">
        <v>3396.43</v>
      </c>
      <c r="G535" s="1">
        <v>9351.8799999999992</v>
      </c>
    </row>
    <row r="536" spans="1:8">
      <c r="A536" s="9" t="s">
        <v>1150</v>
      </c>
      <c r="B536" s="9"/>
      <c r="C536" t="s">
        <v>276</v>
      </c>
      <c r="D536" s="5" t="s">
        <v>278</v>
      </c>
      <c r="E536" s="1">
        <v>13177.5</v>
      </c>
      <c r="H536" s="1">
        <v>409.4</v>
      </c>
    </row>
    <row r="537" spans="1:8">
      <c r="A537" s="9" t="s">
        <v>1150</v>
      </c>
      <c r="B537" s="9"/>
      <c r="C537" t="s">
        <v>804</v>
      </c>
      <c r="D537" s="5" t="s">
        <v>806</v>
      </c>
      <c r="E537" s="1">
        <v>6817.86</v>
      </c>
      <c r="G537" s="1">
        <v>24937.17</v>
      </c>
    </row>
    <row r="538" spans="1:8">
      <c r="A538" s="9" t="s">
        <v>1150</v>
      </c>
      <c r="B538" s="9"/>
      <c r="C538" t="s">
        <v>462</v>
      </c>
      <c r="D538" s="5" t="s">
        <v>464</v>
      </c>
      <c r="E538" s="1">
        <v>1464.44</v>
      </c>
      <c r="G538" s="1">
        <v>5818.65</v>
      </c>
    </row>
    <row r="539" spans="1:8">
      <c r="A539" s="9" t="s">
        <v>1150</v>
      </c>
      <c r="B539" s="9"/>
      <c r="C539" t="s">
        <v>102</v>
      </c>
      <c r="D539" s="5" t="s">
        <v>104</v>
      </c>
      <c r="E539" s="1">
        <v>2121.9</v>
      </c>
      <c r="G539" s="1">
        <v>13193.57</v>
      </c>
      <c r="H539" s="1">
        <v>253.78</v>
      </c>
    </row>
    <row r="540" spans="1:8">
      <c r="A540" s="9" t="s">
        <v>1150</v>
      </c>
      <c r="B540" s="9"/>
      <c r="C540" t="s">
        <v>699</v>
      </c>
      <c r="D540" s="5" t="s">
        <v>701</v>
      </c>
      <c r="E540" s="1">
        <v>3014.12</v>
      </c>
      <c r="G540" s="1">
        <v>13309.09</v>
      </c>
      <c r="H540" s="1">
        <v>399.45</v>
      </c>
    </row>
    <row r="541" spans="1:8">
      <c r="A541" s="9" t="s">
        <v>1150</v>
      </c>
      <c r="B541" s="9"/>
      <c r="C541" t="s">
        <v>564</v>
      </c>
      <c r="D541" s="5" t="s">
        <v>566</v>
      </c>
      <c r="E541" s="1">
        <v>7689.29</v>
      </c>
      <c r="H541" s="1">
        <v>360.76</v>
      </c>
    </row>
    <row r="542" spans="1:8">
      <c r="A542" s="9" t="s">
        <v>1150</v>
      </c>
      <c r="B542" s="9"/>
      <c r="C542" t="s">
        <v>606</v>
      </c>
      <c r="D542" s="5" t="s">
        <v>608</v>
      </c>
      <c r="E542" s="1">
        <v>6748.64</v>
      </c>
      <c r="G542" s="1">
        <v>13838.18</v>
      </c>
    </row>
    <row r="543" spans="1:8">
      <c r="A543" s="9" t="s">
        <v>1150</v>
      </c>
      <c r="B543" s="9"/>
      <c r="C543" t="s">
        <v>678</v>
      </c>
      <c r="D543" s="5" t="s">
        <v>680</v>
      </c>
      <c r="E543" s="1">
        <v>23870.1</v>
      </c>
    </row>
    <row r="544" spans="1:8">
      <c r="A544" s="9" t="s">
        <v>1150</v>
      </c>
      <c r="B544" s="9"/>
      <c r="C544" t="s">
        <v>165</v>
      </c>
      <c r="D544" s="5" t="s">
        <v>167</v>
      </c>
      <c r="E544" s="1">
        <v>3799.28</v>
      </c>
      <c r="F544" s="1">
        <v>1507.01</v>
      </c>
      <c r="G544" s="1">
        <v>22200.3</v>
      </c>
      <c r="H544" s="1">
        <v>60.2</v>
      </c>
    </row>
    <row r="545" spans="1:8">
      <c r="A545" s="9" t="s">
        <v>1150</v>
      </c>
      <c r="B545" s="9"/>
      <c r="C545" t="s">
        <v>21</v>
      </c>
      <c r="D545" s="5" t="s">
        <v>23</v>
      </c>
      <c r="E545" s="1">
        <v>19.190000000000001</v>
      </c>
    </row>
    <row r="546" spans="1:8">
      <c r="A546" s="9" t="s">
        <v>1150</v>
      </c>
      <c r="B546" s="9"/>
      <c r="C546" t="s">
        <v>615</v>
      </c>
      <c r="D546" s="5" t="s">
        <v>617</v>
      </c>
      <c r="E546" s="1">
        <v>23114.27</v>
      </c>
    </row>
    <row r="547" spans="1:8">
      <c r="A547" s="9" t="s">
        <v>1150</v>
      </c>
      <c r="B547" s="9"/>
      <c r="C547" t="s">
        <v>210</v>
      </c>
      <c r="D547" s="5" t="s">
        <v>212</v>
      </c>
      <c r="E547" s="1">
        <v>20262.669999999998</v>
      </c>
      <c r="G547" s="1">
        <v>635940.44999999995</v>
      </c>
      <c r="H547" s="1">
        <v>115.12</v>
      </c>
    </row>
    <row r="548" spans="1:8">
      <c r="A548" s="9" t="s">
        <v>1150</v>
      </c>
      <c r="B548" s="9"/>
      <c r="C548" t="s">
        <v>468</v>
      </c>
      <c r="D548" s="5" t="s">
        <v>470</v>
      </c>
      <c r="E548" s="1">
        <v>3000</v>
      </c>
      <c r="F548" s="1">
        <v>773.54</v>
      </c>
      <c r="G548" s="1">
        <v>152167.32999999999</v>
      </c>
      <c r="H548" s="1">
        <v>264.12</v>
      </c>
    </row>
    <row r="549" spans="1:8">
      <c r="A549" s="9" t="s">
        <v>1150</v>
      </c>
      <c r="B549" s="9"/>
      <c r="C549" t="s">
        <v>451</v>
      </c>
      <c r="D549" s="5" t="s">
        <v>453</v>
      </c>
      <c r="E549" s="1">
        <v>2400.4</v>
      </c>
      <c r="F549" s="1">
        <v>1480</v>
      </c>
      <c r="G549" s="1">
        <v>62181.1</v>
      </c>
    </row>
    <row r="550" spans="1:8">
      <c r="A550" s="9" t="s">
        <v>1150</v>
      </c>
      <c r="B550" s="9"/>
      <c r="C550" t="s">
        <v>24</v>
      </c>
      <c r="D550" s="5" t="s">
        <v>26</v>
      </c>
      <c r="E550" s="1">
        <v>1057.54</v>
      </c>
      <c r="G550" s="1">
        <v>27311.9</v>
      </c>
      <c r="H550" s="1">
        <v>240.8</v>
      </c>
    </row>
    <row r="551" spans="1:8">
      <c r="A551" s="9" t="s">
        <v>1150</v>
      </c>
      <c r="B551" s="9"/>
      <c r="C551" t="s">
        <v>738</v>
      </c>
      <c r="D551" s="5" t="s">
        <v>740</v>
      </c>
      <c r="E551" s="1">
        <v>4998.38</v>
      </c>
      <c r="G551" s="1">
        <v>87332.479999999996</v>
      </c>
    </row>
    <row r="552" spans="1:8">
      <c r="A552" s="9" t="s">
        <v>1150</v>
      </c>
      <c r="B552" s="9"/>
      <c r="C552" t="s">
        <v>998</v>
      </c>
      <c r="D552" s="5" t="s">
        <v>1000</v>
      </c>
      <c r="G552" s="1">
        <v>26558.66</v>
      </c>
    </row>
    <row r="553" spans="1:8">
      <c r="A553" s="9" t="s">
        <v>1150</v>
      </c>
      <c r="B553" s="9"/>
      <c r="C553" t="s">
        <v>1010</v>
      </c>
      <c r="D553" s="5" t="s">
        <v>1012</v>
      </c>
      <c r="G553" s="1">
        <v>3195.16</v>
      </c>
    </row>
    <row r="554" spans="1:8">
      <c r="A554" s="9" t="s">
        <v>1150</v>
      </c>
      <c r="B554" s="9"/>
      <c r="C554" t="s">
        <v>1200</v>
      </c>
      <c r="D554" s="5" t="s">
        <v>1202</v>
      </c>
      <c r="G554" s="1">
        <v>32670</v>
      </c>
    </row>
    <row r="555" spans="1:8">
      <c r="A555" s="9" t="s">
        <v>1150</v>
      </c>
      <c r="B555" s="9"/>
      <c r="C555" t="s">
        <v>579</v>
      </c>
      <c r="D555" s="5" t="s">
        <v>581</v>
      </c>
      <c r="E555" s="1">
        <v>16871.93</v>
      </c>
      <c r="F555" s="1">
        <v>1990</v>
      </c>
      <c r="G555" s="1">
        <v>99883.54</v>
      </c>
    </row>
    <row r="556" spans="1:8">
      <c r="A556" s="9" t="s">
        <v>1150</v>
      </c>
      <c r="B556" s="9"/>
      <c r="C556" t="s">
        <v>1203</v>
      </c>
      <c r="D556" s="5" t="s">
        <v>1205</v>
      </c>
      <c r="E556" s="1">
        <v>4678</v>
      </c>
      <c r="G556" s="1">
        <v>8700</v>
      </c>
    </row>
    <row r="557" spans="1:8">
      <c r="A557" s="9" t="s">
        <v>1150</v>
      </c>
      <c r="B557" s="9"/>
      <c r="C557" t="s">
        <v>1031</v>
      </c>
      <c r="D557" s="5" t="s">
        <v>1033</v>
      </c>
      <c r="E557" s="1">
        <v>919</v>
      </c>
    </row>
    <row r="558" spans="1:8">
      <c r="A558" s="9" t="s">
        <v>1150</v>
      </c>
      <c r="B558" s="9"/>
      <c r="C558" t="s">
        <v>267</v>
      </c>
      <c r="D558" s="5" t="s">
        <v>269</v>
      </c>
      <c r="E558" s="1">
        <v>10382.9</v>
      </c>
      <c r="F558" s="1">
        <v>271.87</v>
      </c>
      <c r="G558" s="1">
        <v>26999.759999999998</v>
      </c>
      <c r="H558" s="1">
        <v>602.98</v>
      </c>
    </row>
    <row r="559" spans="1:8">
      <c r="A559" s="9" t="s">
        <v>1150</v>
      </c>
      <c r="B559" s="9"/>
      <c r="C559" t="s">
        <v>33</v>
      </c>
      <c r="D559" s="5" t="s">
        <v>35</v>
      </c>
      <c r="G559" s="1">
        <v>1680</v>
      </c>
      <c r="H559" s="1">
        <v>75.25</v>
      </c>
    </row>
    <row r="560" spans="1:8">
      <c r="A560" s="9" t="s">
        <v>1150</v>
      </c>
      <c r="B560" s="9"/>
      <c r="C560" t="s">
        <v>819</v>
      </c>
      <c r="D560" s="5" t="s">
        <v>821</v>
      </c>
      <c r="G560" s="1">
        <v>580</v>
      </c>
    </row>
    <row r="561" spans="1:9">
      <c r="A561" s="9" t="s">
        <v>1150</v>
      </c>
      <c r="B561" s="9"/>
      <c r="C561" t="s">
        <v>1206</v>
      </c>
      <c r="D561" s="5" t="s">
        <v>1208</v>
      </c>
      <c r="G561" s="1">
        <v>1142.05</v>
      </c>
    </row>
    <row r="562" spans="1:9">
      <c r="A562" s="9" t="s">
        <v>1150</v>
      </c>
      <c r="B562" s="9"/>
      <c r="C562" t="s">
        <v>657</v>
      </c>
      <c r="D562" s="5" t="s">
        <v>659</v>
      </c>
      <c r="E562" s="1">
        <v>36820.879999999997</v>
      </c>
      <c r="G562" s="1">
        <v>41872.910000000003</v>
      </c>
    </row>
    <row r="563" spans="1:9">
      <c r="A563" s="9" t="s">
        <v>1150</v>
      </c>
      <c r="B563" s="9"/>
      <c r="C563" t="s">
        <v>237</v>
      </c>
      <c r="D563" s="5" t="s">
        <v>239</v>
      </c>
      <c r="E563" s="1">
        <v>2091.84</v>
      </c>
      <c r="G563" s="1">
        <v>7894.1</v>
      </c>
    </row>
    <row r="564" spans="1:9">
      <c r="A564" s="9" t="s">
        <v>1150</v>
      </c>
      <c r="B564" s="9"/>
      <c r="C564" t="s">
        <v>630</v>
      </c>
      <c r="D564" s="5" t="s">
        <v>632</v>
      </c>
      <c r="E564" s="1">
        <v>13554.95</v>
      </c>
      <c r="G564" s="1">
        <v>11193.73</v>
      </c>
    </row>
    <row r="565" spans="1:9">
      <c r="A565" s="9" t="s">
        <v>1150</v>
      </c>
      <c r="B565" s="9"/>
      <c r="C565" t="s">
        <v>382</v>
      </c>
      <c r="D565" s="5" t="s">
        <v>384</v>
      </c>
      <c r="E565" s="1">
        <v>385.58</v>
      </c>
      <c r="G565" s="1">
        <v>7471.31</v>
      </c>
    </row>
    <row r="566" spans="1:9">
      <c r="A566" s="9" t="s">
        <v>1150</v>
      </c>
      <c r="B566" s="9"/>
      <c r="C566" t="s">
        <v>297</v>
      </c>
      <c r="D566" s="5" t="s">
        <v>299</v>
      </c>
      <c r="E566" s="1">
        <v>12230</v>
      </c>
      <c r="G566" s="1">
        <v>189299.47</v>
      </c>
      <c r="H566" s="1">
        <v>2703.84</v>
      </c>
    </row>
    <row r="567" spans="1:9">
      <c r="A567" s="9" t="s">
        <v>1150</v>
      </c>
      <c r="B567" s="9"/>
      <c r="C567" t="s">
        <v>624</v>
      </c>
      <c r="D567" s="5" t="s">
        <v>626</v>
      </c>
      <c r="E567" s="1">
        <v>3585</v>
      </c>
      <c r="G567" s="1">
        <v>24777.95</v>
      </c>
      <c r="H567" s="1">
        <v>572.26</v>
      </c>
    </row>
    <row r="568" spans="1:9">
      <c r="A568" s="9" t="s">
        <v>1150</v>
      </c>
      <c r="B568" s="9"/>
      <c r="C568" t="s">
        <v>225</v>
      </c>
      <c r="D568" s="5" t="s">
        <v>227</v>
      </c>
      <c r="E568" s="1">
        <v>6422.07</v>
      </c>
      <c r="H568" s="1">
        <v>1746.25</v>
      </c>
      <c r="I568" s="1">
        <v>633.01</v>
      </c>
    </row>
    <row r="569" spans="1:9">
      <c r="A569" s="9" t="s">
        <v>1150</v>
      </c>
      <c r="B569" s="9"/>
      <c r="C569" t="s">
        <v>1209</v>
      </c>
      <c r="D569" s="5" t="s">
        <v>1211</v>
      </c>
      <c r="H569" s="1">
        <v>15.98</v>
      </c>
    </row>
    <row r="570" spans="1:9">
      <c r="A570" s="9" t="s">
        <v>1150</v>
      </c>
      <c r="B570" s="9"/>
      <c r="C570" t="s">
        <v>273</v>
      </c>
      <c r="D570" s="5" t="s">
        <v>275</v>
      </c>
      <c r="E570" s="1">
        <v>13426.61</v>
      </c>
      <c r="H570" s="1">
        <v>1832.48</v>
      </c>
    </row>
    <row r="571" spans="1:9">
      <c r="A571" s="9" t="s">
        <v>1150</v>
      </c>
      <c r="B571" s="9"/>
      <c r="C571" t="s">
        <v>421</v>
      </c>
      <c r="D571" s="5" t="s">
        <v>423</v>
      </c>
      <c r="F571" s="1">
        <v>322.2</v>
      </c>
      <c r="H571" s="1">
        <v>75.099999999999994</v>
      </c>
    </row>
    <row r="572" spans="1:9">
      <c r="A572" s="9" t="s">
        <v>1150</v>
      </c>
      <c r="B572" s="9"/>
      <c r="C572" t="s">
        <v>1212</v>
      </c>
      <c r="D572" s="5" t="s">
        <v>1214</v>
      </c>
      <c r="F572" s="1">
        <v>438.96</v>
      </c>
      <c r="H572" s="1">
        <v>39.299999999999997</v>
      </c>
    </row>
    <row r="573" spans="1:9">
      <c r="A573" s="9" t="s">
        <v>1150</v>
      </c>
      <c r="B573" s="9"/>
      <c r="C573" t="s">
        <v>1064</v>
      </c>
      <c r="D573" s="5" t="s">
        <v>1066</v>
      </c>
      <c r="H573" s="1">
        <v>697.3</v>
      </c>
      <c r="I573" s="1">
        <v>206.5</v>
      </c>
    </row>
    <row r="574" spans="1:9">
      <c r="A574" s="9" t="s">
        <v>1150</v>
      </c>
      <c r="B574" s="9"/>
      <c r="C574" t="s">
        <v>42</v>
      </c>
      <c r="D574" s="5" t="s">
        <v>44</v>
      </c>
      <c r="E574" s="1">
        <v>4773.16</v>
      </c>
      <c r="G574" s="1">
        <v>8580.5300000000007</v>
      </c>
    </row>
    <row r="575" spans="1:9">
      <c r="A575" s="9" t="s">
        <v>1150</v>
      </c>
      <c r="B575" s="9"/>
      <c r="C575" t="s">
        <v>1215</v>
      </c>
      <c r="D575" s="5" t="s">
        <v>1217</v>
      </c>
      <c r="E575" s="1">
        <v>3200</v>
      </c>
    </row>
    <row r="576" spans="1:9">
      <c r="A576" s="9" t="s">
        <v>1150</v>
      </c>
      <c r="B576" s="9"/>
      <c r="C576" t="s">
        <v>1218</v>
      </c>
      <c r="D576" s="5" t="s">
        <v>323</v>
      </c>
      <c r="E576" s="1">
        <v>4944.41</v>
      </c>
    </row>
    <row r="577" spans="1:8">
      <c r="A577" s="9" t="s">
        <v>1150</v>
      </c>
      <c r="B577" s="9"/>
      <c r="C577" t="s">
        <v>400</v>
      </c>
      <c r="D577" s="5" t="s">
        <v>402</v>
      </c>
      <c r="E577" s="1">
        <v>10246.94</v>
      </c>
      <c r="G577" s="1">
        <v>56144</v>
      </c>
    </row>
    <row r="578" spans="1:8">
      <c r="A578" s="9" t="s">
        <v>1150</v>
      </c>
      <c r="B578" s="9"/>
      <c r="C578" t="s">
        <v>159</v>
      </c>
      <c r="D578" s="5" t="s">
        <v>161</v>
      </c>
      <c r="E578" s="1">
        <v>1915.69</v>
      </c>
      <c r="G578" s="1">
        <v>37259.51</v>
      </c>
    </row>
    <row r="579" spans="1:8">
      <c r="A579" s="9" t="s">
        <v>1150</v>
      </c>
      <c r="B579" s="9"/>
      <c r="C579" t="s">
        <v>291</v>
      </c>
      <c r="D579" s="5" t="s">
        <v>293</v>
      </c>
      <c r="E579" s="1">
        <v>13625.93</v>
      </c>
      <c r="G579" s="1">
        <v>38298.58</v>
      </c>
    </row>
    <row r="580" spans="1:8">
      <c r="A580" s="9" t="s">
        <v>1150</v>
      </c>
      <c r="B580" s="9"/>
      <c r="C580" t="s">
        <v>1220</v>
      </c>
      <c r="D580" s="5" t="s">
        <v>1222</v>
      </c>
      <c r="E580" s="1">
        <v>19.690000000000001</v>
      </c>
    </row>
    <row r="581" spans="1:8">
      <c r="A581" s="9" t="s">
        <v>1150</v>
      </c>
      <c r="B581" s="9"/>
      <c r="C581" t="s">
        <v>18</v>
      </c>
      <c r="D581" s="5" t="s">
        <v>20</v>
      </c>
      <c r="E581" s="1">
        <v>2326.5</v>
      </c>
      <c r="G581" s="1">
        <v>4233.99</v>
      </c>
    </row>
    <row r="582" spans="1:8">
      <c r="A582" s="9" t="s">
        <v>1150</v>
      </c>
      <c r="B582" s="9"/>
      <c r="C582" t="s">
        <v>445</v>
      </c>
      <c r="D582" s="5" t="s">
        <v>447</v>
      </c>
      <c r="E582" s="1">
        <v>2987.12</v>
      </c>
      <c r="G582" s="1">
        <v>80445.600000000006</v>
      </c>
      <c r="H582" s="1">
        <v>220.1</v>
      </c>
    </row>
    <row r="583" spans="1:8">
      <c r="A583" s="9" t="s">
        <v>1150</v>
      </c>
      <c r="B583" s="9"/>
      <c r="C583" t="s">
        <v>1223</v>
      </c>
      <c r="D583" s="5" t="s">
        <v>1225</v>
      </c>
      <c r="E583" s="1">
        <v>1070</v>
      </c>
    </row>
    <row r="584" spans="1:8">
      <c r="A584" s="9" t="s">
        <v>1150</v>
      </c>
      <c r="B584" s="9"/>
      <c r="C584" t="s">
        <v>1226</v>
      </c>
      <c r="D584" s="5" t="s">
        <v>1228</v>
      </c>
      <c r="E584" s="1">
        <v>19.690000000000001</v>
      </c>
    </row>
    <row r="585" spans="1:8">
      <c r="A585" s="9" t="s">
        <v>1150</v>
      </c>
      <c r="B585" s="9"/>
      <c r="C585" t="s">
        <v>1229</v>
      </c>
      <c r="D585" s="5" t="s">
        <v>1231</v>
      </c>
      <c r="E585" s="1">
        <v>12182.2</v>
      </c>
    </row>
    <row r="586" spans="1:8">
      <c r="A586" s="9" t="s">
        <v>1150</v>
      </c>
      <c r="B586" s="9"/>
      <c r="C586" t="s">
        <v>72</v>
      </c>
      <c r="D586" s="5" t="s">
        <v>74</v>
      </c>
      <c r="E586" s="1">
        <v>3871.86</v>
      </c>
      <c r="G586" s="1">
        <v>21972.45</v>
      </c>
    </row>
    <row r="587" spans="1:8">
      <c r="A587" s="9" t="s">
        <v>1150</v>
      </c>
      <c r="B587" s="9"/>
      <c r="C587" t="s">
        <v>430</v>
      </c>
      <c r="D587" s="5" t="s">
        <v>432</v>
      </c>
      <c r="E587" s="1">
        <v>5365.05</v>
      </c>
    </row>
    <row r="588" spans="1:8">
      <c r="A588" s="9" t="s">
        <v>1150</v>
      </c>
      <c r="B588" s="9"/>
      <c r="C588" t="s">
        <v>132</v>
      </c>
      <c r="D588" s="5" t="s">
        <v>134</v>
      </c>
      <c r="E588" s="1">
        <v>10319.200000000001</v>
      </c>
      <c r="H588" s="1">
        <v>602</v>
      </c>
    </row>
    <row r="589" spans="1:8">
      <c r="A589" s="9" t="s">
        <v>1150</v>
      </c>
      <c r="B589" s="9"/>
      <c r="C589" t="s">
        <v>459</v>
      </c>
      <c r="D589" s="5" t="s">
        <v>461</v>
      </c>
      <c r="E589" s="1">
        <v>17412.41</v>
      </c>
      <c r="G589" s="1">
        <v>65262.23</v>
      </c>
    </row>
    <row r="590" spans="1:8">
      <c r="A590" s="9" t="s">
        <v>1150</v>
      </c>
      <c r="B590" s="9"/>
      <c r="C590" t="s">
        <v>887</v>
      </c>
      <c r="D590" s="5" t="s">
        <v>889</v>
      </c>
      <c r="G590" s="1">
        <v>611.4</v>
      </c>
    </row>
    <row r="591" spans="1:8">
      <c r="A591" s="9" t="s">
        <v>1150</v>
      </c>
      <c r="B591" s="9"/>
      <c r="C591" t="s">
        <v>1232</v>
      </c>
      <c r="D591" s="5" t="s">
        <v>1234</v>
      </c>
      <c r="G591" s="1">
        <v>1429.84</v>
      </c>
    </row>
    <row r="592" spans="1:8">
      <c r="A592" s="9" t="s">
        <v>1150</v>
      </c>
      <c r="B592" s="9"/>
      <c r="C592" t="s">
        <v>63</v>
      </c>
      <c r="D592" s="5" t="s">
        <v>65</v>
      </c>
      <c r="E592" s="1">
        <v>30729.81</v>
      </c>
      <c r="G592" s="1">
        <v>117409.4</v>
      </c>
    </row>
    <row r="593" spans="1:8">
      <c r="A593" s="9" t="s">
        <v>1150</v>
      </c>
      <c r="B593" s="9"/>
      <c r="C593" t="s">
        <v>510</v>
      </c>
      <c r="D593" s="5" t="s">
        <v>512</v>
      </c>
      <c r="E593" s="1">
        <v>26293.24</v>
      </c>
      <c r="F593" s="1">
        <v>678.5</v>
      </c>
      <c r="G593" s="1">
        <v>57522.46</v>
      </c>
    </row>
    <row r="594" spans="1:8">
      <c r="A594" s="9" t="s">
        <v>1150</v>
      </c>
      <c r="B594" s="9"/>
      <c r="C594" t="s">
        <v>522</v>
      </c>
      <c r="D594" s="5" t="s">
        <v>524</v>
      </c>
      <c r="E594" s="1">
        <v>6470.17</v>
      </c>
      <c r="G594" s="1">
        <v>8117.96</v>
      </c>
      <c r="H594" s="1">
        <v>19.98</v>
      </c>
    </row>
    <row r="595" spans="1:8">
      <c r="A595" s="9" t="s">
        <v>1150</v>
      </c>
      <c r="B595" s="9"/>
      <c r="C595" t="s">
        <v>174</v>
      </c>
      <c r="D595" s="5" t="s">
        <v>176</v>
      </c>
      <c r="E595" s="1">
        <v>8617.89</v>
      </c>
      <c r="G595" s="1">
        <v>14924.62</v>
      </c>
    </row>
    <row r="596" spans="1:8">
      <c r="A596" s="9" t="s">
        <v>1150</v>
      </c>
      <c r="B596" s="9"/>
      <c r="C596" t="s">
        <v>1235</v>
      </c>
      <c r="D596" s="5" t="s">
        <v>1237</v>
      </c>
      <c r="G596" s="1">
        <v>932.36</v>
      </c>
    </row>
    <row r="597" spans="1:8">
      <c r="A597" s="9" t="s">
        <v>1150</v>
      </c>
      <c r="B597" s="9"/>
      <c r="C597" t="s">
        <v>48</v>
      </c>
      <c r="D597" s="5" t="s">
        <v>50</v>
      </c>
      <c r="E597" s="1">
        <v>4983.8599999999997</v>
      </c>
      <c r="G597" s="1">
        <v>10805.63</v>
      </c>
    </row>
    <row r="598" spans="1:8">
      <c r="A598" s="9" t="s">
        <v>1150</v>
      </c>
      <c r="B598" s="9"/>
      <c r="C598" t="s">
        <v>84</v>
      </c>
      <c r="D598" s="5" t="s">
        <v>86</v>
      </c>
      <c r="E598" s="1">
        <v>7577.99</v>
      </c>
      <c r="G598" s="1">
        <v>10374</v>
      </c>
    </row>
    <row r="599" spans="1:8">
      <c r="A599" s="9" t="s">
        <v>1150</v>
      </c>
      <c r="B599" s="9"/>
      <c r="C599" t="s">
        <v>303</v>
      </c>
      <c r="D599" s="5" t="s">
        <v>305</v>
      </c>
      <c r="E599" s="1">
        <v>9898.4599999999991</v>
      </c>
      <c r="G599" s="1">
        <v>5086.5</v>
      </c>
    </row>
    <row r="600" spans="1:8">
      <c r="A600" s="9" t="s">
        <v>1150</v>
      </c>
      <c r="B600" s="9"/>
      <c r="C600" t="s">
        <v>195</v>
      </c>
      <c r="D600" s="5" t="s">
        <v>197</v>
      </c>
      <c r="E600" s="1">
        <v>6771.67</v>
      </c>
      <c r="G600" s="1">
        <v>37887.99</v>
      </c>
    </row>
    <row r="601" spans="1:8">
      <c r="A601" s="9" t="s">
        <v>1150</v>
      </c>
      <c r="B601" s="9"/>
      <c r="C601" t="s">
        <v>1238</v>
      </c>
      <c r="D601" s="5" t="s">
        <v>1240</v>
      </c>
      <c r="G601" s="1">
        <v>-1319.51</v>
      </c>
    </row>
    <row r="602" spans="1:8">
      <c r="A602" s="9" t="s">
        <v>1150</v>
      </c>
      <c r="B602" s="9"/>
      <c r="C602" t="s">
        <v>1241</v>
      </c>
      <c r="D602" s="5" t="s">
        <v>1243</v>
      </c>
      <c r="G602" s="1">
        <v>2389.29</v>
      </c>
    </row>
    <row r="603" spans="1:8">
      <c r="A603" s="9" t="s">
        <v>1150</v>
      </c>
      <c r="B603" s="9"/>
      <c r="C603" t="s">
        <v>309</v>
      </c>
      <c r="D603" s="5" t="s">
        <v>311</v>
      </c>
      <c r="E603" s="1">
        <v>1986.33</v>
      </c>
      <c r="F603" s="1">
        <v>62.01</v>
      </c>
      <c r="G603" s="1">
        <v>3863.17</v>
      </c>
    </row>
    <row r="604" spans="1:8">
      <c r="A604" s="9" t="s">
        <v>1150</v>
      </c>
      <c r="B604" s="9"/>
      <c r="C604" t="s">
        <v>711</v>
      </c>
      <c r="D604" s="5" t="s">
        <v>713</v>
      </c>
      <c r="F604" s="1">
        <v>384.54</v>
      </c>
    </row>
    <row r="605" spans="1:8">
      <c r="A605" s="9" t="s">
        <v>1150</v>
      </c>
      <c r="B605" s="9"/>
      <c r="C605" t="s">
        <v>1244</v>
      </c>
      <c r="D605" s="5" t="s">
        <v>1246</v>
      </c>
      <c r="H605" s="1">
        <v>20.805</v>
      </c>
    </row>
    <row r="606" spans="1:8">
      <c r="A606" s="9" t="s">
        <v>1150</v>
      </c>
      <c r="B606" s="9"/>
      <c r="C606" t="s">
        <v>717</v>
      </c>
      <c r="D606" s="5" t="s">
        <v>719</v>
      </c>
      <c r="H606" s="1">
        <v>211.92</v>
      </c>
    </row>
    <row r="607" spans="1:8">
      <c r="A607" s="9" t="s">
        <v>1150</v>
      </c>
      <c r="B607" s="9"/>
      <c r="C607" t="s">
        <v>409</v>
      </c>
      <c r="D607" s="5" t="s">
        <v>411</v>
      </c>
      <c r="E607" s="1">
        <v>4615.67</v>
      </c>
      <c r="G607" s="1">
        <v>19995.96</v>
      </c>
      <c r="H607" s="1">
        <v>44.02</v>
      </c>
    </row>
    <row r="608" spans="1:8">
      <c r="A608" s="9" t="s">
        <v>1150</v>
      </c>
      <c r="B608" s="9"/>
      <c r="C608" t="s">
        <v>786</v>
      </c>
      <c r="D608" s="5" t="s">
        <v>788</v>
      </c>
      <c r="E608" s="1">
        <v>2300</v>
      </c>
      <c r="G608" s="1">
        <v>113638.32</v>
      </c>
      <c r="H608" s="1">
        <v>905.375</v>
      </c>
    </row>
    <row r="609" spans="1:9">
      <c r="A609" s="9" t="s">
        <v>1150</v>
      </c>
      <c r="B609" s="9"/>
      <c r="C609" t="s">
        <v>483</v>
      </c>
      <c r="D609" s="5" t="s">
        <v>485</v>
      </c>
      <c r="E609" s="1">
        <v>1954.67</v>
      </c>
      <c r="G609" s="1">
        <v>5077.67</v>
      </c>
      <c r="H609" s="1">
        <v>592.55999999999995</v>
      </c>
    </row>
    <row r="610" spans="1:9">
      <c r="A610" s="9" t="s">
        <v>1150</v>
      </c>
      <c r="B610" s="9"/>
      <c r="C610" t="s">
        <v>442</v>
      </c>
      <c r="D610" s="5" t="s">
        <v>444</v>
      </c>
      <c r="E610" s="1">
        <v>683.03</v>
      </c>
      <c r="H610" s="1">
        <v>5588.38</v>
      </c>
    </row>
    <row r="611" spans="1:9">
      <c r="A611" s="9" t="s">
        <v>1150</v>
      </c>
      <c r="B611" s="9"/>
      <c r="C611" t="s">
        <v>480</v>
      </c>
      <c r="D611" s="5" t="s">
        <v>482</v>
      </c>
      <c r="E611" s="1">
        <v>42380.959999999999</v>
      </c>
      <c r="F611" s="1">
        <v>10.84</v>
      </c>
      <c r="H611" s="1">
        <v>565.04999999999995</v>
      </c>
    </row>
    <row r="612" spans="1:9">
      <c r="A612" s="9" t="s">
        <v>1150</v>
      </c>
      <c r="B612" s="9"/>
      <c r="C612" t="s">
        <v>588</v>
      </c>
      <c r="D612" s="5" t="s">
        <v>590</v>
      </c>
      <c r="E612" s="1">
        <v>1845.58</v>
      </c>
      <c r="H612" s="1">
        <v>548.84</v>
      </c>
    </row>
    <row r="613" spans="1:9">
      <c r="A613" s="9" t="s">
        <v>1150</v>
      </c>
      <c r="B613" s="9"/>
      <c r="C613" t="s">
        <v>489</v>
      </c>
      <c r="D613" s="5" t="s">
        <v>491</v>
      </c>
      <c r="E613" s="1">
        <v>30485.040000000001</v>
      </c>
      <c r="H613" s="1">
        <v>177.89</v>
      </c>
    </row>
    <row r="614" spans="1:9">
      <c r="A614" s="9" t="s">
        <v>1150</v>
      </c>
      <c r="B614" s="9"/>
      <c r="C614" t="s">
        <v>495</v>
      </c>
      <c r="D614" s="5" t="s">
        <v>497</v>
      </c>
      <c r="E614" s="1">
        <v>1728.71</v>
      </c>
      <c r="H614" s="1">
        <v>418.76</v>
      </c>
    </row>
    <row r="615" spans="1:9">
      <c r="A615" s="9" t="s">
        <v>1150</v>
      </c>
      <c r="B615" s="9"/>
      <c r="C615" t="s">
        <v>474</v>
      </c>
      <c r="D615" s="5" t="s">
        <v>476</v>
      </c>
      <c r="E615" s="1">
        <v>3226.16</v>
      </c>
      <c r="H615" s="1">
        <v>361.2</v>
      </c>
    </row>
    <row r="616" spans="1:9">
      <c r="A616" s="9" t="s">
        <v>1150</v>
      </c>
      <c r="B616" s="9"/>
      <c r="C616" t="s">
        <v>753</v>
      </c>
      <c r="D616" s="5" t="s">
        <v>755</v>
      </c>
      <c r="E616" s="1">
        <v>49819.91</v>
      </c>
      <c r="H616" s="1">
        <v>1191.8800000000001</v>
      </c>
    </row>
    <row r="617" spans="1:9">
      <c r="A617" s="9" t="s">
        <v>1150</v>
      </c>
      <c r="B617" s="9"/>
      <c r="C617" t="s">
        <v>436</v>
      </c>
      <c r="D617" s="5" t="s">
        <v>438</v>
      </c>
      <c r="E617" s="1">
        <v>18233.509999999998</v>
      </c>
      <c r="H617" s="1">
        <v>586.86</v>
      </c>
    </row>
    <row r="618" spans="1:9">
      <c r="A618" s="9" t="s">
        <v>1150</v>
      </c>
      <c r="B618" s="9"/>
      <c r="C618" t="s">
        <v>848</v>
      </c>
      <c r="D618" s="5" t="s">
        <v>850</v>
      </c>
      <c r="H618" s="1">
        <v>894.32500000000005</v>
      </c>
      <c r="I618" s="1">
        <v>629.14</v>
      </c>
    </row>
    <row r="619" spans="1:9">
      <c r="A619" s="9" t="s">
        <v>1150</v>
      </c>
      <c r="B619" s="9"/>
      <c r="C619" t="s">
        <v>1247</v>
      </c>
      <c r="D619" s="5" t="s">
        <v>1249</v>
      </c>
      <c r="F619" s="1">
        <v>649.59</v>
      </c>
      <c r="H619" s="1">
        <v>91.064999999999998</v>
      </c>
      <c r="I619" s="1">
        <v>92.07</v>
      </c>
    </row>
    <row r="620" spans="1:9">
      <c r="A620" s="9" t="s">
        <v>1150</v>
      </c>
      <c r="B620" s="9"/>
      <c r="C620" t="s">
        <v>513</v>
      </c>
      <c r="D620" s="5" t="s">
        <v>515</v>
      </c>
      <c r="E620" s="1">
        <v>10143.19</v>
      </c>
      <c r="G620" s="1">
        <v>29847.49</v>
      </c>
    </row>
    <row r="621" spans="1:9">
      <c r="A621" s="9" t="s">
        <v>1150</v>
      </c>
      <c r="B621" s="9"/>
      <c r="C621" t="s">
        <v>528</v>
      </c>
      <c r="D621" s="5" t="s">
        <v>530</v>
      </c>
      <c r="E621" s="1">
        <v>22758.58</v>
      </c>
      <c r="G621" s="1">
        <v>31830.27</v>
      </c>
    </row>
    <row r="622" spans="1:9">
      <c r="A622" s="9" t="s">
        <v>1150</v>
      </c>
      <c r="B622" s="9"/>
      <c r="C622" t="s">
        <v>222</v>
      </c>
      <c r="D622" s="5" t="s">
        <v>224</v>
      </c>
      <c r="E622" s="1">
        <v>494</v>
      </c>
    </row>
    <row r="623" spans="1:9">
      <c r="A623" s="9" t="s">
        <v>1150</v>
      </c>
      <c r="B623" s="9"/>
      <c r="C623" t="s">
        <v>231</v>
      </c>
      <c r="D623" s="5" t="s">
        <v>233</v>
      </c>
      <c r="E623" s="1">
        <v>8635.08</v>
      </c>
      <c r="G623" s="1">
        <v>49687.5</v>
      </c>
    </row>
    <row r="624" spans="1:9">
      <c r="A624" s="9" t="s">
        <v>1150</v>
      </c>
      <c r="B624" s="9"/>
      <c r="C624" t="s">
        <v>1250</v>
      </c>
      <c r="D624" s="5" t="s">
        <v>1252</v>
      </c>
      <c r="E624" s="1">
        <v>5365.69</v>
      </c>
      <c r="G624" s="1">
        <v>30000</v>
      </c>
    </row>
    <row r="625" spans="1:7">
      <c r="A625" s="9" t="s">
        <v>1150</v>
      </c>
      <c r="B625" s="9"/>
      <c r="C625" t="s">
        <v>654</v>
      </c>
      <c r="D625" s="5" t="s">
        <v>656</v>
      </c>
      <c r="E625" s="1">
        <v>7564.75</v>
      </c>
      <c r="G625" s="1">
        <v>11120.69</v>
      </c>
    </row>
    <row r="626" spans="1:7">
      <c r="A626" s="9" t="s">
        <v>1150</v>
      </c>
      <c r="B626" s="9"/>
      <c r="C626" t="s">
        <v>696</v>
      </c>
      <c r="D626" s="5" t="s">
        <v>698</v>
      </c>
      <c r="E626" s="1">
        <v>12435.24</v>
      </c>
      <c r="G626" s="1">
        <v>36099.699999999997</v>
      </c>
    </row>
    <row r="627" spans="1:7">
      <c r="A627" s="9" t="s">
        <v>1150</v>
      </c>
      <c r="B627" s="9"/>
      <c r="C627" t="s">
        <v>729</v>
      </c>
      <c r="D627" s="5" t="s">
        <v>731</v>
      </c>
      <c r="E627" s="1">
        <v>3226.59</v>
      </c>
      <c r="G627" s="1">
        <v>11851.5</v>
      </c>
    </row>
    <row r="628" spans="1:7">
      <c r="A628" s="9" t="s">
        <v>1150</v>
      </c>
      <c r="B628" s="9"/>
      <c r="C628" t="s">
        <v>90</v>
      </c>
      <c r="D628" s="5" t="s">
        <v>92</v>
      </c>
      <c r="E628" s="1">
        <v>308.24</v>
      </c>
    </row>
    <row r="629" spans="1:7">
      <c r="A629" s="9" t="s">
        <v>1150</v>
      </c>
      <c r="B629" s="9"/>
      <c r="C629" t="s">
        <v>54</v>
      </c>
      <c r="D629" s="5" t="s">
        <v>56</v>
      </c>
      <c r="E629" s="1">
        <v>9380.3700000000008</v>
      </c>
      <c r="G629" s="1">
        <v>25289.66</v>
      </c>
    </row>
    <row r="630" spans="1:7">
      <c r="A630" s="9" t="s">
        <v>1150</v>
      </c>
      <c r="B630" s="9"/>
      <c r="C630" t="s">
        <v>120</v>
      </c>
      <c r="D630" s="5" t="s">
        <v>122</v>
      </c>
      <c r="E630" s="1">
        <v>38865.46</v>
      </c>
      <c r="G630" s="1">
        <v>5701.58</v>
      </c>
    </row>
    <row r="631" spans="1:7">
      <c r="A631" s="9" t="s">
        <v>1150</v>
      </c>
      <c r="B631" s="9"/>
      <c r="C631" t="s">
        <v>403</v>
      </c>
      <c r="D631" s="5" t="s">
        <v>405</v>
      </c>
      <c r="E631" s="1">
        <v>2856</v>
      </c>
      <c r="G631" s="1">
        <v>37873.57</v>
      </c>
    </row>
    <row r="632" spans="1:7">
      <c r="A632" s="9" t="s">
        <v>1150</v>
      </c>
      <c r="B632" s="9"/>
      <c r="C632" t="s">
        <v>264</v>
      </c>
      <c r="D632" s="5" t="s">
        <v>266</v>
      </c>
      <c r="E632" s="1">
        <v>5867.24</v>
      </c>
      <c r="G632" s="1">
        <v>8103.62</v>
      </c>
    </row>
    <row r="633" spans="1:7">
      <c r="A633" s="9" t="s">
        <v>1150</v>
      </c>
      <c r="B633" s="9"/>
      <c r="C633" t="s">
        <v>558</v>
      </c>
      <c r="D633" s="5" t="s">
        <v>560</v>
      </c>
      <c r="E633" s="1">
        <v>4957</v>
      </c>
      <c r="G633" s="1">
        <v>9608.33</v>
      </c>
    </row>
    <row r="634" spans="1:7">
      <c r="A634" s="9" t="s">
        <v>1150</v>
      </c>
      <c r="B634" s="9"/>
      <c r="C634" t="s">
        <v>1253</v>
      </c>
      <c r="D634" s="5" t="s">
        <v>1255</v>
      </c>
      <c r="G634" s="1">
        <v>232.17</v>
      </c>
    </row>
    <row r="635" spans="1:7">
      <c r="A635" s="9" t="s">
        <v>1150</v>
      </c>
      <c r="B635" s="9"/>
      <c r="C635" t="s">
        <v>1256</v>
      </c>
      <c r="D635" s="5" t="s">
        <v>1258</v>
      </c>
      <c r="G635" s="1">
        <v>454.59</v>
      </c>
    </row>
    <row r="636" spans="1:7">
      <c r="A636" s="9" t="s">
        <v>1150</v>
      </c>
      <c r="B636" s="9"/>
      <c r="C636" t="s">
        <v>321</v>
      </c>
      <c r="D636" s="5" t="s">
        <v>323</v>
      </c>
      <c r="G636" s="1">
        <v>40666.6</v>
      </c>
    </row>
    <row r="637" spans="1:7">
      <c r="A637" s="9" t="s">
        <v>1150</v>
      </c>
      <c r="B637" s="9"/>
      <c r="C637" t="s">
        <v>60</v>
      </c>
      <c r="D637" s="5" t="s">
        <v>62</v>
      </c>
      <c r="E637" s="1">
        <v>10135.030000000001</v>
      </c>
      <c r="G637" s="1">
        <v>668736.82999999996</v>
      </c>
    </row>
    <row r="638" spans="1:7">
      <c r="A638" s="9" t="s">
        <v>1150</v>
      </c>
      <c r="B638" s="9"/>
      <c r="C638" t="s">
        <v>866</v>
      </c>
      <c r="D638" s="5" t="s">
        <v>868</v>
      </c>
      <c r="G638" s="1">
        <v>37628.04</v>
      </c>
    </row>
    <row r="639" spans="1:7">
      <c r="A639" s="9" t="s">
        <v>1150</v>
      </c>
      <c r="B639" s="9"/>
      <c r="C639" t="s">
        <v>783</v>
      </c>
      <c r="D639" s="5" t="s">
        <v>785</v>
      </c>
      <c r="E639" s="1">
        <v>529</v>
      </c>
      <c r="G639" s="1">
        <v>24760.560000000001</v>
      </c>
    </row>
    <row r="640" spans="1:7">
      <c r="A640" s="9" t="s">
        <v>1150</v>
      </c>
      <c r="B640" s="9"/>
      <c r="C640" t="s">
        <v>1259</v>
      </c>
      <c r="D640" s="5" t="s">
        <v>1261</v>
      </c>
      <c r="E640" s="1">
        <v>10651.27</v>
      </c>
    </row>
    <row r="641" spans="1:8">
      <c r="A641" s="9" t="s">
        <v>1150</v>
      </c>
      <c r="B641" s="9"/>
      <c r="C641" t="s">
        <v>537</v>
      </c>
      <c r="D641" s="5" t="s">
        <v>539</v>
      </c>
      <c r="E641" s="1">
        <v>2270.16</v>
      </c>
      <c r="G641" s="1">
        <v>40959.24</v>
      </c>
    </row>
    <row r="642" spans="1:8">
      <c r="A642" s="9" t="s">
        <v>1150</v>
      </c>
      <c r="B642" s="9"/>
      <c r="C642" t="s">
        <v>171</v>
      </c>
      <c r="D642" s="5" t="s">
        <v>173</v>
      </c>
      <c r="E642" s="1">
        <v>4926.42</v>
      </c>
      <c r="F642" s="1">
        <v>304.8</v>
      </c>
      <c r="G642" s="1">
        <v>16156.88</v>
      </c>
    </row>
    <row r="643" spans="1:8">
      <c r="A643" s="9" t="s">
        <v>1150</v>
      </c>
      <c r="B643" s="9"/>
      <c r="C643" t="s">
        <v>379</v>
      </c>
      <c r="D643" s="5" t="s">
        <v>381</v>
      </c>
      <c r="E643" s="1">
        <v>2260</v>
      </c>
      <c r="G643" s="1">
        <v>5046.32</v>
      </c>
    </row>
    <row r="644" spans="1:8">
      <c r="A644" s="9" t="s">
        <v>1150</v>
      </c>
      <c r="B644" s="9"/>
      <c r="C644" t="s">
        <v>609</v>
      </c>
      <c r="D644" s="5" t="s">
        <v>611</v>
      </c>
      <c r="E644" s="1">
        <v>2958.45</v>
      </c>
      <c r="G644" s="1">
        <v>6700.65</v>
      </c>
    </row>
    <row r="645" spans="1:8">
      <c r="A645" s="9" t="s">
        <v>1150</v>
      </c>
      <c r="B645" s="9"/>
      <c r="C645" t="s">
        <v>1262</v>
      </c>
      <c r="D645" s="5" t="s">
        <v>1264</v>
      </c>
      <c r="G645" s="1">
        <v>1050.71</v>
      </c>
    </row>
    <row r="646" spans="1:8">
      <c r="A646" s="9" t="s">
        <v>1150</v>
      </c>
      <c r="B646" s="9"/>
      <c r="C646" t="s">
        <v>1265</v>
      </c>
      <c r="D646" s="5" t="s">
        <v>1267</v>
      </c>
      <c r="F646" s="1">
        <v>132.36000000000001</v>
      </c>
    </row>
    <row r="647" spans="1:8">
      <c r="A647" s="9" t="s">
        <v>1150</v>
      </c>
      <c r="B647" s="9"/>
      <c r="C647" t="s">
        <v>219</v>
      </c>
      <c r="D647" s="5" t="s">
        <v>221</v>
      </c>
      <c r="F647" s="1">
        <v>184.12</v>
      </c>
    </row>
    <row r="648" spans="1:8">
      <c r="A648" s="9" t="s">
        <v>1150</v>
      </c>
      <c r="B648" s="9"/>
      <c r="C648" t="s">
        <v>591</v>
      </c>
      <c r="D648" s="5" t="s">
        <v>593</v>
      </c>
      <c r="F648" s="1">
        <v>98.02</v>
      </c>
      <c r="H648" s="1">
        <v>450.6</v>
      </c>
    </row>
    <row r="649" spans="1:8">
      <c r="A649" s="9" t="s">
        <v>1150</v>
      </c>
      <c r="B649" s="9"/>
      <c r="C649" t="s">
        <v>156</v>
      </c>
      <c r="D649" s="5" t="s">
        <v>158</v>
      </c>
      <c r="E649" s="1">
        <v>3282.99</v>
      </c>
      <c r="F649" s="1">
        <v>1065.69</v>
      </c>
      <c r="G649" s="1">
        <v>48566.47</v>
      </c>
      <c r="H649" s="1">
        <v>60.2</v>
      </c>
    </row>
    <row r="650" spans="1:8">
      <c r="A650" s="9" t="s">
        <v>1150</v>
      </c>
      <c r="B650" s="9"/>
      <c r="C650" t="s">
        <v>1268</v>
      </c>
      <c r="D650" s="5" t="s">
        <v>1270</v>
      </c>
      <c r="H650" s="1">
        <v>847.68</v>
      </c>
    </row>
    <row r="651" spans="1:8">
      <c r="A651" s="9" t="s">
        <v>1150</v>
      </c>
      <c r="B651" s="9"/>
      <c r="C651" t="s">
        <v>1271</v>
      </c>
      <c r="D651" s="5" t="s">
        <v>1273</v>
      </c>
      <c r="H651" s="1">
        <v>240.96</v>
      </c>
    </row>
    <row r="652" spans="1:8">
      <c r="A652" s="9" t="s">
        <v>1150</v>
      </c>
      <c r="B652" s="9"/>
      <c r="C652" t="s">
        <v>1274</v>
      </c>
      <c r="D652" s="5" t="s">
        <v>1276</v>
      </c>
      <c r="F652" s="1">
        <v>35740.07</v>
      </c>
      <c r="H652" s="1">
        <v>417.27</v>
      </c>
    </row>
    <row r="653" spans="1:8">
      <c r="A653" s="9" t="s">
        <v>1150</v>
      </c>
      <c r="B653" s="9"/>
      <c r="C653" t="s">
        <v>618</v>
      </c>
      <c r="D653" s="5" t="s">
        <v>620</v>
      </c>
      <c r="E653" s="1">
        <v>31373.96</v>
      </c>
      <c r="H653" s="1">
        <v>2393.3200000000002</v>
      </c>
    </row>
    <row r="654" spans="1:8">
      <c r="A654" s="9" t="s">
        <v>1150</v>
      </c>
      <c r="B654" s="9"/>
      <c r="C654" t="s">
        <v>675</v>
      </c>
      <c r="D654" s="5" t="s">
        <v>677</v>
      </c>
      <c r="E654" s="1">
        <v>22718.48</v>
      </c>
      <c r="H654" s="1">
        <v>409.4</v>
      </c>
    </row>
    <row r="655" spans="1:8">
      <c r="A655" s="9" t="s">
        <v>1150</v>
      </c>
      <c r="B655" s="9"/>
      <c r="C655" t="s">
        <v>708</v>
      </c>
      <c r="D655" s="5" t="s">
        <v>710</v>
      </c>
      <c r="H655" s="1">
        <v>362.07499999999999</v>
      </c>
    </row>
    <row r="656" spans="1:8">
      <c r="A656" s="9" t="s">
        <v>1150</v>
      </c>
      <c r="B656" s="9"/>
      <c r="C656" t="s">
        <v>358</v>
      </c>
      <c r="D656" s="5" t="s">
        <v>360</v>
      </c>
      <c r="E656" s="1">
        <v>12585.59</v>
      </c>
      <c r="H656" s="1">
        <v>1179.92</v>
      </c>
    </row>
    <row r="657" spans="1:9">
      <c r="A657" s="9" t="s">
        <v>1150</v>
      </c>
      <c r="B657" s="9"/>
      <c r="C657" t="s">
        <v>735</v>
      </c>
      <c r="D657" s="5" t="s">
        <v>737</v>
      </c>
      <c r="H657" s="1">
        <v>488.12</v>
      </c>
    </row>
    <row r="658" spans="1:9">
      <c r="A658" s="9" t="s">
        <v>1150</v>
      </c>
      <c r="B658" s="9"/>
      <c r="C658" t="s">
        <v>105</v>
      </c>
      <c r="D658" s="5" t="s">
        <v>107</v>
      </c>
      <c r="H658" s="1">
        <v>386.46</v>
      </c>
    </row>
    <row r="659" spans="1:9">
      <c r="A659" s="9" t="s">
        <v>1150</v>
      </c>
      <c r="B659" s="9"/>
      <c r="C659" t="s">
        <v>1277</v>
      </c>
      <c r="D659" s="5" t="s">
        <v>1279</v>
      </c>
      <c r="H659" s="1">
        <v>5732.2049999999999</v>
      </c>
      <c r="I659" s="1">
        <v>4000.65</v>
      </c>
    </row>
    <row r="660" spans="1:9">
      <c r="A660" s="9" t="s">
        <v>1150</v>
      </c>
      <c r="B660" s="9"/>
      <c r="C660" t="s">
        <v>391</v>
      </c>
      <c r="D660" s="5" t="s">
        <v>393</v>
      </c>
      <c r="E660" s="1">
        <v>3731.64</v>
      </c>
      <c r="G660" s="1">
        <v>4234.97</v>
      </c>
    </row>
    <row r="661" spans="1:9">
      <c r="A661" s="9" t="s">
        <v>1150</v>
      </c>
      <c r="B661" s="9"/>
      <c r="C661" t="s">
        <v>1049</v>
      </c>
      <c r="D661" s="5" t="s">
        <v>1051</v>
      </c>
      <c r="E661" s="1">
        <v>90297.35</v>
      </c>
      <c r="F661" s="1">
        <v>84347.37</v>
      </c>
    </row>
    <row r="662" spans="1:9">
      <c r="A662" s="9" t="s">
        <v>1150</v>
      </c>
      <c r="B662" s="9"/>
      <c r="C662" t="s">
        <v>180</v>
      </c>
      <c r="D662" s="5" t="s">
        <v>182</v>
      </c>
      <c r="E662" s="1">
        <v>5246.34</v>
      </c>
      <c r="G662" s="1">
        <v>8571.33</v>
      </c>
    </row>
    <row r="663" spans="1:9">
      <c r="A663" s="9" t="s">
        <v>1150</v>
      </c>
      <c r="B663" s="9"/>
      <c r="C663" t="s">
        <v>1280</v>
      </c>
      <c r="D663" s="5" t="s">
        <v>1282</v>
      </c>
      <c r="E663" s="1">
        <v>400</v>
      </c>
    </row>
    <row r="664" spans="1:9">
      <c r="A664" s="9" t="s">
        <v>1150</v>
      </c>
      <c r="B664" s="9"/>
      <c r="C664" t="s">
        <v>561</v>
      </c>
      <c r="D664" s="5" t="s">
        <v>563</v>
      </c>
      <c r="E664" s="1">
        <v>23</v>
      </c>
    </row>
    <row r="665" spans="1:9">
      <c r="A665" s="9" t="s">
        <v>1150</v>
      </c>
      <c r="B665" s="9"/>
      <c r="C665" t="s">
        <v>771</v>
      </c>
      <c r="D665" s="5" t="s">
        <v>773</v>
      </c>
      <c r="E665" s="1">
        <v>2705.44</v>
      </c>
      <c r="G665" s="1">
        <v>5045.47</v>
      </c>
    </row>
    <row r="666" spans="1:9">
      <c r="A666" s="9" t="s">
        <v>1150</v>
      </c>
      <c r="B666" s="9"/>
      <c r="C666" t="s">
        <v>765</v>
      </c>
      <c r="D666" s="5" t="s">
        <v>767</v>
      </c>
      <c r="E666" s="1">
        <v>1446.54</v>
      </c>
      <c r="G666" s="1">
        <v>6739.4</v>
      </c>
    </row>
    <row r="667" spans="1:9">
      <c r="A667" s="9" t="s">
        <v>1150</v>
      </c>
      <c r="B667" s="9"/>
      <c r="C667" t="s">
        <v>687</v>
      </c>
      <c r="D667" s="5" t="s">
        <v>689</v>
      </c>
      <c r="E667" s="1">
        <v>7166.41</v>
      </c>
    </row>
    <row r="668" spans="1:9">
      <c r="A668" s="9" t="s">
        <v>1150</v>
      </c>
      <c r="B668" s="9"/>
      <c r="C668" t="s">
        <v>341</v>
      </c>
      <c r="D668" s="5" t="s">
        <v>343</v>
      </c>
      <c r="E668" s="1">
        <v>5765.2</v>
      </c>
    </row>
    <row r="669" spans="1:9">
      <c r="A669" s="9" t="s">
        <v>1150</v>
      </c>
      <c r="B669" s="9"/>
      <c r="C669" t="s">
        <v>648</v>
      </c>
      <c r="D669" s="5" t="s">
        <v>650</v>
      </c>
      <c r="E669" s="1">
        <v>3153.68</v>
      </c>
      <c r="G669" s="1">
        <v>41242.42</v>
      </c>
    </row>
    <row r="670" spans="1:9">
      <c r="A670" s="9" t="s">
        <v>1150</v>
      </c>
      <c r="B670" s="9"/>
      <c r="C670" t="s">
        <v>87</v>
      </c>
      <c r="D670" s="5" t="s">
        <v>89</v>
      </c>
      <c r="E670" s="1">
        <v>3776.9</v>
      </c>
      <c r="F670" s="1">
        <v>1207.6199999999999</v>
      </c>
      <c r="G670" s="1">
        <v>29371.58</v>
      </c>
      <c r="H670" s="1">
        <v>1427.02</v>
      </c>
      <c r="I670" s="1">
        <v>298.39999999999998</v>
      </c>
    </row>
    <row r="671" spans="1:9">
      <c r="A671" s="9" t="s">
        <v>1150</v>
      </c>
      <c r="B671" s="9"/>
      <c r="C671" t="s">
        <v>504</v>
      </c>
      <c r="D671" s="5" t="s">
        <v>506</v>
      </c>
      <c r="E671" s="1">
        <v>4939.28</v>
      </c>
      <c r="G671" s="1">
        <v>6381.14</v>
      </c>
    </row>
    <row r="672" spans="1:9">
      <c r="A672" s="9" t="s">
        <v>1150</v>
      </c>
      <c r="B672" s="9"/>
      <c r="C672" t="s">
        <v>816</v>
      </c>
      <c r="D672" s="5" t="s">
        <v>818</v>
      </c>
      <c r="E672" s="1">
        <v>1839.63</v>
      </c>
    </row>
    <row r="673" spans="1:8">
      <c r="A673" s="9" t="s">
        <v>1150</v>
      </c>
      <c r="B673" s="9"/>
      <c r="C673" t="s">
        <v>1283</v>
      </c>
      <c r="D673" s="5" t="s">
        <v>1285</v>
      </c>
      <c r="E673" s="1">
        <v>389</v>
      </c>
    </row>
    <row r="674" spans="1:8">
      <c r="A674" s="9" t="s">
        <v>1150</v>
      </c>
      <c r="B674" s="9"/>
      <c r="C674" t="s">
        <v>57</v>
      </c>
      <c r="D674" s="5" t="s">
        <v>59</v>
      </c>
      <c r="E674" s="1">
        <v>2971.19</v>
      </c>
      <c r="G674" s="1">
        <v>8086.39</v>
      </c>
    </row>
    <row r="675" spans="1:8">
      <c r="A675" s="9" t="s">
        <v>1150</v>
      </c>
      <c r="B675" s="9"/>
      <c r="C675" t="s">
        <v>1286</v>
      </c>
      <c r="D675" s="5" t="s">
        <v>1288</v>
      </c>
      <c r="G675" s="1">
        <v>2500</v>
      </c>
    </row>
    <row r="676" spans="1:8">
      <c r="A676" s="9" t="s">
        <v>1150</v>
      </c>
      <c r="B676" s="9"/>
      <c r="C676" t="s">
        <v>69</v>
      </c>
      <c r="D676" s="5" t="s">
        <v>71</v>
      </c>
      <c r="E676" s="1">
        <v>37333.599999999999</v>
      </c>
      <c r="G676" s="1">
        <v>74384.31</v>
      </c>
    </row>
    <row r="677" spans="1:8">
      <c r="A677" s="9" t="s">
        <v>1150</v>
      </c>
      <c r="B677" s="9"/>
      <c r="C677" t="s">
        <v>418</v>
      </c>
      <c r="D677" s="5" t="s">
        <v>420</v>
      </c>
      <c r="E677" s="1">
        <v>3893.1</v>
      </c>
      <c r="G677" s="1">
        <v>44151.25</v>
      </c>
    </row>
    <row r="678" spans="1:8">
      <c r="A678" s="9" t="s">
        <v>1150</v>
      </c>
      <c r="B678" s="9"/>
      <c r="C678" t="s">
        <v>186</v>
      </c>
      <c r="D678" s="5" t="s">
        <v>188</v>
      </c>
      <c r="E678" s="1">
        <v>3119.38</v>
      </c>
      <c r="G678" s="1">
        <v>6455.96</v>
      </c>
    </row>
    <row r="679" spans="1:8">
      <c r="A679" s="9" t="s">
        <v>1150</v>
      </c>
      <c r="B679" s="9"/>
      <c r="C679" t="s">
        <v>1289</v>
      </c>
      <c r="D679" s="5" t="s">
        <v>1291</v>
      </c>
      <c r="H679" s="1">
        <v>827.6</v>
      </c>
    </row>
    <row r="680" spans="1:8">
      <c r="A680" s="9" t="s">
        <v>1150</v>
      </c>
      <c r="B680" s="9"/>
      <c r="C680" t="s">
        <v>1067</v>
      </c>
      <c r="D680" s="5" t="s">
        <v>1069</v>
      </c>
      <c r="H680" s="1">
        <v>1152.22</v>
      </c>
    </row>
    <row r="681" spans="1:8">
      <c r="A681" s="9" t="s">
        <v>1150</v>
      </c>
      <c r="B681" s="9"/>
      <c r="C681" t="s">
        <v>75</v>
      </c>
      <c r="D681" s="5" t="s">
        <v>77</v>
      </c>
      <c r="E681" s="1">
        <v>86.78</v>
      </c>
    </row>
    <row r="682" spans="1:8">
      <c r="A682" s="9" t="s">
        <v>1150</v>
      </c>
      <c r="B682" s="9"/>
      <c r="C682" t="s">
        <v>108</v>
      </c>
      <c r="D682" s="5" t="s">
        <v>110</v>
      </c>
      <c r="E682" s="1">
        <v>15213.2</v>
      </c>
      <c r="H682" s="1">
        <v>281.92</v>
      </c>
    </row>
    <row r="683" spans="1:8">
      <c r="A683" s="9" t="s">
        <v>1150</v>
      </c>
      <c r="B683" s="9"/>
      <c r="C683" t="s">
        <v>300</v>
      </c>
      <c r="D683" s="5" t="s">
        <v>302</v>
      </c>
      <c r="E683" s="1">
        <v>63835.13</v>
      </c>
    </row>
    <row r="684" spans="1:8">
      <c r="A684" s="9" t="s">
        <v>1150</v>
      </c>
      <c r="B684" s="9"/>
      <c r="C684" t="s">
        <v>350</v>
      </c>
      <c r="D684" s="5" t="s">
        <v>352</v>
      </c>
      <c r="E684" s="1">
        <v>8734.66</v>
      </c>
      <c r="F684" s="1">
        <v>266.61</v>
      </c>
      <c r="H684" s="1">
        <v>980.35</v>
      </c>
    </row>
    <row r="685" spans="1:8">
      <c r="A685" s="9" t="s">
        <v>1150</v>
      </c>
      <c r="B685" s="9"/>
      <c r="C685" t="s">
        <v>66</v>
      </c>
      <c r="D685" s="5" t="s">
        <v>68</v>
      </c>
      <c r="E685" s="1">
        <v>2271.8000000000002</v>
      </c>
      <c r="H685" s="1">
        <v>1035.45</v>
      </c>
    </row>
    <row r="686" spans="1:8">
      <c r="A686" s="9" t="s">
        <v>1150</v>
      </c>
      <c r="B686" s="9"/>
      <c r="C686" t="s">
        <v>312</v>
      </c>
      <c r="D686" s="5" t="s">
        <v>314</v>
      </c>
      <c r="E686" s="1">
        <v>1886.85</v>
      </c>
    </row>
    <row r="687" spans="1:8">
      <c r="A687" s="9" t="s">
        <v>1150</v>
      </c>
      <c r="B687" s="9"/>
      <c r="C687" t="s">
        <v>1040</v>
      </c>
      <c r="D687" s="5" t="s">
        <v>1042</v>
      </c>
      <c r="E687" s="1">
        <v>2517</v>
      </c>
    </row>
    <row r="688" spans="1:8">
      <c r="A688" s="9" t="s">
        <v>1150</v>
      </c>
      <c r="B688" s="9"/>
      <c r="C688" t="s">
        <v>324</v>
      </c>
      <c r="D688" s="5" t="s">
        <v>326</v>
      </c>
      <c r="E688" s="1">
        <v>8258</v>
      </c>
    </row>
    <row r="689" spans="1:9">
      <c r="A689" s="9" t="s">
        <v>1150</v>
      </c>
      <c r="B689" s="9"/>
      <c r="C689" t="s">
        <v>702</v>
      </c>
      <c r="D689" s="5" t="s">
        <v>704</v>
      </c>
      <c r="E689" s="1">
        <v>10986.08</v>
      </c>
    </row>
    <row r="690" spans="1:9">
      <c r="A690" s="9" t="s">
        <v>1150</v>
      </c>
      <c r="B690" s="9"/>
      <c r="C690" t="s">
        <v>1013</v>
      </c>
      <c r="D690" s="5" t="s">
        <v>1015</v>
      </c>
      <c r="G690" s="1">
        <v>29000</v>
      </c>
    </row>
    <row r="691" spans="1:9">
      <c r="A691" s="9" t="s">
        <v>1150</v>
      </c>
      <c r="B691" s="9"/>
      <c r="C691" t="s">
        <v>516</v>
      </c>
      <c r="D691" s="5" t="s">
        <v>518</v>
      </c>
      <c r="E691" s="1">
        <v>5651.95</v>
      </c>
      <c r="G691" s="1">
        <v>93849.84</v>
      </c>
    </row>
    <row r="692" spans="1:9">
      <c r="A692" s="9" t="s">
        <v>1150</v>
      </c>
      <c r="B692" s="9"/>
      <c r="C692" t="s">
        <v>810</v>
      </c>
      <c r="D692" s="5" t="s">
        <v>812</v>
      </c>
      <c r="E692" s="1">
        <v>18332.27</v>
      </c>
    </row>
    <row r="693" spans="1:9">
      <c r="A693" s="9" t="s">
        <v>1150</v>
      </c>
      <c r="B693" s="9"/>
      <c r="C693" t="s">
        <v>1292</v>
      </c>
      <c r="D693" s="5" t="s">
        <v>1294</v>
      </c>
      <c r="E693" s="1">
        <v>1000</v>
      </c>
    </row>
    <row r="694" spans="1:9">
      <c r="A694" s="9" t="s">
        <v>1150</v>
      </c>
      <c r="B694" s="9"/>
      <c r="C694" t="s">
        <v>1055</v>
      </c>
      <c r="D694" s="5" t="s">
        <v>1057</v>
      </c>
      <c r="G694" s="1">
        <v>680</v>
      </c>
    </row>
    <row r="695" spans="1:9">
      <c r="A695" s="9" t="s">
        <v>1150</v>
      </c>
      <c r="B695" s="9"/>
      <c r="C695" t="s">
        <v>1295</v>
      </c>
      <c r="D695" s="5" t="s">
        <v>1297</v>
      </c>
      <c r="G695" s="1">
        <v>5721.76</v>
      </c>
    </row>
    <row r="696" spans="1:9">
      <c r="A696" s="9" t="s">
        <v>1150</v>
      </c>
      <c r="B696" s="9"/>
      <c r="C696" t="s">
        <v>1298</v>
      </c>
      <c r="D696" s="5" t="s">
        <v>1300</v>
      </c>
      <c r="G696" s="1">
        <v>380</v>
      </c>
    </row>
    <row r="697" spans="1:9">
      <c r="A697" s="9" t="s">
        <v>1150</v>
      </c>
      <c r="B697" s="9"/>
      <c r="C697" t="s">
        <v>454</v>
      </c>
      <c r="D697" s="5" t="s">
        <v>456</v>
      </c>
      <c r="E697" s="1">
        <v>83827.16</v>
      </c>
      <c r="G697" s="1">
        <v>479116.5</v>
      </c>
    </row>
    <row r="698" spans="1:9">
      <c r="A698" s="9" t="s">
        <v>1150</v>
      </c>
      <c r="B698" s="9"/>
      <c r="C698" t="s">
        <v>923</v>
      </c>
      <c r="D698" s="5" t="s">
        <v>925</v>
      </c>
      <c r="G698" s="1">
        <v>-561.41999999999996</v>
      </c>
    </row>
    <row r="699" spans="1:9">
      <c r="A699" s="9" t="s">
        <v>1150</v>
      </c>
      <c r="B699" s="9"/>
      <c r="C699" t="s">
        <v>756</v>
      </c>
      <c r="D699" s="5" t="s">
        <v>758</v>
      </c>
      <c r="F699" s="1">
        <v>3477.79</v>
      </c>
    </row>
    <row r="700" spans="1:9">
      <c r="A700" s="9" t="s">
        <v>1150</v>
      </c>
      <c r="B700" s="9"/>
      <c r="C700" t="s">
        <v>1301</v>
      </c>
      <c r="D700" s="5" t="s">
        <v>1303</v>
      </c>
      <c r="F700" s="1">
        <v>887.52</v>
      </c>
    </row>
    <row r="701" spans="1:9">
      <c r="A701" s="9" t="s">
        <v>1150</v>
      </c>
      <c r="B701" s="9"/>
      <c r="C701" t="s">
        <v>1304</v>
      </c>
      <c r="D701" s="5" t="s">
        <v>1306</v>
      </c>
      <c r="F701" s="1">
        <v>860</v>
      </c>
    </row>
    <row r="702" spans="1:9">
      <c r="A702" s="9" t="s">
        <v>1150</v>
      </c>
      <c r="B702" s="9"/>
      <c r="C702" t="s">
        <v>1046</v>
      </c>
      <c r="D702" s="5" t="s">
        <v>1048</v>
      </c>
      <c r="F702" s="1">
        <v>1482.12</v>
      </c>
    </row>
    <row r="703" spans="1:9">
      <c r="A703" s="9" t="s">
        <v>1150</v>
      </c>
      <c r="B703" s="9"/>
      <c r="C703" t="s">
        <v>1307</v>
      </c>
      <c r="D703" s="5" t="s">
        <v>1309</v>
      </c>
      <c r="H703" s="1">
        <v>397.85</v>
      </c>
      <c r="I703" s="1">
        <v>62.7</v>
      </c>
    </row>
    <row r="704" spans="1:9">
      <c r="A704" s="9" t="s">
        <v>1150</v>
      </c>
      <c r="B704" s="9"/>
      <c r="C704" t="s">
        <v>872</v>
      </c>
      <c r="D704" s="5" t="s">
        <v>874</v>
      </c>
      <c r="H704" s="1">
        <v>139.38</v>
      </c>
    </row>
    <row r="705" spans="1:8">
      <c r="A705" s="9" t="s">
        <v>1150</v>
      </c>
      <c r="B705" s="9"/>
      <c r="C705" t="s">
        <v>1019</v>
      </c>
      <c r="D705" s="5" t="s">
        <v>1021</v>
      </c>
      <c r="E705" s="1">
        <v>2546</v>
      </c>
      <c r="H705" s="1">
        <v>477.9</v>
      </c>
    </row>
    <row r="706" spans="1:8">
      <c r="A706" s="9" t="s">
        <v>1150</v>
      </c>
      <c r="B706" s="9"/>
      <c r="C706" t="s">
        <v>99</v>
      </c>
      <c r="D706" s="5" t="s">
        <v>101</v>
      </c>
      <c r="E706" s="1">
        <v>8537.09</v>
      </c>
      <c r="G706" s="1">
        <v>28852.47</v>
      </c>
    </row>
    <row r="707" spans="1:8">
      <c r="A707" s="9" t="s">
        <v>1150</v>
      </c>
      <c r="B707" s="9"/>
      <c r="C707" t="s">
        <v>917</v>
      </c>
      <c r="D707" s="5" t="s">
        <v>919</v>
      </c>
      <c r="E707" s="1">
        <v>6200</v>
      </c>
    </row>
    <row r="708" spans="1:8">
      <c r="A708" s="9" t="s">
        <v>1150</v>
      </c>
      <c r="B708" s="9"/>
      <c r="C708" t="s">
        <v>642</v>
      </c>
      <c r="D708" s="5" t="s">
        <v>644</v>
      </c>
      <c r="E708" s="1">
        <v>-94.86</v>
      </c>
    </row>
    <row r="709" spans="1:8">
      <c r="A709" s="9" t="s">
        <v>1150</v>
      </c>
      <c r="B709" s="9"/>
      <c r="C709" t="s">
        <v>1310</v>
      </c>
      <c r="D709" s="5" t="s">
        <v>1312</v>
      </c>
      <c r="G709" s="1">
        <v>555</v>
      </c>
    </row>
    <row r="710" spans="1:8">
      <c r="A710" s="9" t="s">
        <v>1150</v>
      </c>
      <c r="B710" s="9"/>
      <c r="C710" t="s">
        <v>585</v>
      </c>
      <c r="D710" s="5" t="s">
        <v>587</v>
      </c>
      <c r="G710" s="1">
        <v>7102.11</v>
      </c>
    </row>
    <row r="711" spans="1:8">
      <c r="A711" s="9" t="s">
        <v>1150</v>
      </c>
      <c r="B711" s="9"/>
      <c r="C711" t="s">
        <v>333</v>
      </c>
      <c r="D711" s="5" t="s">
        <v>335</v>
      </c>
      <c r="F711" s="1">
        <v>2262.1999999999998</v>
      </c>
    </row>
    <row r="712" spans="1:8">
      <c r="A712" s="9" t="s">
        <v>1150</v>
      </c>
      <c r="B712" s="9"/>
      <c r="C712" t="s">
        <v>992</v>
      </c>
      <c r="D712" s="5" t="s">
        <v>994</v>
      </c>
      <c r="H712" s="1">
        <v>191.16</v>
      </c>
    </row>
    <row r="713" spans="1:8">
      <c r="A713" s="9" t="s">
        <v>1150</v>
      </c>
      <c r="B713" s="9"/>
      <c r="C713" t="s">
        <v>153</v>
      </c>
      <c r="D713" s="5" t="s">
        <v>155</v>
      </c>
      <c r="H713" s="1">
        <v>2379.5700000000002</v>
      </c>
    </row>
    <row r="714" spans="1:8">
      <c r="A714" s="9" t="s">
        <v>1313</v>
      </c>
      <c r="B714" s="9"/>
      <c r="C714" t="s">
        <v>1315</v>
      </c>
      <c r="D714" s="5" t="s">
        <v>1315</v>
      </c>
      <c r="E714" s="1">
        <v>21314.9</v>
      </c>
      <c r="F714" s="1">
        <v>1127.28</v>
      </c>
      <c r="H714" s="1">
        <v>48302.93</v>
      </c>
    </row>
    <row r="715" spans="1:8">
      <c r="A715" s="9" t="s">
        <v>1313</v>
      </c>
      <c r="B715" s="9"/>
      <c r="C715" t="s">
        <v>1317</v>
      </c>
      <c r="D715" s="5" t="s">
        <v>1319</v>
      </c>
      <c r="E715" s="1">
        <v>9980</v>
      </c>
    </row>
    <row r="716" spans="1:8">
      <c r="A716" s="9" t="s">
        <v>1313</v>
      </c>
      <c r="B716" s="9"/>
      <c r="C716" t="s">
        <v>1320</v>
      </c>
      <c r="D716" s="5" t="s">
        <v>1322</v>
      </c>
      <c r="E716" s="1">
        <v>1722.06</v>
      </c>
      <c r="G716" s="1">
        <v>244.68</v>
      </c>
    </row>
    <row r="717" spans="1:8">
      <c r="A717" s="9" t="s">
        <v>1313</v>
      </c>
      <c r="B717" s="9"/>
      <c r="C717" t="s">
        <v>1323</v>
      </c>
      <c r="D717" s="5" t="s">
        <v>1325</v>
      </c>
      <c r="E717" s="1">
        <v>581.84</v>
      </c>
      <c r="G717" s="1">
        <v>295.42</v>
      </c>
    </row>
    <row r="718" spans="1:8">
      <c r="A718" s="9" t="s">
        <v>1313</v>
      </c>
      <c r="B718" s="9"/>
      <c r="C718" t="s">
        <v>1326</v>
      </c>
      <c r="D718" s="5" t="s">
        <v>1328</v>
      </c>
      <c r="E718" s="1">
        <v>6552.96</v>
      </c>
      <c r="H718" s="1">
        <v>589.84</v>
      </c>
    </row>
    <row r="719" spans="1:8">
      <c r="A719" s="9" t="s">
        <v>1313</v>
      </c>
      <c r="B719" s="9"/>
      <c r="C719" t="s">
        <v>1329</v>
      </c>
      <c r="D719" s="5" t="s">
        <v>1329</v>
      </c>
      <c r="H719" s="1">
        <v>16644.88</v>
      </c>
    </row>
    <row r="720" spans="1:8">
      <c r="A720" s="9" t="s">
        <v>1313</v>
      </c>
      <c r="B720" s="9"/>
      <c r="C720" t="s">
        <v>457</v>
      </c>
      <c r="D720" s="5" t="s">
        <v>457</v>
      </c>
      <c r="E720" s="1">
        <v>2226.48</v>
      </c>
      <c r="F720" s="1">
        <v>130</v>
      </c>
      <c r="H720" s="1">
        <v>54315.61</v>
      </c>
    </row>
    <row r="721" spans="1:9" ht="38.25">
      <c r="A721" s="12" t="s">
        <v>1313</v>
      </c>
      <c r="B721" s="13" t="s">
        <v>1902</v>
      </c>
      <c r="C721" s="14" t="s">
        <v>1331</v>
      </c>
      <c r="D721" s="15" t="s">
        <v>1333</v>
      </c>
      <c r="H721" s="16">
        <v>31.56</v>
      </c>
      <c r="I721" s="16">
        <v>39.33</v>
      </c>
    </row>
    <row r="722" spans="1:9" ht="38.25">
      <c r="A722" s="12" t="s">
        <v>1313</v>
      </c>
      <c r="B722" s="13" t="s">
        <v>1902</v>
      </c>
      <c r="C722" s="14" t="s">
        <v>1277</v>
      </c>
      <c r="D722" s="15" t="s">
        <v>1279</v>
      </c>
      <c r="H722" s="16">
        <v>155.04</v>
      </c>
      <c r="I722" s="16">
        <v>140.63</v>
      </c>
    </row>
    <row r="723" spans="1:9">
      <c r="A723" s="9" t="s">
        <v>1313</v>
      </c>
      <c r="B723" s="9"/>
      <c r="C723" t="s">
        <v>1334</v>
      </c>
      <c r="D723" s="5" t="s">
        <v>1336</v>
      </c>
      <c r="H723" s="1">
        <v>359.97</v>
      </c>
      <c r="I723" s="1">
        <v>101.43</v>
      </c>
    </row>
    <row r="724" spans="1:9">
      <c r="A724" s="9" t="s">
        <v>1313</v>
      </c>
      <c r="B724" s="9"/>
      <c r="C724" t="s">
        <v>1337</v>
      </c>
      <c r="D724" s="5" t="s">
        <v>1339</v>
      </c>
      <c r="E724" s="1">
        <v>607.39</v>
      </c>
      <c r="F724" s="1">
        <v>1877.86</v>
      </c>
      <c r="G724" s="1">
        <v>9411.9500000000007</v>
      </c>
      <c r="H724" s="1">
        <v>10522.61</v>
      </c>
      <c r="I724" s="1">
        <v>46.15</v>
      </c>
    </row>
    <row r="725" spans="1:9">
      <c r="A725" s="9" t="s">
        <v>1313</v>
      </c>
      <c r="B725" s="9"/>
      <c r="C725" t="s">
        <v>1340</v>
      </c>
      <c r="D725" s="5" t="s">
        <v>1342</v>
      </c>
      <c r="E725" s="1">
        <v>77077.08</v>
      </c>
      <c r="H725" s="1">
        <v>336.32</v>
      </c>
      <c r="I725" s="1">
        <v>14</v>
      </c>
    </row>
    <row r="726" spans="1:9">
      <c r="A726" s="9" t="s">
        <v>1313</v>
      </c>
      <c r="B726" s="9"/>
      <c r="C726" t="s">
        <v>1343</v>
      </c>
      <c r="D726" s="5" t="s">
        <v>1345</v>
      </c>
      <c r="E726" s="1">
        <v>100</v>
      </c>
    </row>
    <row r="727" spans="1:9">
      <c r="A727" s="12" t="s">
        <v>1313</v>
      </c>
      <c r="B727" s="12" t="s">
        <v>1715</v>
      </c>
      <c r="C727" s="14" t="s">
        <v>344</v>
      </c>
      <c r="D727" s="15" t="s">
        <v>346</v>
      </c>
      <c r="E727" s="16">
        <v>300</v>
      </c>
    </row>
    <row r="728" spans="1:9">
      <c r="A728" s="12" t="s">
        <v>1313</v>
      </c>
      <c r="B728" s="12" t="s">
        <v>1900</v>
      </c>
      <c r="C728" s="14" t="s">
        <v>306</v>
      </c>
      <c r="D728" s="15" t="s">
        <v>308</v>
      </c>
      <c r="E728" s="16">
        <v>13.42</v>
      </c>
    </row>
    <row r="729" spans="1:9">
      <c r="A729" s="9" t="s">
        <v>1313</v>
      </c>
      <c r="B729" s="9"/>
      <c r="C729" t="s">
        <v>1346</v>
      </c>
      <c r="D729" s="5" t="s">
        <v>1348</v>
      </c>
      <c r="E729" s="1">
        <v>339.54</v>
      </c>
    </row>
    <row r="730" spans="1:9">
      <c r="A730" s="9" t="s">
        <v>1313</v>
      </c>
      <c r="B730" s="9"/>
      <c r="C730" t="s">
        <v>1349</v>
      </c>
      <c r="D730" s="5" t="s">
        <v>1351</v>
      </c>
      <c r="E730" s="1">
        <v>60.16</v>
      </c>
      <c r="G730" s="1">
        <v>32.82</v>
      </c>
    </row>
    <row r="731" spans="1:9">
      <c r="A731" s="9" t="s">
        <v>1313</v>
      </c>
      <c r="B731" s="9"/>
      <c r="C731" t="s">
        <v>1352</v>
      </c>
      <c r="D731" s="5" t="s">
        <v>1354</v>
      </c>
      <c r="H731" s="1">
        <v>101.01</v>
      </c>
      <c r="I731" s="1">
        <v>25.5</v>
      </c>
    </row>
    <row r="732" spans="1:9">
      <c r="A732" s="9" t="s">
        <v>1313</v>
      </c>
      <c r="B732" s="9"/>
      <c r="C732" t="s">
        <v>1355</v>
      </c>
      <c r="D732" s="5" t="s">
        <v>1355</v>
      </c>
      <c r="H732" s="1">
        <v>58311.834999999999</v>
      </c>
      <c r="I732" s="1">
        <v>3058.43</v>
      </c>
    </row>
    <row r="733" spans="1:9">
      <c r="A733" s="9" t="s">
        <v>1313</v>
      </c>
      <c r="B733" s="9"/>
      <c r="C733" t="s">
        <v>336</v>
      </c>
      <c r="D733" s="5" t="s">
        <v>336</v>
      </c>
      <c r="E733" s="1">
        <v>1207.05</v>
      </c>
      <c r="H733" s="1">
        <v>50950.614999999998</v>
      </c>
    </row>
    <row r="734" spans="1:9">
      <c r="A734" s="9" t="s">
        <v>1313</v>
      </c>
      <c r="B734" s="9"/>
      <c r="C734" t="s">
        <v>1357</v>
      </c>
      <c r="D734" s="5" t="s">
        <v>1357</v>
      </c>
      <c r="H734" s="1">
        <v>7424.72</v>
      </c>
    </row>
    <row r="735" spans="1:9">
      <c r="A735" s="9" t="s">
        <v>1313</v>
      </c>
      <c r="B735" s="9"/>
      <c r="C735" t="s">
        <v>1359</v>
      </c>
      <c r="D735" s="5" t="s">
        <v>1359</v>
      </c>
      <c r="E735" s="1">
        <v>49194.05</v>
      </c>
      <c r="F735" s="1">
        <v>13.6</v>
      </c>
      <c r="H735" s="1">
        <v>123078.16</v>
      </c>
    </row>
    <row r="736" spans="1:9">
      <c r="A736" s="9" t="s">
        <v>1313</v>
      </c>
      <c r="B736" s="9"/>
      <c r="C736" t="s">
        <v>353</v>
      </c>
      <c r="D736" s="5" t="s">
        <v>353</v>
      </c>
      <c r="E736" s="1">
        <v>33766.69</v>
      </c>
      <c r="H736" s="1">
        <v>273286.99</v>
      </c>
    </row>
    <row r="737" spans="1:9">
      <c r="A737" s="12" t="s">
        <v>1313</v>
      </c>
      <c r="B737" s="12" t="s">
        <v>1715</v>
      </c>
      <c r="C737" s="14" t="s">
        <v>81</v>
      </c>
      <c r="D737" s="15" t="s">
        <v>83</v>
      </c>
      <c r="E737" s="16">
        <v>1056.01</v>
      </c>
    </row>
    <row r="738" spans="1:9">
      <c r="A738" s="9" t="s">
        <v>1313</v>
      </c>
      <c r="B738" s="9"/>
      <c r="C738" t="s">
        <v>1361</v>
      </c>
      <c r="D738" s="5" t="s">
        <v>1363</v>
      </c>
      <c r="E738" s="1">
        <v>6374.65</v>
      </c>
      <c r="F738" s="1">
        <v>1648.81</v>
      </c>
      <c r="G738" s="1">
        <v>-28560</v>
      </c>
      <c r="H738" s="1">
        <v>58926.78</v>
      </c>
      <c r="I738" s="1">
        <v>11.04</v>
      </c>
    </row>
    <row r="739" spans="1:9">
      <c r="A739" s="9" t="s">
        <v>1313</v>
      </c>
      <c r="B739" s="9"/>
      <c r="C739" t="s">
        <v>1364</v>
      </c>
      <c r="D739" s="5" t="s">
        <v>1366</v>
      </c>
      <c r="E739" s="1">
        <v>2724.08</v>
      </c>
      <c r="G739" s="1">
        <v>1662.3</v>
      </c>
    </row>
    <row r="740" spans="1:9">
      <c r="A740" s="12" t="s">
        <v>1313</v>
      </c>
      <c r="B740" s="12" t="s">
        <v>1715</v>
      </c>
      <c r="C740" s="14" t="s">
        <v>555</v>
      </c>
      <c r="D740" s="15" t="s">
        <v>557</v>
      </c>
      <c r="E740" s="16">
        <v>28.38</v>
      </c>
    </row>
    <row r="741" spans="1:9">
      <c r="A741" s="9" t="s">
        <v>1313</v>
      </c>
      <c r="B741" s="9"/>
      <c r="C741" t="s">
        <v>1367</v>
      </c>
      <c r="D741" s="5" t="s">
        <v>1367</v>
      </c>
      <c r="E741" s="1">
        <v>2151.59</v>
      </c>
    </row>
    <row r="742" spans="1:9">
      <c r="A742" s="9" t="s">
        <v>1313</v>
      </c>
      <c r="B742" s="9"/>
      <c r="C742" t="s">
        <v>1369</v>
      </c>
      <c r="D742" s="5" t="s">
        <v>1371</v>
      </c>
      <c r="E742" s="1">
        <v>134.12</v>
      </c>
      <c r="G742" s="1">
        <v>1411.55</v>
      </c>
    </row>
    <row r="743" spans="1:9">
      <c r="A743" s="9" t="s">
        <v>1313</v>
      </c>
      <c r="B743" s="9"/>
      <c r="C743" t="s">
        <v>1372</v>
      </c>
      <c r="D743" s="5" t="s">
        <v>1372</v>
      </c>
      <c r="E743" s="1">
        <v>2692.53</v>
      </c>
      <c r="H743" s="1">
        <v>1475425.12</v>
      </c>
      <c r="I743" s="1">
        <v>6173.56</v>
      </c>
    </row>
    <row r="744" spans="1:9">
      <c r="A744" s="12" t="s">
        <v>1313</v>
      </c>
      <c r="B744" s="12" t="s">
        <v>1715</v>
      </c>
      <c r="C744" s="14" t="s">
        <v>288</v>
      </c>
      <c r="D744" s="15" t="s">
        <v>290</v>
      </c>
      <c r="E744" s="16">
        <v>-44.78</v>
      </c>
    </row>
    <row r="745" spans="1:9">
      <c r="A745" s="9" t="s">
        <v>1313</v>
      </c>
      <c r="B745" s="9"/>
      <c r="C745" t="s">
        <v>1374</v>
      </c>
      <c r="D745" s="5" t="s">
        <v>1374</v>
      </c>
      <c r="E745" s="1">
        <v>11410.12</v>
      </c>
    </row>
    <row r="746" spans="1:9">
      <c r="A746" s="9" t="s">
        <v>1313</v>
      </c>
      <c r="B746" s="9"/>
      <c r="C746" t="s">
        <v>1376</v>
      </c>
      <c r="D746" s="5" t="s">
        <v>1376</v>
      </c>
      <c r="E746" s="1">
        <v>18846.05</v>
      </c>
    </row>
    <row r="747" spans="1:9">
      <c r="A747" s="9" t="s">
        <v>1313</v>
      </c>
      <c r="B747" s="9"/>
      <c r="C747" t="s">
        <v>1378</v>
      </c>
      <c r="D747" s="5" t="s">
        <v>1380</v>
      </c>
      <c r="E747" s="1">
        <v>244</v>
      </c>
    </row>
    <row r="748" spans="1:9">
      <c r="A748" s="9" t="s">
        <v>1313</v>
      </c>
      <c r="B748" s="9"/>
      <c r="C748" t="s">
        <v>1170</v>
      </c>
      <c r="D748" s="5" t="s">
        <v>1172</v>
      </c>
      <c r="E748" s="1">
        <v>1426.05</v>
      </c>
      <c r="G748" s="1">
        <v>97.82</v>
      </c>
    </row>
    <row r="749" spans="1:9">
      <c r="A749" s="9" t="s">
        <v>1313</v>
      </c>
      <c r="B749" s="9"/>
      <c r="C749" t="s">
        <v>1381</v>
      </c>
      <c r="D749" s="5" t="s">
        <v>1383</v>
      </c>
      <c r="E749" s="1">
        <v>518.48</v>
      </c>
    </row>
    <row r="750" spans="1:9">
      <c r="A750" s="9" t="s">
        <v>1313</v>
      </c>
      <c r="B750" s="9"/>
      <c r="C750" t="s">
        <v>1384</v>
      </c>
      <c r="D750" s="5" t="s">
        <v>1386</v>
      </c>
      <c r="E750" s="1">
        <v>599.20000000000005</v>
      </c>
      <c r="G750" s="1">
        <v>293.92</v>
      </c>
    </row>
    <row r="751" spans="1:9">
      <c r="A751" s="9" t="s">
        <v>1313</v>
      </c>
      <c r="B751" s="9"/>
      <c r="C751" t="s">
        <v>669</v>
      </c>
      <c r="D751" s="5" t="s">
        <v>671</v>
      </c>
      <c r="E751" s="1">
        <v>221.49</v>
      </c>
    </row>
    <row r="752" spans="1:9">
      <c r="A752" s="9" t="s">
        <v>1313</v>
      </c>
      <c r="B752" s="9"/>
      <c r="C752" t="s">
        <v>1226</v>
      </c>
      <c r="D752" s="5" t="s">
        <v>1228</v>
      </c>
      <c r="E752" s="1">
        <v>4278.72</v>
      </c>
    </row>
    <row r="753" spans="1:9">
      <c r="A753" s="9" t="s">
        <v>1313</v>
      </c>
      <c r="B753" s="9"/>
      <c r="C753" t="s">
        <v>1387</v>
      </c>
      <c r="D753" s="5" t="s">
        <v>1387</v>
      </c>
      <c r="H753" s="1">
        <v>250558.27</v>
      </c>
    </row>
    <row r="754" spans="1:9">
      <c r="A754" s="9" t="s">
        <v>1313</v>
      </c>
      <c r="B754" s="9"/>
      <c r="C754" t="s">
        <v>1389</v>
      </c>
      <c r="D754" s="5" t="s">
        <v>1391</v>
      </c>
      <c r="E754" s="1">
        <v>100</v>
      </c>
    </row>
    <row r="755" spans="1:9">
      <c r="A755" s="9" t="s">
        <v>1313</v>
      </c>
      <c r="B755" s="9"/>
      <c r="C755" t="s">
        <v>1392</v>
      </c>
      <c r="D755" s="5" t="s">
        <v>1394</v>
      </c>
      <c r="H755" s="1">
        <v>221.19</v>
      </c>
    </row>
    <row r="756" spans="1:9">
      <c r="A756" s="9" t="s">
        <v>1313</v>
      </c>
      <c r="B756" s="9"/>
      <c r="C756" t="s">
        <v>1395</v>
      </c>
      <c r="D756" s="5" t="s">
        <v>1395</v>
      </c>
      <c r="H756" s="1">
        <v>5374.95</v>
      </c>
    </row>
    <row r="757" spans="1:9">
      <c r="A757" s="9" t="s">
        <v>1313</v>
      </c>
      <c r="B757" s="9"/>
      <c r="C757" t="s">
        <v>1397</v>
      </c>
      <c r="D757" s="5" t="s">
        <v>1397</v>
      </c>
      <c r="H757" s="1">
        <v>55451.01</v>
      </c>
    </row>
    <row r="758" spans="1:9">
      <c r="A758" s="9" t="s">
        <v>1399</v>
      </c>
      <c r="B758" s="9"/>
      <c r="C758" t="s">
        <v>1401</v>
      </c>
      <c r="D758" s="5" t="s">
        <v>1403</v>
      </c>
      <c r="E758" s="1">
        <v>14734.72</v>
      </c>
    </row>
    <row r="759" spans="1:9">
      <c r="A759" s="9" t="s">
        <v>1399</v>
      </c>
      <c r="B759" s="9"/>
      <c r="C759" t="s">
        <v>1244</v>
      </c>
      <c r="D759" s="5" t="s">
        <v>1246</v>
      </c>
      <c r="H759" s="1">
        <v>337.13</v>
      </c>
      <c r="I759" s="1">
        <v>227.23</v>
      </c>
    </row>
    <row r="760" spans="1:9">
      <c r="A760" s="9" t="s">
        <v>1399</v>
      </c>
      <c r="B760" s="9"/>
      <c r="C760" t="s">
        <v>1129</v>
      </c>
      <c r="D760" s="5" t="s">
        <v>1131</v>
      </c>
      <c r="H760" s="1">
        <v>145.755</v>
      </c>
      <c r="I760" s="1">
        <v>424.84</v>
      </c>
    </row>
    <row r="761" spans="1:9">
      <c r="A761" s="9" t="s">
        <v>1399</v>
      </c>
      <c r="B761" s="9"/>
      <c r="C761" t="s">
        <v>1126</v>
      </c>
      <c r="D761" s="5" t="s">
        <v>1128</v>
      </c>
      <c r="H761" s="1">
        <v>211.92</v>
      </c>
      <c r="I761" s="1">
        <v>372.84</v>
      </c>
    </row>
    <row r="762" spans="1:9">
      <c r="A762" s="9" t="s">
        <v>1399</v>
      </c>
      <c r="B762" s="9"/>
      <c r="C762" t="s">
        <v>1404</v>
      </c>
      <c r="D762" s="5" t="s">
        <v>1406</v>
      </c>
      <c r="H762" s="1">
        <v>973.83</v>
      </c>
    </row>
    <row r="763" spans="1:9">
      <c r="A763" s="9" t="s">
        <v>1399</v>
      </c>
      <c r="B763" s="9"/>
      <c r="C763" t="s">
        <v>1407</v>
      </c>
      <c r="D763" s="5" t="s">
        <v>1409</v>
      </c>
      <c r="H763" s="1">
        <v>454.4</v>
      </c>
    </row>
    <row r="764" spans="1:9">
      <c r="A764" s="9" t="s">
        <v>1399</v>
      </c>
      <c r="B764" s="9"/>
      <c r="C764" t="s">
        <v>555</v>
      </c>
      <c r="D764" s="5" t="s">
        <v>557</v>
      </c>
      <c r="H764" s="1">
        <v>1247.635</v>
      </c>
      <c r="I764" s="1">
        <v>1321.69</v>
      </c>
    </row>
    <row r="765" spans="1:9">
      <c r="A765" s="9" t="s">
        <v>1399</v>
      </c>
      <c r="B765" s="9"/>
      <c r="C765" t="s">
        <v>1099</v>
      </c>
      <c r="D765" s="5" t="s">
        <v>1101</v>
      </c>
      <c r="I765" s="1">
        <v>1344.74</v>
      </c>
    </row>
    <row r="766" spans="1:9">
      <c r="A766" s="9" t="s">
        <v>1399</v>
      </c>
      <c r="B766" s="9"/>
      <c r="C766" t="s">
        <v>1410</v>
      </c>
      <c r="D766" s="5" t="s">
        <v>1412</v>
      </c>
      <c r="E766" s="1">
        <v>9413.7999999999993</v>
      </c>
    </row>
    <row r="767" spans="1:9">
      <c r="A767" s="9" t="s">
        <v>1399</v>
      </c>
      <c r="B767" s="9"/>
      <c r="C767" t="s">
        <v>1413</v>
      </c>
      <c r="D767" s="5" t="s">
        <v>1415</v>
      </c>
      <c r="E767" s="1">
        <v>2500</v>
      </c>
    </row>
    <row r="768" spans="1:9">
      <c r="A768" s="9" t="s">
        <v>1399</v>
      </c>
      <c r="B768" s="9"/>
      <c r="C768" t="s">
        <v>1416</v>
      </c>
      <c r="D768" s="5" t="s">
        <v>1418</v>
      </c>
      <c r="H768" s="1">
        <v>239.84</v>
      </c>
    </row>
    <row r="769" spans="1:9">
      <c r="A769" s="9" t="s">
        <v>1399</v>
      </c>
      <c r="B769" s="9"/>
      <c r="C769" t="s">
        <v>1419</v>
      </c>
      <c r="D769" s="5" t="s">
        <v>1421</v>
      </c>
      <c r="E769" s="1">
        <v>18</v>
      </c>
      <c r="H769" s="1">
        <v>933.86</v>
      </c>
    </row>
    <row r="770" spans="1:9">
      <c r="A770" s="9" t="s">
        <v>1399</v>
      </c>
      <c r="B770" s="9"/>
      <c r="C770" t="s">
        <v>1422</v>
      </c>
      <c r="D770" s="5" t="s">
        <v>1424</v>
      </c>
      <c r="H770" s="1">
        <v>71</v>
      </c>
    </row>
    <row r="771" spans="1:9">
      <c r="A771" s="9" t="s">
        <v>1399</v>
      </c>
      <c r="B771" s="9"/>
      <c r="C771" t="s">
        <v>723</v>
      </c>
      <c r="D771" s="5" t="s">
        <v>725</v>
      </c>
      <c r="H771" s="1">
        <v>2318.5749999999998</v>
      </c>
      <c r="I771" s="1">
        <v>2702.43</v>
      </c>
    </row>
    <row r="772" spans="1:9">
      <c r="A772" s="9" t="s">
        <v>1399</v>
      </c>
      <c r="B772" s="9"/>
      <c r="C772" t="s">
        <v>1425</v>
      </c>
      <c r="D772" s="5" t="s">
        <v>1427</v>
      </c>
      <c r="E772" s="1">
        <v>290</v>
      </c>
      <c r="H772" s="1">
        <v>1482.37</v>
      </c>
    </row>
    <row r="773" spans="1:9">
      <c r="A773" s="9" t="s">
        <v>1399</v>
      </c>
      <c r="B773" s="9"/>
      <c r="C773" t="s">
        <v>543</v>
      </c>
      <c r="D773" s="5" t="s">
        <v>545</v>
      </c>
      <c r="H773" s="1">
        <v>423.84</v>
      </c>
    </row>
    <row r="774" spans="1:9">
      <c r="A774" s="9" t="s">
        <v>1399</v>
      </c>
      <c r="B774" s="9"/>
      <c r="C774" t="s">
        <v>1428</v>
      </c>
      <c r="D774" s="5" t="s">
        <v>1430</v>
      </c>
      <c r="H774" s="1">
        <v>573.6</v>
      </c>
      <c r="I774" s="1">
        <v>178.56</v>
      </c>
    </row>
    <row r="775" spans="1:9">
      <c r="A775" s="9" t="s">
        <v>1399</v>
      </c>
      <c r="B775" s="9"/>
      <c r="C775" t="s">
        <v>1123</v>
      </c>
      <c r="D775" s="5" t="s">
        <v>1125</v>
      </c>
      <c r="H775" s="1">
        <v>520.02</v>
      </c>
      <c r="I775" s="1">
        <v>1404.44</v>
      </c>
    </row>
    <row r="776" spans="1:9">
      <c r="A776" s="9" t="s">
        <v>1399</v>
      </c>
      <c r="B776" s="9"/>
      <c r="C776" t="s">
        <v>1102</v>
      </c>
      <c r="D776" s="5" t="s">
        <v>1104</v>
      </c>
      <c r="H776" s="1">
        <v>211.13</v>
      </c>
      <c r="I776" s="1">
        <v>532.79999999999995</v>
      </c>
    </row>
    <row r="777" spans="1:9">
      <c r="A777" s="9" t="s">
        <v>1399</v>
      </c>
      <c r="B777" s="9"/>
      <c r="C777" t="s">
        <v>681</v>
      </c>
      <c r="D777" s="5" t="s">
        <v>683</v>
      </c>
      <c r="H777" s="1">
        <v>1551.7049999999999</v>
      </c>
    </row>
    <row r="778" spans="1:9">
      <c r="A778" s="9" t="s">
        <v>1399</v>
      </c>
      <c r="B778" s="9"/>
      <c r="C778" t="s">
        <v>1431</v>
      </c>
      <c r="D778" s="5" t="s">
        <v>1433</v>
      </c>
      <c r="H778" s="1">
        <v>627.20000000000005</v>
      </c>
    </row>
    <row r="779" spans="1:9">
      <c r="A779" s="9" t="s">
        <v>1399</v>
      </c>
      <c r="B779" s="9"/>
      <c r="C779" t="s">
        <v>288</v>
      </c>
      <c r="D779" s="5" t="s">
        <v>290</v>
      </c>
      <c r="H779" s="1">
        <v>469.82</v>
      </c>
      <c r="I779" s="1">
        <v>2339.73</v>
      </c>
    </row>
    <row r="780" spans="1:9">
      <c r="A780" s="9" t="s">
        <v>1399</v>
      </c>
      <c r="B780" s="9"/>
      <c r="C780" t="s">
        <v>1434</v>
      </c>
      <c r="D780" s="5" t="s">
        <v>1436</v>
      </c>
      <c r="E780" s="1">
        <v>6367.45</v>
      </c>
    </row>
    <row r="781" spans="1:9">
      <c r="A781" s="9" t="s">
        <v>1399</v>
      </c>
      <c r="B781" s="9"/>
      <c r="C781" t="s">
        <v>1437</v>
      </c>
      <c r="D781" s="5" t="s">
        <v>1439</v>
      </c>
      <c r="E781" s="1">
        <v>7280</v>
      </c>
    </row>
    <row r="782" spans="1:9">
      <c r="A782" s="9" t="s">
        <v>1399</v>
      </c>
      <c r="B782" s="9"/>
      <c r="C782" t="s">
        <v>1440</v>
      </c>
      <c r="D782" s="5" t="s">
        <v>1442</v>
      </c>
      <c r="E782" s="1">
        <v>16640</v>
      </c>
    </row>
    <row r="783" spans="1:9">
      <c r="A783" s="9" t="s">
        <v>1399</v>
      </c>
      <c r="B783" s="9"/>
      <c r="C783" t="s">
        <v>1443</v>
      </c>
      <c r="D783" s="5" t="s">
        <v>1445</v>
      </c>
      <c r="E783" s="1">
        <v>95992</v>
      </c>
      <c r="H783" s="1">
        <v>74.959999999999994</v>
      </c>
    </row>
    <row r="784" spans="1:9">
      <c r="A784" s="12" t="s">
        <v>1399</v>
      </c>
      <c r="B784" s="12" t="s">
        <v>1715</v>
      </c>
      <c r="C784" s="14" t="s">
        <v>72</v>
      </c>
      <c r="D784" s="15" t="s">
        <v>74</v>
      </c>
      <c r="H784" s="16">
        <v>60.95</v>
      </c>
    </row>
    <row r="785" spans="1:9">
      <c r="A785" s="12" t="s">
        <v>1399</v>
      </c>
      <c r="B785" s="12" t="s">
        <v>1715</v>
      </c>
      <c r="C785" s="14" t="s">
        <v>1446</v>
      </c>
      <c r="D785" s="15" t="s">
        <v>1448</v>
      </c>
      <c r="H785" s="16">
        <v>425.97</v>
      </c>
      <c r="I785" s="16">
        <v>35.75</v>
      </c>
    </row>
    <row r="786" spans="1:9">
      <c r="A786" s="9" t="s">
        <v>1399</v>
      </c>
      <c r="B786" s="9"/>
      <c r="C786" t="s">
        <v>1449</v>
      </c>
      <c r="D786" s="5" t="s">
        <v>1451</v>
      </c>
      <c r="H786" s="1">
        <v>2196.1799999999998</v>
      </c>
    </row>
    <row r="787" spans="1:9">
      <c r="A787" s="9" t="s">
        <v>1399</v>
      </c>
      <c r="B787" s="9"/>
      <c r="C787" t="s">
        <v>1452</v>
      </c>
      <c r="D787" s="5" t="s">
        <v>1454</v>
      </c>
      <c r="H787" s="1">
        <v>1347.44</v>
      </c>
    </row>
    <row r="788" spans="1:9">
      <c r="A788" s="9" t="s">
        <v>1399</v>
      </c>
      <c r="B788" s="9"/>
      <c r="C788" t="s">
        <v>1455</v>
      </c>
      <c r="D788" s="5" t="s">
        <v>1457</v>
      </c>
      <c r="H788" s="1">
        <v>290.27999999999997</v>
      </c>
    </row>
    <row r="789" spans="1:9">
      <c r="A789" s="12" t="s">
        <v>1399</v>
      </c>
      <c r="B789" s="12" t="s">
        <v>1904</v>
      </c>
      <c r="C789" s="14" t="s">
        <v>1334</v>
      </c>
      <c r="D789" s="15" t="s">
        <v>1336</v>
      </c>
      <c r="H789" s="16">
        <v>30.21</v>
      </c>
    </row>
    <row r="790" spans="1:9">
      <c r="A790" s="9" t="s">
        <v>1399</v>
      </c>
      <c r="B790" s="9"/>
      <c r="C790" t="s">
        <v>1108</v>
      </c>
      <c r="D790" s="5" t="s">
        <v>1110</v>
      </c>
      <c r="H790" s="1">
        <v>1823.79</v>
      </c>
      <c r="I790" s="1">
        <v>1501.49</v>
      </c>
    </row>
    <row r="791" spans="1:9">
      <c r="A791" s="9" t="s">
        <v>1399</v>
      </c>
      <c r="B791" s="9"/>
      <c r="C791" t="s">
        <v>1458</v>
      </c>
      <c r="D791" s="5" t="s">
        <v>1460</v>
      </c>
      <c r="H791" s="1">
        <v>694.24</v>
      </c>
    </row>
    <row r="792" spans="1:9">
      <c r="A792" s="9" t="s">
        <v>1399</v>
      </c>
      <c r="B792" s="9"/>
      <c r="C792" t="s">
        <v>1461</v>
      </c>
      <c r="D792" s="5" t="s">
        <v>1463</v>
      </c>
      <c r="H792" s="1">
        <v>119.92</v>
      </c>
    </row>
    <row r="793" spans="1:9">
      <c r="A793" s="9" t="s">
        <v>1399</v>
      </c>
      <c r="B793" s="9"/>
      <c r="C793" t="s">
        <v>1464</v>
      </c>
      <c r="D793" s="5" t="s">
        <v>1466</v>
      </c>
      <c r="E793" s="1">
        <v>0</v>
      </c>
    </row>
    <row r="794" spans="1:9">
      <c r="A794" s="12" t="s">
        <v>1399</v>
      </c>
      <c r="B794" s="12" t="s">
        <v>1715</v>
      </c>
      <c r="C794" s="14" t="s">
        <v>186</v>
      </c>
      <c r="D794" s="15" t="s">
        <v>188</v>
      </c>
      <c r="H794" s="16">
        <v>772.8</v>
      </c>
    </row>
    <row r="795" spans="1:9">
      <c r="A795" s="12" t="s">
        <v>1399</v>
      </c>
      <c r="B795" s="12" t="s">
        <v>1901</v>
      </c>
      <c r="C795" s="14" t="s">
        <v>1307</v>
      </c>
      <c r="D795" s="15" t="s">
        <v>1309</v>
      </c>
      <c r="H795" s="16">
        <v>6.85</v>
      </c>
    </row>
    <row r="796" spans="1:9">
      <c r="A796" s="9" t="s">
        <v>1399</v>
      </c>
      <c r="B796" s="9"/>
      <c r="C796" t="s">
        <v>1467</v>
      </c>
      <c r="D796" s="5" t="s">
        <v>1469</v>
      </c>
      <c r="E796" s="1">
        <v>2643.9</v>
      </c>
    </row>
    <row r="797" spans="1:9">
      <c r="A797" s="9" t="s">
        <v>1399</v>
      </c>
      <c r="B797" s="9"/>
      <c r="C797" t="s">
        <v>1470</v>
      </c>
      <c r="D797" s="5" t="s">
        <v>1472</v>
      </c>
      <c r="E797" s="1">
        <v>220</v>
      </c>
    </row>
    <row r="798" spans="1:9">
      <c r="A798" s="12" t="s">
        <v>1399</v>
      </c>
      <c r="B798" s="12" t="s">
        <v>1715</v>
      </c>
      <c r="C798" s="14" t="s">
        <v>630</v>
      </c>
      <c r="D798" s="15" t="s">
        <v>632</v>
      </c>
      <c r="H798" s="16">
        <v>216.72</v>
      </c>
    </row>
    <row r="799" spans="1:9">
      <c r="A799" s="9" t="s">
        <v>1399</v>
      </c>
      <c r="B799" s="9"/>
      <c r="C799" t="s">
        <v>1326</v>
      </c>
      <c r="D799" s="5" t="s">
        <v>1328</v>
      </c>
      <c r="H799" s="1">
        <v>80.56</v>
      </c>
    </row>
    <row r="800" spans="1:9">
      <c r="A800" s="12" t="s">
        <v>1399</v>
      </c>
      <c r="B800" s="12" t="s">
        <v>1715</v>
      </c>
      <c r="C800" s="14" t="s">
        <v>373</v>
      </c>
      <c r="D800" s="15" t="s">
        <v>375</v>
      </c>
      <c r="H800" s="16">
        <v>552</v>
      </c>
    </row>
    <row r="801" spans="1:9">
      <c r="A801" s="9" t="s">
        <v>1399</v>
      </c>
      <c r="B801" s="9"/>
      <c r="C801" t="s">
        <v>1392</v>
      </c>
      <c r="D801" s="5" t="s">
        <v>1394</v>
      </c>
      <c r="H801" s="1">
        <v>30.21</v>
      </c>
    </row>
    <row r="802" spans="1:9">
      <c r="A802" s="9" t="s">
        <v>1399</v>
      </c>
      <c r="B802" s="9"/>
      <c r="C802" t="s">
        <v>1105</v>
      </c>
      <c r="D802" s="5" t="s">
        <v>1107</v>
      </c>
      <c r="H802" s="1">
        <v>1361.01</v>
      </c>
      <c r="I802" s="1">
        <v>1719.82</v>
      </c>
    </row>
    <row r="803" spans="1:9">
      <c r="A803" s="9" t="s">
        <v>1399</v>
      </c>
      <c r="B803" s="9"/>
      <c r="C803" t="s">
        <v>546</v>
      </c>
      <c r="D803" s="5" t="s">
        <v>548</v>
      </c>
      <c r="H803" s="1">
        <v>240.8</v>
      </c>
    </row>
    <row r="804" spans="1:9">
      <c r="A804" s="9" t="s">
        <v>1473</v>
      </c>
      <c r="B804" s="9"/>
      <c r="C804" t="s">
        <v>1475</v>
      </c>
      <c r="D804" s="5" t="s">
        <v>1477</v>
      </c>
      <c r="E804" s="1">
        <v>5632.08</v>
      </c>
    </row>
    <row r="805" spans="1:9">
      <c r="A805" s="9" t="s">
        <v>1473</v>
      </c>
      <c r="B805" s="9"/>
      <c r="C805" t="s">
        <v>1478</v>
      </c>
      <c r="D805" s="5" t="s">
        <v>1480</v>
      </c>
      <c r="E805" s="1">
        <v>11940</v>
      </c>
    </row>
    <row r="806" spans="1:9">
      <c r="A806" s="9" t="s">
        <v>1473</v>
      </c>
      <c r="B806" s="9"/>
      <c r="C806" t="s">
        <v>1481</v>
      </c>
      <c r="D806" s="5" t="s">
        <v>1483</v>
      </c>
      <c r="E806" s="1">
        <v>8583.7000000000007</v>
      </c>
      <c r="H806" s="1">
        <v>467.005</v>
      </c>
    </row>
    <row r="807" spans="1:9">
      <c r="A807" s="9" t="s">
        <v>1473</v>
      </c>
      <c r="B807" s="9"/>
      <c r="C807" t="s">
        <v>1484</v>
      </c>
      <c r="D807" s="5" t="s">
        <v>1486</v>
      </c>
      <c r="E807" s="1">
        <v>19735</v>
      </c>
      <c r="H807" s="1">
        <v>671.66</v>
      </c>
    </row>
    <row r="808" spans="1:9">
      <c r="A808" s="9" t="s">
        <v>1473</v>
      </c>
      <c r="B808" s="9"/>
      <c r="C808" t="s">
        <v>1487</v>
      </c>
      <c r="D808" s="5" t="s">
        <v>1489</v>
      </c>
      <c r="E808" s="1">
        <v>2600</v>
      </c>
    </row>
    <row r="809" spans="1:9">
      <c r="A809" s="9" t="s">
        <v>1473</v>
      </c>
      <c r="B809" s="9"/>
      <c r="C809" t="s">
        <v>1443</v>
      </c>
      <c r="D809" s="5" t="s">
        <v>1445</v>
      </c>
      <c r="E809" s="1">
        <v>7670</v>
      </c>
      <c r="H809" s="1">
        <v>1911.2</v>
      </c>
    </row>
    <row r="810" spans="1:9">
      <c r="A810" s="9" t="s">
        <v>1473</v>
      </c>
      <c r="B810" s="9"/>
      <c r="C810" t="s">
        <v>1434</v>
      </c>
      <c r="D810" s="5" t="s">
        <v>1436</v>
      </c>
      <c r="E810" s="1">
        <v>6876.97</v>
      </c>
    </row>
    <row r="811" spans="1:9">
      <c r="A811" s="9" t="s">
        <v>1473</v>
      </c>
      <c r="B811" s="9"/>
      <c r="C811" t="s">
        <v>1428</v>
      </c>
      <c r="D811" s="5" t="s">
        <v>1430</v>
      </c>
      <c r="E811" s="1">
        <v>1388</v>
      </c>
      <c r="H811" s="1">
        <v>1931.67</v>
      </c>
    </row>
    <row r="812" spans="1:9">
      <c r="A812" s="9" t="s">
        <v>1473</v>
      </c>
      <c r="B812" s="9"/>
      <c r="C812" t="s">
        <v>1490</v>
      </c>
      <c r="D812" s="5" t="s">
        <v>1492</v>
      </c>
      <c r="E812" s="1">
        <v>0</v>
      </c>
    </row>
    <row r="813" spans="1:9">
      <c r="A813" s="9" t="s">
        <v>1473</v>
      </c>
      <c r="B813" s="9"/>
      <c r="C813" t="s">
        <v>1493</v>
      </c>
      <c r="D813" s="5" t="s">
        <v>1495</v>
      </c>
      <c r="E813" s="1">
        <v>50</v>
      </c>
      <c r="H813" s="1">
        <v>1490.925</v>
      </c>
      <c r="I813" s="1">
        <v>236.53</v>
      </c>
    </row>
    <row r="814" spans="1:9">
      <c r="A814" s="9" t="s">
        <v>1473</v>
      </c>
      <c r="B814" s="9"/>
      <c r="C814" t="s">
        <v>1425</v>
      </c>
      <c r="D814" s="5" t="s">
        <v>1427</v>
      </c>
      <c r="E814" s="1">
        <v>517</v>
      </c>
      <c r="H814" s="1">
        <v>2478.59</v>
      </c>
    </row>
    <row r="815" spans="1:9">
      <c r="A815" s="9" t="s">
        <v>1473</v>
      </c>
      <c r="B815" s="9"/>
      <c r="C815" t="s">
        <v>1496</v>
      </c>
      <c r="D815" s="5" t="s">
        <v>1498</v>
      </c>
      <c r="E815" s="1">
        <v>7622.89</v>
      </c>
    </row>
    <row r="816" spans="1:9">
      <c r="A816" s="9" t="s">
        <v>1473</v>
      </c>
      <c r="B816" s="9"/>
      <c r="C816" t="s">
        <v>192</v>
      </c>
      <c r="D816" s="5" t="s">
        <v>194</v>
      </c>
      <c r="H816" s="1">
        <v>211.76</v>
      </c>
    </row>
    <row r="817" spans="1:8">
      <c r="A817" s="9" t="s">
        <v>1473</v>
      </c>
      <c r="B817" s="9"/>
      <c r="C817" t="s">
        <v>1499</v>
      </c>
      <c r="D817" s="5" t="s">
        <v>1501</v>
      </c>
      <c r="E817" s="1">
        <v>13674.63</v>
      </c>
      <c r="H817" s="1">
        <v>807.875</v>
      </c>
    </row>
    <row r="818" spans="1:8">
      <c r="A818" s="12" t="s">
        <v>1473</v>
      </c>
      <c r="B818" s="12" t="s">
        <v>1715</v>
      </c>
      <c r="C818" s="14" t="s">
        <v>412</v>
      </c>
      <c r="D818" s="15" t="s">
        <v>414</v>
      </c>
      <c r="H818" s="16">
        <v>78.180000000000007</v>
      </c>
    </row>
    <row r="819" spans="1:8">
      <c r="A819" s="9" t="s">
        <v>1473</v>
      </c>
      <c r="B819" s="9"/>
      <c r="C819" t="s">
        <v>1470</v>
      </c>
      <c r="D819" s="5" t="s">
        <v>1472</v>
      </c>
      <c r="E819" s="1">
        <v>15000</v>
      </c>
      <c r="H819" s="1">
        <v>1127.095</v>
      </c>
    </row>
    <row r="820" spans="1:8">
      <c r="A820" s="9" t="s">
        <v>1473</v>
      </c>
      <c r="B820" s="9"/>
      <c r="C820" t="s">
        <v>1449</v>
      </c>
      <c r="D820" s="5" t="s">
        <v>1451</v>
      </c>
      <c r="E820" s="1">
        <v>800</v>
      </c>
      <c r="H820" s="1">
        <v>2117.5700000000002</v>
      </c>
    </row>
    <row r="821" spans="1:8">
      <c r="A821" s="9" t="s">
        <v>1473</v>
      </c>
      <c r="B821" s="9"/>
      <c r="C821" t="s">
        <v>1502</v>
      </c>
      <c r="D821" s="5" t="s">
        <v>1504</v>
      </c>
      <c r="E821" s="1">
        <v>7589.77</v>
      </c>
      <c r="H821" s="1">
        <v>797.78</v>
      </c>
    </row>
    <row r="822" spans="1:8">
      <c r="A822" s="9" t="s">
        <v>1473</v>
      </c>
      <c r="B822" s="9"/>
      <c r="C822" t="s">
        <v>1505</v>
      </c>
      <c r="D822" s="5" t="s">
        <v>1507</v>
      </c>
      <c r="E822" s="1">
        <v>13622.5</v>
      </c>
      <c r="H822" s="1">
        <v>682.245</v>
      </c>
    </row>
    <row r="823" spans="1:8">
      <c r="A823" s="9" t="s">
        <v>1473</v>
      </c>
      <c r="B823" s="9"/>
      <c r="C823" t="s">
        <v>1508</v>
      </c>
      <c r="D823" s="5" t="s">
        <v>1510</v>
      </c>
      <c r="E823" s="1">
        <v>9342.4</v>
      </c>
      <c r="H823" s="1">
        <v>240.23</v>
      </c>
    </row>
    <row r="824" spans="1:8">
      <c r="A824" s="9" t="s">
        <v>1473</v>
      </c>
      <c r="B824" s="9"/>
      <c r="C824" t="s">
        <v>1511</v>
      </c>
      <c r="D824" s="5" t="s">
        <v>1513</v>
      </c>
      <c r="E824" s="1">
        <v>800</v>
      </c>
    </row>
    <row r="825" spans="1:8">
      <c r="A825" s="9" t="s">
        <v>1473</v>
      </c>
      <c r="B825" s="9"/>
      <c r="C825" t="s">
        <v>114</v>
      </c>
      <c r="D825" s="5" t="s">
        <v>116</v>
      </c>
      <c r="E825" s="1">
        <v>16800</v>
      </c>
    </row>
    <row r="826" spans="1:8">
      <c r="A826" s="9" t="s">
        <v>1473</v>
      </c>
      <c r="B826" s="9"/>
      <c r="C826" t="s">
        <v>1514</v>
      </c>
      <c r="D826" s="5" t="s">
        <v>1516</v>
      </c>
      <c r="E826" s="1">
        <v>500</v>
      </c>
    </row>
    <row r="827" spans="1:8">
      <c r="A827" s="9" t="s">
        <v>1473</v>
      </c>
      <c r="B827" s="9"/>
      <c r="C827" t="s">
        <v>1517</v>
      </c>
      <c r="D827" s="5" t="s">
        <v>1519</v>
      </c>
      <c r="E827" s="1">
        <v>760</v>
      </c>
      <c r="H827" s="1">
        <v>1008.475</v>
      </c>
    </row>
    <row r="828" spans="1:8">
      <c r="A828" s="9" t="s">
        <v>1473</v>
      </c>
      <c r="B828" s="9"/>
      <c r="C828" t="s">
        <v>1520</v>
      </c>
      <c r="D828" s="5" t="s">
        <v>1522</v>
      </c>
      <c r="E828" s="1">
        <v>45276.9</v>
      </c>
      <c r="H828" s="1">
        <v>769.36500000000001</v>
      </c>
    </row>
    <row r="829" spans="1:8">
      <c r="A829" s="9" t="s">
        <v>1473</v>
      </c>
      <c r="B829" s="9"/>
      <c r="C829" t="s">
        <v>1523</v>
      </c>
      <c r="D829" s="5" t="s">
        <v>1525</v>
      </c>
      <c r="E829" s="1">
        <v>3424.5</v>
      </c>
    </row>
    <row r="830" spans="1:8">
      <c r="A830" s="9" t="s">
        <v>1473</v>
      </c>
      <c r="B830" s="9"/>
      <c r="C830" t="s">
        <v>1111</v>
      </c>
      <c r="D830" s="5" t="s">
        <v>1113</v>
      </c>
      <c r="E830" s="1">
        <v>24000</v>
      </c>
    </row>
    <row r="831" spans="1:8">
      <c r="A831" s="9" t="s">
        <v>1473</v>
      </c>
      <c r="B831" s="9"/>
      <c r="C831" t="s">
        <v>1437</v>
      </c>
      <c r="D831" s="5" t="s">
        <v>1439</v>
      </c>
      <c r="E831" s="1">
        <v>3000</v>
      </c>
    </row>
    <row r="832" spans="1:8">
      <c r="A832" s="9" t="s">
        <v>1473</v>
      </c>
      <c r="B832" s="9"/>
      <c r="C832" t="s">
        <v>1526</v>
      </c>
      <c r="D832" s="5" t="s">
        <v>1528</v>
      </c>
      <c r="E832" s="1">
        <v>4800</v>
      </c>
    </row>
    <row r="833" spans="1:8">
      <c r="A833" s="9" t="s">
        <v>1473</v>
      </c>
      <c r="B833" s="9"/>
      <c r="C833" t="s">
        <v>1529</v>
      </c>
      <c r="D833" s="5" t="s">
        <v>1531</v>
      </c>
      <c r="E833" s="1">
        <v>5681.51</v>
      </c>
    </row>
    <row r="834" spans="1:8">
      <c r="A834" s="9" t="s">
        <v>1473</v>
      </c>
      <c r="B834" s="9"/>
      <c r="C834" t="s">
        <v>1532</v>
      </c>
      <c r="D834" s="5" t="s">
        <v>1534</v>
      </c>
      <c r="H834" s="1">
        <v>302.93</v>
      </c>
    </row>
    <row r="835" spans="1:8">
      <c r="A835" s="9" t="s">
        <v>1473</v>
      </c>
      <c r="B835" s="9"/>
      <c r="C835" t="s">
        <v>117</v>
      </c>
      <c r="D835" s="5" t="s">
        <v>119</v>
      </c>
      <c r="E835" s="1">
        <v>622.5</v>
      </c>
      <c r="H835" s="1">
        <v>36.96</v>
      </c>
    </row>
    <row r="836" spans="1:8">
      <c r="A836" s="9" t="s">
        <v>1473</v>
      </c>
      <c r="B836" s="9"/>
      <c r="C836" t="s">
        <v>681</v>
      </c>
      <c r="D836" s="5" t="s">
        <v>683</v>
      </c>
      <c r="E836" s="1">
        <v>10857.08</v>
      </c>
      <c r="H836" s="1">
        <v>423.69</v>
      </c>
    </row>
    <row r="837" spans="1:8">
      <c r="A837" s="9" t="s">
        <v>1473</v>
      </c>
      <c r="B837" s="9"/>
      <c r="C837" t="s">
        <v>492</v>
      </c>
      <c r="D837" s="5" t="s">
        <v>494</v>
      </c>
      <c r="H837" s="1">
        <v>385.28</v>
      </c>
    </row>
    <row r="838" spans="1:8">
      <c r="A838" s="9" t="s">
        <v>1473</v>
      </c>
      <c r="B838" s="9"/>
      <c r="C838" t="s">
        <v>1535</v>
      </c>
      <c r="D838" s="5" t="s">
        <v>1537</v>
      </c>
      <c r="E838" s="1">
        <v>11049.5</v>
      </c>
      <c r="H838" s="1">
        <v>374.70499999999998</v>
      </c>
    </row>
    <row r="839" spans="1:8">
      <c r="A839" s="9" t="s">
        <v>1473</v>
      </c>
      <c r="B839" s="9"/>
      <c r="C839" t="s">
        <v>1538</v>
      </c>
      <c r="D839" s="5" t="s">
        <v>1540</v>
      </c>
      <c r="E839" s="1">
        <v>15537.3</v>
      </c>
      <c r="H839" s="1">
        <v>545.91999999999996</v>
      </c>
    </row>
    <row r="840" spans="1:8">
      <c r="A840" s="9" t="s">
        <v>1473</v>
      </c>
      <c r="B840" s="9"/>
      <c r="C840" t="s">
        <v>1541</v>
      </c>
      <c r="D840" s="5" t="s">
        <v>1543</v>
      </c>
      <c r="E840" s="1">
        <v>760</v>
      </c>
      <c r="H840" s="1">
        <v>467.09500000000003</v>
      </c>
    </row>
    <row r="841" spans="1:8">
      <c r="A841" s="9" t="s">
        <v>1473</v>
      </c>
      <c r="B841" s="9"/>
      <c r="C841" t="s">
        <v>1544</v>
      </c>
      <c r="D841" s="5" t="s">
        <v>1546</v>
      </c>
      <c r="E841" s="1">
        <v>500</v>
      </c>
    </row>
    <row r="842" spans="1:8">
      <c r="A842" s="9" t="s">
        <v>1473</v>
      </c>
      <c r="B842" s="9"/>
      <c r="C842" t="s">
        <v>1547</v>
      </c>
      <c r="D842" s="5" t="s">
        <v>1549</v>
      </c>
      <c r="E842" s="1">
        <v>260</v>
      </c>
      <c r="H842" s="1">
        <v>424.82</v>
      </c>
    </row>
    <row r="843" spans="1:8">
      <c r="A843" s="9" t="s">
        <v>1473</v>
      </c>
      <c r="B843" s="9"/>
      <c r="C843" t="s">
        <v>1550</v>
      </c>
      <c r="D843" s="5" t="s">
        <v>1552</v>
      </c>
      <c r="E843" s="1">
        <v>15667.2</v>
      </c>
      <c r="H843" s="1">
        <v>288.04000000000002</v>
      </c>
    </row>
    <row r="844" spans="1:8">
      <c r="A844" s="9" t="s">
        <v>1473</v>
      </c>
      <c r="B844" s="9"/>
      <c r="C844" t="s">
        <v>1553</v>
      </c>
      <c r="D844" s="5" t="s">
        <v>1555</v>
      </c>
      <c r="E844" s="1">
        <v>6669.6</v>
      </c>
      <c r="H844" s="1">
        <v>247.065</v>
      </c>
    </row>
    <row r="845" spans="1:8">
      <c r="A845" s="9" t="s">
        <v>1473</v>
      </c>
      <c r="B845" s="9"/>
      <c r="C845" t="s">
        <v>1556</v>
      </c>
      <c r="D845" s="5" t="s">
        <v>1558</v>
      </c>
      <c r="E845" s="1">
        <v>4939.2</v>
      </c>
    </row>
    <row r="846" spans="1:8">
      <c r="A846" s="9" t="s">
        <v>1473</v>
      </c>
      <c r="B846" s="9"/>
      <c r="C846" t="s">
        <v>1559</v>
      </c>
      <c r="D846" s="5" t="s">
        <v>1561</v>
      </c>
      <c r="H846" s="1">
        <v>431.04</v>
      </c>
    </row>
    <row r="847" spans="1:8">
      <c r="A847" s="9" t="s">
        <v>1473</v>
      </c>
      <c r="B847" s="9"/>
      <c r="C847" t="s">
        <v>1562</v>
      </c>
      <c r="D847" s="5" t="s">
        <v>1564</v>
      </c>
      <c r="H847" s="1">
        <v>2272.1950000000002</v>
      </c>
    </row>
    <row r="848" spans="1:8">
      <c r="A848" s="9" t="s">
        <v>1473</v>
      </c>
      <c r="B848" s="9"/>
      <c r="C848" t="s">
        <v>1565</v>
      </c>
      <c r="D848" s="5" t="s">
        <v>1567</v>
      </c>
      <c r="E848" s="1">
        <v>19239.400000000001</v>
      </c>
      <c r="H848" s="1">
        <v>961.29</v>
      </c>
    </row>
    <row r="849" spans="1:8">
      <c r="A849" s="9" t="s">
        <v>1473</v>
      </c>
      <c r="B849" s="9"/>
      <c r="C849" t="s">
        <v>1292</v>
      </c>
      <c r="D849" s="5" t="s">
        <v>1294</v>
      </c>
      <c r="E849" s="1">
        <v>1267</v>
      </c>
      <c r="H849" s="1">
        <v>3451.77</v>
      </c>
    </row>
    <row r="850" spans="1:8">
      <c r="A850" s="9" t="s">
        <v>1473</v>
      </c>
      <c r="B850" s="9"/>
      <c r="C850" t="s">
        <v>1568</v>
      </c>
      <c r="D850" s="5" t="s">
        <v>1570</v>
      </c>
      <c r="E850" s="1">
        <v>936</v>
      </c>
    </row>
    <row r="851" spans="1:8">
      <c r="A851" s="9" t="s">
        <v>1473</v>
      </c>
      <c r="B851" s="9"/>
      <c r="C851" t="s">
        <v>1571</v>
      </c>
      <c r="D851" s="5" t="s">
        <v>1573</v>
      </c>
      <c r="E851" s="1">
        <v>3411.9</v>
      </c>
    </row>
    <row r="852" spans="1:8">
      <c r="A852" s="9" t="s">
        <v>1473</v>
      </c>
      <c r="B852" s="9"/>
      <c r="C852" t="s">
        <v>347</v>
      </c>
      <c r="D852" s="5" t="s">
        <v>349</v>
      </c>
      <c r="E852" s="1">
        <v>61360</v>
      </c>
      <c r="H852" s="1">
        <v>1263.6600000000001</v>
      </c>
    </row>
    <row r="853" spans="1:8">
      <c r="A853" s="9" t="s">
        <v>1473</v>
      </c>
      <c r="B853" s="9"/>
      <c r="C853" t="s">
        <v>1574</v>
      </c>
      <c r="D853" s="5" t="s">
        <v>1576</v>
      </c>
      <c r="E853" s="1">
        <v>19333.64</v>
      </c>
    </row>
    <row r="854" spans="1:8">
      <c r="A854" s="9" t="s">
        <v>1473</v>
      </c>
      <c r="B854" s="9"/>
      <c r="C854" t="s">
        <v>1577</v>
      </c>
      <c r="D854" s="5" t="s">
        <v>1579</v>
      </c>
      <c r="E854" s="1">
        <v>833</v>
      </c>
    </row>
    <row r="855" spans="1:8">
      <c r="A855" s="9" t="s">
        <v>1473</v>
      </c>
      <c r="B855" s="9"/>
      <c r="C855" t="s">
        <v>1580</v>
      </c>
      <c r="D855" s="5" t="s">
        <v>1582</v>
      </c>
      <c r="E855" s="1">
        <v>0</v>
      </c>
    </row>
    <row r="856" spans="1:8">
      <c r="A856" s="9" t="s">
        <v>1473</v>
      </c>
      <c r="B856" s="9"/>
      <c r="C856" t="s">
        <v>1583</v>
      </c>
      <c r="D856" s="5" t="s">
        <v>1585</v>
      </c>
      <c r="E856" s="1">
        <v>455</v>
      </c>
      <c r="H856" s="1">
        <v>200.42</v>
      </c>
    </row>
    <row r="857" spans="1:8">
      <c r="A857" s="9" t="s">
        <v>1473</v>
      </c>
      <c r="B857" s="9"/>
      <c r="C857" t="s">
        <v>1586</v>
      </c>
      <c r="D857" s="5" t="s">
        <v>1588</v>
      </c>
      <c r="H857" s="1">
        <v>495.55</v>
      </c>
    </row>
    <row r="858" spans="1:8">
      <c r="A858" s="12" t="s">
        <v>1473</v>
      </c>
      <c r="B858" s="12" t="s">
        <v>1905</v>
      </c>
      <c r="C858" s="14" t="s">
        <v>264</v>
      </c>
      <c r="D858" s="15" t="s">
        <v>266</v>
      </c>
      <c r="H858" s="16">
        <v>44.02</v>
      </c>
    </row>
    <row r="859" spans="1:8">
      <c r="A859" s="9" t="s">
        <v>1473</v>
      </c>
      <c r="B859" s="9"/>
      <c r="C859" t="s">
        <v>147</v>
      </c>
      <c r="D859" s="5" t="s">
        <v>149</v>
      </c>
      <c r="E859" s="1">
        <v>760</v>
      </c>
      <c r="H859" s="1">
        <v>151.82</v>
      </c>
    </row>
    <row r="860" spans="1:8">
      <c r="A860" s="9" t="s">
        <v>1473</v>
      </c>
      <c r="B860" s="9"/>
      <c r="C860" t="s">
        <v>1589</v>
      </c>
      <c r="D860" s="5" t="s">
        <v>1591</v>
      </c>
      <c r="H860" s="1">
        <v>556.79999999999995</v>
      </c>
    </row>
    <row r="861" spans="1:8">
      <c r="A861" s="9" t="s">
        <v>1473</v>
      </c>
      <c r="B861" s="9"/>
      <c r="C861" t="s">
        <v>1416</v>
      </c>
      <c r="D861" s="5" t="s">
        <v>1418</v>
      </c>
      <c r="E861" s="1">
        <v>10315.700000000001</v>
      </c>
      <c r="H861" s="1">
        <v>431.815</v>
      </c>
    </row>
    <row r="862" spans="1:8">
      <c r="A862" s="9" t="s">
        <v>1473</v>
      </c>
      <c r="B862" s="9"/>
      <c r="C862" t="s">
        <v>627</v>
      </c>
      <c r="D862" s="5" t="s">
        <v>629</v>
      </c>
      <c r="H862" s="1">
        <v>144.55000000000001</v>
      </c>
    </row>
    <row r="863" spans="1:8">
      <c r="A863" s="9" t="s">
        <v>1473</v>
      </c>
      <c r="B863" s="9"/>
      <c r="C863" t="s">
        <v>1592</v>
      </c>
      <c r="D863" s="5" t="s">
        <v>1594</v>
      </c>
      <c r="H863" s="1">
        <v>530.16</v>
      </c>
    </row>
    <row r="864" spans="1:8">
      <c r="A864" s="9" t="s">
        <v>1473</v>
      </c>
      <c r="B864" s="9"/>
      <c r="C864" t="s">
        <v>1595</v>
      </c>
      <c r="D864" s="5" t="s">
        <v>1597</v>
      </c>
      <c r="E864" s="1">
        <v>34720</v>
      </c>
      <c r="H864" s="1">
        <v>347.12</v>
      </c>
    </row>
    <row r="865" spans="1:8">
      <c r="A865" s="9" t="s">
        <v>1473</v>
      </c>
      <c r="B865" s="9"/>
      <c r="C865" t="s">
        <v>1598</v>
      </c>
      <c r="D865" s="5" t="s">
        <v>1600</v>
      </c>
      <c r="E865" s="1">
        <v>2777.04</v>
      </c>
    </row>
    <row r="866" spans="1:8">
      <c r="A866" s="9" t="s">
        <v>1473</v>
      </c>
      <c r="B866" s="9"/>
      <c r="C866" t="s">
        <v>1601</v>
      </c>
      <c r="D866" s="5" t="s">
        <v>1603</v>
      </c>
      <c r="E866" s="1">
        <v>18811.099999999999</v>
      </c>
    </row>
    <row r="867" spans="1:8">
      <c r="A867" s="9" t="s">
        <v>1473</v>
      </c>
      <c r="B867" s="9"/>
      <c r="C867" t="s">
        <v>1604</v>
      </c>
      <c r="D867" s="5" t="s">
        <v>1606</v>
      </c>
      <c r="E867" s="1">
        <v>36771.019999999997</v>
      </c>
    </row>
    <row r="868" spans="1:8">
      <c r="A868" s="9" t="s">
        <v>1473</v>
      </c>
      <c r="B868" s="9"/>
      <c r="C868" t="s">
        <v>1607</v>
      </c>
      <c r="D868" s="5" t="s">
        <v>1609</v>
      </c>
      <c r="E868" s="1">
        <v>760</v>
      </c>
      <c r="H868" s="1">
        <v>1661.46</v>
      </c>
    </row>
    <row r="869" spans="1:8">
      <c r="A869" s="9" t="s">
        <v>1473</v>
      </c>
      <c r="B869" s="9"/>
      <c r="C869" t="s">
        <v>1610</v>
      </c>
      <c r="D869" s="5" t="s">
        <v>1612</v>
      </c>
      <c r="E869" s="1">
        <v>1485</v>
      </c>
    </row>
    <row r="870" spans="1:8">
      <c r="A870" s="9" t="s">
        <v>1473</v>
      </c>
      <c r="B870" s="9"/>
      <c r="C870" t="s">
        <v>1613</v>
      </c>
      <c r="D870" s="5" t="s">
        <v>1615</v>
      </c>
      <c r="E870" s="1">
        <v>20000</v>
      </c>
    </row>
    <row r="871" spans="1:8">
      <c r="A871" s="9" t="s">
        <v>1473</v>
      </c>
      <c r="B871" s="9"/>
      <c r="C871" t="s">
        <v>1616</v>
      </c>
      <c r="D871" s="5" t="s">
        <v>1618</v>
      </c>
      <c r="E871" s="1">
        <v>9828</v>
      </c>
    </row>
    <row r="872" spans="1:8">
      <c r="A872" s="9" t="s">
        <v>1473</v>
      </c>
      <c r="B872" s="9"/>
      <c r="C872" t="s">
        <v>1129</v>
      </c>
      <c r="D872" s="5" t="s">
        <v>1131</v>
      </c>
      <c r="E872" s="1">
        <v>311003</v>
      </c>
    </row>
    <row r="873" spans="1:8">
      <c r="A873" s="9" t="s">
        <v>1473</v>
      </c>
      <c r="B873" s="9"/>
      <c r="C873" t="s">
        <v>1619</v>
      </c>
      <c r="D873" s="5" t="s">
        <v>1621</v>
      </c>
      <c r="E873" s="1">
        <v>19738.68</v>
      </c>
    </row>
    <row r="874" spans="1:8">
      <c r="A874" s="9" t="s">
        <v>1473</v>
      </c>
      <c r="B874" s="9"/>
      <c r="C874" t="s">
        <v>1622</v>
      </c>
      <c r="D874" s="5" t="s">
        <v>1624</v>
      </c>
      <c r="E874" s="1">
        <v>2126.25</v>
      </c>
    </row>
    <row r="875" spans="1:8">
      <c r="A875" s="12" t="s">
        <v>1473</v>
      </c>
      <c r="B875" s="12" t="s">
        <v>1906</v>
      </c>
      <c r="C875" s="14" t="s">
        <v>513</v>
      </c>
      <c r="D875" s="15" t="s">
        <v>515</v>
      </c>
      <c r="H875" s="16">
        <v>143.33000000000001</v>
      </c>
    </row>
    <row r="876" spans="1:8">
      <c r="A876" s="9" t="s">
        <v>1473</v>
      </c>
      <c r="B876" s="9"/>
      <c r="C876" t="s">
        <v>75</v>
      </c>
      <c r="D876" s="5" t="s">
        <v>77</v>
      </c>
      <c r="H876" s="1">
        <v>1234.585</v>
      </c>
    </row>
    <row r="877" spans="1:8">
      <c r="A877" s="9" t="s">
        <v>1473</v>
      </c>
      <c r="B877" s="9"/>
      <c r="C877" t="s">
        <v>1625</v>
      </c>
      <c r="D877" s="5" t="s">
        <v>1627</v>
      </c>
      <c r="E877" s="1">
        <v>1520</v>
      </c>
      <c r="H877" s="1">
        <v>61.38</v>
      </c>
    </row>
    <row r="878" spans="1:8">
      <c r="A878" s="9" t="s">
        <v>1473</v>
      </c>
      <c r="B878" s="9"/>
      <c r="C878" t="s">
        <v>1628</v>
      </c>
      <c r="D878" s="5" t="s">
        <v>1630</v>
      </c>
      <c r="E878" s="1">
        <v>800</v>
      </c>
      <c r="H878" s="1">
        <v>408.05500000000001</v>
      </c>
    </row>
    <row r="879" spans="1:8">
      <c r="A879" s="9" t="s">
        <v>1473</v>
      </c>
      <c r="B879" s="9"/>
      <c r="C879" t="s">
        <v>1631</v>
      </c>
      <c r="D879" s="5" t="s">
        <v>1633</v>
      </c>
      <c r="E879" s="1">
        <v>4342.6000000000004</v>
      </c>
      <c r="H879" s="1">
        <v>837.07</v>
      </c>
    </row>
    <row r="880" spans="1:8">
      <c r="A880" s="9" t="s">
        <v>1473</v>
      </c>
      <c r="B880" s="9"/>
      <c r="C880" t="s">
        <v>1634</v>
      </c>
      <c r="D880" s="5" t="s">
        <v>1636</v>
      </c>
      <c r="E880" s="1">
        <v>1060</v>
      </c>
      <c r="H880" s="1">
        <v>1767.655</v>
      </c>
    </row>
    <row r="881" spans="1:8">
      <c r="A881" s="9" t="s">
        <v>1473</v>
      </c>
      <c r="B881" s="9"/>
      <c r="C881" t="s">
        <v>1637</v>
      </c>
      <c r="D881" s="5" t="s">
        <v>1639</v>
      </c>
      <c r="E881" s="1">
        <v>1546</v>
      </c>
      <c r="H881" s="1">
        <v>5156.915</v>
      </c>
    </row>
    <row r="882" spans="1:8">
      <c r="A882" s="9" t="s">
        <v>1473</v>
      </c>
      <c r="B882" s="9"/>
      <c r="C882" t="s">
        <v>1640</v>
      </c>
      <c r="D882" s="5" t="s">
        <v>1642</v>
      </c>
      <c r="E882" s="1">
        <v>16959</v>
      </c>
      <c r="H882" s="1">
        <v>622.46</v>
      </c>
    </row>
    <row r="883" spans="1:8">
      <c r="A883" s="9" t="s">
        <v>1473</v>
      </c>
      <c r="B883" s="9"/>
      <c r="C883" t="s">
        <v>1643</v>
      </c>
      <c r="D883" s="5" t="s">
        <v>1645</v>
      </c>
      <c r="E883" s="1">
        <v>15000</v>
      </c>
    </row>
    <row r="884" spans="1:8">
      <c r="A884" s="9" t="s">
        <v>1473</v>
      </c>
      <c r="B884" s="9"/>
      <c r="C884" t="s">
        <v>1646</v>
      </c>
      <c r="D884" s="5" t="s">
        <v>1648</v>
      </c>
      <c r="E884" s="1">
        <v>500</v>
      </c>
    </row>
    <row r="885" spans="1:8">
      <c r="A885" s="9" t="s">
        <v>1473</v>
      </c>
      <c r="B885" s="9"/>
      <c r="C885" t="s">
        <v>1649</v>
      </c>
      <c r="D885" s="5" t="s">
        <v>1651</v>
      </c>
      <c r="E885" s="1">
        <v>4407.8999999999996</v>
      </c>
    </row>
    <row r="886" spans="1:8">
      <c r="A886" s="9" t="s">
        <v>1473</v>
      </c>
      <c r="B886" s="9"/>
      <c r="C886" t="s">
        <v>1652</v>
      </c>
      <c r="D886" s="5" t="s">
        <v>1654</v>
      </c>
      <c r="E886" s="1">
        <v>10096.89</v>
      </c>
      <c r="H886" s="1">
        <v>240.23</v>
      </c>
    </row>
    <row r="887" spans="1:8">
      <c r="A887" s="9" t="s">
        <v>1473</v>
      </c>
      <c r="B887" s="9"/>
      <c r="C887" t="s">
        <v>1655</v>
      </c>
      <c r="D887" s="5" t="s">
        <v>1657</v>
      </c>
      <c r="E887" s="1">
        <v>34144</v>
      </c>
      <c r="H887" s="1">
        <v>319.36</v>
      </c>
    </row>
    <row r="888" spans="1:8">
      <c r="A888" s="9" t="s">
        <v>1473</v>
      </c>
      <c r="B888" s="9"/>
      <c r="C888" t="s">
        <v>1658</v>
      </c>
      <c r="D888" s="5" t="s">
        <v>1660</v>
      </c>
      <c r="E888" s="1">
        <v>1300</v>
      </c>
    </row>
    <row r="889" spans="1:8">
      <c r="A889" s="9" t="s">
        <v>1473</v>
      </c>
      <c r="B889" s="9"/>
      <c r="C889" t="s">
        <v>1464</v>
      </c>
      <c r="D889" s="5" t="s">
        <v>1466</v>
      </c>
      <c r="E889" s="1">
        <v>1551</v>
      </c>
    </row>
    <row r="890" spans="1:8">
      <c r="A890" s="9" t="s">
        <v>1473</v>
      </c>
      <c r="B890" s="9"/>
      <c r="C890" t="s">
        <v>1422</v>
      </c>
      <c r="D890" s="5" t="s">
        <v>1424</v>
      </c>
      <c r="E890" s="1">
        <v>14892.3</v>
      </c>
      <c r="H890" s="1">
        <v>662.88</v>
      </c>
    </row>
    <row r="891" spans="1:8">
      <c r="A891" s="9" t="s">
        <v>1473</v>
      </c>
      <c r="B891" s="9"/>
      <c r="C891" t="s">
        <v>1440</v>
      </c>
      <c r="D891" s="5" t="s">
        <v>1442</v>
      </c>
      <c r="E891" s="1">
        <v>16640</v>
      </c>
    </row>
    <row r="892" spans="1:8">
      <c r="A892" s="9" t="s">
        <v>1473</v>
      </c>
      <c r="B892" s="9"/>
      <c r="C892" t="s">
        <v>1661</v>
      </c>
      <c r="D892" s="5" t="s">
        <v>1663</v>
      </c>
      <c r="E892" s="1">
        <v>1527</v>
      </c>
      <c r="H892" s="1">
        <v>1212.57</v>
      </c>
    </row>
    <row r="893" spans="1:8">
      <c r="A893" s="9" t="s">
        <v>1473</v>
      </c>
      <c r="B893" s="9"/>
      <c r="C893" t="s">
        <v>1268</v>
      </c>
      <c r="D893" s="5" t="s">
        <v>1270</v>
      </c>
      <c r="H893" s="1">
        <v>350.74</v>
      </c>
    </row>
    <row r="894" spans="1:8">
      <c r="A894" s="9" t="s">
        <v>1473</v>
      </c>
      <c r="B894" s="9"/>
      <c r="C894" t="s">
        <v>1664</v>
      </c>
      <c r="D894" s="5" t="s">
        <v>1666</v>
      </c>
      <c r="E894" s="1">
        <v>760</v>
      </c>
      <c r="H894" s="1">
        <v>254.095</v>
      </c>
    </row>
    <row r="895" spans="1:8">
      <c r="A895" s="9" t="s">
        <v>1473</v>
      </c>
      <c r="B895" s="9"/>
      <c r="C895" t="s">
        <v>1667</v>
      </c>
      <c r="D895" s="5" t="s">
        <v>1669</v>
      </c>
      <c r="H895" s="1">
        <v>439.17</v>
      </c>
    </row>
    <row r="896" spans="1:8">
      <c r="A896" s="9" t="s">
        <v>1473</v>
      </c>
      <c r="B896" s="9"/>
      <c r="C896" t="s">
        <v>1431</v>
      </c>
      <c r="D896" s="5" t="s">
        <v>1433</v>
      </c>
      <c r="E896" s="1">
        <v>12961.9</v>
      </c>
      <c r="H896" s="1">
        <v>489.76</v>
      </c>
    </row>
    <row r="897" spans="1:8">
      <c r="A897" s="9" t="s">
        <v>1473</v>
      </c>
      <c r="B897" s="9"/>
      <c r="C897" t="s">
        <v>1670</v>
      </c>
      <c r="D897" s="5" t="s">
        <v>1672</v>
      </c>
      <c r="E897" s="1">
        <v>2183.64</v>
      </c>
    </row>
    <row r="898" spans="1:8">
      <c r="A898" s="9" t="s">
        <v>1473</v>
      </c>
      <c r="B898" s="9"/>
      <c r="C898" t="s">
        <v>1673</v>
      </c>
      <c r="D898" s="5" t="s">
        <v>1675</v>
      </c>
      <c r="E898" s="1">
        <v>5089.5</v>
      </c>
    </row>
    <row r="899" spans="1:8">
      <c r="A899" s="9" t="s">
        <v>1473</v>
      </c>
      <c r="B899" s="9"/>
      <c r="C899" t="s">
        <v>1676</v>
      </c>
      <c r="D899" s="5" t="s">
        <v>1678</v>
      </c>
      <c r="E899" s="1">
        <v>4173.84</v>
      </c>
    </row>
    <row r="900" spans="1:8">
      <c r="A900" s="9" t="s">
        <v>1473</v>
      </c>
      <c r="B900" s="9"/>
      <c r="C900" t="s">
        <v>1679</v>
      </c>
      <c r="D900" s="5" t="s">
        <v>1681</v>
      </c>
      <c r="E900" s="1">
        <v>500</v>
      </c>
    </row>
    <row r="901" spans="1:8">
      <c r="A901" s="9" t="s">
        <v>1473</v>
      </c>
      <c r="B901" s="9"/>
      <c r="C901" t="s">
        <v>1446</v>
      </c>
      <c r="D901" s="5" t="s">
        <v>1448</v>
      </c>
      <c r="E901" s="1">
        <v>760</v>
      </c>
    </row>
    <row r="902" spans="1:8">
      <c r="A902" s="9" t="s">
        <v>1473</v>
      </c>
      <c r="B902" s="9"/>
      <c r="C902" t="s">
        <v>1682</v>
      </c>
      <c r="D902" s="5" t="s">
        <v>1684</v>
      </c>
      <c r="E902" s="1">
        <v>500</v>
      </c>
    </row>
    <row r="903" spans="1:8">
      <c r="A903" s="9" t="s">
        <v>1473</v>
      </c>
      <c r="B903" s="9"/>
      <c r="C903" t="s">
        <v>1685</v>
      </c>
      <c r="D903" s="5" t="s">
        <v>1687</v>
      </c>
      <c r="E903" s="1">
        <v>1144</v>
      </c>
    </row>
    <row r="904" spans="1:8">
      <c r="A904" s="9" t="s">
        <v>1473</v>
      </c>
      <c r="B904" s="9"/>
      <c r="C904" t="s">
        <v>338</v>
      </c>
      <c r="D904" s="5" t="s">
        <v>340</v>
      </c>
      <c r="E904" s="1">
        <v>250</v>
      </c>
    </row>
    <row r="905" spans="1:8">
      <c r="A905" s="9" t="s">
        <v>1473</v>
      </c>
      <c r="B905" s="9"/>
      <c r="C905" t="s">
        <v>243</v>
      </c>
      <c r="D905" s="5" t="s">
        <v>245</v>
      </c>
      <c r="E905" s="1">
        <v>500</v>
      </c>
      <c r="H905" s="1">
        <v>780.67499999999995</v>
      </c>
    </row>
    <row r="906" spans="1:8">
      <c r="A906" s="9" t="s">
        <v>1473</v>
      </c>
      <c r="B906" s="9"/>
      <c r="C906" t="s">
        <v>1688</v>
      </c>
      <c r="D906" s="5" t="s">
        <v>1690</v>
      </c>
      <c r="E906" s="1">
        <v>38199.699999999997</v>
      </c>
    </row>
    <row r="907" spans="1:8">
      <c r="A907" s="9" t="s">
        <v>1473</v>
      </c>
      <c r="B907" s="9"/>
      <c r="C907" t="s">
        <v>1691</v>
      </c>
      <c r="D907" s="5" t="s">
        <v>1693</v>
      </c>
      <c r="E907" s="1">
        <v>26000</v>
      </c>
    </row>
    <row r="908" spans="1:8">
      <c r="A908" s="9" t="s">
        <v>1473</v>
      </c>
      <c r="B908" s="9"/>
      <c r="C908" t="s">
        <v>1694</v>
      </c>
      <c r="D908" s="5" t="s">
        <v>1696</v>
      </c>
      <c r="E908" s="1">
        <v>8407.36</v>
      </c>
    </row>
    <row r="909" spans="1:8">
      <c r="A909" s="9" t="s">
        <v>1473</v>
      </c>
      <c r="B909" s="9"/>
      <c r="C909" t="s">
        <v>1407</v>
      </c>
      <c r="D909" s="5" t="s">
        <v>1409</v>
      </c>
      <c r="E909" s="1">
        <v>13526.07</v>
      </c>
    </row>
    <row r="910" spans="1:8">
      <c r="A910" s="9" t="s">
        <v>1473</v>
      </c>
      <c r="B910" s="9"/>
      <c r="C910" t="s">
        <v>1697</v>
      </c>
      <c r="D910" s="5" t="s">
        <v>1699</v>
      </c>
      <c r="E910" s="1">
        <v>7029.38</v>
      </c>
    </row>
    <row r="911" spans="1:8">
      <c r="A911" s="9" t="s">
        <v>1473</v>
      </c>
      <c r="B911" s="9"/>
      <c r="C911" t="s">
        <v>1458</v>
      </c>
      <c r="D911" s="5" t="s">
        <v>1460</v>
      </c>
      <c r="E911" s="1">
        <v>83</v>
      </c>
    </row>
    <row r="912" spans="1:8">
      <c r="A912" s="12" t="s">
        <v>1473</v>
      </c>
      <c r="B912" s="12" t="s">
        <v>1907</v>
      </c>
      <c r="C912" s="14" t="s">
        <v>99</v>
      </c>
      <c r="D912" s="15" t="s">
        <v>101</v>
      </c>
      <c r="H912" s="16">
        <v>276.48</v>
      </c>
    </row>
    <row r="913" spans="1:9">
      <c r="A913" s="9" t="s">
        <v>1473</v>
      </c>
      <c r="B913" s="9"/>
      <c r="C913" t="s">
        <v>1700</v>
      </c>
      <c r="D913" s="5" t="s">
        <v>1702</v>
      </c>
      <c r="E913" s="1">
        <v>10400</v>
      </c>
    </row>
    <row r="914" spans="1:9">
      <c r="A914" s="9" t="s">
        <v>1473</v>
      </c>
      <c r="B914" s="9"/>
      <c r="C914" t="s">
        <v>546</v>
      </c>
      <c r="D914" s="5" t="s">
        <v>548</v>
      </c>
      <c r="E914" s="1">
        <v>1575</v>
      </c>
    </row>
    <row r="915" spans="1:9">
      <c r="A915" s="9" t="s">
        <v>1473</v>
      </c>
      <c r="B915" s="9"/>
      <c r="C915" t="s">
        <v>1703</v>
      </c>
      <c r="D915" s="5" t="s">
        <v>1705</v>
      </c>
      <c r="E915" s="1">
        <v>18241.3</v>
      </c>
    </row>
    <row r="916" spans="1:9">
      <c r="A916" s="9" t="s">
        <v>1473</v>
      </c>
      <c r="B916" s="9"/>
      <c r="C916" t="s">
        <v>678</v>
      </c>
      <c r="D916" s="5" t="s">
        <v>680</v>
      </c>
      <c r="E916" s="1">
        <v>3150</v>
      </c>
    </row>
    <row r="917" spans="1:9">
      <c r="A917" s="9" t="s">
        <v>1473</v>
      </c>
      <c r="B917" s="9"/>
      <c r="C917" t="s">
        <v>1706</v>
      </c>
      <c r="D917" s="5" t="s">
        <v>1708</v>
      </c>
      <c r="E917" s="1">
        <v>27495.58</v>
      </c>
    </row>
    <row r="918" spans="1:9">
      <c r="A918" s="9" t="s">
        <v>1473</v>
      </c>
      <c r="B918" s="9"/>
      <c r="C918" t="s">
        <v>1709</v>
      </c>
      <c r="D918" s="5" t="s">
        <v>1711</v>
      </c>
      <c r="E918" s="1">
        <v>27583.439999999999</v>
      </c>
    </row>
    <row r="919" spans="1:9">
      <c r="A919" s="9" t="s">
        <v>1473</v>
      </c>
      <c r="B919" s="9"/>
      <c r="C919" t="s">
        <v>288</v>
      </c>
      <c r="D919" s="5" t="s">
        <v>290</v>
      </c>
      <c r="E919" s="1">
        <v>168198</v>
      </c>
    </row>
    <row r="920" spans="1:9">
      <c r="A920" s="9" t="s">
        <v>1473</v>
      </c>
      <c r="B920" s="9"/>
      <c r="C920" t="s">
        <v>558</v>
      </c>
      <c r="D920" s="5" t="s">
        <v>560</v>
      </c>
      <c r="H920" s="1">
        <v>6.5149999999999997</v>
      </c>
    </row>
    <row r="921" spans="1:9">
      <c r="A921" s="9" t="s">
        <v>1473</v>
      </c>
      <c r="B921" s="9"/>
      <c r="C921" t="s">
        <v>1712</v>
      </c>
      <c r="D921" s="5" t="s">
        <v>1714</v>
      </c>
      <c r="H921" s="1">
        <v>732.94</v>
      </c>
    </row>
    <row r="922" spans="1:9">
      <c r="A922" s="9" t="s">
        <v>1715</v>
      </c>
      <c r="B922" s="9"/>
      <c r="C922" t="s">
        <v>231</v>
      </c>
      <c r="D922" s="5" t="s">
        <v>233</v>
      </c>
      <c r="E922" s="1">
        <v>400</v>
      </c>
    </row>
    <row r="923" spans="1:9">
      <c r="A923" s="9" t="s">
        <v>1715</v>
      </c>
      <c r="B923" s="9"/>
      <c r="C923" t="s">
        <v>192</v>
      </c>
      <c r="D923" s="5" t="s">
        <v>194</v>
      </c>
      <c r="E923" s="1">
        <v>520</v>
      </c>
      <c r="F923" s="1">
        <v>382.13</v>
      </c>
      <c r="H923" s="1">
        <v>3143.0749999999998</v>
      </c>
      <c r="I923" s="1">
        <v>1196.6600000000001</v>
      </c>
    </row>
    <row r="924" spans="1:9">
      <c r="A924" s="9" t="s">
        <v>1715</v>
      </c>
      <c r="B924" s="9"/>
      <c r="C924" t="s">
        <v>723</v>
      </c>
      <c r="D924" s="5" t="s">
        <v>725</v>
      </c>
      <c r="E924" s="1">
        <v>17017.13</v>
      </c>
      <c r="F924" s="1">
        <v>119.54</v>
      </c>
      <c r="H924" s="1">
        <v>5543.335</v>
      </c>
      <c r="I924" s="1">
        <v>1742.94</v>
      </c>
    </row>
    <row r="925" spans="1:9">
      <c r="A925" s="9" t="s">
        <v>1715</v>
      </c>
      <c r="B925" s="9"/>
      <c r="C925" t="s">
        <v>159</v>
      </c>
      <c r="D925" s="5" t="s">
        <v>161</v>
      </c>
      <c r="E925" s="1">
        <v>3770.08</v>
      </c>
      <c r="H925" s="1">
        <v>132.06</v>
      </c>
    </row>
    <row r="926" spans="1:9">
      <c r="A926" s="9" t="s">
        <v>1715</v>
      </c>
      <c r="B926" s="9"/>
      <c r="C926" t="s">
        <v>1129</v>
      </c>
      <c r="D926" s="5" t="s">
        <v>1131</v>
      </c>
      <c r="E926" s="1">
        <v>63802.2</v>
      </c>
      <c r="F926" s="1">
        <v>32919.54</v>
      </c>
      <c r="H926" s="1">
        <v>294.41000000000003</v>
      </c>
    </row>
    <row r="927" spans="1:9">
      <c r="A927" s="9" t="s">
        <v>1715</v>
      </c>
      <c r="B927" s="9"/>
      <c r="C927" t="s">
        <v>186</v>
      </c>
      <c r="D927" s="5" t="s">
        <v>188</v>
      </c>
      <c r="E927" s="1">
        <v>3028.95</v>
      </c>
      <c r="F927" s="1">
        <v>61.58</v>
      </c>
      <c r="H927" s="1">
        <v>3727.7350000000001</v>
      </c>
      <c r="I927" s="1">
        <v>409.82</v>
      </c>
    </row>
    <row r="928" spans="1:9">
      <c r="A928" s="9" t="s">
        <v>1715</v>
      </c>
      <c r="B928" s="9"/>
      <c r="C928" t="s">
        <v>804</v>
      </c>
      <c r="D928" s="5" t="s">
        <v>806</v>
      </c>
      <c r="E928" s="1">
        <v>3500</v>
      </c>
      <c r="F928" s="1">
        <v>272</v>
      </c>
      <c r="H928" s="1">
        <v>3523.8850000000002</v>
      </c>
      <c r="I928" s="1">
        <v>100.1</v>
      </c>
    </row>
    <row r="929" spans="1:9">
      <c r="A929" s="9" t="s">
        <v>1715</v>
      </c>
      <c r="B929" s="9"/>
      <c r="C929" t="s">
        <v>525</v>
      </c>
      <c r="D929" s="5" t="s">
        <v>527</v>
      </c>
      <c r="E929" s="1">
        <v>50000</v>
      </c>
    </row>
    <row r="930" spans="1:9">
      <c r="A930" s="9" t="s">
        <v>1715</v>
      </c>
      <c r="B930" s="9"/>
      <c r="C930" t="s">
        <v>264</v>
      </c>
      <c r="D930" s="5" t="s">
        <v>266</v>
      </c>
      <c r="E930" s="1">
        <v>0</v>
      </c>
      <c r="F930" s="1">
        <v>22402.5</v>
      </c>
      <c r="H930" s="1">
        <v>89.625</v>
      </c>
    </row>
    <row r="931" spans="1:9">
      <c r="A931" s="9" t="s">
        <v>1715</v>
      </c>
      <c r="B931" s="9"/>
      <c r="C931" t="s">
        <v>792</v>
      </c>
      <c r="D931" s="5" t="s">
        <v>794</v>
      </c>
      <c r="E931" s="1">
        <v>5000</v>
      </c>
      <c r="F931" s="1">
        <v>17583.27</v>
      </c>
    </row>
    <row r="932" spans="1:9">
      <c r="A932" s="9" t="s">
        <v>1715</v>
      </c>
      <c r="B932" s="9"/>
      <c r="C932" t="s">
        <v>654</v>
      </c>
      <c r="D932" s="5" t="s">
        <v>656</v>
      </c>
      <c r="F932" s="1">
        <v>3036.72</v>
      </c>
      <c r="H932" s="1">
        <v>5398.085</v>
      </c>
    </row>
    <row r="933" spans="1:9">
      <c r="A933" s="9" t="s">
        <v>1715</v>
      </c>
      <c r="B933" s="9"/>
      <c r="C933" t="s">
        <v>513</v>
      </c>
      <c r="D933" s="5" t="s">
        <v>515</v>
      </c>
      <c r="E933" s="1">
        <v>500</v>
      </c>
      <c r="F933" s="1">
        <v>-3376.6</v>
      </c>
      <c r="H933" s="1">
        <v>21677.505000000001</v>
      </c>
      <c r="I933" s="1">
        <v>1628.11</v>
      </c>
    </row>
    <row r="934" spans="1:9">
      <c r="A934" s="9" t="s">
        <v>1715</v>
      </c>
      <c r="B934" s="9"/>
      <c r="C934" t="s">
        <v>370</v>
      </c>
      <c r="D934" s="5" t="s">
        <v>372</v>
      </c>
      <c r="H934" s="1">
        <v>3284.71</v>
      </c>
      <c r="I934" s="1">
        <v>1819.52</v>
      </c>
    </row>
    <row r="935" spans="1:9">
      <c r="A935" s="9" t="s">
        <v>1715</v>
      </c>
      <c r="B935" s="9"/>
      <c r="C935" t="s">
        <v>448</v>
      </c>
      <c r="D935" s="5" t="s">
        <v>450</v>
      </c>
      <c r="E935" s="1">
        <v>38063.980000000003</v>
      </c>
      <c r="F935" s="1">
        <v>6112.61</v>
      </c>
      <c r="H935" s="1">
        <v>8089.4849999999997</v>
      </c>
      <c r="I935" s="1">
        <v>807.2</v>
      </c>
    </row>
    <row r="936" spans="1:9">
      <c r="A936" s="9" t="s">
        <v>1715</v>
      </c>
      <c r="B936" s="9"/>
      <c r="C936" t="s">
        <v>99</v>
      </c>
      <c r="D936" s="5" t="s">
        <v>101</v>
      </c>
      <c r="H936" s="1">
        <v>14755.004999999999</v>
      </c>
      <c r="I936" s="1">
        <v>1941.03</v>
      </c>
    </row>
    <row r="937" spans="1:9">
      <c r="A937" s="9" t="s">
        <v>1715</v>
      </c>
      <c r="B937" s="9"/>
      <c r="C937" t="s">
        <v>48</v>
      </c>
      <c r="D937" s="5" t="s">
        <v>50</v>
      </c>
      <c r="E937" s="1">
        <v>250</v>
      </c>
      <c r="H937" s="1">
        <v>739.89</v>
      </c>
      <c r="I937" s="1">
        <v>137.02000000000001</v>
      </c>
    </row>
    <row r="938" spans="1:9">
      <c r="A938" s="9" t="s">
        <v>1715</v>
      </c>
      <c r="B938" s="9"/>
      <c r="C938" t="s">
        <v>636</v>
      </c>
      <c r="D938" s="5" t="s">
        <v>638</v>
      </c>
      <c r="E938" s="1">
        <v>14052.8</v>
      </c>
      <c r="H938" s="1">
        <v>6365.61</v>
      </c>
      <c r="I938" s="1">
        <v>840</v>
      </c>
    </row>
    <row r="939" spans="1:9">
      <c r="A939" s="9" t="s">
        <v>1715</v>
      </c>
      <c r="B939" s="9"/>
      <c r="C939" t="s">
        <v>72</v>
      </c>
      <c r="D939" s="5" t="s">
        <v>74</v>
      </c>
      <c r="H939" s="1">
        <v>67.72</v>
      </c>
    </row>
    <row r="940" spans="1:9">
      <c r="A940" s="9" t="s">
        <v>1715</v>
      </c>
      <c r="B940" s="9"/>
      <c r="C940" t="s">
        <v>78</v>
      </c>
      <c r="D940" s="5" t="s">
        <v>80</v>
      </c>
      <c r="F940" s="1">
        <v>11379.78</v>
      </c>
      <c r="H940" s="1">
        <v>75.349999999999994</v>
      </c>
    </row>
    <row r="941" spans="1:9">
      <c r="A941" s="9" t="s">
        <v>1715</v>
      </c>
      <c r="B941" s="9"/>
      <c r="C941" t="s">
        <v>504</v>
      </c>
      <c r="D941" s="5" t="s">
        <v>506</v>
      </c>
      <c r="E941" s="1">
        <v>1500</v>
      </c>
      <c r="H941" s="1">
        <v>3040.4650000000001</v>
      </c>
    </row>
    <row r="942" spans="1:9">
      <c r="A942" s="9" t="s">
        <v>1715</v>
      </c>
      <c r="B942" s="9"/>
      <c r="C942" t="s">
        <v>555</v>
      </c>
      <c r="D942" s="5" t="s">
        <v>557</v>
      </c>
      <c r="F942" s="1">
        <v>119.54</v>
      </c>
      <c r="H942" s="1">
        <v>14264.8</v>
      </c>
      <c r="I942" s="1">
        <v>4873.9399999999996</v>
      </c>
    </row>
    <row r="943" spans="1:9">
      <c r="A943" s="9" t="s">
        <v>1715</v>
      </c>
      <c r="B943" s="9"/>
      <c r="C943" t="s">
        <v>552</v>
      </c>
      <c r="D943" s="5" t="s">
        <v>554</v>
      </c>
      <c r="H943" s="1">
        <v>1083.5999999999999</v>
      </c>
    </row>
    <row r="944" spans="1:9">
      <c r="A944" s="9" t="s">
        <v>1715</v>
      </c>
      <c r="B944" s="9"/>
      <c r="C944" t="s">
        <v>18</v>
      </c>
      <c r="D944" s="5" t="s">
        <v>20</v>
      </c>
      <c r="H944" s="1">
        <v>963.2</v>
      </c>
    </row>
    <row r="945" spans="1:9">
      <c r="A945" s="9" t="s">
        <v>1715</v>
      </c>
      <c r="B945" s="9"/>
      <c r="C945" t="s">
        <v>1126</v>
      </c>
      <c r="D945" s="5" t="s">
        <v>1128</v>
      </c>
      <c r="E945" s="1">
        <v>20443.48</v>
      </c>
      <c r="F945" s="1">
        <v>119.54</v>
      </c>
      <c r="H945" s="1">
        <v>3688.91</v>
      </c>
    </row>
    <row r="946" spans="1:9">
      <c r="A946" s="9" t="s">
        <v>1715</v>
      </c>
      <c r="B946" s="9"/>
      <c r="C946" t="s">
        <v>498</v>
      </c>
      <c r="D946" s="5" t="s">
        <v>500</v>
      </c>
      <c r="H946" s="1">
        <v>2682.68</v>
      </c>
    </row>
    <row r="947" spans="1:9">
      <c r="A947" s="9" t="s">
        <v>1715</v>
      </c>
      <c r="B947" s="9"/>
      <c r="C947" t="s">
        <v>303</v>
      </c>
      <c r="D947" s="5" t="s">
        <v>305</v>
      </c>
      <c r="E947" s="1">
        <v>146300</v>
      </c>
      <c r="F947" s="1">
        <v>730.4</v>
      </c>
      <c r="H947" s="1">
        <v>10702.08</v>
      </c>
    </row>
    <row r="948" spans="1:9">
      <c r="A948" s="9" t="s">
        <v>1715</v>
      </c>
      <c r="B948" s="9"/>
      <c r="C948" t="s">
        <v>681</v>
      </c>
      <c r="D948" s="5" t="s">
        <v>683</v>
      </c>
      <c r="F948" s="1">
        <v>5210.9399999999996</v>
      </c>
      <c r="H948" s="1">
        <v>396.18</v>
      </c>
    </row>
    <row r="949" spans="1:9">
      <c r="A949" s="9" t="s">
        <v>1715</v>
      </c>
      <c r="B949" s="9"/>
      <c r="C949" t="s">
        <v>21</v>
      </c>
      <c r="D949" s="5" t="s">
        <v>23</v>
      </c>
      <c r="H949" s="1">
        <v>157.19999999999999</v>
      </c>
    </row>
    <row r="950" spans="1:9">
      <c r="A950" s="9" t="s">
        <v>1715</v>
      </c>
      <c r="B950" s="9"/>
      <c r="C950" t="s">
        <v>240</v>
      </c>
      <c r="D950" s="5" t="s">
        <v>242</v>
      </c>
      <c r="H950" s="1">
        <v>142.02000000000001</v>
      </c>
      <c r="I950" s="1">
        <v>68.5</v>
      </c>
    </row>
    <row r="951" spans="1:9">
      <c r="A951" s="9" t="s">
        <v>1715</v>
      </c>
      <c r="B951" s="9"/>
      <c r="C951" t="s">
        <v>81</v>
      </c>
      <c r="D951" s="5" t="s">
        <v>83</v>
      </c>
      <c r="E951" s="1">
        <v>7800</v>
      </c>
      <c r="H951" s="1">
        <v>1901.0050000000001</v>
      </c>
      <c r="I951" s="1">
        <v>64.05</v>
      </c>
    </row>
    <row r="952" spans="1:9">
      <c r="A952" s="9" t="s">
        <v>1715</v>
      </c>
      <c r="B952" s="9"/>
      <c r="C952" t="s">
        <v>1446</v>
      </c>
      <c r="D952" s="5" t="s">
        <v>1448</v>
      </c>
      <c r="H952" s="1">
        <v>728.1</v>
      </c>
      <c r="I952" s="1">
        <v>83.05</v>
      </c>
    </row>
    <row r="953" spans="1:9">
      <c r="A953" s="9" t="s">
        <v>1715</v>
      </c>
      <c r="B953" s="9"/>
      <c r="C953" t="s">
        <v>344</v>
      </c>
      <c r="D953" s="5" t="s">
        <v>346</v>
      </c>
      <c r="E953" s="1">
        <v>15257.55</v>
      </c>
      <c r="H953" s="1">
        <v>1877.59</v>
      </c>
      <c r="I953" s="1">
        <v>224.76</v>
      </c>
    </row>
    <row r="954" spans="1:9">
      <c r="A954" s="9" t="s">
        <v>1715</v>
      </c>
      <c r="B954" s="9"/>
      <c r="C954" t="s">
        <v>651</v>
      </c>
      <c r="D954" s="5" t="s">
        <v>653</v>
      </c>
      <c r="E954" s="1">
        <v>1118.8</v>
      </c>
    </row>
    <row r="955" spans="1:9">
      <c r="A955" s="9" t="s">
        <v>1715</v>
      </c>
      <c r="B955" s="9"/>
      <c r="C955" t="s">
        <v>57</v>
      </c>
      <c r="D955" s="5" t="s">
        <v>59</v>
      </c>
      <c r="E955" s="1">
        <v>2800</v>
      </c>
    </row>
    <row r="956" spans="1:9">
      <c r="A956" s="9" t="s">
        <v>1715</v>
      </c>
      <c r="B956" s="9"/>
      <c r="C956" t="s">
        <v>657</v>
      </c>
      <c r="D956" s="5" t="s">
        <v>659</v>
      </c>
      <c r="E956" s="1">
        <v>22130.75</v>
      </c>
      <c r="F956" s="1">
        <v>1588.06</v>
      </c>
    </row>
    <row r="957" spans="1:9">
      <c r="A957" s="9" t="s">
        <v>1715</v>
      </c>
      <c r="B957" s="9"/>
      <c r="C957" t="s">
        <v>1108</v>
      </c>
      <c r="D957" s="5" t="s">
        <v>1110</v>
      </c>
      <c r="E957" s="1">
        <v>117.6</v>
      </c>
      <c r="H957" s="1">
        <v>2539.9749999999999</v>
      </c>
      <c r="I957" s="1">
        <v>402</v>
      </c>
    </row>
    <row r="958" spans="1:9">
      <c r="A958" s="9" t="s">
        <v>1715</v>
      </c>
      <c r="B958" s="9"/>
      <c r="C958" t="s">
        <v>63</v>
      </c>
      <c r="D958" s="5" t="s">
        <v>65</v>
      </c>
      <c r="E958" s="1">
        <v>12086.83</v>
      </c>
      <c r="F958" s="1">
        <v>1407.6</v>
      </c>
    </row>
    <row r="959" spans="1:9">
      <c r="A959" s="9" t="s">
        <v>1715</v>
      </c>
      <c r="B959" s="9"/>
      <c r="C959" t="s">
        <v>630</v>
      </c>
      <c r="D959" s="5" t="s">
        <v>632</v>
      </c>
      <c r="E959" s="1">
        <v>372.17</v>
      </c>
      <c r="H959" s="1">
        <v>67.72</v>
      </c>
    </row>
    <row r="960" spans="1:9">
      <c r="A960" s="9" t="s">
        <v>1715</v>
      </c>
      <c r="B960" s="9"/>
      <c r="C960" t="s">
        <v>1099</v>
      </c>
      <c r="D960" s="5" t="s">
        <v>1101</v>
      </c>
      <c r="E960" s="1">
        <v>117.6</v>
      </c>
      <c r="F960" s="1">
        <v>974.54</v>
      </c>
      <c r="H960" s="1">
        <v>4986.99</v>
      </c>
      <c r="I960" s="1">
        <v>3497.93</v>
      </c>
    </row>
    <row r="961" spans="1:9">
      <c r="A961" s="9" t="s">
        <v>1715</v>
      </c>
      <c r="B961" s="9"/>
      <c r="C961" t="s">
        <v>612</v>
      </c>
      <c r="D961" s="5" t="s">
        <v>614</v>
      </c>
      <c r="E961" s="1">
        <v>0</v>
      </c>
    </row>
    <row r="962" spans="1:9">
      <c r="A962" s="9" t="s">
        <v>1715</v>
      </c>
      <c r="B962" s="9"/>
      <c r="C962" t="s">
        <v>222</v>
      </c>
      <c r="D962" s="5" t="s">
        <v>224</v>
      </c>
      <c r="G962" s="1">
        <v>1065.56</v>
      </c>
    </row>
    <row r="963" spans="1:9">
      <c r="A963" s="9" t="s">
        <v>1715</v>
      </c>
      <c r="B963" s="9"/>
      <c r="C963" t="s">
        <v>624</v>
      </c>
      <c r="D963" s="5" t="s">
        <v>626</v>
      </c>
      <c r="E963" s="1">
        <v>10000</v>
      </c>
      <c r="H963" s="1">
        <v>7116.9</v>
      </c>
      <c r="I963" s="1">
        <v>2576.4499999999998</v>
      </c>
    </row>
    <row r="964" spans="1:9">
      <c r="A964" s="9" t="s">
        <v>1715</v>
      </c>
      <c r="B964" s="9"/>
      <c r="C964" t="s">
        <v>355</v>
      </c>
      <c r="D964" s="5" t="s">
        <v>357</v>
      </c>
      <c r="F964" s="1">
        <v>2158.46</v>
      </c>
    </row>
    <row r="965" spans="1:9">
      <c r="A965" s="9" t="s">
        <v>1715</v>
      </c>
      <c r="B965" s="9"/>
      <c r="C965" t="s">
        <v>696</v>
      </c>
      <c r="D965" s="5" t="s">
        <v>698</v>
      </c>
      <c r="F965" s="1">
        <v>7439.25</v>
      </c>
      <c r="H965" s="1">
        <v>14438.13</v>
      </c>
      <c r="I965" s="1">
        <v>712.63</v>
      </c>
    </row>
    <row r="966" spans="1:9">
      <c r="A966" s="9" t="s">
        <v>1715</v>
      </c>
      <c r="B966" s="9"/>
      <c r="C966" t="s">
        <v>285</v>
      </c>
      <c r="D966" s="5" t="s">
        <v>287</v>
      </c>
      <c r="E966" s="1">
        <v>6416.35</v>
      </c>
      <c r="F966" s="1">
        <v>6225.49</v>
      </c>
      <c r="H966" s="1">
        <v>21836.305</v>
      </c>
      <c r="I966" s="1">
        <v>827.57</v>
      </c>
    </row>
    <row r="967" spans="1:9">
      <c r="A967" s="9" t="s">
        <v>1715</v>
      </c>
      <c r="B967" s="9"/>
      <c r="C967" t="s">
        <v>69</v>
      </c>
      <c r="D967" s="5" t="s">
        <v>71</v>
      </c>
      <c r="E967" s="1">
        <v>111561.7</v>
      </c>
      <c r="F967" s="1">
        <v>28731.16</v>
      </c>
      <c r="H967" s="1">
        <v>15976.76</v>
      </c>
    </row>
    <row r="968" spans="1:9">
      <c r="A968" s="9" t="s">
        <v>1715</v>
      </c>
      <c r="B968" s="9"/>
      <c r="C968" t="s">
        <v>717</v>
      </c>
      <c r="D968" s="5" t="s">
        <v>719</v>
      </c>
      <c r="H968" s="1">
        <v>511.28</v>
      </c>
    </row>
    <row r="969" spans="1:9">
      <c r="A969" s="9" t="s">
        <v>1715</v>
      </c>
      <c r="B969" s="9"/>
      <c r="C969" t="s">
        <v>45</v>
      </c>
      <c r="D969" s="5" t="s">
        <v>47</v>
      </c>
      <c r="H969" s="1">
        <v>1270.8599999999999</v>
      </c>
    </row>
    <row r="970" spans="1:9">
      <c r="A970" s="9" t="s">
        <v>1715</v>
      </c>
      <c r="B970" s="9"/>
      <c r="C970" t="s">
        <v>252</v>
      </c>
      <c r="D970" s="5" t="s">
        <v>254</v>
      </c>
      <c r="E970" s="1">
        <v>0</v>
      </c>
      <c r="H970" s="1">
        <v>9741.56</v>
      </c>
      <c r="I970" s="1">
        <v>2431.0500000000002</v>
      </c>
    </row>
    <row r="971" spans="1:9">
      <c r="A971" s="9" t="s">
        <v>1715</v>
      </c>
      <c r="B971" s="9"/>
      <c r="C971" t="s">
        <v>558</v>
      </c>
      <c r="D971" s="5" t="s">
        <v>560</v>
      </c>
      <c r="H971" s="1">
        <v>16705.345000000001</v>
      </c>
    </row>
    <row r="972" spans="1:9">
      <c r="A972" s="9" t="s">
        <v>1715</v>
      </c>
      <c r="B972" s="9"/>
      <c r="C972" t="s">
        <v>258</v>
      </c>
      <c r="D972" s="5" t="s">
        <v>260</v>
      </c>
      <c r="F972" s="1">
        <v>1252.93</v>
      </c>
      <c r="H972" s="1">
        <v>52014.625</v>
      </c>
      <c r="I972" s="1">
        <v>11633.17</v>
      </c>
    </row>
    <row r="973" spans="1:9">
      <c r="A973" s="9" t="s">
        <v>1715</v>
      </c>
      <c r="B973" s="9"/>
      <c r="C973" t="s">
        <v>418</v>
      </c>
      <c r="D973" s="5" t="s">
        <v>420</v>
      </c>
      <c r="E973" s="1">
        <v>450</v>
      </c>
      <c r="H973" s="1">
        <v>211.92</v>
      </c>
    </row>
    <row r="974" spans="1:9">
      <c r="A974" s="9" t="s">
        <v>1715</v>
      </c>
      <c r="B974" s="9"/>
      <c r="C974" t="s">
        <v>543</v>
      </c>
      <c r="D974" s="5" t="s">
        <v>545</v>
      </c>
      <c r="E974" s="1">
        <v>90636</v>
      </c>
      <c r="F974" s="1">
        <v>1259.54</v>
      </c>
      <c r="H974" s="1">
        <v>2839.16</v>
      </c>
    </row>
    <row r="975" spans="1:9">
      <c r="A975" s="12" t="s">
        <v>1715</v>
      </c>
      <c r="B975" s="12" t="s">
        <v>1900</v>
      </c>
      <c r="C975" s="14" t="s">
        <v>135</v>
      </c>
      <c r="D975" s="15" t="s">
        <v>137</v>
      </c>
      <c r="H975" s="16">
        <v>90.99</v>
      </c>
    </row>
    <row r="976" spans="1:9">
      <c r="A976" s="9" t="s">
        <v>1715</v>
      </c>
      <c r="B976" s="9"/>
      <c r="C976" t="s">
        <v>492</v>
      </c>
      <c r="D976" s="5" t="s">
        <v>494</v>
      </c>
      <c r="E976" s="1">
        <v>262</v>
      </c>
      <c r="F976" s="1">
        <v>8621.39</v>
      </c>
      <c r="H976" s="1">
        <v>23718.33</v>
      </c>
    </row>
    <row r="977" spans="1:9">
      <c r="A977" s="9" t="s">
        <v>1715</v>
      </c>
      <c r="B977" s="9"/>
      <c r="C977" t="s">
        <v>84</v>
      </c>
      <c r="D977" s="5" t="s">
        <v>86</v>
      </c>
      <c r="F977" s="1">
        <v>1940.64</v>
      </c>
      <c r="H977" s="1">
        <v>31327.73</v>
      </c>
      <c r="I977" s="1">
        <v>4778.6400000000003</v>
      </c>
    </row>
    <row r="978" spans="1:9">
      <c r="A978" s="9" t="s">
        <v>1715</v>
      </c>
      <c r="B978" s="9"/>
      <c r="C978" t="s">
        <v>60</v>
      </c>
      <c r="D978" s="5" t="s">
        <v>62</v>
      </c>
      <c r="E978" s="1">
        <v>45550.93</v>
      </c>
      <c r="H978" s="1">
        <v>35179.885000000002</v>
      </c>
    </row>
    <row r="979" spans="1:9">
      <c r="A979" s="12" t="s">
        <v>1715</v>
      </c>
      <c r="B979" s="12" t="s">
        <v>1903</v>
      </c>
      <c r="C979" s="14" t="s">
        <v>367</v>
      </c>
      <c r="D979" s="15" t="s">
        <v>369</v>
      </c>
      <c r="E979" s="16">
        <v>28</v>
      </c>
      <c r="F979" s="16">
        <v>15005.57</v>
      </c>
    </row>
    <row r="980" spans="1:9">
      <c r="A980" s="9" t="s">
        <v>1715</v>
      </c>
      <c r="B980" s="9"/>
      <c r="C980" t="s">
        <v>1144</v>
      </c>
      <c r="D980" s="5" t="s">
        <v>1146</v>
      </c>
      <c r="E980" s="1">
        <v>145272.75</v>
      </c>
    </row>
    <row r="981" spans="1:9">
      <c r="A981" s="9" t="s">
        <v>1715</v>
      </c>
      <c r="B981" s="9"/>
      <c r="C981" t="s">
        <v>180</v>
      </c>
      <c r="D981" s="5" t="s">
        <v>182</v>
      </c>
      <c r="E981" s="1">
        <v>0</v>
      </c>
      <c r="H981" s="1">
        <v>4726.76</v>
      </c>
      <c r="I981" s="1">
        <v>373.1</v>
      </c>
    </row>
    <row r="982" spans="1:9">
      <c r="A982" s="9" t="s">
        <v>1715</v>
      </c>
      <c r="B982" s="9"/>
      <c r="C982" t="s">
        <v>762</v>
      </c>
      <c r="D982" s="5" t="s">
        <v>764</v>
      </c>
      <c r="E982" s="1">
        <v>305</v>
      </c>
      <c r="F982" s="1">
        <v>-60.92</v>
      </c>
      <c r="H982" s="1">
        <v>199.65</v>
      </c>
    </row>
    <row r="983" spans="1:9">
      <c r="A983" s="12" t="s">
        <v>1715</v>
      </c>
      <c r="B983" s="12" t="s">
        <v>1901</v>
      </c>
      <c r="C983" s="14" t="s">
        <v>1167</v>
      </c>
      <c r="D983" s="15" t="s">
        <v>1169</v>
      </c>
      <c r="E983" s="16">
        <v>115</v>
      </c>
    </row>
    <row r="984" spans="1:9">
      <c r="A984" s="9" t="s">
        <v>1715</v>
      </c>
      <c r="B984" s="9"/>
      <c r="C984" t="s">
        <v>373</v>
      </c>
      <c r="D984" s="5" t="s">
        <v>375</v>
      </c>
      <c r="E984" s="1">
        <v>10516.34</v>
      </c>
      <c r="F984" s="1">
        <v>420</v>
      </c>
      <c r="H984" s="1">
        <v>214.9</v>
      </c>
    </row>
    <row r="985" spans="1:9">
      <c r="A985" s="9" t="s">
        <v>1715</v>
      </c>
      <c r="B985" s="9"/>
      <c r="C985" t="s">
        <v>315</v>
      </c>
      <c r="D985" s="5" t="s">
        <v>317</v>
      </c>
      <c r="F985" s="1">
        <v>794.71</v>
      </c>
      <c r="H985" s="1">
        <v>24121.96</v>
      </c>
      <c r="I985" s="1">
        <v>9257.52</v>
      </c>
    </row>
    <row r="986" spans="1:9">
      <c r="A986" s="9" t="s">
        <v>1715</v>
      </c>
      <c r="B986" s="9"/>
      <c r="C986" t="s">
        <v>1102</v>
      </c>
      <c r="D986" s="5" t="s">
        <v>1104</v>
      </c>
      <c r="E986" s="1">
        <v>38577.800000000003</v>
      </c>
      <c r="F986" s="1">
        <v>123882.74</v>
      </c>
      <c r="H986" s="1">
        <v>1376.9449999999999</v>
      </c>
      <c r="I986" s="1">
        <v>288</v>
      </c>
    </row>
    <row r="987" spans="1:9">
      <c r="A987" s="9" t="s">
        <v>1715</v>
      </c>
      <c r="B987" s="9"/>
      <c r="C987" t="s">
        <v>759</v>
      </c>
      <c r="D987" s="5" t="s">
        <v>761</v>
      </c>
      <c r="E987" s="1">
        <v>313.75</v>
      </c>
      <c r="F987" s="1">
        <v>2781.42</v>
      </c>
      <c r="H987" s="1">
        <v>12524.575000000001</v>
      </c>
      <c r="I987" s="1">
        <v>979.83</v>
      </c>
    </row>
    <row r="988" spans="1:9">
      <c r="A988" s="9" t="s">
        <v>1715</v>
      </c>
      <c r="B988" s="9"/>
      <c r="C988" t="s">
        <v>771</v>
      </c>
      <c r="D988" s="5" t="s">
        <v>773</v>
      </c>
      <c r="E988" s="1">
        <v>150</v>
      </c>
      <c r="H988" s="1">
        <v>1462.645</v>
      </c>
      <c r="I988" s="1">
        <v>155.76</v>
      </c>
    </row>
    <row r="989" spans="1:9">
      <c r="A989" s="9" t="s">
        <v>1715</v>
      </c>
      <c r="B989" s="9"/>
      <c r="C989" t="s">
        <v>1717</v>
      </c>
      <c r="D989" s="5" t="s">
        <v>1719</v>
      </c>
      <c r="H989" s="16">
        <v>60.96</v>
      </c>
    </row>
    <row r="990" spans="1:9">
      <c r="A990" s="9" t="s">
        <v>1715</v>
      </c>
      <c r="B990" s="9"/>
      <c r="C990" t="s">
        <v>207</v>
      </c>
      <c r="D990" s="5" t="s">
        <v>209</v>
      </c>
      <c r="H990" s="1">
        <v>4490.79</v>
      </c>
      <c r="I990" s="1">
        <v>1122.72</v>
      </c>
    </row>
    <row r="991" spans="1:9">
      <c r="A991" s="9" t="s">
        <v>1715</v>
      </c>
      <c r="B991" s="9"/>
      <c r="C991" t="s">
        <v>459</v>
      </c>
      <c r="D991" s="5" t="s">
        <v>461</v>
      </c>
      <c r="E991" s="1">
        <v>34147.78</v>
      </c>
      <c r="F991" s="1">
        <v>3497.7</v>
      </c>
      <c r="H991" s="1">
        <v>9075.1350000000002</v>
      </c>
      <c r="I991" s="1">
        <v>336.66</v>
      </c>
    </row>
    <row r="992" spans="1:9">
      <c r="A992" s="9" t="s">
        <v>1715</v>
      </c>
      <c r="B992" s="9"/>
      <c r="C992" t="s">
        <v>1123</v>
      </c>
      <c r="D992" s="5" t="s">
        <v>1125</v>
      </c>
      <c r="E992" s="1">
        <v>9040</v>
      </c>
      <c r="F992" s="1">
        <v>119.54</v>
      </c>
      <c r="H992" s="1">
        <v>6336.0550000000003</v>
      </c>
      <c r="I992" s="1">
        <v>582.05999999999995</v>
      </c>
    </row>
    <row r="993" spans="1:9">
      <c r="A993" s="9" t="s">
        <v>1715</v>
      </c>
      <c r="B993" s="9"/>
      <c r="C993" t="s">
        <v>120</v>
      </c>
      <c r="D993" s="5" t="s">
        <v>122</v>
      </c>
      <c r="E993" s="1">
        <v>3585</v>
      </c>
    </row>
    <row r="994" spans="1:9">
      <c r="A994" s="9" t="s">
        <v>1715</v>
      </c>
      <c r="B994" s="9"/>
      <c r="C994" t="s">
        <v>516</v>
      </c>
      <c r="D994" s="5" t="s">
        <v>518</v>
      </c>
      <c r="E994" s="1">
        <v>4035.51</v>
      </c>
      <c r="F994" s="1">
        <v>782.17</v>
      </c>
      <c r="H994" s="1">
        <v>25298.28</v>
      </c>
      <c r="I994" s="1">
        <v>8026.88</v>
      </c>
    </row>
    <row r="995" spans="1:9">
      <c r="A995" s="9" t="s">
        <v>1715</v>
      </c>
      <c r="B995" s="9"/>
      <c r="C995" t="s">
        <v>510</v>
      </c>
      <c r="D995" s="5" t="s">
        <v>512</v>
      </c>
      <c r="E995" s="1">
        <v>21993.5</v>
      </c>
      <c r="F995" s="1">
        <v>17490</v>
      </c>
    </row>
    <row r="996" spans="1:9">
      <c r="A996" s="9" t="s">
        <v>1715</v>
      </c>
      <c r="B996" s="9"/>
      <c r="C996" t="s">
        <v>225</v>
      </c>
      <c r="D996" s="5" t="s">
        <v>227</v>
      </c>
      <c r="F996" s="1">
        <v>1578.49</v>
      </c>
      <c r="H996" s="1">
        <v>223.28</v>
      </c>
    </row>
    <row r="997" spans="1:9">
      <c r="A997" s="9" t="s">
        <v>1715</v>
      </c>
      <c r="B997" s="9"/>
      <c r="C997" t="s">
        <v>609</v>
      </c>
      <c r="D997" s="5" t="s">
        <v>611</v>
      </c>
      <c r="F997" s="1">
        <v>420</v>
      </c>
      <c r="H997" s="1">
        <v>3164.29</v>
      </c>
    </row>
    <row r="998" spans="1:9">
      <c r="A998" s="9" t="s">
        <v>1715</v>
      </c>
      <c r="B998" s="9"/>
      <c r="C998" t="s">
        <v>1105</v>
      </c>
      <c r="D998" s="5" t="s">
        <v>1107</v>
      </c>
      <c r="E998" s="1">
        <v>-383191.14</v>
      </c>
      <c r="F998" s="1">
        <v>501892.73</v>
      </c>
      <c r="H998" s="1">
        <v>1700.3050000000001</v>
      </c>
    </row>
    <row r="999" spans="1:9">
      <c r="A999" s="9" t="s">
        <v>1715</v>
      </c>
      <c r="B999" s="9"/>
      <c r="C999" t="s">
        <v>594</v>
      </c>
      <c r="D999" s="5" t="s">
        <v>596</v>
      </c>
      <c r="H999" s="1">
        <v>353.12</v>
      </c>
    </row>
    <row r="1000" spans="1:9">
      <c r="A1000" s="9" t="s">
        <v>1715</v>
      </c>
      <c r="B1000" s="9"/>
      <c r="C1000" t="s">
        <v>288</v>
      </c>
      <c r="D1000" s="5" t="s">
        <v>290</v>
      </c>
      <c r="E1000" s="1">
        <v>3031.24</v>
      </c>
      <c r="F1000" s="1">
        <v>1000.14</v>
      </c>
      <c r="H1000" s="1">
        <v>16486.375</v>
      </c>
      <c r="I1000" s="1">
        <v>3992.34</v>
      </c>
    </row>
    <row r="1001" spans="1:9">
      <c r="A1001" s="9" t="s">
        <v>1715</v>
      </c>
      <c r="B1001" s="9"/>
      <c r="C1001" t="s">
        <v>333</v>
      </c>
      <c r="D1001" s="5" t="s">
        <v>335</v>
      </c>
      <c r="H1001" s="1">
        <v>3881.05</v>
      </c>
    </row>
    <row r="1002" spans="1:9">
      <c r="A1002" s="9" t="s">
        <v>1715</v>
      </c>
      <c r="B1002" s="9"/>
      <c r="C1002" t="s">
        <v>627</v>
      </c>
      <c r="D1002" s="5" t="s">
        <v>629</v>
      </c>
      <c r="F1002" s="1">
        <v>1894.91</v>
      </c>
      <c r="H1002" s="1">
        <v>4756.3999999999996</v>
      </c>
    </row>
    <row r="1003" spans="1:9">
      <c r="A1003" s="9" t="s">
        <v>1715</v>
      </c>
      <c r="B1003" s="9"/>
      <c r="C1003" t="s">
        <v>54</v>
      </c>
      <c r="D1003" s="5" t="s">
        <v>56</v>
      </c>
      <c r="H1003" s="1">
        <v>1292.43</v>
      </c>
      <c r="I1003" s="1">
        <v>346.32</v>
      </c>
    </row>
    <row r="1004" spans="1:9">
      <c r="A1004" s="9" t="s">
        <v>1715</v>
      </c>
      <c r="B1004" s="9"/>
      <c r="C1004" t="s">
        <v>388</v>
      </c>
      <c r="D1004" s="5" t="s">
        <v>390</v>
      </c>
      <c r="H1004" s="1">
        <v>1616.4649999999999</v>
      </c>
      <c r="I1004" s="1">
        <v>709.59</v>
      </c>
    </row>
    <row r="1005" spans="1:9">
      <c r="A1005" s="9" t="s">
        <v>1715</v>
      </c>
      <c r="B1005" s="9"/>
      <c r="C1005" t="s">
        <v>270</v>
      </c>
      <c r="D1005" s="5" t="s">
        <v>272</v>
      </c>
      <c r="H1005" s="1">
        <v>1198.8900000000001</v>
      </c>
      <c r="I1005" s="1">
        <v>273.73</v>
      </c>
    </row>
    <row r="1006" spans="1:9">
      <c r="A1006" s="9" t="s">
        <v>1715</v>
      </c>
      <c r="B1006" s="9"/>
      <c r="C1006" t="s">
        <v>672</v>
      </c>
      <c r="D1006" s="5" t="s">
        <v>674</v>
      </c>
      <c r="G1006" s="1">
        <v>3961.92</v>
      </c>
    </row>
    <row r="1007" spans="1:9">
      <c r="A1007" s="9" t="s">
        <v>1715</v>
      </c>
      <c r="B1007" s="9"/>
      <c r="C1007" t="s">
        <v>324</v>
      </c>
      <c r="D1007" s="5" t="s">
        <v>326</v>
      </c>
      <c r="G1007" s="1">
        <v>30120.28</v>
      </c>
    </row>
    <row r="1008" spans="1:9">
      <c r="A1008" s="9" t="s">
        <v>1715</v>
      </c>
      <c r="B1008" s="9"/>
      <c r="C1008" t="s">
        <v>1292</v>
      </c>
      <c r="D1008" s="5" t="s">
        <v>1294</v>
      </c>
      <c r="E1008" s="1">
        <v>61823.88</v>
      </c>
    </row>
    <row r="1009" spans="1:9">
      <c r="A1009" s="9" t="s">
        <v>1715</v>
      </c>
      <c r="B1009" s="9"/>
      <c r="C1009" t="s">
        <v>156</v>
      </c>
      <c r="D1009" s="5" t="s">
        <v>158</v>
      </c>
      <c r="F1009" s="1">
        <v>22631.119999999999</v>
      </c>
    </row>
    <row r="1010" spans="1:9">
      <c r="A1010" s="9" t="s">
        <v>1715</v>
      </c>
      <c r="B1010" s="9"/>
      <c r="C1010" t="s">
        <v>415</v>
      </c>
      <c r="D1010" s="5" t="s">
        <v>417</v>
      </c>
      <c r="H1010" s="1">
        <v>6221.33</v>
      </c>
    </row>
    <row r="1011" spans="1:9">
      <c r="A1011" s="9" t="s">
        <v>1715</v>
      </c>
      <c r="B1011" s="9"/>
      <c r="C1011" t="s">
        <v>699</v>
      </c>
      <c r="D1011" s="5" t="s">
        <v>701</v>
      </c>
      <c r="H1011" s="1">
        <v>750.72500000000002</v>
      </c>
    </row>
    <row r="1012" spans="1:9">
      <c r="A1012" s="9" t="s">
        <v>1715</v>
      </c>
      <c r="B1012" s="9"/>
      <c r="C1012" t="s">
        <v>177</v>
      </c>
      <c r="D1012" s="5" t="s">
        <v>179</v>
      </c>
      <c r="H1012" s="1">
        <v>772.26499999999999</v>
      </c>
      <c r="I1012" s="1">
        <v>79.89</v>
      </c>
    </row>
    <row r="1013" spans="1:9">
      <c r="A1013" s="9" t="s">
        <v>1715</v>
      </c>
      <c r="B1013" s="9"/>
      <c r="C1013" t="s">
        <v>1114</v>
      </c>
      <c r="D1013" s="5" t="s">
        <v>1116</v>
      </c>
      <c r="E1013" s="1">
        <v>13091.6</v>
      </c>
      <c r="F1013" s="1">
        <v>33219.54</v>
      </c>
    </row>
    <row r="1014" spans="1:9">
      <c r="A1014" s="9" t="s">
        <v>1715</v>
      </c>
      <c r="B1014" s="9"/>
      <c r="C1014" t="s">
        <v>1720</v>
      </c>
      <c r="D1014" s="5" t="s">
        <v>1722</v>
      </c>
      <c r="E1014" s="1">
        <v>134001.07999999999</v>
      </c>
    </row>
    <row r="1015" spans="1:9">
      <c r="A1015" s="9" t="s">
        <v>1715</v>
      </c>
      <c r="B1015" s="9"/>
      <c r="C1015" t="s">
        <v>24</v>
      </c>
      <c r="D1015" s="5" t="s">
        <v>26</v>
      </c>
      <c r="E1015" s="1">
        <v>0</v>
      </c>
    </row>
    <row r="1016" spans="1:9">
      <c r="A1016" s="9" t="s">
        <v>1715</v>
      </c>
      <c r="B1016" s="9"/>
      <c r="C1016" t="s">
        <v>702</v>
      </c>
      <c r="D1016" s="5" t="s">
        <v>704</v>
      </c>
      <c r="G1016" s="1">
        <v>3710.96</v>
      </c>
    </row>
    <row r="1017" spans="1:9">
      <c r="A1017" s="9" t="s">
        <v>1715</v>
      </c>
      <c r="B1017" s="9"/>
      <c r="C1017" t="s">
        <v>400</v>
      </c>
      <c r="D1017" s="5" t="s">
        <v>402</v>
      </c>
      <c r="E1017" s="1">
        <v>5000</v>
      </c>
    </row>
    <row r="1018" spans="1:9">
      <c r="A1018" s="9" t="s">
        <v>1715</v>
      </c>
      <c r="B1018" s="9"/>
      <c r="C1018" t="s">
        <v>189</v>
      </c>
      <c r="D1018" s="5" t="s">
        <v>191</v>
      </c>
      <c r="H1018" s="1">
        <v>211.92</v>
      </c>
    </row>
    <row r="1019" spans="1:9">
      <c r="A1019" s="9" t="s">
        <v>1715</v>
      </c>
      <c r="B1019" s="9"/>
      <c r="C1019" t="s">
        <v>210</v>
      </c>
      <c r="D1019" s="5" t="s">
        <v>212</v>
      </c>
      <c r="H1019" s="1">
        <v>115.12</v>
      </c>
    </row>
    <row r="1020" spans="1:9">
      <c r="A1020" s="9" t="s">
        <v>1715</v>
      </c>
      <c r="B1020" s="9"/>
      <c r="C1020" t="s">
        <v>385</v>
      </c>
      <c r="D1020" s="5" t="s">
        <v>387</v>
      </c>
      <c r="H1020" s="1">
        <v>53.22</v>
      </c>
    </row>
    <row r="1021" spans="1:9">
      <c r="A1021" s="9" t="s">
        <v>1715</v>
      </c>
      <c r="B1021" s="9"/>
      <c r="C1021" t="s">
        <v>255</v>
      </c>
      <c r="D1021" s="5" t="s">
        <v>257</v>
      </c>
      <c r="H1021" s="1">
        <v>140.96</v>
      </c>
    </row>
    <row r="1022" spans="1:9">
      <c r="A1022" s="9" t="s">
        <v>1715</v>
      </c>
      <c r="B1022" s="9"/>
      <c r="C1022" t="s">
        <v>195</v>
      </c>
      <c r="D1022" s="5" t="s">
        <v>197</v>
      </c>
      <c r="E1022" s="1">
        <v>525</v>
      </c>
      <c r="H1022" s="1">
        <v>1083.5999999999999</v>
      </c>
    </row>
    <row r="1023" spans="1:9">
      <c r="A1023" s="9" t="s">
        <v>1715</v>
      </c>
      <c r="B1023" s="9"/>
      <c r="C1023" t="s">
        <v>108</v>
      </c>
      <c r="D1023" s="5" t="s">
        <v>110</v>
      </c>
      <c r="H1023" s="1">
        <v>7969.34</v>
      </c>
    </row>
    <row r="1024" spans="1:9">
      <c r="A1024" s="9" t="s">
        <v>1715</v>
      </c>
      <c r="B1024" s="9"/>
      <c r="C1024" t="s">
        <v>582</v>
      </c>
      <c r="D1024" s="5" t="s">
        <v>584</v>
      </c>
      <c r="H1024" s="1">
        <v>28.78</v>
      </c>
    </row>
    <row r="1025" spans="1:8">
      <c r="A1025" s="9" t="s">
        <v>1715</v>
      </c>
      <c r="B1025" s="9"/>
      <c r="C1025" t="s">
        <v>1117</v>
      </c>
      <c r="D1025" s="5" t="s">
        <v>1119</v>
      </c>
      <c r="E1025" s="1">
        <v>12015.13</v>
      </c>
    </row>
    <row r="1026" spans="1:8">
      <c r="A1026" s="9" t="s">
        <v>1715</v>
      </c>
      <c r="B1026" s="9"/>
      <c r="C1026" t="s">
        <v>291</v>
      </c>
      <c r="D1026" s="5" t="s">
        <v>293</v>
      </c>
      <c r="E1026" s="1">
        <v>715.42</v>
      </c>
    </row>
    <row r="1027" spans="1:8">
      <c r="A1027" s="9" t="s">
        <v>1715</v>
      </c>
      <c r="B1027" s="9"/>
      <c r="C1027" t="s">
        <v>338</v>
      </c>
      <c r="D1027" s="5" t="s">
        <v>340</v>
      </c>
      <c r="E1027" s="1">
        <v>26793.43</v>
      </c>
    </row>
    <row r="1028" spans="1:8">
      <c r="A1028" s="9" t="s">
        <v>1715</v>
      </c>
      <c r="B1028" s="9"/>
      <c r="C1028" t="s">
        <v>615</v>
      </c>
      <c r="D1028" s="5" t="s">
        <v>617</v>
      </c>
      <c r="E1028" s="1">
        <v>66190.399999999994</v>
      </c>
    </row>
    <row r="1029" spans="1:8">
      <c r="A1029" s="9" t="s">
        <v>1715</v>
      </c>
      <c r="B1029" s="9"/>
      <c r="C1029" t="s">
        <v>1274</v>
      </c>
      <c r="D1029" s="5" t="s">
        <v>1276</v>
      </c>
      <c r="F1029" s="1">
        <v>68.989999999999995</v>
      </c>
    </row>
    <row r="1030" spans="1:8">
      <c r="A1030" s="9" t="s">
        <v>1715</v>
      </c>
      <c r="B1030" s="9"/>
      <c r="C1030" t="s">
        <v>267</v>
      </c>
      <c r="D1030" s="5" t="s">
        <v>269</v>
      </c>
      <c r="F1030" s="1">
        <v>1000.67</v>
      </c>
    </row>
    <row r="1031" spans="1:8">
      <c r="A1031" s="9" t="s">
        <v>1715</v>
      </c>
      <c r="B1031" s="9"/>
      <c r="C1031" t="s">
        <v>412</v>
      </c>
      <c r="D1031" s="5" t="s">
        <v>414</v>
      </c>
      <c r="H1031" s="1">
        <v>215.87</v>
      </c>
    </row>
    <row r="1032" spans="1:8">
      <c r="A1032" s="9" t="s">
        <v>1715</v>
      </c>
      <c r="B1032" s="9"/>
      <c r="C1032" t="s">
        <v>537</v>
      </c>
      <c r="D1032" s="5" t="s">
        <v>539</v>
      </c>
      <c r="E1032" s="1">
        <v>0</v>
      </c>
      <c r="H1032" s="1">
        <v>211.92</v>
      </c>
    </row>
    <row r="1033" spans="1:8">
      <c r="A1033" s="9" t="s">
        <v>1715</v>
      </c>
      <c r="B1033" s="9"/>
      <c r="C1033" t="s">
        <v>729</v>
      </c>
      <c r="D1033" s="5" t="s">
        <v>731</v>
      </c>
      <c r="H1033" s="1">
        <v>1152.78</v>
      </c>
    </row>
    <row r="1034" spans="1:8">
      <c r="A1034" s="9" t="s">
        <v>1715</v>
      </c>
      <c r="B1034" s="9"/>
      <c r="C1034" t="s">
        <v>30</v>
      </c>
      <c r="D1034" s="5" t="s">
        <v>32</v>
      </c>
      <c r="E1034" s="1">
        <v>5541.5</v>
      </c>
      <c r="H1034" s="1">
        <v>268.66000000000003</v>
      </c>
    </row>
    <row r="1035" spans="1:8">
      <c r="A1035" s="9" t="s">
        <v>1715</v>
      </c>
      <c r="B1035" s="9"/>
      <c r="C1035" t="s">
        <v>162</v>
      </c>
      <c r="D1035" s="5" t="s">
        <v>164</v>
      </c>
      <c r="E1035" s="1">
        <v>2951.75</v>
      </c>
    </row>
    <row r="1036" spans="1:8">
      <c r="A1036" s="9" t="s">
        <v>1715</v>
      </c>
      <c r="B1036" s="9"/>
      <c r="C1036" t="s">
        <v>1111</v>
      </c>
      <c r="D1036" s="5" t="s">
        <v>1113</v>
      </c>
      <c r="E1036" s="1">
        <v>56186.25</v>
      </c>
    </row>
    <row r="1037" spans="1:8">
      <c r="A1037" s="9" t="s">
        <v>1715</v>
      </c>
      <c r="B1037" s="9"/>
      <c r="C1037" t="s">
        <v>330</v>
      </c>
      <c r="D1037" s="5" t="s">
        <v>332</v>
      </c>
      <c r="F1037" s="1">
        <v>2217.69</v>
      </c>
    </row>
    <row r="1038" spans="1:8">
      <c r="A1038" s="9" t="s">
        <v>1715</v>
      </c>
      <c r="B1038" s="9"/>
      <c r="C1038" t="s">
        <v>341</v>
      </c>
      <c r="D1038" s="5" t="s">
        <v>343</v>
      </c>
      <c r="F1038" s="1">
        <v>52895.199999999997</v>
      </c>
    </row>
    <row r="1039" spans="1:8">
      <c r="A1039" s="9" t="s">
        <v>1715</v>
      </c>
      <c r="B1039" s="9"/>
      <c r="C1039" t="s">
        <v>507</v>
      </c>
      <c r="D1039" s="5" t="s">
        <v>509</v>
      </c>
      <c r="H1039" s="1">
        <v>4065.94</v>
      </c>
    </row>
    <row r="1040" spans="1:8">
      <c r="A1040" s="9" t="s">
        <v>1715</v>
      </c>
      <c r="B1040" s="9"/>
      <c r="C1040" t="s">
        <v>666</v>
      </c>
      <c r="D1040" s="5" t="s">
        <v>668</v>
      </c>
      <c r="H1040" s="1">
        <v>14252.4</v>
      </c>
    </row>
    <row r="1041" spans="1:9">
      <c r="A1041" s="9" t="s">
        <v>1715</v>
      </c>
      <c r="B1041" s="9"/>
      <c r="C1041" t="s">
        <v>468</v>
      </c>
      <c r="D1041" s="5" t="s">
        <v>470</v>
      </c>
      <c r="H1041" s="1">
        <v>500.58</v>
      </c>
      <c r="I1041" s="1">
        <v>811.72</v>
      </c>
    </row>
    <row r="1042" spans="1:9">
      <c r="A1042" s="9" t="s">
        <v>1723</v>
      </c>
      <c r="B1042" s="9"/>
      <c r="C1042" t="s">
        <v>252</v>
      </c>
      <c r="D1042" s="5" t="s">
        <v>254</v>
      </c>
      <c r="E1042" s="1">
        <v>9813.09</v>
      </c>
      <c r="F1042" s="1">
        <v>10239.23</v>
      </c>
    </row>
    <row r="1043" spans="1:9">
      <c r="A1043" s="9" t="s">
        <v>1723</v>
      </c>
      <c r="B1043" s="9"/>
      <c r="C1043" t="s">
        <v>63</v>
      </c>
      <c r="D1043" s="5" t="s">
        <v>65</v>
      </c>
      <c r="E1043" s="1">
        <v>21838.97</v>
      </c>
      <c r="F1043" s="1">
        <v>244812.02</v>
      </c>
    </row>
    <row r="1044" spans="1:9">
      <c r="A1044" s="9" t="s">
        <v>1723</v>
      </c>
      <c r="B1044" s="9"/>
      <c r="C1044" t="s">
        <v>84</v>
      </c>
      <c r="D1044" s="5" t="s">
        <v>86</v>
      </c>
      <c r="E1044" s="1">
        <v>20323.86</v>
      </c>
      <c r="F1044" s="1">
        <v>7902.55</v>
      </c>
    </row>
    <row r="1045" spans="1:9">
      <c r="A1045" s="9" t="s">
        <v>1723</v>
      </c>
      <c r="B1045" s="9"/>
      <c r="C1045" t="s">
        <v>186</v>
      </c>
      <c r="D1045" s="5" t="s">
        <v>188</v>
      </c>
      <c r="E1045" s="1">
        <v>28514.32</v>
      </c>
      <c r="F1045" s="1">
        <v>-1399.01</v>
      </c>
    </row>
    <row r="1046" spans="1:9">
      <c r="A1046" s="9" t="s">
        <v>1723</v>
      </c>
      <c r="B1046" s="9"/>
      <c r="C1046" t="s">
        <v>355</v>
      </c>
      <c r="D1046" s="5" t="s">
        <v>357</v>
      </c>
      <c r="E1046" s="1">
        <v>263806.83</v>
      </c>
      <c r="F1046" s="1">
        <v>15610.26</v>
      </c>
    </row>
    <row r="1047" spans="1:9">
      <c r="A1047" s="9" t="s">
        <v>1723</v>
      </c>
      <c r="B1047" s="9"/>
      <c r="C1047" t="s">
        <v>660</v>
      </c>
      <c r="D1047" s="5" t="s">
        <v>662</v>
      </c>
      <c r="E1047" s="1">
        <v>1500</v>
      </c>
    </row>
    <row r="1048" spans="1:9">
      <c r="A1048" s="9" t="s">
        <v>1723</v>
      </c>
      <c r="B1048" s="9"/>
      <c r="C1048" t="s">
        <v>459</v>
      </c>
      <c r="D1048" s="5" t="s">
        <v>461</v>
      </c>
      <c r="E1048" s="1">
        <v>20383.64</v>
      </c>
      <c r="F1048" s="1">
        <v>554.66999999999996</v>
      </c>
    </row>
    <row r="1049" spans="1:9">
      <c r="A1049" s="9" t="s">
        <v>1723</v>
      </c>
      <c r="B1049" s="9"/>
      <c r="C1049" t="s">
        <v>513</v>
      </c>
      <c r="D1049" s="5" t="s">
        <v>515</v>
      </c>
      <c r="E1049" s="1">
        <v>2144</v>
      </c>
      <c r="F1049" s="1">
        <v>24940.89</v>
      </c>
    </row>
    <row r="1050" spans="1:9">
      <c r="A1050" s="9" t="s">
        <v>1723</v>
      </c>
      <c r="B1050" s="9"/>
      <c r="C1050" t="s">
        <v>418</v>
      </c>
      <c r="D1050" s="5" t="s">
        <v>420</v>
      </c>
      <c r="E1050" s="1">
        <v>0</v>
      </c>
    </row>
    <row r="1051" spans="1:9">
      <c r="A1051" s="9" t="s">
        <v>1723</v>
      </c>
      <c r="B1051" s="9"/>
      <c r="C1051" t="s">
        <v>69</v>
      </c>
      <c r="D1051" s="5" t="s">
        <v>71</v>
      </c>
      <c r="E1051" s="1">
        <v>291392.86</v>
      </c>
      <c r="F1051" s="1">
        <v>81643.72</v>
      </c>
    </row>
    <row r="1052" spans="1:9">
      <c r="A1052" s="9" t="s">
        <v>1723</v>
      </c>
      <c r="B1052" s="9"/>
      <c r="C1052" t="s">
        <v>394</v>
      </c>
      <c r="D1052" s="5" t="s">
        <v>396</v>
      </c>
      <c r="E1052" s="1">
        <v>600</v>
      </c>
    </row>
    <row r="1053" spans="1:9">
      <c r="A1053" s="9" t="s">
        <v>1723</v>
      </c>
      <c r="B1053" s="9"/>
      <c r="C1053" t="s">
        <v>615</v>
      </c>
      <c r="D1053" s="5" t="s">
        <v>617</v>
      </c>
      <c r="F1053" s="1">
        <v>598.52</v>
      </c>
    </row>
    <row r="1054" spans="1:9">
      <c r="A1054" s="9" t="s">
        <v>1723</v>
      </c>
      <c r="B1054" s="9"/>
      <c r="C1054" t="s">
        <v>1725</v>
      </c>
      <c r="D1054" s="5" t="s">
        <v>1727</v>
      </c>
      <c r="E1054" s="1">
        <v>303</v>
      </c>
    </row>
    <row r="1055" spans="1:9">
      <c r="A1055" s="9" t="s">
        <v>1723</v>
      </c>
      <c r="B1055" s="9"/>
      <c r="C1055" t="s">
        <v>30</v>
      </c>
      <c r="D1055" s="5" t="s">
        <v>32</v>
      </c>
      <c r="E1055" s="1">
        <v>22155.75</v>
      </c>
      <c r="F1055" s="1">
        <v>13364.16</v>
      </c>
    </row>
    <row r="1056" spans="1:9">
      <c r="A1056" s="9" t="s">
        <v>1723</v>
      </c>
      <c r="B1056" s="9"/>
      <c r="C1056" t="s">
        <v>759</v>
      </c>
      <c r="D1056" s="5" t="s">
        <v>761</v>
      </c>
      <c r="E1056" s="1">
        <v>10671.37</v>
      </c>
      <c r="F1056" s="1">
        <v>21944.639999999999</v>
      </c>
    </row>
    <row r="1057" spans="1:6">
      <c r="A1057" s="9" t="s">
        <v>1723</v>
      </c>
      <c r="B1057" s="9"/>
      <c r="C1057" t="s">
        <v>285</v>
      </c>
      <c r="D1057" s="5" t="s">
        <v>287</v>
      </c>
      <c r="E1057" s="1">
        <v>16365</v>
      </c>
      <c r="F1057" s="1">
        <v>7584.95</v>
      </c>
    </row>
    <row r="1058" spans="1:6">
      <c r="A1058" s="9" t="s">
        <v>1723</v>
      </c>
      <c r="B1058" s="9"/>
      <c r="C1058" t="s">
        <v>552</v>
      </c>
      <c r="D1058" s="5" t="s">
        <v>554</v>
      </c>
      <c r="E1058" s="1">
        <v>2250</v>
      </c>
      <c r="F1058" s="1">
        <v>4839.8500000000004</v>
      </c>
    </row>
    <row r="1059" spans="1:6">
      <c r="A1059" s="9" t="s">
        <v>1723</v>
      </c>
      <c r="B1059" s="9"/>
      <c r="C1059" t="s">
        <v>207</v>
      </c>
      <c r="D1059" s="5" t="s">
        <v>209</v>
      </c>
      <c r="E1059" s="1">
        <v>564</v>
      </c>
      <c r="F1059" s="1">
        <v>3383.08</v>
      </c>
    </row>
    <row r="1060" spans="1:6">
      <c r="A1060" s="9" t="s">
        <v>1723</v>
      </c>
      <c r="B1060" s="9"/>
      <c r="C1060" t="s">
        <v>609</v>
      </c>
      <c r="D1060" s="5" t="s">
        <v>611</v>
      </c>
      <c r="E1060" s="1">
        <v>12625.14</v>
      </c>
      <c r="F1060" s="1">
        <v>10388.44</v>
      </c>
    </row>
    <row r="1061" spans="1:6">
      <c r="A1061" s="9" t="s">
        <v>1723</v>
      </c>
      <c r="B1061" s="9"/>
      <c r="C1061" t="s">
        <v>525</v>
      </c>
      <c r="D1061" s="5" t="s">
        <v>527</v>
      </c>
      <c r="E1061" s="1">
        <v>7968</v>
      </c>
      <c r="F1061" s="1">
        <v>897.96</v>
      </c>
    </row>
    <row r="1062" spans="1:6">
      <c r="A1062" s="9" t="s">
        <v>1723</v>
      </c>
      <c r="B1062" s="9"/>
      <c r="C1062" t="s">
        <v>603</v>
      </c>
      <c r="D1062" s="5" t="s">
        <v>605</v>
      </c>
      <c r="F1062" s="1">
        <v>6784.95</v>
      </c>
    </row>
    <row r="1063" spans="1:6">
      <c r="A1063" s="9" t="s">
        <v>1723</v>
      </c>
      <c r="B1063" s="9"/>
      <c r="C1063" t="s">
        <v>630</v>
      </c>
      <c r="D1063" s="5" t="s">
        <v>632</v>
      </c>
      <c r="E1063" s="1">
        <v>21233.26</v>
      </c>
      <c r="F1063" s="1">
        <v>16384.240000000002</v>
      </c>
    </row>
    <row r="1064" spans="1:6">
      <c r="A1064" s="9" t="s">
        <v>1723</v>
      </c>
      <c r="B1064" s="9"/>
      <c r="C1064" t="s">
        <v>180</v>
      </c>
      <c r="D1064" s="5" t="s">
        <v>182</v>
      </c>
      <c r="E1064" s="1">
        <v>24980.36</v>
      </c>
      <c r="F1064" s="1">
        <v>10565.54</v>
      </c>
    </row>
    <row r="1065" spans="1:6">
      <c r="A1065" s="9" t="s">
        <v>1723</v>
      </c>
      <c r="B1065" s="9"/>
      <c r="C1065" t="s">
        <v>60</v>
      </c>
      <c r="D1065" s="5" t="s">
        <v>62</v>
      </c>
      <c r="E1065" s="1">
        <v>795004.16</v>
      </c>
      <c r="F1065" s="1">
        <v>423893.69</v>
      </c>
    </row>
    <row r="1066" spans="1:6">
      <c r="A1066" s="9" t="s">
        <v>1723</v>
      </c>
      <c r="B1066" s="9"/>
      <c r="C1066" t="s">
        <v>492</v>
      </c>
      <c r="D1066" s="5" t="s">
        <v>494</v>
      </c>
      <c r="E1066" s="1">
        <v>237.55</v>
      </c>
      <c r="F1066" s="1">
        <v>69741.820000000007</v>
      </c>
    </row>
    <row r="1067" spans="1:6">
      <c r="A1067" s="9" t="s">
        <v>1723</v>
      </c>
      <c r="B1067" s="9"/>
      <c r="C1067" t="s">
        <v>666</v>
      </c>
      <c r="D1067" s="5" t="s">
        <v>668</v>
      </c>
      <c r="E1067" s="1">
        <v>76887.16</v>
      </c>
      <c r="F1067" s="1">
        <v>51827.72</v>
      </c>
    </row>
    <row r="1068" spans="1:6">
      <c r="A1068" s="9" t="s">
        <v>1723</v>
      </c>
      <c r="B1068" s="9"/>
      <c r="C1068" t="s">
        <v>291</v>
      </c>
      <c r="D1068" s="5" t="s">
        <v>293</v>
      </c>
      <c r="E1068" s="1">
        <v>5007.9399999999996</v>
      </c>
      <c r="F1068" s="1">
        <v>12774</v>
      </c>
    </row>
    <row r="1069" spans="1:6">
      <c r="A1069" s="9" t="s">
        <v>1723</v>
      </c>
      <c r="B1069" s="9"/>
      <c r="C1069" t="s">
        <v>315</v>
      </c>
      <c r="D1069" s="5" t="s">
        <v>317</v>
      </c>
      <c r="E1069" s="1">
        <v>59281.47</v>
      </c>
      <c r="F1069" s="1">
        <v>18437.669999999998</v>
      </c>
    </row>
    <row r="1070" spans="1:6">
      <c r="A1070" s="9" t="s">
        <v>1723</v>
      </c>
      <c r="B1070" s="9"/>
      <c r="C1070" t="s">
        <v>558</v>
      </c>
      <c r="D1070" s="5" t="s">
        <v>560</v>
      </c>
      <c r="E1070" s="1">
        <v>26237.279999999999</v>
      </c>
      <c r="F1070" s="1">
        <v>-1191.49</v>
      </c>
    </row>
    <row r="1071" spans="1:6">
      <c r="A1071" s="9" t="s">
        <v>1723</v>
      </c>
      <c r="B1071" s="9"/>
      <c r="C1071" t="s">
        <v>72</v>
      </c>
      <c r="D1071" s="5" t="s">
        <v>74</v>
      </c>
      <c r="E1071" s="1">
        <v>9860</v>
      </c>
      <c r="F1071" s="1">
        <v>20310.5</v>
      </c>
    </row>
    <row r="1072" spans="1:6">
      <c r="A1072" s="9" t="s">
        <v>1723</v>
      </c>
      <c r="B1072" s="9"/>
      <c r="C1072" t="s">
        <v>300</v>
      </c>
      <c r="D1072" s="5" t="s">
        <v>302</v>
      </c>
      <c r="E1072" s="1">
        <v>103333.33</v>
      </c>
    </row>
    <row r="1073" spans="1:7">
      <c r="A1073" s="9" t="s">
        <v>1723</v>
      </c>
      <c r="B1073" s="9"/>
      <c r="C1073" t="s">
        <v>376</v>
      </c>
      <c r="D1073" s="5" t="s">
        <v>378</v>
      </c>
      <c r="E1073" s="1">
        <v>3172.12</v>
      </c>
    </row>
    <row r="1074" spans="1:7">
      <c r="A1074" s="9" t="s">
        <v>1723</v>
      </c>
      <c r="B1074" s="9"/>
      <c r="C1074" t="s">
        <v>177</v>
      </c>
      <c r="D1074" s="5" t="s">
        <v>179</v>
      </c>
      <c r="E1074" s="1">
        <v>6580</v>
      </c>
      <c r="F1074" s="1">
        <v>1055.44</v>
      </c>
    </row>
    <row r="1075" spans="1:7">
      <c r="A1075" s="9" t="s">
        <v>1723</v>
      </c>
      <c r="B1075" s="9"/>
      <c r="C1075" t="s">
        <v>762</v>
      </c>
      <c r="D1075" s="5" t="s">
        <v>764</v>
      </c>
      <c r="E1075" s="1">
        <v>7792.56</v>
      </c>
      <c r="F1075" s="1">
        <v>14941.95</v>
      </c>
    </row>
    <row r="1076" spans="1:7">
      <c r="A1076" s="9" t="s">
        <v>1723</v>
      </c>
      <c r="B1076" s="9"/>
      <c r="C1076" t="s">
        <v>48</v>
      </c>
      <c r="D1076" s="5" t="s">
        <v>50</v>
      </c>
      <c r="E1076" s="1">
        <v>8320</v>
      </c>
    </row>
    <row r="1077" spans="1:7">
      <c r="A1077" s="9" t="s">
        <v>1723</v>
      </c>
      <c r="B1077" s="9"/>
      <c r="C1077" t="s">
        <v>297</v>
      </c>
      <c r="D1077" s="5" t="s">
        <v>299</v>
      </c>
      <c r="E1077" s="1">
        <v>19500</v>
      </c>
    </row>
    <row r="1078" spans="1:7">
      <c r="A1078" s="9" t="s">
        <v>1723</v>
      </c>
      <c r="B1078" s="9"/>
      <c r="C1078" t="s">
        <v>382</v>
      </c>
      <c r="D1078" s="5" t="s">
        <v>384</v>
      </c>
      <c r="E1078" s="1">
        <v>0</v>
      </c>
    </row>
    <row r="1079" spans="1:7">
      <c r="A1079" s="9" t="s">
        <v>1723</v>
      </c>
      <c r="B1079" s="9"/>
      <c r="C1079" t="s">
        <v>189</v>
      </c>
      <c r="D1079" s="5" t="s">
        <v>191</v>
      </c>
      <c r="E1079" s="1">
        <v>0</v>
      </c>
    </row>
    <row r="1080" spans="1:7">
      <c r="A1080" s="9" t="s">
        <v>1723</v>
      </c>
      <c r="B1080" s="9"/>
      <c r="C1080" t="s">
        <v>454</v>
      </c>
      <c r="D1080" s="5" t="s">
        <v>456</v>
      </c>
      <c r="E1080" s="1">
        <v>80076.039999999994</v>
      </c>
      <c r="F1080" s="1">
        <v>9139.2900000000009</v>
      </c>
      <c r="G1080" s="1">
        <v>45893.02</v>
      </c>
    </row>
    <row r="1081" spans="1:7">
      <c r="A1081" s="9" t="s">
        <v>1723</v>
      </c>
      <c r="B1081" s="9"/>
      <c r="C1081" t="s">
        <v>192</v>
      </c>
      <c r="D1081" s="5" t="s">
        <v>194</v>
      </c>
      <c r="E1081" s="1">
        <v>200</v>
      </c>
      <c r="F1081" s="1">
        <v>1437.67</v>
      </c>
    </row>
    <row r="1082" spans="1:7">
      <c r="A1082" s="9" t="s">
        <v>1723</v>
      </c>
      <c r="B1082" s="9"/>
      <c r="C1082" t="s">
        <v>373</v>
      </c>
      <c r="D1082" s="5" t="s">
        <v>375</v>
      </c>
      <c r="E1082" s="1">
        <v>2129.19</v>
      </c>
      <c r="F1082" s="1">
        <v>16916.310000000001</v>
      </c>
    </row>
    <row r="1083" spans="1:7">
      <c r="A1083" s="9" t="s">
        <v>1723</v>
      </c>
      <c r="B1083" s="9"/>
      <c r="C1083" t="s">
        <v>651</v>
      </c>
      <c r="D1083" s="5" t="s">
        <v>653</v>
      </c>
      <c r="E1083" s="1">
        <v>14503.3</v>
      </c>
      <c r="F1083" s="1">
        <v>3140.15</v>
      </c>
    </row>
    <row r="1084" spans="1:7">
      <c r="A1084" s="9" t="s">
        <v>1723</v>
      </c>
      <c r="B1084" s="9"/>
      <c r="C1084" t="s">
        <v>729</v>
      </c>
      <c r="D1084" s="5" t="s">
        <v>731</v>
      </c>
      <c r="E1084" s="1">
        <v>0</v>
      </c>
      <c r="F1084" s="1">
        <v>1953.59</v>
      </c>
    </row>
    <row r="1085" spans="1:7">
      <c r="A1085" s="9" t="s">
        <v>1723</v>
      </c>
      <c r="B1085" s="9"/>
      <c r="C1085" t="s">
        <v>792</v>
      </c>
      <c r="D1085" s="5" t="s">
        <v>794</v>
      </c>
      <c r="F1085" s="1">
        <v>10137.299999999999</v>
      </c>
    </row>
    <row r="1086" spans="1:7">
      <c r="A1086" s="9" t="s">
        <v>1723</v>
      </c>
      <c r="B1086" s="9"/>
      <c r="C1086" t="s">
        <v>421</v>
      </c>
      <c r="D1086" s="5" t="s">
        <v>423</v>
      </c>
      <c r="F1086" s="1">
        <v>94.05</v>
      </c>
    </row>
    <row r="1087" spans="1:7">
      <c r="A1087" s="9" t="s">
        <v>1723</v>
      </c>
      <c r="B1087" s="9"/>
      <c r="C1087" t="s">
        <v>159</v>
      </c>
      <c r="D1087" s="5" t="s">
        <v>161</v>
      </c>
      <c r="E1087" s="1">
        <v>9204</v>
      </c>
      <c r="F1087" s="1">
        <v>1155.2</v>
      </c>
    </row>
    <row r="1088" spans="1:7">
      <c r="A1088" s="9" t="s">
        <v>1723</v>
      </c>
      <c r="B1088" s="9"/>
      <c r="C1088" t="s">
        <v>210</v>
      </c>
      <c r="D1088" s="5" t="s">
        <v>212</v>
      </c>
      <c r="E1088" s="1">
        <v>6050</v>
      </c>
    </row>
    <row r="1089" spans="1:6">
      <c r="A1089" s="9" t="s">
        <v>1723</v>
      </c>
      <c r="B1089" s="9"/>
      <c r="C1089" t="s">
        <v>415</v>
      </c>
      <c r="D1089" s="5" t="s">
        <v>417</v>
      </c>
      <c r="E1089" s="1">
        <v>13193.3</v>
      </c>
    </row>
    <row r="1090" spans="1:6">
      <c r="A1090" s="9" t="s">
        <v>1723</v>
      </c>
      <c r="B1090" s="9"/>
      <c r="C1090" t="s">
        <v>156</v>
      </c>
      <c r="D1090" s="5" t="s">
        <v>158</v>
      </c>
      <c r="E1090" s="1">
        <v>71939.990000000005</v>
      </c>
      <c r="F1090" s="1">
        <v>1132.8699999999999</v>
      </c>
    </row>
    <row r="1091" spans="1:6">
      <c r="A1091" s="9" t="s">
        <v>1723</v>
      </c>
      <c r="B1091" s="9"/>
      <c r="C1091" t="s">
        <v>54</v>
      </c>
      <c r="D1091" s="5" t="s">
        <v>56</v>
      </c>
      <c r="E1091" s="1">
        <v>18200</v>
      </c>
    </row>
    <row r="1092" spans="1:6">
      <c r="A1092" s="9" t="s">
        <v>1723</v>
      </c>
      <c r="B1092" s="9"/>
      <c r="C1092" t="s">
        <v>264</v>
      </c>
      <c r="D1092" s="5" t="s">
        <v>266</v>
      </c>
      <c r="E1092" s="1">
        <v>5275</v>
      </c>
    </row>
    <row r="1093" spans="1:6">
      <c r="A1093" s="9" t="s">
        <v>1723</v>
      </c>
      <c r="B1093" s="9"/>
      <c r="C1093" t="s">
        <v>507</v>
      </c>
      <c r="D1093" s="5" t="s">
        <v>509</v>
      </c>
      <c r="E1093" s="1">
        <v>3389.82</v>
      </c>
      <c r="F1093" s="1">
        <v>2252.33</v>
      </c>
    </row>
    <row r="1094" spans="1:6">
      <c r="A1094" s="9" t="s">
        <v>1723</v>
      </c>
      <c r="B1094" s="9"/>
      <c r="C1094" t="s">
        <v>370</v>
      </c>
      <c r="D1094" s="5" t="s">
        <v>372</v>
      </c>
      <c r="E1094" s="1">
        <v>0</v>
      </c>
      <c r="F1094" s="1">
        <v>450</v>
      </c>
    </row>
    <row r="1095" spans="1:6">
      <c r="A1095" s="9" t="s">
        <v>1723</v>
      </c>
      <c r="B1095" s="9"/>
      <c r="C1095" t="s">
        <v>445</v>
      </c>
      <c r="D1095" s="5" t="s">
        <v>447</v>
      </c>
      <c r="E1095" s="1">
        <v>5389.73</v>
      </c>
    </row>
    <row r="1096" spans="1:6">
      <c r="A1096" s="9" t="s">
        <v>1723</v>
      </c>
      <c r="B1096" s="9"/>
      <c r="C1096" t="s">
        <v>258</v>
      </c>
      <c r="D1096" s="5" t="s">
        <v>260</v>
      </c>
      <c r="F1096" s="1">
        <v>5283.82</v>
      </c>
    </row>
    <row r="1097" spans="1:6">
      <c r="A1097" s="9" t="s">
        <v>1723</v>
      </c>
      <c r="B1097" s="9"/>
      <c r="C1097" t="s">
        <v>624</v>
      </c>
      <c r="D1097" s="5" t="s">
        <v>626</v>
      </c>
      <c r="E1097" s="1">
        <v>4185</v>
      </c>
      <c r="F1097" s="1">
        <v>4154.3999999999996</v>
      </c>
    </row>
    <row r="1098" spans="1:6">
      <c r="A1098" s="9" t="s">
        <v>1723</v>
      </c>
      <c r="B1098" s="9"/>
      <c r="C1098" t="s">
        <v>771</v>
      </c>
      <c r="D1098" s="5" t="s">
        <v>773</v>
      </c>
      <c r="F1098" s="1">
        <v>8423.0499999999993</v>
      </c>
    </row>
    <row r="1099" spans="1:6">
      <c r="A1099" s="9" t="s">
        <v>1723</v>
      </c>
      <c r="B1099" s="9"/>
      <c r="C1099" t="s">
        <v>510</v>
      </c>
      <c r="D1099" s="5" t="s">
        <v>512</v>
      </c>
      <c r="F1099" s="1">
        <v>11491.69</v>
      </c>
    </row>
    <row r="1100" spans="1:6">
      <c r="A1100" s="9" t="s">
        <v>1723</v>
      </c>
      <c r="B1100" s="9"/>
      <c r="C1100" t="s">
        <v>108</v>
      </c>
      <c r="D1100" s="5" t="s">
        <v>110</v>
      </c>
      <c r="E1100" s="1">
        <v>2355.4</v>
      </c>
      <c r="F1100" s="1">
        <v>4108</v>
      </c>
    </row>
    <row r="1101" spans="1:6">
      <c r="A1101" s="9" t="s">
        <v>1723</v>
      </c>
      <c r="B1101" s="9"/>
      <c r="C1101" t="s">
        <v>612</v>
      </c>
      <c r="D1101" s="5" t="s">
        <v>614</v>
      </c>
      <c r="E1101" s="1">
        <v>2000</v>
      </c>
    </row>
    <row r="1102" spans="1:6">
      <c r="A1102" s="9" t="s">
        <v>1723</v>
      </c>
      <c r="B1102" s="9"/>
      <c r="C1102" t="s">
        <v>696</v>
      </c>
      <c r="D1102" s="5" t="s">
        <v>698</v>
      </c>
      <c r="E1102" s="1">
        <v>34920.67</v>
      </c>
      <c r="F1102" s="1">
        <v>-27117.77</v>
      </c>
    </row>
    <row r="1103" spans="1:6">
      <c r="A1103" s="9" t="s">
        <v>1723</v>
      </c>
      <c r="B1103" s="9"/>
      <c r="C1103" t="s">
        <v>738</v>
      </c>
      <c r="D1103" s="5" t="s">
        <v>740</v>
      </c>
      <c r="E1103" s="1">
        <v>10184.11</v>
      </c>
    </row>
    <row r="1104" spans="1:6">
      <c r="A1104" s="9" t="s">
        <v>1723</v>
      </c>
      <c r="B1104" s="9"/>
      <c r="C1104" t="s">
        <v>468</v>
      </c>
      <c r="D1104" s="5" t="s">
        <v>470</v>
      </c>
      <c r="E1104" s="1">
        <v>10740</v>
      </c>
      <c r="F1104" s="1">
        <v>19723.3</v>
      </c>
    </row>
    <row r="1105" spans="1:6">
      <c r="A1105" s="9" t="s">
        <v>1723</v>
      </c>
      <c r="B1105" s="9"/>
      <c r="C1105" t="s">
        <v>324</v>
      </c>
      <c r="D1105" s="5" t="s">
        <v>326</v>
      </c>
      <c r="E1105" s="1">
        <v>6900</v>
      </c>
    </row>
    <row r="1106" spans="1:6">
      <c r="A1106" s="9" t="s">
        <v>1723</v>
      </c>
      <c r="B1106" s="9"/>
      <c r="C1106" t="s">
        <v>27</v>
      </c>
      <c r="D1106" s="5" t="s">
        <v>29</v>
      </c>
      <c r="E1106" s="1">
        <v>620.20000000000005</v>
      </c>
    </row>
    <row r="1107" spans="1:6">
      <c r="A1107" s="9" t="s">
        <v>1723</v>
      </c>
      <c r="B1107" s="9"/>
      <c r="C1107" t="s">
        <v>385</v>
      </c>
      <c r="D1107" s="5" t="s">
        <v>387</v>
      </c>
      <c r="E1107" s="1">
        <v>538.35</v>
      </c>
    </row>
    <row r="1108" spans="1:6">
      <c r="A1108" s="9" t="s">
        <v>1723</v>
      </c>
      <c r="B1108" s="9"/>
      <c r="C1108" t="s">
        <v>654</v>
      </c>
      <c r="D1108" s="5" t="s">
        <v>656</v>
      </c>
      <c r="E1108" s="1">
        <v>20868.97</v>
      </c>
      <c r="F1108" s="1">
        <v>10662.92</v>
      </c>
    </row>
    <row r="1109" spans="1:6">
      <c r="A1109" s="9" t="s">
        <v>1723</v>
      </c>
      <c r="B1109" s="9"/>
      <c r="C1109" t="s">
        <v>24</v>
      </c>
      <c r="D1109" s="5" t="s">
        <v>26</v>
      </c>
      <c r="E1109" s="1">
        <v>1700</v>
      </c>
    </row>
    <row r="1110" spans="1:6">
      <c r="A1110" s="9" t="s">
        <v>1723</v>
      </c>
      <c r="B1110" s="9"/>
      <c r="C1110" t="s">
        <v>537</v>
      </c>
      <c r="D1110" s="5" t="s">
        <v>539</v>
      </c>
      <c r="E1110" s="1">
        <v>54374.99</v>
      </c>
      <c r="F1110" s="1">
        <v>2954.3</v>
      </c>
    </row>
    <row r="1111" spans="1:6">
      <c r="A1111" s="9" t="s">
        <v>1723</v>
      </c>
      <c r="B1111" s="9"/>
      <c r="C1111" t="s">
        <v>99</v>
      </c>
      <c r="D1111" s="5" t="s">
        <v>101</v>
      </c>
      <c r="E1111" s="1">
        <v>22500</v>
      </c>
      <c r="F1111" s="1">
        <v>35237.32</v>
      </c>
    </row>
    <row r="1112" spans="1:6">
      <c r="A1112" s="9" t="s">
        <v>1723</v>
      </c>
      <c r="B1112" s="9"/>
      <c r="C1112" t="s">
        <v>338</v>
      </c>
      <c r="D1112" s="5" t="s">
        <v>340</v>
      </c>
      <c r="E1112" s="1">
        <v>87118.51</v>
      </c>
      <c r="F1112" s="1">
        <v>273389.64</v>
      </c>
    </row>
    <row r="1113" spans="1:6">
      <c r="A1113" s="9" t="s">
        <v>1723</v>
      </c>
      <c r="B1113" s="9"/>
      <c r="C1113" t="s">
        <v>627</v>
      </c>
      <c r="D1113" s="5" t="s">
        <v>629</v>
      </c>
      <c r="F1113" s="1">
        <v>3498.75</v>
      </c>
    </row>
    <row r="1114" spans="1:6">
      <c r="A1114" s="9" t="s">
        <v>1723</v>
      </c>
      <c r="B1114" s="9"/>
      <c r="C1114" t="s">
        <v>165</v>
      </c>
      <c r="D1114" s="5" t="s">
        <v>167</v>
      </c>
      <c r="E1114" s="1">
        <v>17125.490000000002</v>
      </c>
    </row>
    <row r="1115" spans="1:6">
      <c r="A1115" s="9" t="s">
        <v>1723</v>
      </c>
      <c r="B1115" s="9"/>
      <c r="C1115" t="s">
        <v>57</v>
      </c>
      <c r="D1115" s="5" t="s">
        <v>59</v>
      </c>
      <c r="E1115" s="1">
        <v>1571.66</v>
      </c>
    </row>
    <row r="1116" spans="1:6">
      <c r="A1116" s="9" t="s">
        <v>1723</v>
      </c>
      <c r="B1116" s="9"/>
      <c r="C1116" t="s">
        <v>448</v>
      </c>
      <c r="D1116" s="5" t="s">
        <v>450</v>
      </c>
      <c r="E1116" s="1">
        <v>27598.35</v>
      </c>
    </row>
    <row r="1117" spans="1:6">
      <c r="A1117" s="9" t="s">
        <v>1723</v>
      </c>
      <c r="B1117" s="9"/>
      <c r="C1117" t="s">
        <v>657</v>
      </c>
      <c r="D1117" s="5" t="s">
        <v>659</v>
      </c>
      <c r="E1117" s="1">
        <v>145174.73000000001</v>
      </c>
      <c r="F1117" s="1">
        <v>79117.67</v>
      </c>
    </row>
    <row r="1118" spans="1:6">
      <c r="A1118" s="9" t="s">
        <v>1723</v>
      </c>
      <c r="B1118" s="9"/>
      <c r="C1118" t="s">
        <v>765</v>
      </c>
      <c r="D1118" s="5" t="s">
        <v>767</v>
      </c>
      <c r="E1118" s="1">
        <v>1396</v>
      </c>
      <c r="F1118" s="1">
        <v>951.81</v>
      </c>
    </row>
    <row r="1119" spans="1:6">
      <c r="A1119" s="9" t="s">
        <v>1723</v>
      </c>
      <c r="B1119" s="9"/>
      <c r="C1119" t="s">
        <v>195</v>
      </c>
      <c r="D1119" s="5" t="s">
        <v>197</v>
      </c>
      <c r="E1119" s="1">
        <v>1298</v>
      </c>
      <c r="F1119" s="1">
        <v>1042.52</v>
      </c>
    </row>
    <row r="1120" spans="1:6">
      <c r="A1120" s="9" t="s">
        <v>1723</v>
      </c>
      <c r="B1120" s="9"/>
      <c r="C1120" t="s">
        <v>333</v>
      </c>
      <c r="D1120" s="5" t="s">
        <v>335</v>
      </c>
      <c r="E1120" s="1">
        <v>2496</v>
      </c>
      <c r="F1120" s="1">
        <v>5433.98</v>
      </c>
    </row>
    <row r="1121" spans="1:6">
      <c r="A1121" s="9" t="s">
        <v>1723</v>
      </c>
      <c r="B1121" s="9"/>
      <c r="C1121" t="s">
        <v>303</v>
      </c>
      <c r="D1121" s="5" t="s">
        <v>305</v>
      </c>
      <c r="E1121" s="1">
        <v>85</v>
      </c>
    </row>
    <row r="1122" spans="1:6">
      <c r="A1122" s="9" t="s">
        <v>1723</v>
      </c>
      <c r="B1122" s="9"/>
      <c r="C1122" t="s">
        <v>267</v>
      </c>
      <c r="D1122" s="5" t="s">
        <v>269</v>
      </c>
      <c r="F1122" s="1">
        <v>6498.79</v>
      </c>
    </row>
    <row r="1123" spans="1:6">
      <c r="A1123" s="9" t="s">
        <v>1723</v>
      </c>
      <c r="B1123" s="9"/>
      <c r="C1123" t="s">
        <v>1114</v>
      </c>
      <c r="D1123" s="5" t="s">
        <v>1116</v>
      </c>
      <c r="F1123" s="1">
        <v>3410</v>
      </c>
    </row>
    <row r="1124" spans="1:6">
      <c r="A1124" s="9" t="s">
        <v>1723</v>
      </c>
      <c r="B1124" s="9"/>
      <c r="C1124" t="s">
        <v>498</v>
      </c>
      <c r="D1124" s="5" t="s">
        <v>500</v>
      </c>
      <c r="E1124" s="1">
        <v>5335.68</v>
      </c>
    </row>
    <row r="1125" spans="1:6">
      <c r="A1125" s="9" t="s">
        <v>1723</v>
      </c>
      <c r="B1125" s="9"/>
      <c r="C1125" t="s">
        <v>504</v>
      </c>
      <c r="D1125" s="5" t="s">
        <v>506</v>
      </c>
      <c r="E1125" s="1">
        <v>22250.99</v>
      </c>
      <c r="F1125" s="1">
        <v>21714.82</v>
      </c>
    </row>
    <row r="1126" spans="1:6">
      <c r="A1126" s="9" t="s">
        <v>1723</v>
      </c>
      <c r="B1126" s="9"/>
      <c r="C1126" t="s">
        <v>45</v>
      </c>
      <c r="D1126" s="5" t="s">
        <v>47</v>
      </c>
      <c r="E1126" s="1">
        <v>15600</v>
      </c>
    </row>
    <row r="1127" spans="1:6">
      <c r="A1127" s="9" t="s">
        <v>1723</v>
      </c>
      <c r="B1127" s="9"/>
      <c r="C1127" t="s">
        <v>231</v>
      </c>
      <c r="D1127" s="5" t="s">
        <v>233</v>
      </c>
      <c r="E1127" s="1">
        <v>252</v>
      </c>
      <c r="F1127" s="1">
        <v>30900</v>
      </c>
    </row>
    <row r="1128" spans="1:6">
      <c r="A1128" s="9" t="s">
        <v>1723</v>
      </c>
      <c r="B1128" s="9"/>
      <c r="C1128" t="s">
        <v>681</v>
      </c>
      <c r="D1128" s="5" t="s">
        <v>683</v>
      </c>
      <c r="F1128" s="1">
        <v>536.4</v>
      </c>
    </row>
    <row r="1129" spans="1:6">
      <c r="A1129" s="9" t="s">
        <v>1723</v>
      </c>
      <c r="B1129" s="9"/>
      <c r="C1129" t="s">
        <v>397</v>
      </c>
      <c r="D1129" s="5" t="s">
        <v>399</v>
      </c>
      <c r="E1129" s="1">
        <v>800</v>
      </c>
    </row>
    <row r="1130" spans="1:6">
      <c r="A1130" s="9" t="s">
        <v>1723</v>
      </c>
      <c r="B1130" s="9"/>
      <c r="C1130" t="s">
        <v>87</v>
      </c>
      <c r="D1130" s="5" t="s">
        <v>89</v>
      </c>
      <c r="E1130" s="1">
        <v>9000</v>
      </c>
    </row>
    <row r="1131" spans="1:6">
      <c r="A1131" s="9" t="s">
        <v>1723</v>
      </c>
      <c r="B1131" s="9"/>
      <c r="C1131" t="s">
        <v>81</v>
      </c>
      <c r="D1131" s="5" t="s">
        <v>83</v>
      </c>
      <c r="E1131" s="1">
        <v>1163.6400000000001</v>
      </c>
    </row>
    <row r="1132" spans="1:6">
      <c r="A1132" s="9" t="s">
        <v>1723</v>
      </c>
      <c r="B1132" s="9"/>
      <c r="C1132" t="s">
        <v>225</v>
      </c>
      <c r="D1132" s="5" t="s">
        <v>227</v>
      </c>
      <c r="E1132" s="1">
        <v>12000</v>
      </c>
    </row>
    <row r="1133" spans="1:6">
      <c r="A1133" s="9" t="s">
        <v>1723</v>
      </c>
      <c r="B1133" s="9"/>
      <c r="C1133" t="s">
        <v>1728</v>
      </c>
      <c r="D1133" s="5" t="s">
        <v>1730</v>
      </c>
      <c r="E1133" s="1">
        <v>33626.03</v>
      </c>
    </row>
    <row r="1134" spans="1:6">
      <c r="A1134" s="9" t="s">
        <v>1723</v>
      </c>
      <c r="B1134" s="9"/>
      <c r="C1134" t="s">
        <v>388</v>
      </c>
      <c r="D1134" s="5" t="s">
        <v>390</v>
      </c>
      <c r="E1134" s="1">
        <v>1478.75</v>
      </c>
    </row>
    <row r="1135" spans="1:6">
      <c r="A1135" s="9" t="s">
        <v>1723</v>
      </c>
      <c r="B1135" s="9"/>
      <c r="C1135" t="s">
        <v>528</v>
      </c>
      <c r="D1135" s="5" t="s">
        <v>530</v>
      </c>
      <c r="E1135" s="1">
        <v>6343.01</v>
      </c>
      <c r="F1135" s="1">
        <v>1228.57</v>
      </c>
    </row>
    <row r="1136" spans="1:6">
      <c r="A1136" s="9" t="s">
        <v>1723</v>
      </c>
      <c r="B1136" s="9"/>
      <c r="C1136" t="s">
        <v>240</v>
      </c>
      <c r="D1136" s="5" t="s">
        <v>242</v>
      </c>
      <c r="E1136" s="1">
        <v>3000</v>
      </c>
    </row>
    <row r="1137" spans="1:9">
      <c r="A1137" s="12" t="s">
        <v>1723</v>
      </c>
      <c r="B1137" s="12" t="s">
        <v>1901</v>
      </c>
      <c r="C1137" s="14" t="s">
        <v>1731</v>
      </c>
      <c r="D1137" s="15" t="s">
        <v>1733</v>
      </c>
      <c r="E1137" s="16">
        <v>2285.67</v>
      </c>
    </row>
    <row r="1138" spans="1:9">
      <c r="A1138" s="9" t="s">
        <v>1723</v>
      </c>
      <c r="B1138" s="9"/>
      <c r="C1138" t="s">
        <v>367</v>
      </c>
      <c r="D1138" s="5" t="s">
        <v>369</v>
      </c>
      <c r="F1138" s="1">
        <v>1965.36</v>
      </c>
    </row>
    <row r="1139" spans="1:9">
      <c r="A1139" s="9" t="s">
        <v>1723</v>
      </c>
      <c r="B1139" s="9"/>
      <c r="C1139" t="s">
        <v>309</v>
      </c>
      <c r="D1139" s="5" t="s">
        <v>311</v>
      </c>
      <c r="F1139" s="1">
        <v>600</v>
      </c>
    </row>
    <row r="1140" spans="1:9">
      <c r="A1140" s="9" t="s">
        <v>1734</v>
      </c>
      <c r="B1140" s="9"/>
      <c r="C1140" t="s">
        <v>1247</v>
      </c>
      <c r="D1140" s="5" t="s">
        <v>1249</v>
      </c>
      <c r="E1140" s="1">
        <v>2145.36</v>
      </c>
      <c r="F1140" s="1">
        <v>1487.84</v>
      </c>
      <c r="H1140" s="1">
        <v>3095.81</v>
      </c>
      <c r="I1140" s="1">
        <v>1096.8800000000001</v>
      </c>
    </row>
    <row r="1141" spans="1:9">
      <c r="A1141" s="9" t="s">
        <v>1734</v>
      </c>
      <c r="B1141" s="9"/>
      <c r="C1141" t="s">
        <v>1167</v>
      </c>
      <c r="D1141" s="5" t="s">
        <v>1169</v>
      </c>
      <c r="E1141" s="1">
        <v>0</v>
      </c>
      <c r="H1141" s="1">
        <v>1778.12</v>
      </c>
    </row>
    <row r="1142" spans="1:9">
      <c r="A1142" s="9" t="s">
        <v>1734</v>
      </c>
      <c r="B1142" s="9"/>
      <c r="C1142" t="s">
        <v>1736</v>
      </c>
      <c r="D1142" s="5" t="s">
        <v>1738</v>
      </c>
      <c r="G1142" s="1">
        <v>732</v>
      </c>
    </row>
    <row r="1143" spans="1:9">
      <c r="A1143" s="9" t="s">
        <v>1734</v>
      </c>
      <c r="B1143" s="9"/>
      <c r="C1143" t="s">
        <v>845</v>
      </c>
      <c r="D1143" s="5" t="s">
        <v>847</v>
      </c>
      <c r="G1143" s="1">
        <v>3933.13</v>
      </c>
    </row>
    <row r="1144" spans="1:9">
      <c r="A1144" s="9" t="s">
        <v>1734</v>
      </c>
      <c r="B1144" s="9"/>
      <c r="C1144" t="s">
        <v>1194</v>
      </c>
      <c r="D1144" s="5" t="s">
        <v>1196</v>
      </c>
      <c r="F1144" s="1">
        <v>7382.41</v>
      </c>
      <c r="G1144" s="1">
        <v>19098.48</v>
      </c>
      <c r="H1144" s="1">
        <v>1882.89</v>
      </c>
      <c r="I1144" s="1">
        <v>294.83</v>
      </c>
    </row>
    <row r="1145" spans="1:9">
      <c r="A1145" s="9" t="s">
        <v>1734</v>
      </c>
      <c r="B1145" s="9"/>
      <c r="C1145" t="s">
        <v>1739</v>
      </c>
      <c r="D1145" s="5" t="s">
        <v>1741</v>
      </c>
      <c r="G1145" s="1">
        <v>1179.0999999999999</v>
      </c>
    </row>
    <row r="1146" spans="1:9">
      <c r="A1146" s="9" t="s">
        <v>1734</v>
      </c>
      <c r="B1146" s="9"/>
      <c r="C1146" t="s">
        <v>1742</v>
      </c>
      <c r="D1146" s="5" t="s">
        <v>1744</v>
      </c>
      <c r="G1146" s="1">
        <v>993.36</v>
      </c>
    </row>
    <row r="1147" spans="1:9">
      <c r="A1147" s="9" t="s">
        <v>1734</v>
      </c>
      <c r="B1147" s="9"/>
      <c r="C1147" t="s">
        <v>1742</v>
      </c>
      <c r="D1147" s="5" t="s">
        <v>1745</v>
      </c>
      <c r="G1147" s="1">
        <v>578.37</v>
      </c>
    </row>
    <row r="1148" spans="1:9">
      <c r="A1148" s="9" t="s">
        <v>1734</v>
      </c>
      <c r="B1148" s="9"/>
      <c r="C1148" t="s">
        <v>1746</v>
      </c>
      <c r="D1148" s="5" t="s">
        <v>1748</v>
      </c>
      <c r="G1148" s="1">
        <v>772.5</v>
      </c>
    </row>
    <row r="1149" spans="1:9">
      <c r="A1149" s="9" t="s">
        <v>1734</v>
      </c>
      <c r="B1149" s="9"/>
      <c r="C1149" t="s">
        <v>833</v>
      </c>
      <c r="D1149" s="5" t="s">
        <v>835</v>
      </c>
      <c r="F1149" s="1">
        <v>1128.05</v>
      </c>
      <c r="G1149" s="1">
        <v>3036</v>
      </c>
    </row>
    <row r="1150" spans="1:9">
      <c r="A1150" s="9" t="s">
        <v>1734</v>
      </c>
      <c r="B1150" s="9"/>
      <c r="C1150" t="s">
        <v>1749</v>
      </c>
      <c r="D1150" s="5" t="s">
        <v>1751</v>
      </c>
      <c r="F1150" s="1">
        <v>652.57000000000005</v>
      </c>
    </row>
    <row r="1151" spans="1:9">
      <c r="A1151" s="9" t="s">
        <v>1734</v>
      </c>
      <c r="B1151" s="9"/>
      <c r="C1151" t="s">
        <v>1752</v>
      </c>
      <c r="D1151" s="5" t="s">
        <v>1754</v>
      </c>
      <c r="F1151" s="1">
        <v>615.69000000000005</v>
      </c>
      <c r="H1151" s="1">
        <v>1320.78</v>
      </c>
    </row>
    <row r="1152" spans="1:9">
      <c r="A1152" s="9" t="s">
        <v>1734</v>
      </c>
      <c r="B1152" s="9"/>
      <c r="C1152" t="s">
        <v>1755</v>
      </c>
      <c r="D1152" s="5" t="s">
        <v>1757</v>
      </c>
      <c r="F1152" s="1">
        <v>410</v>
      </c>
      <c r="H1152" s="1">
        <v>207.76</v>
      </c>
      <c r="I1152" s="1">
        <v>72.849999999999994</v>
      </c>
    </row>
    <row r="1153" spans="1:9">
      <c r="A1153" s="9" t="s">
        <v>1734</v>
      </c>
      <c r="B1153" s="9"/>
      <c r="C1153" t="s">
        <v>1164</v>
      </c>
      <c r="D1153" s="5" t="s">
        <v>1166</v>
      </c>
      <c r="H1153" s="1">
        <v>23966.36</v>
      </c>
      <c r="I1153" s="1">
        <v>7046.41</v>
      </c>
    </row>
    <row r="1154" spans="1:9">
      <c r="A1154" s="9" t="s">
        <v>1734</v>
      </c>
      <c r="B1154" s="9"/>
      <c r="C1154" t="s">
        <v>1268</v>
      </c>
      <c r="D1154" s="5" t="s">
        <v>1270</v>
      </c>
      <c r="H1154" s="1">
        <v>37220.129999999997</v>
      </c>
      <c r="I1154" s="1">
        <v>706.68</v>
      </c>
    </row>
    <row r="1155" spans="1:9">
      <c r="A1155" s="9" t="s">
        <v>1734</v>
      </c>
      <c r="B1155" s="9"/>
      <c r="C1155" t="s">
        <v>1049</v>
      </c>
      <c r="D1155" s="5" t="s">
        <v>1051</v>
      </c>
      <c r="E1155" s="1">
        <v>183903.97</v>
      </c>
      <c r="F1155" s="1">
        <v>398221.38</v>
      </c>
      <c r="G1155" s="1">
        <v>377951.88</v>
      </c>
    </row>
    <row r="1156" spans="1:9">
      <c r="A1156" s="9" t="s">
        <v>1734</v>
      </c>
      <c r="B1156" s="9"/>
      <c r="C1156" t="s">
        <v>1758</v>
      </c>
      <c r="D1156" s="5" t="s">
        <v>1760</v>
      </c>
      <c r="E1156" s="1">
        <v>250</v>
      </c>
    </row>
    <row r="1157" spans="1:9">
      <c r="A1157" s="9" t="s">
        <v>1734</v>
      </c>
      <c r="B1157" s="9"/>
      <c r="C1157" t="s">
        <v>1761</v>
      </c>
      <c r="D1157" s="5" t="s">
        <v>1763</v>
      </c>
      <c r="F1157" s="1">
        <v>16</v>
      </c>
    </row>
    <row r="1158" spans="1:9">
      <c r="A1158" s="9" t="s">
        <v>1734</v>
      </c>
      <c r="B1158" s="9"/>
      <c r="C1158" t="s">
        <v>1764</v>
      </c>
      <c r="D1158" s="5" t="s">
        <v>1766</v>
      </c>
      <c r="G1158" s="1">
        <v>350</v>
      </c>
    </row>
    <row r="1159" spans="1:9">
      <c r="A1159" s="9" t="s">
        <v>1734</v>
      </c>
      <c r="B1159" s="9"/>
      <c r="C1159" t="s">
        <v>1767</v>
      </c>
      <c r="D1159" s="5" t="s">
        <v>1769</v>
      </c>
      <c r="G1159" s="1">
        <v>5874.87</v>
      </c>
    </row>
    <row r="1160" spans="1:9">
      <c r="A1160" s="9" t="s">
        <v>1734</v>
      </c>
      <c r="B1160" s="9"/>
      <c r="C1160" t="s">
        <v>1770</v>
      </c>
      <c r="D1160" s="5" t="s">
        <v>1772</v>
      </c>
      <c r="G1160" s="1">
        <v>2689.08</v>
      </c>
    </row>
    <row r="1161" spans="1:9">
      <c r="A1161" s="9" t="s">
        <v>1734</v>
      </c>
      <c r="B1161" s="9"/>
      <c r="C1161" t="s">
        <v>1773</v>
      </c>
      <c r="D1161" s="5" t="s">
        <v>1775</v>
      </c>
      <c r="G1161" s="1">
        <v>1659.33</v>
      </c>
    </row>
    <row r="1162" spans="1:9">
      <c r="A1162" s="9" t="s">
        <v>1734</v>
      </c>
      <c r="B1162" s="9"/>
      <c r="C1162" t="s">
        <v>1776</v>
      </c>
      <c r="D1162" s="5" t="s">
        <v>1778</v>
      </c>
      <c r="E1162" s="1">
        <v>5159.03</v>
      </c>
      <c r="G1162" s="1">
        <v>10238.36</v>
      </c>
    </row>
    <row r="1163" spans="1:9">
      <c r="A1163" s="9" t="s">
        <v>1734</v>
      </c>
      <c r="B1163" s="9"/>
      <c r="C1163" t="s">
        <v>1779</v>
      </c>
      <c r="D1163" s="5" t="s">
        <v>1781</v>
      </c>
      <c r="G1163" s="1">
        <v>1842.9</v>
      </c>
      <c r="H1163" s="1">
        <v>626.51</v>
      </c>
      <c r="I1163" s="1">
        <v>114.32</v>
      </c>
    </row>
    <row r="1164" spans="1:9">
      <c r="A1164" s="9" t="s">
        <v>1734</v>
      </c>
      <c r="B1164" s="9"/>
      <c r="C1164" t="s">
        <v>1782</v>
      </c>
      <c r="D1164" s="5" t="s">
        <v>1784</v>
      </c>
      <c r="H1164" s="1">
        <v>1155.845</v>
      </c>
      <c r="I1164" s="1">
        <v>289.5</v>
      </c>
    </row>
    <row r="1165" spans="1:9">
      <c r="A1165" s="9" t="s">
        <v>1734</v>
      </c>
      <c r="B1165" s="9"/>
      <c r="C1165" t="s">
        <v>1280</v>
      </c>
      <c r="D1165" s="5" t="s">
        <v>1282</v>
      </c>
      <c r="E1165" s="1">
        <v>7988.2</v>
      </c>
      <c r="G1165" s="1">
        <v>2447</v>
      </c>
    </row>
    <row r="1166" spans="1:9">
      <c r="A1166" s="9" t="s">
        <v>1734</v>
      </c>
      <c r="B1166" s="9"/>
      <c r="C1166" t="s">
        <v>1785</v>
      </c>
      <c r="D1166" s="5" t="s">
        <v>1787</v>
      </c>
      <c r="E1166" s="1">
        <v>0</v>
      </c>
      <c r="G1166" s="1">
        <v>1871.9</v>
      </c>
    </row>
    <row r="1167" spans="1:9">
      <c r="A1167" s="9" t="s">
        <v>1734</v>
      </c>
      <c r="B1167" s="9"/>
      <c r="C1167" t="s">
        <v>1788</v>
      </c>
      <c r="D1167" s="5" t="s">
        <v>1790</v>
      </c>
      <c r="G1167" s="1">
        <v>3290.86</v>
      </c>
    </row>
    <row r="1168" spans="1:9">
      <c r="A1168" s="9" t="s">
        <v>1734</v>
      </c>
      <c r="B1168" s="9"/>
      <c r="C1168" t="s">
        <v>1791</v>
      </c>
      <c r="D1168" s="5" t="s">
        <v>1793</v>
      </c>
      <c r="G1168" s="1">
        <v>1197.53</v>
      </c>
    </row>
    <row r="1169" spans="1:9">
      <c r="A1169" s="9" t="s">
        <v>1734</v>
      </c>
      <c r="B1169" s="9"/>
      <c r="C1169" t="s">
        <v>1794</v>
      </c>
      <c r="D1169" s="5" t="s">
        <v>1796</v>
      </c>
      <c r="G1169" s="1">
        <v>1461.38</v>
      </c>
    </row>
    <row r="1170" spans="1:9">
      <c r="A1170" s="9" t="s">
        <v>1734</v>
      </c>
      <c r="B1170" s="9"/>
      <c r="C1170" t="s">
        <v>1797</v>
      </c>
      <c r="D1170" s="5" t="s">
        <v>1799</v>
      </c>
      <c r="G1170" s="1">
        <v>362.8</v>
      </c>
    </row>
    <row r="1171" spans="1:9">
      <c r="A1171" s="9" t="s">
        <v>1734</v>
      </c>
      <c r="B1171" s="9"/>
      <c r="C1171" t="s">
        <v>1731</v>
      </c>
      <c r="D1171" s="5" t="s">
        <v>1733</v>
      </c>
      <c r="G1171" s="1">
        <v>5731.33</v>
      </c>
    </row>
    <row r="1172" spans="1:9">
      <c r="A1172" s="9" t="s">
        <v>1734</v>
      </c>
      <c r="B1172" s="9"/>
      <c r="C1172" t="s">
        <v>1067</v>
      </c>
      <c r="D1172" s="5" t="s">
        <v>1800</v>
      </c>
      <c r="G1172" s="1">
        <v>830.2</v>
      </c>
    </row>
    <row r="1173" spans="1:9">
      <c r="A1173" s="9" t="s">
        <v>1734</v>
      </c>
      <c r="B1173" s="9"/>
      <c r="C1173" t="s">
        <v>1801</v>
      </c>
      <c r="D1173" s="5" t="s">
        <v>1803</v>
      </c>
      <c r="G1173" s="1">
        <v>464.09</v>
      </c>
    </row>
    <row r="1174" spans="1:9">
      <c r="A1174" s="9" t="s">
        <v>1734</v>
      </c>
      <c r="B1174" s="9"/>
      <c r="C1174" t="s">
        <v>1804</v>
      </c>
      <c r="D1174" s="5" t="s">
        <v>1806</v>
      </c>
      <c r="E1174" s="1">
        <v>1615</v>
      </c>
      <c r="G1174" s="1">
        <v>1806.18</v>
      </c>
    </row>
    <row r="1175" spans="1:9">
      <c r="A1175" s="9" t="s">
        <v>1734</v>
      </c>
      <c r="B1175" s="9"/>
      <c r="C1175" t="s">
        <v>1807</v>
      </c>
      <c r="D1175" s="5" t="s">
        <v>1809</v>
      </c>
      <c r="F1175" s="1">
        <v>1372.18</v>
      </c>
    </row>
    <row r="1176" spans="1:9">
      <c r="A1176" s="9" t="s">
        <v>1734</v>
      </c>
      <c r="B1176" s="9"/>
      <c r="C1176" t="s">
        <v>1810</v>
      </c>
      <c r="D1176" s="5" t="s">
        <v>1812</v>
      </c>
      <c r="F1176" s="1">
        <v>5908.66</v>
      </c>
      <c r="G1176" s="1">
        <v>13367.17</v>
      </c>
      <c r="H1176" s="1">
        <v>1264.1600000000001</v>
      </c>
      <c r="I1176" s="1">
        <v>131.72</v>
      </c>
    </row>
    <row r="1177" spans="1:9">
      <c r="A1177" s="9" t="s">
        <v>1734</v>
      </c>
      <c r="B1177" s="9"/>
      <c r="C1177" t="s">
        <v>1813</v>
      </c>
      <c r="D1177" s="5" t="s">
        <v>1815</v>
      </c>
      <c r="E1177" s="1">
        <v>200</v>
      </c>
      <c r="H1177" s="1">
        <v>120.4</v>
      </c>
    </row>
    <row r="1178" spans="1:9">
      <c r="A1178" s="9" t="s">
        <v>1734</v>
      </c>
      <c r="B1178" s="9"/>
      <c r="C1178" t="s">
        <v>1223</v>
      </c>
      <c r="D1178" s="5" t="s">
        <v>1225</v>
      </c>
      <c r="E1178" s="1">
        <v>208730.66</v>
      </c>
      <c r="G1178" s="1">
        <v>355849.44</v>
      </c>
    </row>
    <row r="1179" spans="1:9">
      <c r="A1179" s="9" t="s">
        <v>1734</v>
      </c>
      <c r="B1179" s="9"/>
      <c r="C1179" t="s">
        <v>1816</v>
      </c>
      <c r="D1179" s="5" t="s">
        <v>1818</v>
      </c>
      <c r="G1179" s="1">
        <v>1886.45</v>
      </c>
    </row>
    <row r="1180" spans="1:9">
      <c r="A1180" s="9" t="s">
        <v>1734</v>
      </c>
      <c r="B1180" s="9"/>
      <c r="C1180" t="s">
        <v>750</v>
      </c>
      <c r="D1180" s="5" t="s">
        <v>752</v>
      </c>
      <c r="G1180" s="1">
        <v>1236.8499999999999</v>
      </c>
    </row>
    <row r="1181" spans="1:9">
      <c r="A1181" s="9" t="s">
        <v>1734</v>
      </c>
      <c r="B1181" s="9"/>
      <c r="C1181" t="s">
        <v>1819</v>
      </c>
      <c r="D1181" s="5" t="s">
        <v>1821</v>
      </c>
      <c r="G1181" s="1">
        <v>4500</v>
      </c>
    </row>
    <row r="1182" spans="1:9">
      <c r="A1182" s="9" t="s">
        <v>1734</v>
      </c>
      <c r="B1182" s="9"/>
      <c r="C1182" t="s">
        <v>1822</v>
      </c>
      <c r="D1182" s="5" t="s">
        <v>1824</v>
      </c>
      <c r="G1182" s="1">
        <v>250</v>
      </c>
    </row>
    <row r="1183" spans="1:9">
      <c r="A1183" s="9" t="s">
        <v>1734</v>
      </c>
      <c r="B1183" s="9"/>
      <c r="C1183" t="s">
        <v>1307</v>
      </c>
      <c r="D1183" s="5" t="s">
        <v>1309</v>
      </c>
      <c r="F1183" s="1">
        <v>145.21</v>
      </c>
      <c r="G1183" s="1">
        <v>7077.9</v>
      </c>
      <c r="H1183" s="1">
        <v>854.42</v>
      </c>
      <c r="I1183" s="1">
        <v>101.51</v>
      </c>
    </row>
    <row r="1184" spans="1:9">
      <c r="A1184" s="9" t="s">
        <v>1734</v>
      </c>
      <c r="B1184" s="9"/>
      <c r="C1184" t="s">
        <v>1274</v>
      </c>
      <c r="D1184" s="5" t="s">
        <v>1276</v>
      </c>
      <c r="G1184" s="1">
        <v>45600</v>
      </c>
    </row>
    <row r="1185" spans="1:9">
      <c r="A1185" s="9" t="s">
        <v>1734</v>
      </c>
      <c r="B1185" s="9"/>
      <c r="C1185" t="s">
        <v>1825</v>
      </c>
      <c r="D1185" s="5" t="s">
        <v>1827</v>
      </c>
      <c r="G1185" s="1">
        <v>766.4</v>
      </c>
    </row>
    <row r="1186" spans="1:9">
      <c r="A1186" s="9" t="s">
        <v>1734</v>
      </c>
      <c r="B1186" s="9"/>
      <c r="C1186" t="s">
        <v>1828</v>
      </c>
      <c r="D1186" s="5" t="s">
        <v>1830</v>
      </c>
      <c r="G1186" s="1">
        <v>1000</v>
      </c>
    </row>
    <row r="1187" spans="1:9">
      <c r="A1187" s="12" t="s">
        <v>1734</v>
      </c>
      <c r="B1187" s="12" t="s">
        <v>825</v>
      </c>
      <c r="C1187" s="14" t="s">
        <v>756</v>
      </c>
      <c r="D1187" s="15" t="s">
        <v>758</v>
      </c>
      <c r="F1187" s="16">
        <v>14.41</v>
      </c>
    </row>
    <row r="1188" spans="1:9">
      <c r="A1188" s="9" t="s">
        <v>1734</v>
      </c>
      <c r="B1188" s="9"/>
      <c r="C1188" t="s">
        <v>1161</v>
      </c>
      <c r="D1188" s="5" t="s">
        <v>1163</v>
      </c>
      <c r="F1188" s="1">
        <v>10583.6</v>
      </c>
      <c r="G1188" s="1">
        <v>19209.39</v>
      </c>
    </row>
    <row r="1189" spans="1:9">
      <c r="A1189" s="9" t="s">
        <v>1734</v>
      </c>
      <c r="B1189" s="9"/>
      <c r="C1189" t="s">
        <v>1831</v>
      </c>
      <c r="D1189" s="5" t="s">
        <v>1833</v>
      </c>
      <c r="F1189" s="1">
        <v>3127</v>
      </c>
      <c r="G1189" s="1">
        <v>12500</v>
      </c>
    </row>
    <row r="1190" spans="1:9">
      <c r="A1190" s="9" t="s">
        <v>1734</v>
      </c>
      <c r="B1190" s="9"/>
      <c r="C1190" t="s">
        <v>1073</v>
      </c>
      <c r="D1190" s="5" t="s">
        <v>1075</v>
      </c>
      <c r="H1190" s="1">
        <v>14559.01</v>
      </c>
    </row>
    <row r="1191" spans="1:9">
      <c r="A1191" s="9" t="s">
        <v>1734</v>
      </c>
      <c r="B1191" s="9"/>
      <c r="C1191" t="s">
        <v>857</v>
      </c>
      <c r="D1191" s="5" t="s">
        <v>859</v>
      </c>
      <c r="H1191" s="1">
        <v>446.08</v>
      </c>
    </row>
    <row r="1192" spans="1:9">
      <c r="A1192" s="9" t="s">
        <v>1734</v>
      </c>
      <c r="B1192" s="9"/>
      <c r="C1192" t="s">
        <v>1834</v>
      </c>
      <c r="D1192" s="5" t="s">
        <v>1836</v>
      </c>
      <c r="G1192" s="1">
        <v>2785</v>
      </c>
    </row>
    <row r="1193" spans="1:9">
      <c r="A1193" s="9" t="s">
        <v>1734</v>
      </c>
      <c r="B1193" s="9"/>
      <c r="C1193" t="s">
        <v>1253</v>
      </c>
      <c r="D1193" s="5" t="s">
        <v>1255</v>
      </c>
      <c r="G1193" s="1">
        <v>696.52</v>
      </c>
    </row>
    <row r="1194" spans="1:9">
      <c r="A1194" s="9" t="s">
        <v>1734</v>
      </c>
      <c r="B1194" s="9"/>
      <c r="C1194" t="s">
        <v>1837</v>
      </c>
      <c r="D1194" s="5" t="s">
        <v>1839</v>
      </c>
      <c r="F1194" s="1">
        <v>1282.98</v>
      </c>
      <c r="G1194" s="1">
        <v>3466.56</v>
      </c>
    </row>
    <row r="1195" spans="1:9">
      <c r="A1195" s="9" t="s">
        <v>1734</v>
      </c>
      <c r="B1195" s="9"/>
      <c r="C1195" t="s">
        <v>1840</v>
      </c>
      <c r="D1195" s="5" t="s">
        <v>1842</v>
      </c>
      <c r="F1195" s="1">
        <v>464.03</v>
      </c>
    </row>
    <row r="1196" spans="1:9">
      <c r="A1196" s="9" t="s">
        <v>1734</v>
      </c>
      <c r="B1196" s="9"/>
      <c r="C1196" t="s">
        <v>1256</v>
      </c>
      <c r="D1196" s="5" t="s">
        <v>1258</v>
      </c>
      <c r="H1196" s="1">
        <v>1715.08</v>
      </c>
      <c r="I1196" s="1">
        <v>209.56</v>
      </c>
    </row>
    <row r="1197" spans="1:9">
      <c r="A1197" s="9" t="s">
        <v>1734</v>
      </c>
      <c r="B1197" s="9"/>
      <c r="C1197" t="s">
        <v>1843</v>
      </c>
      <c r="D1197" s="5" t="s">
        <v>1845</v>
      </c>
      <c r="E1197" s="1">
        <v>0</v>
      </c>
    </row>
    <row r="1198" spans="1:9">
      <c r="A1198" s="9" t="s">
        <v>1734</v>
      </c>
      <c r="B1198" s="9"/>
      <c r="C1198" t="s">
        <v>1846</v>
      </c>
      <c r="D1198" s="5" t="s">
        <v>1848</v>
      </c>
      <c r="E1198" s="1">
        <v>0</v>
      </c>
    </row>
    <row r="1199" spans="1:9">
      <c r="A1199" s="9" t="s">
        <v>1734</v>
      </c>
      <c r="B1199" s="9"/>
      <c r="C1199" t="s">
        <v>1849</v>
      </c>
      <c r="D1199" s="5" t="s">
        <v>1851</v>
      </c>
      <c r="G1199" s="1">
        <v>3536.47</v>
      </c>
    </row>
    <row r="1200" spans="1:9">
      <c r="A1200" s="9" t="s">
        <v>1734</v>
      </c>
      <c r="B1200" s="9"/>
      <c r="C1200" t="s">
        <v>1852</v>
      </c>
      <c r="D1200" s="5" t="s">
        <v>1854</v>
      </c>
      <c r="G1200" s="1">
        <v>1612.45</v>
      </c>
    </row>
    <row r="1201" spans="1:8">
      <c r="A1201" s="12" t="s">
        <v>1734</v>
      </c>
      <c r="B1201" s="12" t="s">
        <v>825</v>
      </c>
      <c r="C1201" s="14" t="s">
        <v>1058</v>
      </c>
      <c r="D1201" s="15" t="s">
        <v>1060</v>
      </c>
      <c r="G1201" s="16">
        <v>2410.96</v>
      </c>
    </row>
    <row r="1202" spans="1:8">
      <c r="A1202" s="9" t="s">
        <v>1734</v>
      </c>
      <c r="B1202" s="9"/>
      <c r="C1202" t="s">
        <v>1855</v>
      </c>
      <c r="D1202" s="5" t="s">
        <v>1857</v>
      </c>
      <c r="G1202" s="1">
        <v>789.87</v>
      </c>
    </row>
    <row r="1203" spans="1:8">
      <c r="A1203" s="9" t="s">
        <v>1734</v>
      </c>
      <c r="B1203" s="9"/>
      <c r="C1203" t="s">
        <v>1858</v>
      </c>
      <c r="D1203" s="5" t="s">
        <v>1860</v>
      </c>
      <c r="E1203" s="1">
        <v>1500</v>
      </c>
      <c r="G1203" s="1">
        <v>1931.63</v>
      </c>
    </row>
    <row r="1204" spans="1:8">
      <c r="A1204" s="12" t="s">
        <v>1734</v>
      </c>
      <c r="B1204" s="12"/>
      <c r="C1204" s="14" t="s">
        <v>1028</v>
      </c>
      <c r="D1204" s="15" t="s">
        <v>1030</v>
      </c>
      <c r="G1204" s="16">
        <v>1325.79</v>
      </c>
    </row>
    <row r="1205" spans="1:8">
      <c r="A1205" s="9" t="s">
        <v>1734</v>
      </c>
      <c r="B1205" s="9"/>
      <c r="C1205" t="s">
        <v>1861</v>
      </c>
      <c r="D1205" s="5" t="s">
        <v>1863</v>
      </c>
      <c r="G1205" s="1">
        <v>626.74</v>
      </c>
    </row>
    <row r="1206" spans="1:8">
      <c r="A1206" s="9" t="s">
        <v>1734</v>
      </c>
      <c r="B1206" s="9"/>
      <c r="C1206" t="s">
        <v>1301</v>
      </c>
      <c r="D1206" s="5" t="s">
        <v>1303</v>
      </c>
      <c r="F1206" s="1">
        <v>696.01</v>
      </c>
    </row>
    <row r="1207" spans="1:8">
      <c r="A1207" s="9" t="s">
        <v>1734</v>
      </c>
      <c r="B1207" s="9"/>
      <c r="C1207" t="s">
        <v>717</v>
      </c>
      <c r="D1207" s="5" t="s">
        <v>719</v>
      </c>
      <c r="H1207" s="1">
        <v>880.4</v>
      </c>
    </row>
    <row r="1208" spans="1:8">
      <c r="A1208" s="9" t="s">
        <v>1734</v>
      </c>
      <c r="B1208" s="9"/>
      <c r="C1208" t="s">
        <v>1250</v>
      </c>
      <c r="D1208" s="5" t="s">
        <v>1252</v>
      </c>
      <c r="E1208" s="1">
        <v>23263.93</v>
      </c>
    </row>
    <row r="1209" spans="1:8">
      <c r="A1209" s="9" t="s">
        <v>1734</v>
      </c>
      <c r="B1209" s="9"/>
      <c r="C1209" t="s">
        <v>1215</v>
      </c>
      <c r="D1209" s="5" t="s">
        <v>1217</v>
      </c>
      <c r="F1209" s="1">
        <v>8178.76</v>
      </c>
    </row>
    <row r="1210" spans="1:8">
      <c r="A1210" s="9" t="s">
        <v>1734</v>
      </c>
      <c r="B1210" s="9"/>
      <c r="C1210" t="s">
        <v>1864</v>
      </c>
      <c r="D1210" s="5" t="s">
        <v>1866</v>
      </c>
      <c r="G1210" s="1">
        <v>1500</v>
      </c>
    </row>
    <row r="1211" spans="1:8">
      <c r="A1211" s="9" t="s">
        <v>1734</v>
      </c>
      <c r="B1211" s="9"/>
      <c r="C1211" t="s">
        <v>1867</v>
      </c>
      <c r="D1211" s="5" t="s">
        <v>1869</v>
      </c>
      <c r="F1211" s="1">
        <v>397.53</v>
      </c>
      <c r="G1211" s="1">
        <v>1230</v>
      </c>
    </row>
    <row r="1212" spans="1:8">
      <c r="A1212" s="9" t="s">
        <v>1734</v>
      </c>
      <c r="B1212" s="9"/>
      <c r="C1212" t="s">
        <v>1870</v>
      </c>
      <c r="D1212" s="5" t="s">
        <v>1872</v>
      </c>
      <c r="G1212" s="1">
        <v>1179.0999999999999</v>
      </c>
    </row>
    <row r="1213" spans="1:8">
      <c r="A1213" s="9" t="s">
        <v>1734</v>
      </c>
      <c r="B1213" s="9"/>
      <c r="C1213" t="s">
        <v>1873</v>
      </c>
      <c r="D1213" s="5" t="s">
        <v>1875</v>
      </c>
      <c r="G1213" s="1">
        <v>550</v>
      </c>
    </row>
    <row r="1214" spans="1:8">
      <c r="A1214" s="9" t="s">
        <v>1734</v>
      </c>
      <c r="B1214" s="9"/>
      <c r="C1214" t="s">
        <v>1876</v>
      </c>
      <c r="D1214" s="5" t="s">
        <v>1878</v>
      </c>
      <c r="G1214" s="1">
        <v>3136.5</v>
      </c>
    </row>
    <row r="1215" spans="1:8">
      <c r="A1215" s="9" t="s">
        <v>1879</v>
      </c>
      <c r="B1215" s="9"/>
      <c r="C1215" t="s">
        <v>1355</v>
      </c>
      <c r="D1215" s="5" t="s">
        <v>1355</v>
      </c>
      <c r="H1215" s="1">
        <v>3494.8</v>
      </c>
    </row>
    <row r="1216" spans="1:8">
      <c r="A1216" s="9" t="s">
        <v>1879</v>
      </c>
      <c r="B1216" s="9"/>
      <c r="C1216" t="s">
        <v>457</v>
      </c>
      <c r="D1216" s="5" t="s">
        <v>457</v>
      </c>
      <c r="H1216" s="1">
        <v>2150.2399999999998</v>
      </c>
    </row>
    <row r="1217" spans="1:8">
      <c r="A1217" s="9" t="s">
        <v>1879</v>
      </c>
      <c r="B1217" s="9"/>
      <c r="C1217" t="s">
        <v>353</v>
      </c>
      <c r="D1217" s="5" t="s">
        <v>353</v>
      </c>
      <c r="H1217" s="1">
        <v>20817.830000000002</v>
      </c>
    </row>
    <row r="1218" spans="1:8">
      <c r="A1218" s="9" t="s">
        <v>1879</v>
      </c>
      <c r="B1218" s="9"/>
      <c r="C1218" t="s">
        <v>1315</v>
      </c>
      <c r="D1218" s="5" t="s">
        <v>1315</v>
      </c>
      <c r="H1218" s="1">
        <v>6732.02</v>
      </c>
    </row>
    <row r="1219" spans="1:8">
      <c r="A1219" s="9" t="s">
        <v>1879</v>
      </c>
      <c r="B1219" s="9"/>
      <c r="C1219" t="s">
        <v>1397</v>
      </c>
      <c r="D1219" s="5" t="s">
        <v>1397</v>
      </c>
      <c r="H1219" s="1">
        <v>1728.08</v>
      </c>
    </row>
    <row r="1220" spans="1:8">
      <c r="A1220" s="12" t="s">
        <v>1879</v>
      </c>
      <c r="B1220" s="12" t="s">
        <v>1715</v>
      </c>
      <c r="C1220" s="14" t="s">
        <v>759</v>
      </c>
      <c r="D1220" s="15" t="s">
        <v>761</v>
      </c>
      <c r="H1220" s="16">
        <v>22.78</v>
      </c>
    </row>
    <row r="1221" spans="1:8">
      <c r="A1221" s="9" t="s">
        <v>1879</v>
      </c>
      <c r="B1221" s="9"/>
      <c r="C1221" t="s">
        <v>1387</v>
      </c>
      <c r="D1221" s="5" t="s">
        <v>1387</v>
      </c>
      <c r="H1221" s="1">
        <v>247855.41500000001</v>
      </c>
    </row>
    <row r="1222" spans="1:8">
      <c r="A1222" s="9" t="s">
        <v>1879</v>
      </c>
      <c r="B1222" s="9"/>
      <c r="C1222" t="s">
        <v>336</v>
      </c>
      <c r="D1222" s="5" t="s">
        <v>336</v>
      </c>
      <c r="H1222" s="1">
        <v>8532.92</v>
      </c>
    </row>
    <row r="1223" spans="1:8">
      <c r="A1223" s="9" t="s">
        <v>1879</v>
      </c>
      <c r="B1223" s="9"/>
      <c r="C1223" t="s">
        <v>1372</v>
      </c>
      <c r="D1223" s="5" t="s">
        <v>1372</v>
      </c>
      <c r="H1223" s="1">
        <v>145100.375</v>
      </c>
    </row>
    <row r="1224" spans="1:8">
      <c r="A1224" s="9" t="s">
        <v>1879</v>
      </c>
      <c r="B1224" s="9"/>
      <c r="C1224" t="s">
        <v>1395</v>
      </c>
      <c r="D1224" s="5" t="s">
        <v>1395</v>
      </c>
      <c r="H1224" s="1">
        <v>361.94</v>
      </c>
    </row>
    <row r="1225" spans="1:8">
      <c r="A1225" s="9" t="s">
        <v>1879</v>
      </c>
      <c r="B1225" s="9"/>
      <c r="C1225" t="s">
        <v>1359</v>
      </c>
      <c r="D1225" s="5" t="s">
        <v>1359</v>
      </c>
      <c r="H1225" s="1">
        <v>11000.64</v>
      </c>
    </row>
    <row r="1226" spans="1:8">
      <c r="A1226" s="12" t="s">
        <v>1879</v>
      </c>
      <c r="B1226" s="12" t="s">
        <v>1715</v>
      </c>
      <c r="C1226" s="14" t="s">
        <v>636</v>
      </c>
      <c r="D1226" s="15" t="s">
        <v>638</v>
      </c>
      <c r="H1226" s="16">
        <v>95.44</v>
      </c>
    </row>
    <row r="1227" spans="1:8">
      <c r="A1227" s="9" t="s">
        <v>1879</v>
      </c>
      <c r="B1227" s="9"/>
      <c r="C1227" t="s">
        <v>1357</v>
      </c>
      <c r="D1227" s="5" t="s">
        <v>1357</v>
      </c>
      <c r="H1227" s="1">
        <v>2380.96</v>
      </c>
    </row>
    <row r="1228" spans="1:8">
      <c r="A1228" s="9" t="s">
        <v>1881</v>
      </c>
      <c r="B1228" s="9"/>
      <c r="C1228" t="s">
        <v>1470</v>
      </c>
      <c r="D1228" s="5" t="s">
        <v>1472</v>
      </c>
      <c r="H1228" s="1">
        <v>6811.83</v>
      </c>
    </row>
    <row r="1229" spans="1:8">
      <c r="A1229" s="9" t="s">
        <v>1881</v>
      </c>
      <c r="B1229" s="9"/>
      <c r="C1229" t="s">
        <v>1616</v>
      </c>
      <c r="D1229" s="5" t="s">
        <v>1618</v>
      </c>
      <c r="E1229" s="1">
        <v>9280</v>
      </c>
    </row>
    <row r="1230" spans="1:8">
      <c r="A1230" s="9" t="s">
        <v>1881</v>
      </c>
      <c r="B1230" s="9"/>
      <c r="C1230" t="s">
        <v>1337</v>
      </c>
      <c r="D1230" s="5" t="s">
        <v>1339</v>
      </c>
      <c r="H1230" s="1">
        <v>807.84</v>
      </c>
    </row>
    <row r="1231" spans="1:8">
      <c r="A1231" s="9" t="s">
        <v>1881</v>
      </c>
      <c r="B1231" s="9"/>
      <c r="C1231" t="s">
        <v>1532</v>
      </c>
      <c r="D1231" s="5" t="s">
        <v>1534</v>
      </c>
      <c r="H1231" s="1">
        <v>398.72</v>
      </c>
    </row>
    <row r="1232" spans="1:8">
      <c r="A1232" s="9" t="s">
        <v>1881</v>
      </c>
      <c r="B1232" s="9"/>
      <c r="C1232" t="s">
        <v>1577</v>
      </c>
      <c r="D1232" s="5" t="s">
        <v>1579</v>
      </c>
      <c r="H1232" s="1">
        <v>1468.22</v>
      </c>
    </row>
    <row r="1233" spans="1:9">
      <c r="A1233" s="9" t="s">
        <v>1881</v>
      </c>
      <c r="B1233" s="9"/>
      <c r="C1233" t="s">
        <v>1361</v>
      </c>
      <c r="D1233" s="5" t="s">
        <v>1363</v>
      </c>
      <c r="H1233" s="1">
        <v>7607.5950000000003</v>
      </c>
    </row>
    <row r="1234" spans="1:9">
      <c r="A1234" s="9" t="s">
        <v>1883</v>
      </c>
      <c r="B1234" s="9"/>
      <c r="C1234" t="s">
        <v>615</v>
      </c>
      <c r="D1234" s="5" t="s">
        <v>617</v>
      </c>
      <c r="E1234" s="1">
        <v>1850</v>
      </c>
      <c r="F1234" s="1">
        <v>39987.94</v>
      </c>
    </row>
    <row r="1235" spans="1:9">
      <c r="A1235" s="9" t="s">
        <v>1883</v>
      </c>
      <c r="B1235" s="9"/>
      <c r="C1235" t="s">
        <v>60</v>
      </c>
      <c r="D1235" s="5" t="s">
        <v>62</v>
      </c>
      <c r="E1235" s="1">
        <v>66847.47</v>
      </c>
      <c r="F1235" s="1">
        <v>626082.14</v>
      </c>
    </row>
    <row r="1236" spans="1:9">
      <c r="A1236" s="9" t="s">
        <v>1883</v>
      </c>
      <c r="B1236" s="9"/>
      <c r="C1236" t="s">
        <v>1123</v>
      </c>
      <c r="D1236" s="5" t="s">
        <v>1125</v>
      </c>
      <c r="E1236" s="1">
        <v>100</v>
      </c>
    </row>
    <row r="1237" spans="1:9">
      <c r="A1237" s="9" t="s">
        <v>1883</v>
      </c>
      <c r="B1237" s="9"/>
      <c r="C1237" t="s">
        <v>477</v>
      </c>
      <c r="D1237" s="5" t="s">
        <v>479</v>
      </c>
      <c r="E1237" s="1">
        <v>725</v>
      </c>
      <c r="F1237" s="1">
        <v>98760.46</v>
      </c>
    </row>
    <row r="1238" spans="1:9">
      <c r="A1238" s="9" t="s">
        <v>1883</v>
      </c>
      <c r="B1238" s="9"/>
      <c r="C1238" t="s">
        <v>525</v>
      </c>
      <c r="D1238" s="5" t="s">
        <v>527</v>
      </c>
      <c r="E1238" s="1">
        <v>10</v>
      </c>
      <c r="F1238" s="1">
        <v>36467.29</v>
      </c>
    </row>
    <row r="1239" spans="1:9">
      <c r="A1239" s="9" t="s">
        <v>1883</v>
      </c>
      <c r="B1239" s="9"/>
      <c r="C1239" t="s">
        <v>1301</v>
      </c>
      <c r="D1239" s="5" t="s">
        <v>1303</v>
      </c>
      <c r="F1239" s="1">
        <v>54.3</v>
      </c>
    </row>
    <row r="1240" spans="1:9">
      <c r="A1240" s="9" t="s">
        <v>1885</v>
      </c>
      <c r="B1240" s="9"/>
      <c r="C1240" t="s">
        <v>180</v>
      </c>
      <c r="D1240" s="5" t="s">
        <v>182</v>
      </c>
      <c r="H1240" s="1">
        <v>786.25</v>
      </c>
      <c r="I1240" s="1">
        <v>441.91</v>
      </c>
    </row>
    <row r="1241" spans="1:9">
      <c r="A1241" s="9" t="s">
        <v>1885</v>
      </c>
      <c r="B1241" s="9"/>
      <c r="C1241" t="s">
        <v>60</v>
      </c>
      <c r="D1241" s="5" t="s">
        <v>62</v>
      </c>
      <c r="H1241" s="1">
        <v>4161.6000000000004</v>
      </c>
    </row>
    <row r="1242" spans="1:9">
      <c r="A1242" s="9" t="s">
        <v>1885</v>
      </c>
      <c r="B1242" s="9"/>
      <c r="C1242" t="s">
        <v>759</v>
      </c>
      <c r="D1242" s="5" t="s">
        <v>761</v>
      </c>
      <c r="I1242" s="1">
        <v>217</v>
      </c>
    </row>
    <row r="1243" spans="1:9">
      <c r="A1243" s="9" t="s">
        <v>1885</v>
      </c>
      <c r="B1243" s="9"/>
      <c r="C1243" t="s">
        <v>477</v>
      </c>
      <c r="D1243" s="5" t="s">
        <v>479</v>
      </c>
      <c r="F1243" s="1">
        <v>4190.6499999999996</v>
      </c>
    </row>
    <row r="1244" spans="1:9">
      <c r="A1244" s="12" t="s">
        <v>1887</v>
      </c>
      <c r="B1244" s="12" t="s">
        <v>1715</v>
      </c>
      <c r="C1244" s="14" t="s">
        <v>303</v>
      </c>
      <c r="D1244" s="15" t="s">
        <v>305</v>
      </c>
      <c r="F1244" s="16">
        <v>57650.86</v>
      </c>
    </row>
    <row r="1245" spans="1:9">
      <c r="A1245" s="12" t="s">
        <v>1889</v>
      </c>
      <c r="B1245" s="12" t="s">
        <v>1715</v>
      </c>
      <c r="C1245" s="14" t="s">
        <v>666</v>
      </c>
      <c r="D1245" s="15" t="s">
        <v>668</v>
      </c>
      <c r="F1245" s="16">
        <v>18197.89</v>
      </c>
    </row>
    <row r="1246" spans="1:9">
      <c r="A1246" s="12" t="s">
        <v>1891</v>
      </c>
      <c r="B1246" s="12" t="s">
        <v>1715</v>
      </c>
      <c r="C1246" s="14" t="s">
        <v>84</v>
      </c>
      <c r="D1246" s="15" t="s">
        <v>86</v>
      </c>
      <c r="H1246" s="16">
        <v>227.8</v>
      </c>
    </row>
    <row r="1247" spans="1:9">
      <c r="A1247" s="9" t="s">
        <v>1893</v>
      </c>
      <c r="B1247" s="9"/>
      <c r="C1247" t="s">
        <v>1425</v>
      </c>
      <c r="D1247" s="5" t="s">
        <v>1427</v>
      </c>
      <c r="E1247" s="1">
        <v>800</v>
      </c>
    </row>
    <row r="1248" spans="1:9">
      <c r="A1248" s="9" t="s">
        <v>1895</v>
      </c>
      <c r="B1248" s="9"/>
      <c r="C1248" t="s">
        <v>1337</v>
      </c>
      <c r="D1248" s="5" t="s">
        <v>1339</v>
      </c>
      <c r="F1248" s="1">
        <v>1.39</v>
      </c>
    </row>
    <row r="1249" spans="1:8">
      <c r="A1249" s="12" t="s">
        <v>1897</v>
      </c>
      <c r="B1249" s="12" t="s">
        <v>1715</v>
      </c>
      <c r="C1249" s="14" t="s">
        <v>558</v>
      </c>
      <c r="D1249" s="15" t="s">
        <v>560</v>
      </c>
      <c r="H1249" s="16">
        <v>211.92</v>
      </c>
    </row>
  </sheetData>
  <autoFilter ref="A6:I1249" xr:uid="{9FF7CC4C-02E0-4508-9DF5-53D7D2D5365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2416-512F-429C-8CDA-8F46C76DE3C0}">
  <dimension ref="A1:J1249"/>
  <sheetViews>
    <sheetView topLeftCell="C1" workbookViewId="0">
      <pane ySplit="6" topLeftCell="A232" activePane="bottomLeft" state="frozen"/>
      <selection activeCell="C1" sqref="C1"/>
      <selection pane="bottomLeft" activeCell="F6" sqref="F6"/>
    </sheetView>
  </sheetViews>
  <sheetFormatPr defaultRowHeight="15"/>
  <cols>
    <col min="1" max="1" width="22.85546875" customWidth="1"/>
    <col min="2" max="2" width="27.42578125" bestFit="1" customWidth="1"/>
    <col min="3" max="3" width="22.5703125" customWidth="1"/>
    <col min="4" max="4" width="99.5703125" customWidth="1"/>
    <col min="5" max="9" width="15.140625" customWidth="1"/>
  </cols>
  <sheetData>
    <row r="1" spans="1:10" ht="48" customHeight="1">
      <c r="A1" s="6" t="s">
        <v>0</v>
      </c>
      <c r="B1" s="6"/>
    </row>
    <row r="2" spans="1:10" ht="21.75" customHeight="1">
      <c r="A2" s="7" t="s">
        <v>1</v>
      </c>
      <c r="B2" s="7"/>
    </row>
    <row r="3" spans="1:10" ht="18">
      <c r="A3" s="8" t="s">
        <v>2</v>
      </c>
      <c r="B3" s="8"/>
      <c r="F3" s="27">
        <f>+SUBTOTAL(9,F7:I1745)</f>
        <v>39201947.509999946</v>
      </c>
    </row>
    <row r="4" spans="1:10">
      <c r="E4" s="11">
        <f>SUM(E7:E1249)</f>
        <v>35514776.840000018</v>
      </c>
      <c r="F4" s="11">
        <f>SUM(F7:F1249)</f>
        <v>25437431.960000001</v>
      </c>
      <c r="G4" s="11">
        <f t="shared" ref="G4:I4" si="0">SUM(G7:G1249)</f>
        <v>9636069.5800000038</v>
      </c>
      <c r="H4" s="11">
        <f t="shared" si="0"/>
        <v>4002963.7799999979</v>
      </c>
      <c r="I4" s="11">
        <f t="shared" si="0"/>
        <v>125482.19000000005</v>
      </c>
    </row>
    <row r="5" spans="1:10">
      <c r="A5" s="2"/>
      <c r="B5" s="2"/>
      <c r="C5" s="2"/>
      <c r="D5" s="2"/>
      <c r="E5" s="2" t="s">
        <v>5</v>
      </c>
      <c r="F5" s="2" t="s">
        <v>3</v>
      </c>
      <c r="G5" s="2" t="s">
        <v>4</v>
      </c>
      <c r="H5" s="2" t="s">
        <v>6</v>
      </c>
      <c r="I5" s="2" t="s">
        <v>7</v>
      </c>
    </row>
    <row r="6" spans="1:10">
      <c r="A6" s="2" t="s">
        <v>8</v>
      </c>
      <c r="B6" s="10" t="s">
        <v>1899</v>
      </c>
      <c r="C6" s="2" t="s">
        <v>9</v>
      </c>
      <c r="D6" s="2" t="s">
        <v>10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1910</v>
      </c>
    </row>
    <row r="7" spans="1:10">
      <c r="A7" s="9" t="s">
        <v>13</v>
      </c>
      <c r="B7" s="9" t="s">
        <v>13</v>
      </c>
      <c r="C7" t="s">
        <v>15</v>
      </c>
      <c r="D7" s="5" t="s">
        <v>17</v>
      </c>
      <c r="E7" s="1">
        <v>227733.94</v>
      </c>
      <c r="F7" s="1">
        <v>61886.57</v>
      </c>
      <c r="H7" s="1">
        <v>2487.1799999999998</v>
      </c>
    </row>
    <row r="8" spans="1:10">
      <c r="A8" s="9" t="s">
        <v>13</v>
      </c>
      <c r="B8" s="9" t="s">
        <v>13</v>
      </c>
      <c r="C8" t="s">
        <v>18</v>
      </c>
      <c r="D8" s="5" t="s">
        <v>20</v>
      </c>
      <c r="E8" s="1">
        <v>29637.93</v>
      </c>
      <c r="F8" s="1">
        <v>16721.7</v>
      </c>
      <c r="H8" s="1">
        <v>4238.88</v>
      </c>
    </row>
    <row r="9" spans="1:10">
      <c r="A9" s="9" t="s">
        <v>13</v>
      </c>
      <c r="B9" s="9" t="s">
        <v>13</v>
      </c>
      <c r="C9" t="s">
        <v>21</v>
      </c>
      <c r="D9" s="5" t="s">
        <v>23</v>
      </c>
      <c r="F9" s="1">
        <v>122848.96000000001</v>
      </c>
      <c r="H9" s="1">
        <v>234.58</v>
      </c>
    </row>
    <row r="10" spans="1:10">
      <c r="A10" s="9" t="s">
        <v>13</v>
      </c>
      <c r="B10" s="9" t="s">
        <v>13</v>
      </c>
      <c r="C10" t="s">
        <v>24</v>
      </c>
      <c r="D10" s="5" t="s">
        <v>26</v>
      </c>
      <c r="E10" s="1">
        <v>8437.2999999999993</v>
      </c>
      <c r="F10" s="1">
        <v>9885.3799999999992</v>
      </c>
      <c r="H10" s="1">
        <v>1478.92</v>
      </c>
    </row>
    <row r="11" spans="1:10">
      <c r="A11" s="9" t="s">
        <v>13</v>
      </c>
      <c r="B11" s="9" t="s">
        <v>13</v>
      </c>
      <c r="C11" t="s">
        <v>27</v>
      </c>
      <c r="D11" s="5" t="s">
        <v>29</v>
      </c>
      <c r="E11" s="1">
        <v>142052.04999999999</v>
      </c>
      <c r="F11" s="1">
        <v>27022.91</v>
      </c>
    </row>
    <row r="12" spans="1:10">
      <c r="A12" s="9" t="s">
        <v>13</v>
      </c>
      <c r="B12" s="9" t="s">
        <v>13</v>
      </c>
      <c r="C12" t="s">
        <v>30</v>
      </c>
      <c r="D12" s="5" t="s">
        <v>32</v>
      </c>
      <c r="E12" s="1">
        <v>44955.67</v>
      </c>
      <c r="F12" s="1">
        <v>33561.57</v>
      </c>
      <c r="G12" s="1">
        <v>5829.8</v>
      </c>
      <c r="H12" s="1">
        <v>544.07000000000005</v>
      </c>
    </row>
    <row r="13" spans="1:10">
      <c r="A13" s="9" t="s">
        <v>13</v>
      </c>
      <c r="B13" s="9" t="s">
        <v>13</v>
      </c>
      <c r="C13" t="s">
        <v>33</v>
      </c>
      <c r="D13" s="5" t="s">
        <v>35</v>
      </c>
      <c r="E13" s="1">
        <v>11760</v>
      </c>
      <c r="F13" s="1">
        <v>1386</v>
      </c>
    </row>
    <row r="14" spans="1:10">
      <c r="A14" s="9" t="s">
        <v>13</v>
      </c>
      <c r="B14" s="9" t="s">
        <v>13</v>
      </c>
      <c r="C14" t="s">
        <v>36</v>
      </c>
      <c r="D14" s="5" t="s">
        <v>38</v>
      </c>
      <c r="E14" s="1">
        <v>517223.31</v>
      </c>
      <c r="F14" s="1">
        <v>348171.3</v>
      </c>
      <c r="G14" s="1">
        <v>-7758.87</v>
      </c>
      <c r="H14" s="1">
        <v>3600.8150000000001</v>
      </c>
    </row>
    <row r="15" spans="1:10">
      <c r="A15" s="9" t="s">
        <v>13</v>
      </c>
      <c r="B15" s="9" t="s">
        <v>13</v>
      </c>
      <c r="C15" t="s">
        <v>39</v>
      </c>
      <c r="D15" s="5" t="s">
        <v>41</v>
      </c>
      <c r="E15" s="1">
        <v>27440.43</v>
      </c>
      <c r="F15" s="1">
        <v>18167.59</v>
      </c>
    </row>
    <row r="16" spans="1:10">
      <c r="A16" s="9" t="s">
        <v>13</v>
      </c>
      <c r="B16" s="9" t="s">
        <v>13</v>
      </c>
      <c r="C16" t="s">
        <v>42</v>
      </c>
      <c r="D16" s="5" t="s">
        <v>44</v>
      </c>
      <c r="E16" s="1">
        <v>60063.71</v>
      </c>
      <c r="F16" s="1">
        <v>25608.46</v>
      </c>
      <c r="G16" s="1">
        <v>196.43</v>
      </c>
      <c r="H16" s="1">
        <v>70.069999999999993</v>
      </c>
    </row>
    <row r="17" spans="1:9">
      <c r="A17" s="9" t="s">
        <v>13</v>
      </c>
      <c r="B17" s="9" t="s">
        <v>13</v>
      </c>
      <c r="C17" t="s">
        <v>45</v>
      </c>
      <c r="D17" s="5" t="s">
        <v>47</v>
      </c>
      <c r="F17" s="1">
        <v>30820.13</v>
      </c>
      <c r="H17" s="1">
        <v>1570.72</v>
      </c>
    </row>
    <row r="18" spans="1:9">
      <c r="A18" s="9" t="s">
        <v>13</v>
      </c>
      <c r="B18" s="9" t="s">
        <v>13</v>
      </c>
      <c r="C18" t="s">
        <v>48</v>
      </c>
      <c r="D18" s="5" t="s">
        <v>50</v>
      </c>
      <c r="E18" s="1">
        <v>75639.41</v>
      </c>
      <c r="F18" s="1">
        <v>25551.32</v>
      </c>
      <c r="H18" s="1">
        <v>1063.3599999999999</v>
      </c>
    </row>
    <row r="19" spans="1:9">
      <c r="A19" s="9" t="s">
        <v>13</v>
      </c>
      <c r="B19" s="9" t="s">
        <v>13</v>
      </c>
      <c r="C19" t="s">
        <v>51</v>
      </c>
      <c r="D19" s="5" t="s">
        <v>53</v>
      </c>
      <c r="E19" s="1">
        <v>27711.35</v>
      </c>
      <c r="F19" s="1">
        <v>34439.339999999997</v>
      </c>
    </row>
    <row r="20" spans="1:9">
      <c r="A20" s="9" t="s">
        <v>13</v>
      </c>
      <c r="B20" s="9" t="s">
        <v>13</v>
      </c>
      <c r="C20" t="s">
        <v>54</v>
      </c>
      <c r="D20" s="5" t="s">
        <v>56</v>
      </c>
      <c r="E20" s="1">
        <v>177024.62</v>
      </c>
      <c r="F20" s="1">
        <v>48892.84</v>
      </c>
      <c r="G20" s="1">
        <v>1043.4100000000001</v>
      </c>
      <c r="H20" s="1">
        <v>2160.2399999999998</v>
      </c>
    </row>
    <row r="21" spans="1:9">
      <c r="A21" s="9" t="s">
        <v>13</v>
      </c>
      <c r="B21" s="9" t="s">
        <v>13</v>
      </c>
      <c r="C21" t="s">
        <v>57</v>
      </c>
      <c r="D21" s="5" t="s">
        <v>59</v>
      </c>
      <c r="E21" s="1">
        <v>56604.73</v>
      </c>
      <c r="F21" s="1">
        <v>13823.66</v>
      </c>
      <c r="H21" s="1">
        <v>497.82</v>
      </c>
    </row>
    <row r="22" spans="1:9">
      <c r="A22" s="9" t="s">
        <v>13</v>
      </c>
      <c r="B22" s="9" t="s">
        <v>13</v>
      </c>
      <c r="C22" t="s">
        <v>60</v>
      </c>
      <c r="D22" s="5" t="s">
        <v>62</v>
      </c>
      <c r="E22" s="1">
        <v>10282.5</v>
      </c>
      <c r="F22" s="1">
        <v>59405.32</v>
      </c>
    </row>
    <row r="23" spans="1:9">
      <c r="A23" s="9" t="s">
        <v>13</v>
      </c>
      <c r="B23" s="9" t="s">
        <v>13</v>
      </c>
      <c r="C23" t="s">
        <v>63</v>
      </c>
      <c r="D23" s="5" t="s">
        <v>65</v>
      </c>
      <c r="E23" s="1">
        <v>293523.5</v>
      </c>
      <c r="F23" s="1">
        <v>108870.1</v>
      </c>
    </row>
    <row r="24" spans="1:9">
      <c r="A24" s="9" t="s">
        <v>13</v>
      </c>
      <c r="B24" s="9" t="s">
        <v>13</v>
      </c>
      <c r="C24" t="s">
        <v>66</v>
      </c>
      <c r="D24" s="5" t="s">
        <v>68</v>
      </c>
      <c r="E24" s="1">
        <v>71034.929999999993</v>
      </c>
      <c r="F24" s="1">
        <v>19562.25</v>
      </c>
      <c r="G24" s="1">
        <v>7580</v>
      </c>
      <c r="H24" s="1">
        <v>2228.84</v>
      </c>
    </row>
    <row r="25" spans="1:9">
      <c r="A25" s="9" t="s">
        <v>13</v>
      </c>
      <c r="B25" s="9" t="s">
        <v>13</v>
      </c>
      <c r="C25" t="s">
        <v>69</v>
      </c>
      <c r="D25" s="5" t="s">
        <v>71</v>
      </c>
      <c r="E25" s="1">
        <v>223152.93</v>
      </c>
      <c r="F25" s="1">
        <v>185782.99</v>
      </c>
      <c r="H25" s="1">
        <v>108.01</v>
      </c>
    </row>
    <row r="26" spans="1:9">
      <c r="A26" s="9" t="s">
        <v>13</v>
      </c>
      <c r="B26" s="9" t="s">
        <v>13</v>
      </c>
      <c r="C26" t="s">
        <v>72</v>
      </c>
      <c r="D26" s="5" t="s">
        <v>74</v>
      </c>
      <c r="E26" s="1">
        <v>13183.47</v>
      </c>
      <c r="F26" s="1">
        <v>22915.67</v>
      </c>
      <c r="H26" s="1">
        <v>33.86</v>
      </c>
    </row>
    <row r="27" spans="1:9">
      <c r="A27" s="9" t="s">
        <v>13</v>
      </c>
      <c r="B27" s="9" t="s">
        <v>13</v>
      </c>
      <c r="C27" t="s">
        <v>75</v>
      </c>
      <c r="D27" s="5" t="s">
        <v>77</v>
      </c>
      <c r="F27" s="1">
        <v>414.34</v>
      </c>
      <c r="G27" s="1">
        <v>255.36</v>
      </c>
    </row>
    <row r="28" spans="1:9">
      <c r="A28" s="9" t="s">
        <v>13</v>
      </c>
      <c r="B28" s="9" t="s">
        <v>13</v>
      </c>
      <c r="C28" t="s">
        <v>78</v>
      </c>
      <c r="D28" s="5" t="s">
        <v>80</v>
      </c>
      <c r="E28" s="1">
        <v>50000.44</v>
      </c>
      <c r="F28" s="1">
        <v>17744.23</v>
      </c>
      <c r="H28" s="1">
        <v>1278.5</v>
      </c>
      <c r="I28" s="1">
        <v>410.7</v>
      </c>
    </row>
    <row r="29" spans="1:9">
      <c r="A29" s="9" t="s">
        <v>13</v>
      </c>
      <c r="B29" s="9" t="s">
        <v>13</v>
      </c>
      <c r="C29" t="s">
        <v>81</v>
      </c>
      <c r="D29" s="5" t="s">
        <v>83</v>
      </c>
      <c r="E29" s="1">
        <v>13587.51</v>
      </c>
      <c r="F29" s="1">
        <v>11147.47</v>
      </c>
      <c r="H29" s="1">
        <v>502.99</v>
      </c>
    </row>
    <row r="30" spans="1:9">
      <c r="A30" s="9" t="s">
        <v>13</v>
      </c>
      <c r="B30" s="9" t="s">
        <v>13</v>
      </c>
      <c r="C30" t="s">
        <v>84</v>
      </c>
      <c r="D30" s="5" t="s">
        <v>86</v>
      </c>
      <c r="E30" s="1">
        <v>72618</v>
      </c>
      <c r="F30" s="1">
        <v>23837.47</v>
      </c>
      <c r="H30" s="1">
        <v>3291.77</v>
      </c>
    </row>
    <row r="31" spans="1:9">
      <c r="A31" s="9" t="s">
        <v>13</v>
      </c>
      <c r="B31" s="9" t="s">
        <v>13</v>
      </c>
      <c r="C31" t="s">
        <v>87</v>
      </c>
      <c r="D31" s="5" t="s">
        <v>89</v>
      </c>
      <c r="E31" s="1">
        <v>88114.74</v>
      </c>
      <c r="F31" s="1">
        <v>24813.02</v>
      </c>
      <c r="G31" s="1">
        <v>277.20999999999998</v>
      </c>
      <c r="H31" s="1">
        <v>2412.1950000000002</v>
      </c>
      <c r="I31" s="1">
        <v>799.76</v>
      </c>
    </row>
    <row r="32" spans="1:9">
      <c r="A32" s="9" t="s">
        <v>13</v>
      </c>
      <c r="B32" s="9" t="s">
        <v>13</v>
      </c>
      <c r="C32" t="s">
        <v>90</v>
      </c>
      <c r="D32" s="5" t="s">
        <v>92</v>
      </c>
      <c r="F32" s="1">
        <v>1734.49</v>
      </c>
    </row>
    <row r="33" spans="1:9">
      <c r="A33" s="9" t="s">
        <v>13</v>
      </c>
      <c r="B33" s="9" t="s">
        <v>13</v>
      </c>
      <c r="C33" t="s">
        <v>93</v>
      </c>
      <c r="D33" s="5" t="s">
        <v>95</v>
      </c>
      <c r="E33" s="1">
        <v>102844.91</v>
      </c>
      <c r="F33" s="1">
        <v>21794.799999999999</v>
      </c>
      <c r="G33" s="1">
        <v>766.39</v>
      </c>
      <c r="H33" s="1">
        <v>199</v>
      </c>
    </row>
    <row r="34" spans="1:9">
      <c r="A34" s="9" t="s">
        <v>13</v>
      </c>
      <c r="B34" s="9" t="s">
        <v>13</v>
      </c>
      <c r="C34" t="s">
        <v>96</v>
      </c>
      <c r="D34" s="5" t="s">
        <v>98</v>
      </c>
      <c r="E34" s="1">
        <v>89283.96</v>
      </c>
      <c r="F34" s="1">
        <v>24945.1</v>
      </c>
      <c r="H34" s="1">
        <v>2483.36</v>
      </c>
    </row>
    <row r="35" spans="1:9">
      <c r="A35" s="9" t="s">
        <v>13</v>
      </c>
      <c r="B35" s="9" t="s">
        <v>13</v>
      </c>
      <c r="C35" t="s">
        <v>99</v>
      </c>
      <c r="D35" s="5" t="s">
        <v>101</v>
      </c>
      <c r="E35" s="1">
        <v>187292.19</v>
      </c>
      <c r="F35" s="1">
        <v>38569.980000000003</v>
      </c>
      <c r="G35" s="1">
        <v>4280.32</v>
      </c>
      <c r="H35" s="1">
        <v>330.97</v>
      </c>
      <c r="I35" s="1">
        <v>86.1</v>
      </c>
    </row>
    <row r="36" spans="1:9">
      <c r="A36" s="9" t="s">
        <v>13</v>
      </c>
      <c r="B36" s="9" t="s">
        <v>13</v>
      </c>
      <c r="C36" t="s">
        <v>102</v>
      </c>
      <c r="D36" s="5" t="s">
        <v>104</v>
      </c>
      <c r="E36" s="1">
        <v>92354.99</v>
      </c>
      <c r="F36" s="1">
        <v>13154.91</v>
      </c>
      <c r="G36" s="1">
        <v>104.98</v>
      </c>
      <c r="H36" s="1">
        <v>2273.4949999999999</v>
      </c>
      <c r="I36" s="1">
        <v>1101.1199999999999</v>
      </c>
    </row>
    <row r="37" spans="1:9">
      <c r="A37" s="9" t="s">
        <v>13</v>
      </c>
      <c r="B37" s="9" t="s">
        <v>13</v>
      </c>
      <c r="C37" t="s">
        <v>105</v>
      </c>
      <c r="D37" s="5" t="s">
        <v>107</v>
      </c>
      <c r="E37" s="1">
        <v>101423.44</v>
      </c>
      <c r="F37" s="1">
        <v>30640.42</v>
      </c>
      <c r="H37" s="1">
        <v>24.99</v>
      </c>
    </row>
    <row r="38" spans="1:9">
      <c r="A38" s="9" t="s">
        <v>13</v>
      </c>
      <c r="B38" s="9" t="s">
        <v>13</v>
      </c>
      <c r="C38" t="s">
        <v>108</v>
      </c>
      <c r="D38" s="5" t="s">
        <v>110</v>
      </c>
      <c r="E38" s="1">
        <v>55590.96</v>
      </c>
      <c r="F38" s="1">
        <v>12160.48</v>
      </c>
      <c r="G38" s="1">
        <v>5968.7</v>
      </c>
      <c r="H38" s="1">
        <v>52.93</v>
      </c>
    </row>
    <row r="39" spans="1:9">
      <c r="A39" s="9" t="s">
        <v>13</v>
      </c>
      <c r="B39" s="9" t="s">
        <v>13</v>
      </c>
      <c r="C39" t="s">
        <v>111</v>
      </c>
      <c r="D39" s="5" t="s">
        <v>113</v>
      </c>
      <c r="E39" s="1">
        <v>33665.72</v>
      </c>
      <c r="F39" s="1">
        <v>27746.33</v>
      </c>
    </row>
    <row r="40" spans="1:9">
      <c r="A40" s="9" t="s">
        <v>13</v>
      </c>
      <c r="B40" s="9" t="s">
        <v>13</v>
      </c>
      <c r="C40" t="s">
        <v>276</v>
      </c>
      <c r="D40" s="5" t="s">
        <v>278</v>
      </c>
      <c r="F40" s="1">
        <v>8718.77</v>
      </c>
    </row>
    <row r="41" spans="1:9">
      <c r="A41" s="9" t="s">
        <v>13</v>
      </c>
      <c r="B41" s="9" t="s">
        <v>13</v>
      </c>
      <c r="C41" t="s">
        <v>117</v>
      </c>
      <c r="D41" s="5" t="s">
        <v>119</v>
      </c>
      <c r="F41" s="1">
        <v>1404</v>
      </c>
    </row>
    <row r="42" spans="1:9">
      <c r="A42" s="9" t="s">
        <v>13</v>
      </c>
      <c r="B42" s="9" t="s">
        <v>13</v>
      </c>
      <c r="C42" t="s">
        <v>120</v>
      </c>
      <c r="D42" s="5" t="s">
        <v>122</v>
      </c>
      <c r="E42" s="1">
        <v>39911.06</v>
      </c>
      <c r="F42" s="1">
        <v>22241.48</v>
      </c>
    </row>
    <row r="43" spans="1:9">
      <c r="A43" s="9" t="s">
        <v>13</v>
      </c>
      <c r="B43" s="9" t="s">
        <v>13</v>
      </c>
      <c r="C43" t="s">
        <v>123</v>
      </c>
      <c r="D43" s="5" t="s">
        <v>125</v>
      </c>
      <c r="F43" s="1">
        <v>-0.28000000000000003</v>
      </c>
    </row>
    <row r="44" spans="1:9">
      <c r="A44" s="9" t="s">
        <v>13</v>
      </c>
      <c r="B44" s="9" t="s">
        <v>13</v>
      </c>
      <c r="C44" t="s">
        <v>126</v>
      </c>
      <c r="D44" s="5" t="s">
        <v>128</v>
      </c>
      <c r="E44" s="1">
        <v>14249.31</v>
      </c>
      <c r="F44" s="1">
        <v>11405.62</v>
      </c>
    </row>
    <row r="45" spans="1:9">
      <c r="A45" s="9" t="s">
        <v>13</v>
      </c>
      <c r="B45" s="9" t="s">
        <v>13</v>
      </c>
      <c r="C45" t="s">
        <v>129</v>
      </c>
      <c r="D45" s="5" t="s">
        <v>131</v>
      </c>
      <c r="E45" s="1">
        <v>341535.64</v>
      </c>
      <c r="F45" s="1">
        <v>151601.07</v>
      </c>
    </row>
    <row r="46" spans="1:9">
      <c r="A46" s="9" t="s">
        <v>13</v>
      </c>
      <c r="B46" s="9" t="s">
        <v>13</v>
      </c>
      <c r="C46" t="s">
        <v>132</v>
      </c>
      <c r="D46" s="5" t="s">
        <v>134</v>
      </c>
      <c r="E46" s="1">
        <v>297710.40999999997</v>
      </c>
      <c r="F46" s="1">
        <v>80079.53</v>
      </c>
      <c r="H46" s="1">
        <v>3542.21</v>
      </c>
    </row>
    <row r="47" spans="1:9">
      <c r="A47" s="9" t="s">
        <v>13</v>
      </c>
      <c r="B47" s="9" t="s">
        <v>13</v>
      </c>
      <c r="C47" t="s">
        <v>135</v>
      </c>
      <c r="D47" s="5" t="s">
        <v>137</v>
      </c>
      <c r="E47" s="1">
        <v>286217.95</v>
      </c>
      <c r="F47" s="1">
        <v>139559.20000000001</v>
      </c>
    </row>
    <row r="48" spans="1:9">
      <c r="A48" s="9" t="s">
        <v>13</v>
      </c>
      <c r="B48" s="9" t="s">
        <v>13</v>
      </c>
      <c r="C48" t="s">
        <v>138</v>
      </c>
      <c r="D48" s="5" t="s">
        <v>140</v>
      </c>
      <c r="E48" s="1">
        <v>128095.78</v>
      </c>
      <c r="F48" s="1">
        <v>116842.17</v>
      </c>
    </row>
    <row r="49" spans="1:9">
      <c r="A49" s="9" t="s">
        <v>13</v>
      </c>
      <c r="B49" s="9" t="s">
        <v>13</v>
      </c>
      <c r="C49" t="s">
        <v>141</v>
      </c>
      <c r="D49" s="5" t="s">
        <v>143</v>
      </c>
      <c r="E49" s="1">
        <v>726225.09</v>
      </c>
      <c r="F49" s="1">
        <v>260790.69</v>
      </c>
      <c r="G49" s="1">
        <v>7167.58</v>
      </c>
      <c r="H49" s="1">
        <v>437.8</v>
      </c>
    </row>
    <row r="50" spans="1:9">
      <c r="A50" s="9" t="s">
        <v>13</v>
      </c>
      <c r="B50" s="9" t="s">
        <v>13</v>
      </c>
      <c r="C50" t="s">
        <v>144</v>
      </c>
      <c r="D50" s="5" t="s">
        <v>146</v>
      </c>
      <c r="E50" s="1">
        <v>517097.07</v>
      </c>
      <c r="F50" s="1">
        <v>119968.54</v>
      </c>
      <c r="G50" s="1">
        <v>474</v>
      </c>
      <c r="H50" s="1">
        <v>10367.25</v>
      </c>
    </row>
    <row r="51" spans="1:9">
      <c r="A51" s="9" t="s">
        <v>13</v>
      </c>
      <c r="B51" s="9" t="s">
        <v>13</v>
      </c>
      <c r="C51" t="s">
        <v>147</v>
      </c>
      <c r="D51" s="5" t="s">
        <v>149</v>
      </c>
      <c r="F51" s="1">
        <v>3946.15</v>
      </c>
    </row>
    <row r="52" spans="1:9">
      <c r="A52" s="9" t="s">
        <v>13</v>
      </c>
      <c r="B52" s="9" t="s">
        <v>13</v>
      </c>
      <c r="C52" t="s">
        <v>150</v>
      </c>
      <c r="D52" s="5" t="s">
        <v>152</v>
      </c>
      <c r="F52" s="1">
        <v>7187.87</v>
      </c>
    </row>
    <row r="53" spans="1:9">
      <c r="A53" s="9" t="s">
        <v>13</v>
      </c>
      <c r="B53" s="9" t="s">
        <v>13</v>
      </c>
      <c r="C53" t="s">
        <v>153</v>
      </c>
      <c r="D53" s="5" t="s">
        <v>155</v>
      </c>
      <c r="F53" s="1">
        <v>2159</v>
      </c>
      <c r="G53" s="1">
        <v>2595.4</v>
      </c>
      <c r="H53" s="1">
        <v>7983.27</v>
      </c>
    </row>
    <row r="54" spans="1:9">
      <c r="A54" s="9" t="s">
        <v>13</v>
      </c>
      <c r="B54" s="9" t="s">
        <v>13</v>
      </c>
      <c r="C54" t="s">
        <v>156</v>
      </c>
      <c r="D54" s="5" t="s">
        <v>158</v>
      </c>
      <c r="E54" s="1">
        <v>140548.68</v>
      </c>
      <c r="F54" s="1">
        <v>34413.18</v>
      </c>
      <c r="G54" s="1">
        <v>1622.82</v>
      </c>
    </row>
    <row r="55" spans="1:9">
      <c r="A55" s="9" t="s">
        <v>13</v>
      </c>
      <c r="B55" s="9" t="s">
        <v>13</v>
      </c>
      <c r="C55" t="s">
        <v>159</v>
      </c>
      <c r="D55" s="5" t="s">
        <v>161</v>
      </c>
      <c r="E55" s="1">
        <v>30116.92</v>
      </c>
      <c r="F55" s="1">
        <v>20316.48</v>
      </c>
      <c r="H55" s="1">
        <v>1746.41</v>
      </c>
    </row>
    <row r="56" spans="1:9">
      <c r="A56" s="9" t="s">
        <v>13</v>
      </c>
      <c r="B56" s="9" t="s">
        <v>13</v>
      </c>
      <c r="C56" t="s">
        <v>162</v>
      </c>
      <c r="D56" s="5" t="s">
        <v>164</v>
      </c>
      <c r="E56" s="1">
        <v>383338.29</v>
      </c>
      <c r="F56" s="1">
        <v>124764.3</v>
      </c>
      <c r="G56" s="1">
        <v>4827.49</v>
      </c>
    </row>
    <row r="57" spans="1:9">
      <c r="A57" s="9" t="s">
        <v>13</v>
      </c>
      <c r="B57" s="9" t="s">
        <v>13</v>
      </c>
      <c r="C57" t="s">
        <v>165</v>
      </c>
      <c r="D57" s="5" t="s">
        <v>167</v>
      </c>
      <c r="E57" s="1">
        <v>84677.67</v>
      </c>
      <c r="F57" s="1">
        <v>75084.320000000007</v>
      </c>
      <c r="G57" s="1">
        <v>1210.03</v>
      </c>
    </row>
    <row r="58" spans="1:9">
      <c r="A58" s="9" t="s">
        <v>13</v>
      </c>
      <c r="B58" s="9" t="s">
        <v>13</v>
      </c>
      <c r="C58" t="s">
        <v>168</v>
      </c>
      <c r="D58" s="5" t="s">
        <v>170</v>
      </c>
      <c r="E58" s="1">
        <v>109586.26</v>
      </c>
      <c r="F58" s="1">
        <v>28053.45</v>
      </c>
      <c r="G58" s="1">
        <v>75.7</v>
      </c>
    </row>
    <row r="59" spans="1:9">
      <c r="A59" s="9" t="s">
        <v>13</v>
      </c>
      <c r="B59" s="9" t="s">
        <v>13</v>
      </c>
      <c r="C59" t="s">
        <v>171</v>
      </c>
      <c r="D59" s="5" t="s">
        <v>173</v>
      </c>
      <c r="E59" s="1">
        <v>113098.16</v>
      </c>
      <c r="F59" s="1">
        <v>26051.51</v>
      </c>
      <c r="G59" s="1">
        <v>1238.1300000000001</v>
      </c>
    </row>
    <row r="60" spans="1:9">
      <c r="A60" s="9" t="s">
        <v>13</v>
      </c>
      <c r="B60" s="9" t="s">
        <v>13</v>
      </c>
      <c r="C60" t="s">
        <v>174</v>
      </c>
      <c r="D60" s="5" t="s">
        <v>176</v>
      </c>
      <c r="E60" s="1">
        <v>104472.34</v>
      </c>
      <c r="F60" s="1">
        <v>27286.85</v>
      </c>
    </row>
    <row r="61" spans="1:9">
      <c r="A61" s="9" t="s">
        <v>13</v>
      </c>
      <c r="B61" s="9" t="s">
        <v>13</v>
      </c>
      <c r="C61" t="s">
        <v>177</v>
      </c>
      <c r="D61" s="5" t="s">
        <v>179</v>
      </c>
      <c r="E61" s="1">
        <v>74358.13</v>
      </c>
      <c r="F61" s="1">
        <v>20576.93</v>
      </c>
      <c r="G61" s="1">
        <v>42.5</v>
      </c>
      <c r="H61" s="1">
        <v>1147.04</v>
      </c>
      <c r="I61" s="1">
        <v>238.3</v>
      </c>
    </row>
    <row r="62" spans="1:9">
      <c r="A62" s="9" t="s">
        <v>13</v>
      </c>
      <c r="B62" s="9" t="s">
        <v>13</v>
      </c>
      <c r="C62" t="s">
        <v>180</v>
      </c>
      <c r="D62" s="5" t="s">
        <v>182</v>
      </c>
      <c r="E62" s="1">
        <v>59999.31</v>
      </c>
      <c r="F62" s="1">
        <v>17000.03</v>
      </c>
      <c r="G62" s="1">
        <v>1520.08</v>
      </c>
      <c r="H62" s="1">
        <v>823.12</v>
      </c>
    </row>
    <row r="63" spans="1:9">
      <c r="A63" s="9" t="s">
        <v>13</v>
      </c>
      <c r="B63" s="9" t="s">
        <v>13</v>
      </c>
      <c r="C63" t="s">
        <v>183</v>
      </c>
      <c r="D63" s="5" t="s">
        <v>185</v>
      </c>
      <c r="E63" s="1">
        <v>72935.87</v>
      </c>
      <c r="F63" s="1">
        <v>14548.11</v>
      </c>
    </row>
    <row r="64" spans="1:9">
      <c r="A64" s="9" t="s">
        <v>13</v>
      </c>
      <c r="B64" s="9" t="s">
        <v>13</v>
      </c>
      <c r="C64" t="s">
        <v>186</v>
      </c>
      <c r="D64" s="5" t="s">
        <v>188</v>
      </c>
      <c r="E64" s="1">
        <v>23499.18</v>
      </c>
      <c r="F64" s="1">
        <v>12715.79</v>
      </c>
    </row>
    <row r="65" spans="1:9">
      <c r="A65" s="9" t="s">
        <v>13</v>
      </c>
      <c r="B65" s="9" t="s">
        <v>13</v>
      </c>
      <c r="C65" t="s">
        <v>189</v>
      </c>
      <c r="D65" s="5" t="s">
        <v>191</v>
      </c>
      <c r="E65" s="1">
        <v>43353.31</v>
      </c>
      <c r="F65" s="1">
        <v>20262.61</v>
      </c>
      <c r="H65" s="1">
        <v>359.12</v>
      </c>
    </row>
    <row r="66" spans="1:9">
      <c r="A66" s="9" t="s">
        <v>13</v>
      </c>
      <c r="B66" s="9" t="s">
        <v>13</v>
      </c>
      <c r="C66" t="s">
        <v>192</v>
      </c>
      <c r="D66" s="5" t="s">
        <v>194</v>
      </c>
      <c r="E66" s="1">
        <v>97941.69</v>
      </c>
      <c r="F66" s="1">
        <v>33535.410000000003</v>
      </c>
      <c r="G66" s="1">
        <v>380</v>
      </c>
    </row>
    <row r="67" spans="1:9">
      <c r="A67" s="9" t="s">
        <v>13</v>
      </c>
      <c r="B67" s="9" t="s">
        <v>13</v>
      </c>
      <c r="C67" t="s">
        <v>195</v>
      </c>
      <c r="D67" s="5" t="s">
        <v>197</v>
      </c>
      <c r="E67" s="1">
        <v>119903.71</v>
      </c>
      <c r="F67" s="1">
        <v>81943.350000000006</v>
      </c>
      <c r="H67" s="1">
        <v>1351.6</v>
      </c>
    </row>
    <row r="68" spans="1:9">
      <c r="A68" s="9" t="s">
        <v>13</v>
      </c>
      <c r="B68" s="9" t="s">
        <v>13</v>
      </c>
      <c r="C68" t="s">
        <v>198</v>
      </c>
      <c r="D68" s="5" t="s">
        <v>200</v>
      </c>
      <c r="E68" s="1">
        <v>23167.83</v>
      </c>
      <c r="F68" s="1">
        <v>8058.17</v>
      </c>
      <c r="G68" s="1">
        <v>97.76</v>
      </c>
      <c r="H68" s="1">
        <v>204.315</v>
      </c>
      <c r="I68" s="1">
        <v>44</v>
      </c>
    </row>
    <row r="69" spans="1:9">
      <c r="A69" s="9" t="s">
        <v>13</v>
      </c>
      <c r="B69" s="9" t="s">
        <v>13</v>
      </c>
      <c r="C69" t="s">
        <v>201</v>
      </c>
      <c r="D69" s="5" t="s">
        <v>203</v>
      </c>
      <c r="E69" s="1">
        <v>52732.54</v>
      </c>
      <c r="F69" s="1">
        <v>16710.91</v>
      </c>
      <c r="G69" s="1">
        <v>1045.6199999999999</v>
      </c>
      <c r="H69" s="1">
        <v>101.58</v>
      </c>
    </row>
    <row r="70" spans="1:9">
      <c r="A70" s="9" t="s">
        <v>13</v>
      </c>
      <c r="B70" s="9" t="s">
        <v>13</v>
      </c>
      <c r="C70" t="s">
        <v>204</v>
      </c>
      <c r="D70" s="5" t="s">
        <v>206</v>
      </c>
      <c r="E70" s="1">
        <v>35323.050000000003</v>
      </c>
      <c r="F70" s="1">
        <v>12994.69</v>
      </c>
      <c r="G70" s="1">
        <v>236.05</v>
      </c>
      <c r="H70" s="1">
        <v>596.24</v>
      </c>
      <c r="I70" s="1">
        <v>214</v>
      </c>
    </row>
    <row r="71" spans="1:9">
      <c r="A71" s="9" t="s">
        <v>13</v>
      </c>
      <c r="B71" s="9" t="s">
        <v>13</v>
      </c>
      <c r="C71" t="s">
        <v>207</v>
      </c>
      <c r="D71" s="5" t="s">
        <v>209</v>
      </c>
      <c r="E71" s="1">
        <v>142827.39000000001</v>
      </c>
      <c r="F71" s="1">
        <v>35733.33</v>
      </c>
      <c r="G71" s="1">
        <v>667.61</v>
      </c>
      <c r="H71" s="1">
        <v>2401.21</v>
      </c>
      <c r="I71" s="1">
        <v>149.03</v>
      </c>
    </row>
    <row r="72" spans="1:9">
      <c r="A72" s="9" t="s">
        <v>13</v>
      </c>
      <c r="B72" s="9" t="s">
        <v>13</v>
      </c>
      <c r="C72" t="s">
        <v>210</v>
      </c>
      <c r="D72" s="5" t="s">
        <v>212</v>
      </c>
      <c r="E72" s="1">
        <v>225209.27</v>
      </c>
      <c r="F72" s="1">
        <v>145542.22</v>
      </c>
      <c r="G72" s="1">
        <v>3848.13</v>
      </c>
      <c r="H72" s="1">
        <v>856.45</v>
      </c>
    </row>
    <row r="73" spans="1:9">
      <c r="A73" s="9" t="s">
        <v>13</v>
      </c>
      <c r="B73" s="9" t="s">
        <v>13</v>
      </c>
      <c r="C73" t="s">
        <v>213</v>
      </c>
      <c r="D73" s="5" t="s">
        <v>215</v>
      </c>
      <c r="E73" s="1">
        <v>8282.5400000000009</v>
      </c>
      <c r="F73" s="1">
        <v>8282.5400000000009</v>
      </c>
      <c r="H73" s="1">
        <v>372.34500000000003</v>
      </c>
      <c r="I73" s="1">
        <v>140.5</v>
      </c>
    </row>
    <row r="74" spans="1:9">
      <c r="A74" s="9" t="s">
        <v>13</v>
      </c>
      <c r="B74" s="9" t="s">
        <v>13</v>
      </c>
      <c r="C74" t="s">
        <v>216</v>
      </c>
      <c r="D74" s="5" t="s">
        <v>218</v>
      </c>
      <c r="E74" s="1">
        <v>24750</v>
      </c>
    </row>
    <row r="75" spans="1:9">
      <c r="A75" s="9" t="s">
        <v>13</v>
      </c>
      <c r="B75" s="9" t="s">
        <v>13</v>
      </c>
      <c r="C75" t="s">
        <v>219</v>
      </c>
      <c r="D75" s="5" t="s">
        <v>221</v>
      </c>
      <c r="E75" s="1">
        <v>7570.5</v>
      </c>
    </row>
    <row r="76" spans="1:9">
      <c r="A76" s="9" t="s">
        <v>13</v>
      </c>
      <c r="B76" s="9" t="s">
        <v>13</v>
      </c>
      <c r="C76" t="s">
        <v>222</v>
      </c>
      <c r="D76" s="5" t="s">
        <v>224</v>
      </c>
      <c r="E76" s="1">
        <v>3196.71</v>
      </c>
      <c r="F76" s="1">
        <v>2182</v>
      </c>
    </row>
    <row r="77" spans="1:9">
      <c r="A77" s="9" t="s">
        <v>13</v>
      </c>
      <c r="B77" s="9" t="s">
        <v>13</v>
      </c>
      <c r="C77" t="s">
        <v>225</v>
      </c>
      <c r="D77" s="5" t="s">
        <v>227</v>
      </c>
      <c r="E77" s="1">
        <v>100658.64</v>
      </c>
      <c r="F77" s="1">
        <v>40066.1</v>
      </c>
      <c r="G77" s="1">
        <v>2040.17</v>
      </c>
      <c r="H77" s="1">
        <v>3348.2350000000001</v>
      </c>
      <c r="I77" s="1">
        <v>1395.84</v>
      </c>
    </row>
    <row r="78" spans="1:9">
      <c r="A78" s="9" t="s">
        <v>13</v>
      </c>
      <c r="B78" s="9" t="s">
        <v>13</v>
      </c>
      <c r="C78" t="s">
        <v>228</v>
      </c>
      <c r="D78" s="5" t="s">
        <v>230</v>
      </c>
      <c r="E78" s="1">
        <v>70126.490000000005</v>
      </c>
      <c r="F78" s="1">
        <v>23215.01</v>
      </c>
      <c r="G78" s="1">
        <v>940.57</v>
      </c>
      <c r="H78" s="1">
        <v>213.52</v>
      </c>
    </row>
    <row r="79" spans="1:9">
      <c r="A79" s="9" t="s">
        <v>13</v>
      </c>
      <c r="B79" s="9" t="s">
        <v>13</v>
      </c>
      <c r="C79" t="s">
        <v>231</v>
      </c>
      <c r="D79" s="5" t="s">
        <v>233</v>
      </c>
      <c r="E79" s="1">
        <v>158927.79</v>
      </c>
      <c r="F79" s="1">
        <v>38364.339999999997</v>
      </c>
      <c r="G79" s="1">
        <v>2557.3200000000002</v>
      </c>
      <c r="H79" s="1">
        <v>623.74</v>
      </c>
    </row>
    <row r="80" spans="1:9">
      <c r="A80" s="9" t="s">
        <v>13</v>
      </c>
      <c r="B80" s="9" t="s">
        <v>13</v>
      </c>
      <c r="C80" t="s">
        <v>234</v>
      </c>
      <c r="D80" s="5" t="s">
        <v>236</v>
      </c>
      <c r="E80" s="1">
        <v>39541.879999999997</v>
      </c>
      <c r="F80" s="1">
        <v>28833.96</v>
      </c>
      <c r="G80" s="1">
        <v>1814.04</v>
      </c>
      <c r="H80" s="1">
        <v>2147.125</v>
      </c>
    </row>
    <row r="81" spans="1:9">
      <c r="A81" s="9" t="s">
        <v>13</v>
      </c>
      <c r="B81" s="9" t="s">
        <v>13</v>
      </c>
      <c r="C81" t="s">
        <v>237</v>
      </c>
      <c r="D81" s="5" t="s">
        <v>239</v>
      </c>
      <c r="E81" s="1">
        <v>23682.3</v>
      </c>
      <c r="F81" s="1">
        <v>14583.8</v>
      </c>
      <c r="G81" s="1">
        <v>893.99</v>
      </c>
    </row>
    <row r="82" spans="1:9">
      <c r="A82" s="9" t="s">
        <v>13</v>
      </c>
      <c r="B82" s="9" t="s">
        <v>13</v>
      </c>
      <c r="C82" t="s">
        <v>240</v>
      </c>
      <c r="D82" s="5" t="s">
        <v>242</v>
      </c>
      <c r="E82" s="1">
        <v>34230.28</v>
      </c>
      <c r="F82" s="1">
        <v>7767.37</v>
      </c>
      <c r="G82" s="1">
        <v>105.67</v>
      </c>
      <c r="H82" s="1">
        <v>231.065</v>
      </c>
      <c r="I82" s="1">
        <v>75.5</v>
      </c>
    </row>
    <row r="83" spans="1:9">
      <c r="A83" s="9" t="s">
        <v>13</v>
      </c>
      <c r="B83" s="9" t="s">
        <v>13</v>
      </c>
      <c r="C83" t="s">
        <v>243</v>
      </c>
      <c r="D83" s="5" t="s">
        <v>245</v>
      </c>
      <c r="F83" s="1">
        <v>7243.07</v>
      </c>
      <c r="G83" s="1">
        <v>317.82</v>
      </c>
      <c r="H83" s="1">
        <v>497.96</v>
      </c>
    </row>
    <row r="84" spans="1:9">
      <c r="A84" s="9" t="s">
        <v>13</v>
      </c>
      <c r="B84" s="9" t="s">
        <v>13</v>
      </c>
      <c r="C84" t="s">
        <v>246</v>
      </c>
      <c r="D84" s="5" t="s">
        <v>248</v>
      </c>
      <c r="E84" s="1">
        <v>62574.3</v>
      </c>
      <c r="F84" s="1">
        <v>29455.55</v>
      </c>
      <c r="G84" s="1">
        <v>292.37</v>
      </c>
      <c r="H84" s="1">
        <v>2186.1999999999998</v>
      </c>
      <c r="I84" s="1">
        <v>678.27</v>
      </c>
    </row>
    <row r="85" spans="1:9">
      <c r="A85" s="9" t="s">
        <v>13</v>
      </c>
      <c r="B85" s="9" t="s">
        <v>13</v>
      </c>
      <c r="C85" t="s">
        <v>249</v>
      </c>
      <c r="D85" s="5" t="s">
        <v>251</v>
      </c>
      <c r="E85" s="1">
        <v>356198.36</v>
      </c>
      <c r="F85" s="1">
        <v>101350.43</v>
      </c>
      <c r="G85" s="1">
        <v>1125</v>
      </c>
      <c r="H85" s="1">
        <v>4677.99</v>
      </c>
    </row>
    <row r="86" spans="1:9">
      <c r="A86" s="9" t="s">
        <v>13</v>
      </c>
      <c r="B86" s="9" t="s">
        <v>13</v>
      </c>
      <c r="C86" t="s">
        <v>252</v>
      </c>
      <c r="D86" s="5" t="s">
        <v>254</v>
      </c>
      <c r="E86" s="1">
        <v>59133.97</v>
      </c>
      <c r="F86" s="1">
        <v>48048.69</v>
      </c>
      <c r="H86" s="1">
        <v>48.06</v>
      </c>
    </row>
    <row r="87" spans="1:9">
      <c r="A87" s="9" t="s">
        <v>13</v>
      </c>
      <c r="B87" s="9" t="s">
        <v>13</v>
      </c>
      <c r="C87" t="s">
        <v>255</v>
      </c>
      <c r="D87" s="5" t="s">
        <v>257</v>
      </c>
      <c r="E87" s="1">
        <v>129713.48</v>
      </c>
      <c r="F87" s="1">
        <v>126243.16</v>
      </c>
      <c r="H87" s="1">
        <v>760.78</v>
      </c>
    </row>
    <row r="88" spans="1:9">
      <c r="A88" s="9" t="s">
        <v>13</v>
      </c>
      <c r="B88" s="9" t="s">
        <v>13</v>
      </c>
      <c r="C88" t="s">
        <v>258</v>
      </c>
      <c r="D88" s="5" t="s">
        <v>260</v>
      </c>
      <c r="E88" s="1">
        <v>406878.01</v>
      </c>
      <c r="F88" s="1">
        <v>93168.63</v>
      </c>
      <c r="G88" s="1">
        <v>57.84</v>
      </c>
      <c r="H88" s="1">
        <v>493.57</v>
      </c>
      <c r="I88" s="1">
        <v>187.2</v>
      </c>
    </row>
    <row r="89" spans="1:9">
      <c r="A89" s="9" t="s">
        <v>13</v>
      </c>
      <c r="B89" s="9" t="s">
        <v>13</v>
      </c>
      <c r="C89" t="s">
        <v>261</v>
      </c>
      <c r="D89" s="5" t="s">
        <v>263</v>
      </c>
      <c r="E89" s="1">
        <v>85806.98</v>
      </c>
      <c r="F89" s="1">
        <v>26986.44</v>
      </c>
      <c r="G89" s="1">
        <v>9.5</v>
      </c>
      <c r="H89" s="1">
        <v>179.12</v>
      </c>
    </row>
    <row r="90" spans="1:9">
      <c r="A90" s="9" t="s">
        <v>13</v>
      </c>
      <c r="B90" s="9" t="s">
        <v>13</v>
      </c>
      <c r="C90" t="s">
        <v>264</v>
      </c>
      <c r="D90" s="5" t="s">
        <v>266</v>
      </c>
      <c r="E90" s="1">
        <v>56872.65</v>
      </c>
      <c r="F90" s="1">
        <v>35220.03</v>
      </c>
      <c r="H90" s="1">
        <v>33.86</v>
      </c>
    </row>
    <row r="91" spans="1:9">
      <c r="A91" s="9" t="s">
        <v>13</v>
      </c>
      <c r="B91" s="9" t="s">
        <v>13</v>
      </c>
      <c r="C91" t="s">
        <v>267</v>
      </c>
      <c r="D91" s="5" t="s">
        <v>269</v>
      </c>
      <c r="E91" s="1">
        <v>187768.71</v>
      </c>
      <c r="F91" s="1">
        <v>54412.66</v>
      </c>
      <c r="G91" s="1">
        <v>3582.25</v>
      </c>
      <c r="H91" s="1">
        <v>168.97</v>
      </c>
      <c r="I91" s="1">
        <v>255.32</v>
      </c>
    </row>
    <row r="92" spans="1:9">
      <c r="A92" s="9" t="s">
        <v>13</v>
      </c>
      <c r="B92" s="9" t="s">
        <v>13</v>
      </c>
      <c r="C92" t="s">
        <v>270</v>
      </c>
      <c r="D92" s="5" t="s">
        <v>272</v>
      </c>
      <c r="E92" s="1">
        <v>23079.919999999998</v>
      </c>
      <c r="F92" s="1">
        <v>9547.24</v>
      </c>
      <c r="G92" s="1">
        <v>47.4</v>
      </c>
      <c r="H92" s="1">
        <v>894.45</v>
      </c>
      <c r="I92" s="1">
        <v>527.65</v>
      </c>
    </row>
    <row r="93" spans="1:9">
      <c r="A93" s="9" t="s">
        <v>13</v>
      </c>
      <c r="B93" s="9" t="s">
        <v>13</v>
      </c>
      <c r="C93" t="s">
        <v>273</v>
      </c>
      <c r="D93" s="5" t="s">
        <v>275</v>
      </c>
      <c r="E93" s="1">
        <v>226998.93</v>
      </c>
      <c r="F93" s="1">
        <v>89252.78</v>
      </c>
      <c r="H93" s="1">
        <v>5840.64</v>
      </c>
    </row>
    <row r="94" spans="1:9">
      <c r="A94" s="9" t="s">
        <v>13</v>
      </c>
      <c r="B94" s="9" t="s">
        <v>13</v>
      </c>
      <c r="C94" t="s">
        <v>276</v>
      </c>
      <c r="D94" s="5" t="s">
        <v>278</v>
      </c>
      <c r="E94" s="1">
        <v>230836.82</v>
      </c>
      <c r="F94" s="1">
        <v>69910.2</v>
      </c>
      <c r="H94" s="1">
        <v>1663.28</v>
      </c>
    </row>
    <row r="95" spans="1:9">
      <c r="A95" s="9" t="s">
        <v>13</v>
      </c>
      <c r="B95" s="9" t="s">
        <v>13</v>
      </c>
      <c r="C95" t="s">
        <v>279</v>
      </c>
      <c r="D95" s="5" t="s">
        <v>281</v>
      </c>
      <c r="E95" s="1">
        <v>105679.31</v>
      </c>
      <c r="F95" s="1">
        <v>34345.57</v>
      </c>
      <c r="H95" s="1">
        <v>2320.4299999999998</v>
      </c>
    </row>
    <row r="96" spans="1:9">
      <c r="A96" s="9" t="s">
        <v>13</v>
      </c>
      <c r="B96" s="9" t="s">
        <v>13</v>
      </c>
      <c r="C96" t="s">
        <v>282</v>
      </c>
      <c r="D96" s="5" t="s">
        <v>284</v>
      </c>
      <c r="E96" s="1">
        <v>97445.83</v>
      </c>
      <c r="F96" s="1">
        <v>181537.87</v>
      </c>
      <c r="H96" s="1">
        <v>3993.0149999999999</v>
      </c>
    </row>
    <row r="97" spans="1:9">
      <c r="A97" s="9" t="s">
        <v>13</v>
      </c>
      <c r="B97" s="9" t="s">
        <v>13</v>
      </c>
      <c r="C97" t="s">
        <v>285</v>
      </c>
      <c r="D97" s="5" t="s">
        <v>287</v>
      </c>
      <c r="E97" s="1">
        <v>64774.5</v>
      </c>
      <c r="F97" s="1">
        <v>39882.35</v>
      </c>
      <c r="G97" s="1">
        <v>-2909.4</v>
      </c>
      <c r="H97" s="1">
        <v>951.04</v>
      </c>
      <c r="I97" s="1">
        <v>358.46</v>
      </c>
    </row>
    <row r="98" spans="1:9">
      <c r="A98" s="9" t="s">
        <v>13</v>
      </c>
      <c r="B98" s="9" t="s">
        <v>13</v>
      </c>
      <c r="C98" t="s">
        <v>288</v>
      </c>
      <c r="D98" s="5" t="s">
        <v>290</v>
      </c>
      <c r="F98" s="1">
        <v>14.27</v>
      </c>
    </row>
    <row r="99" spans="1:9">
      <c r="A99" s="9" t="s">
        <v>13</v>
      </c>
      <c r="B99" s="9" t="s">
        <v>13</v>
      </c>
      <c r="C99" t="s">
        <v>291</v>
      </c>
      <c r="D99" s="5" t="s">
        <v>293</v>
      </c>
      <c r="E99" s="1">
        <v>268090.06</v>
      </c>
      <c r="F99" s="1">
        <v>80315.649999999994</v>
      </c>
      <c r="G99" s="1">
        <v>1970.2</v>
      </c>
      <c r="H99" s="1">
        <v>158.64500000000001</v>
      </c>
      <c r="I99" s="1">
        <v>187.88</v>
      </c>
    </row>
    <row r="100" spans="1:9">
      <c r="A100" s="9" t="s">
        <v>13</v>
      </c>
      <c r="B100" s="9" t="s">
        <v>13</v>
      </c>
      <c r="C100" t="s">
        <v>294</v>
      </c>
      <c r="D100" s="5" t="s">
        <v>296</v>
      </c>
      <c r="E100" s="1">
        <v>26206.85</v>
      </c>
      <c r="F100" s="1">
        <v>20052.18</v>
      </c>
    </row>
    <row r="101" spans="1:9">
      <c r="A101" s="9" t="s">
        <v>13</v>
      </c>
      <c r="B101" s="9" t="s">
        <v>13</v>
      </c>
      <c r="C101" t="s">
        <v>297</v>
      </c>
      <c r="D101" s="5" t="s">
        <v>299</v>
      </c>
      <c r="E101" s="1">
        <v>26439.57</v>
      </c>
      <c r="F101" s="1">
        <v>66483.25</v>
      </c>
      <c r="G101" s="1">
        <v>2524.02</v>
      </c>
      <c r="H101" s="1">
        <v>3840.16</v>
      </c>
    </row>
    <row r="102" spans="1:9">
      <c r="A102" s="9" t="s">
        <v>13</v>
      </c>
      <c r="B102" s="9" t="s">
        <v>13</v>
      </c>
      <c r="C102" t="s">
        <v>300</v>
      </c>
      <c r="D102" s="5" t="s">
        <v>302</v>
      </c>
      <c r="E102" s="1">
        <v>865831.76</v>
      </c>
      <c r="F102" s="1">
        <v>541561.66</v>
      </c>
    </row>
    <row r="103" spans="1:9">
      <c r="A103" s="9" t="s">
        <v>13</v>
      </c>
      <c r="B103" s="9" t="s">
        <v>13</v>
      </c>
      <c r="C103" t="s">
        <v>303</v>
      </c>
      <c r="D103" s="5" t="s">
        <v>305</v>
      </c>
      <c r="E103" s="1">
        <v>35605.5</v>
      </c>
      <c r="F103" s="1">
        <v>46371.4</v>
      </c>
      <c r="H103" s="1">
        <v>2162.4</v>
      </c>
    </row>
    <row r="104" spans="1:9">
      <c r="A104" s="9" t="s">
        <v>13</v>
      </c>
      <c r="B104" s="9" t="s">
        <v>13</v>
      </c>
      <c r="C104" t="s">
        <v>306</v>
      </c>
      <c r="D104" s="5" t="s">
        <v>308</v>
      </c>
      <c r="E104" s="1">
        <v>51277.86</v>
      </c>
      <c r="F104" s="1">
        <v>17347.560000000001</v>
      </c>
      <c r="G104" s="1">
        <v>1648.34</v>
      </c>
    </row>
    <row r="105" spans="1:9">
      <c r="A105" s="9" t="s">
        <v>13</v>
      </c>
      <c r="B105" s="9" t="s">
        <v>13</v>
      </c>
      <c r="C105" t="s">
        <v>309</v>
      </c>
      <c r="D105" s="5" t="s">
        <v>311</v>
      </c>
      <c r="E105" s="1">
        <v>27042.19</v>
      </c>
      <c r="F105" s="1">
        <v>8728.58</v>
      </c>
      <c r="G105" s="1">
        <v>2005.92</v>
      </c>
      <c r="H105" s="1">
        <v>184.16</v>
      </c>
    </row>
    <row r="106" spans="1:9">
      <c r="A106" s="9" t="s">
        <v>13</v>
      </c>
      <c r="B106" s="9" t="s">
        <v>13</v>
      </c>
      <c r="C106" t="s">
        <v>312</v>
      </c>
      <c r="D106" s="5" t="s">
        <v>314</v>
      </c>
      <c r="E106" s="1">
        <v>8250</v>
      </c>
      <c r="F106" s="1">
        <v>19284.54</v>
      </c>
      <c r="H106" s="1">
        <v>51.625</v>
      </c>
    </row>
    <row r="107" spans="1:9">
      <c r="A107" s="9" t="s">
        <v>13</v>
      </c>
      <c r="B107" s="9" t="s">
        <v>13</v>
      </c>
      <c r="C107" t="s">
        <v>315</v>
      </c>
      <c r="D107" s="5" t="s">
        <v>317</v>
      </c>
      <c r="E107" s="1">
        <v>192451.21</v>
      </c>
      <c r="F107" s="1">
        <v>43411.91</v>
      </c>
    </row>
    <row r="108" spans="1:9">
      <c r="A108" s="9" t="s">
        <v>13</v>
      </c>
      <c r="B108" s="9" t="s">
        <v>13</v>
      </c>
      <c r="C108" t="s">
        <v>318</v>
      </c>
      <c r="D108" s="5" t="s">
        <v>320</v>
      </c>
      <c r="E108" s="1">
        <v>48735.98</v>
      </c>
      <c r="F108" s="1">
        <v>8048.07</v>
      </c>
    </row>
    <row r="109" spans="1:9">
      <c r="A109" s="9" t="s">
        <v>13</v>
      </c>
      <c r="B109" s="9" t="s">
        <v>13</v>
      </c>
      <c r="C109" t="s">
        <v>321</v>
      </c>
      <c r="D109" s="5" t="s">
        <v>323</v>
      </c>
      <c r="F109" s="1">
        <v>30422.19</v>
      </c>
    </row>
    <row r="110" spans="1:9">
      <c r="A110" s="9" t="s">
        <v>13</v>
      </c>
      <c r="B110" s="9" t="s">
        <v>13</v>
      </c>
      <c r="C110" t="s">
        <v>324</v>
      </c>
      <c r="D110" s="5" t="s">
        <v>326</v>
      </c>
      <c r="E110" s="1">
        <v>75163.16</v>
      </c>
      <c r="F110" s="1">
        <v>43106</v>
      </c>
    </row>
    <row r="111" spans="1:9">
      <c r="A111" s="9" t="s">
        <v>13</v>
      </c>
      <c r="B111" s="9" t="s">
        <v>13</v>
      </c>
      <c r="C111" t="s">
        <v>327</v>
      </c>
      <c r="D111" s="5" t="s">
        <v>329</v>
      </c>
      <c r="F111" s="1">
        <v>2540.5</v>
      </c>
    </row>
    <row r="112" spans="1:9">
      <c r="A112" s="9" t="s">
        <v>13</v>
      </c>
      <c r="B112" s="9" t="s">
        <v>13</v>
      </c>
      <c r="C112" t="s">
        <v>330</v>
      </c>
      <c r="D112" s="5" t="s">
        <v>332</v>
      </c>
      <c r="E112" s="1">
        <v>29923.4</v>
      </c>
      <c r="F112" s="1">
        <v>8346.93</v>
      </c>
    </row>
    <row r="113" spans="1:8">
      <c r="A113" s="9" t="s">
        <v>13</v>
      </c>
      <c r="B113" s="9" t="s">
        <v>13</v>
      </c>
      <c r="C113" t="s">
        <v>333</v>
      </c>
      <c r="D113" s="5" t="s">
        <v>335</v>
      </c>
      <c r="E113" s="1">
        <v>175979.04</v>
      </c>
      <c r="F113" s="1">
        <v>37374.35</v>
      </c>
      <c r="G113" s="1">
        <v>8274.2099999999991</v>
      </c>
      <c r="H113" s="1">
        <v>9094.42</v>
      </c>
    </row>
    <row r="114" spans="1:8">
      <c r="A114" s="9" t="s">
        <v>13</v>
      </c>
      <c r="B114" s="9" t="s">
        <v>13</v>
      </c>
      <c r="C114" t="s">
        <v>336</v>
      </c>
      <c r="D114" s="5" t="s">
        <v>336</v>
      </c>
      <c r="F114" s="1">
        <v>1759</v>
      </c>
    </row>
    <row r="115" spans="1:8">
      <c r="A115" s="9" t="s">
        <v>13</v>
      </c>
      <c r="B115" s="9" t="s">
        <v>13</v>
      </c>
      <c r="C115" t="s">
        <v>338</v>
      </c>
      <c r="D115" s="5" t="s">
        <v>340</v>
      </c>
      <c r="E115" s="1">
        <v>72144.25</v>
      </c>
      <c r="F115" s="1">
        <v>44045.75</v>
      </c>
    </row>
    <row r="116" spans="1:8">
      <c r="A116" s="9" t="s">
        <v>13</v>
      </c>
      <c r="B116" s="9" t="s">
        <v>13</v>
      </c>
      <c r="C116" t="s">
        <v>341</v>
      </c>
      <c r="D116" s="5" t="s">
        <v>343</v>
      </c>
      <c r="F116" s="1">
        <v>1664.65</v>
      </c>
    </row>
    <row r="117" spans="1:8">
      <c r="A117" s="9" t="s">
        <v>13</v>
      </c>
      <c r="B117" s="9" t="s">
        <v>13</v>
      </c>
      <c r="C117" t="s">
        <v>344</v>
      </c>
      <c r="D117" s="5" t="s">
        <v>346</v>
      </c>
      <c r="E117" s="1">
        <v>22166.62</v>
      </c>
      <c r="F117" s="1">
        <v>2794.74</v>
      </c>
      <c r="H117" s="1">
        <v>928.4</v>
      </c>
    </row>
    <row r="118" spans="1:8">
      <c r="A118" s="9" t="s">
        <v>13</v>
      </c>
      <c r="B118" s="9" t="s">
        <v>13</v>
      </c>
      <c r="C118" t="s">
        <v>347</v>
      </c>
      <c r="D118" s="5" t="s">
        <v>349</v>
      </c>
      <c r="F118" s="1">
        <v>3150</v>
      </c>
    </row>
    <row r="119" spans="1:8">
      <c r="A119" s="9" t="s">
        <v>13</v>
      </c>
      <c r="B119" s="9" t="s">
        <v>13</v>
      </c>
      <c r="C119" t="s">
        <v>350</v>
      </c>
      <c r="D119" s="5" t="s">
        <v>352</v>
      </c>
      <c r="E119" s="1">
        <v>310651.17</v>
      </c>
      <c r="F119" s="1">
        <v>125220.21</v>
      </c>
      <c r="G119" s="1">
        <v>1172.8800000000001</v>
      </c>
      <c r="H119" s="1">
        <v>5533.335</v>
      </c>
    </row>
    <row r="120" spans="1:8">
      <c r="A120" s="9" t="s">
        <v>13</v>
      </c>
      <c r="B120" s="9" t="s">
        <v>13</v>
      </c>
      <c r="C120" t="s">
        <v>353</v>
      </c>
      <c r="D120" s="5" t="s">
        <v>353</v>
      </c>
      <c r="F120" s="1">
        <v>-128.78</v>
      </c>
    </row>
    <row r="121" spans="1:8">
      <c r="A121" s="9" t="s">
        <v>13</v>
      </c>
      <c r="B121" s="9" t="s">
        <v>13</v>
      </c>
      <c r="C121" t="s">
        <v>355</v>
      </c>
      <c r="D121" s="5" t="s">
        <v>357</v>
      </c>
      <c r="E121" s="1">
        <v>473424.82</v>
      </c>
      <c r="F121" s="1">
        <v>626973.91</v>
      </c>
    </row>
    <row r="122" spans="1:8">
      <c r="A122" s="9" t="s">
        <v>13</v>
      </c>
      <c r="B122" s="9" t="s">
        <v>13</v>
      </c>
      <c r="C122" t="s">
        <v>358</v>
      </c>
      <c r="D122" s="5" t="s">
        <v>360</v>
      </c>
      <c r="E122" s="1">
        <v>400994.42</v>
      </c>
      <c r="F122" s="1">
        <v>111362.32</v>
      </c>
      <c r="H122" s="1">
        <v>3146.3850000000002</v>
      </c>
    </row>
    <row r="123" spans="1:8">
      <c r="A123" s="9" t="s">
        <v>13</v>
      </c>
      <c r="B123" s="9" t="s">
        <v>13</v>
      </c>
      <c r="C123" t="s">
        <v>361</v>
      </c>
      <c r="D123" s="5" t="s">
        <v>363</v>
      </c>
      <c r="E123" s="1">
        <v>16244.38</v>
      </c>
      <c r="F123" s="1">
        <v>9986.0300000000007</v>
      </c>
    </row>
    <row r="124" spans="1:8">
      <c r="A124" s="9" t="s">
        <v>13</v>
      </c>
      <c r="B124" s="9" t="s">
        <v>13</v>
      </c>
      <c r="C124" t="s">
        <v>364</v>
      </c>
      <c r="D124" s="5" t="s">
        <v>366</v>
      </c>
      <c r="E124" s="1">
        <v>5931.54</v>
      </c>
      <c r="F124" s="1">
        <v>6108.51</v>
      </c>
    </row>
    <row r="125" spans="1:8">
      <c r="A125" s="9" t="s">
        <v>13</v>
      </c>
      <c r="B125" s="9" t="s">
        <v>13</v>
      </c>
      <c r="C125" t="s">
        <v>367</v>
      </c>
      <c r="D125" s="5" t="s">
        <v>369</v>
      </c>
      <c r="F125" s="1">
        <v>62.67</v>
      </c>
      <c r="G125" s="1">
        <v>2350.87</v>
      </c>
      <c r="H125" s="1">
        <v>3622.4</v>
      </c>
    </row>
    <row r="126" spans="1:8">
      <c r="A126" s="9" t="s">
        <v>13</v>
      </c>
      <c r="B126" s="9" t="s">
        <v>13</v>
      </c>
      <c r="C126" t="s">
        <v>370</v>
      </c>
      <c r="D126" s="5" t="s">
        <v>372</v>
      </c>
      <c r="E126" s="1">
        <v>202991.46</v>
      </c>
      <c r="F126" s="1">
        <v>57938.43</v>
      </c>
      <c r="G126" s="1">
        <v>829.84</v>
      </c>
      <c r="H126" s="1">
        <v>179.12</v>
      </c>
    </row>
    <row r="127" spans="1:8">
      <c r="A127" s="9" t="s">
        <v>13</v>
      </c>
      <c r="B127" s="9" t="s">
        <v>13</v>
      </c>
      <c r="C127" t="s">
        <v>373</v>
      </c>
      <c r="D127" s="5" t="s">
        <v>375</v>
      </c>
      <c r="E127" s="1">
        <v>55989.64</v>
      </c>
      <c r="F127" s="1">
        <v>6852.48</v>
      </c>
      <c r="H127" s="1">
        <v>2550.64</v>
      </c>
    </row>
    <row r="128" spans="1:8">
      <c r="A128" s="9" t="s">
        <v>13</v>
      </c>
      <c r="B128" s="9" t="s">
        <v>13</v>
      </c>
      <c r="C128" t="s">
        <v>376</v>
      </c>
      <c r="D128" s="5" t="s">
        <v>378</v>
      </c>
      <c r="E128" s="1">
        <v>84231.46</v>
      </c>
      <c r="F128" s="1">
        <v>24402.92</v>
      </c>
      <c r="G128" s="1">
        <v>4544.7700000000004</v>
      </c>
    </row>
    <row r="129" spans="1:9">
      <c r="A129" s="9" t="s">
        <v>13</v>
      </c>
      <c r="B129" s="9" t="s">
        <v>13</v>
      </c>
      <c r="C129" t="s">
        <v>379</v>
      </c>
      <c r="D129" s="5" t="s">
        <v>381</v>
      </c>
      <c r="E129" s="1">
        <v>35438.239999999998</v>
      </c>
      <c r="F129" s="1">
        <v>6690</v>
      </c>
      <c r="G129" s="1">
        <v>108</v>
      </c>
      <c r="H129" s="1">
        <v>485.11500000000001</v>
      </c>
      <c r="I129" s="1">
        <v>161.15</v>
      </c>
    </row>
    <row r="130" spans="1:9">
      <c r="A130" s="9" t="s">
        <v>13</v>
      </c>
      <c r="B130" s="9" t="s">
        <v>13</v>
      </c>
      <c r="C130" t="s">
        <v>382</v>
      </c>
      <c r="D130" s="5" t="s">
        <v>384</v>
      </c>
      <c r="E130" s="1">
        <v>50741.27</v>
      </c>
      <c r="F130" s="1">
        <v>10436.629999999999</v>
      </c>
      <c r="H130" s="1">
        <v>1450.48</v>
      </c>
    </row>
    <row r="131" spans="1:9">
      <c r="A131" s="9" t="s">
        <v>13</v>
      </c>
      <c r="B131" s="9" t="s">
        <v>13</v>
      </c>
      <c r="C131" t="s">
        <v>385</v>
      </c>
      <c r="D131" s="5" t="s">
        <v>387</v>
      </c>
      <c r="E131" s="1">
        <v>11992.47</v>
      </c>
      <c r="F131" s="1">
        <v>2133.06</v>
      </c>
      <c r="G131" s="1">
        <v>181.51</v>
      </c>
    </row>
    <row r="132" spans="1:9">
      <c r="A132" s="9" t="s">
        <v>13</v>
      </c>
      <c r="B132" s="9" t="s">
        <v>13</v>
      </c>
      <c r="C132" t="s">
        <v>388</v>
      </c>
      <c r="D132" s="5" t="s">
        <v>390</v>
      </c>
      <c r="E132" s="1">
        <v>171902.4</v>
      </c>
      <c r="F132" s="1">
        <v>44907.92</v>
      </c>
      <c r="G132" s="1">
        <v>4111.08</v>
      </c>
    </row>
    <row r="133" spans="1:9">
      <c r="A133" s="9" t="s">
        <v>13</v>
      </c>
      <c r="B133" s="9" t="s">
        <v>13</v>
      </c>
      <c r="C133" t="s">
        <v>391</v>
      </c>
      <c r="D133" s="5" t="s">
        <v>393</v>
      </c>
      <c r="E133" s="1">
        <v>29644.79</v>
      </c>
      <c r="F133" s="1">
        <v>13339.37</v>
      </c>
      <c r="G133" s="1">
        <v>161.19999999999999</v>
      </c>
      <c r="H133" s="1">
        <v>640.55999999999995</v>
      </c>
    </row>
    <row r="134" spans="1:9">
      <c r="A134" s="9" t="s">
        <v>13</v>
      </c>
      <c r="B134" s="9" t="s">
        <v>13</v>
      </c>
      <c r="C134" t="s">
        <v>394</v>
      </c>
      <c r="D134" s="5" t="s">
        <v>396</v>
      </c>
      <c r="E134" s="1">
        <v>30516.26</v>
      </c>
      <c r="F134" s="1">
        <v>7430.34</v>
      </c>
      <c r="G134" s="1">
        <v>1159.48</v>
      </c>
      <c r="H134" s="1">
        <v>33.86</v>
      </c>
    </row>
    <row r="135" spans="1:9">
      <c r="A135" s="9" t="s">
        <v>13</v>
      </c>
      <c r="B135" s="9" t="s">
        <v>13</v>
      </c>
      <c r="C135" t="s">
        <v>397</v>
      </c>
      <c r="D135" s="5" t="s">
        <v>399</v>
      </c>
      <c r="E135" s="1">
        <v>79007.06</v>
      </c>
      <c r="F135" s="1">
        <v>28532.97</v>
      </c>
      <c r="G135" s="1">
        <v>10943.06</v>
      </c>
    </row>
    <row r="136" spans="1:9">
      <c r="A136" s="9" t="s">
        <v>13</v>
      </c>
      <c r="B136" s="9" t="s">
        <v>13</v>
      </c>
      <c r="C136" t="s">
        <v>400</v>
      </c>
      <c r="D136" s="5" t="s">
        <v>402</v>
      </c>
      <c r="E136" s="1">
        <v>34966.5</v>
      </c>
      <c r="F136" s="1">
        <v>24764.82</v>
      </c>
      <c r="G136" s="1">
        <v>255</v>
      </c>
      <c r="H136" s="1">
        <v>212.26</v>
      </c>
    </row>
    <row r="137" spans="1:9">
      <c r="A137" s="9" t="s">
        <v>13</v>
      </c>
      <c r="B137" s="9" t="s">
        <v>13</v>
      </c>
      <c r="C137" t="s">
        <v>403</v>
      </c>
      <c r="D137" s="5" t="s">
        <v>405</v>
      </c>
      <c r="E137" s="1">
        <v>265114.99</v>
      </c>
      <c r="F137" s="1">
        <v>77035.39</v>
      </c>
      <c r="G137" s="1">
        <v>2702.49</v>
      </c>
      <c r="H137" s="1">
        <v>179.12</v>
      </c>
    </row>
    <row r="138" spans="1:9">
      <c r="A138" s="9" t="s">
        <v>13</v>
      </c>
      <c r="B138" s="9" t="s">
        <v>13</v>
      </c>
      <c r="C138" t="s">
        <v>406</v>
      </c>
      <c r="D138" s="5" t="s">
        <v>408</v>
      </c>
      <c r="G138" s="1">
        <v>3225.72</v>
      </c>
    </row>
    <row r="139" spans="1:9">
      <c r="A139" s="9" t="s">
        <v>13</v>
      </c>
      <c r="B139" s="9" t="s">
        <v>13</v>
      </c>
      <c r="C139" t="s">
        <v>409</v>
      </c>
      <c r="D139" s="5" t="s">
        <v>411</v>
      </c>
      <c r="E139" s="1">
        <v>139971.72</v>
      </c>
      <c r="F139" s="1">
        <v>18809.25</v>
      </c>
      <c r="G139" s="1">
        <v>422.76</v>
      </c>
      <c r="H139" s="1">
        <v>144.18</v>
      </c>
    </row>
    <row r="140" spans="1:9">
      <c r="A140" s="9" t="s">
        <v>13</v>
      </c>
      <c r="B140" s="9" t="s">
        <v>13</v>
      </c>
      <c r="C140" t="s">
        <v>412</v>
      </c>
      <c r="D140" s="5" t="s">
        <v>414</v>
      </c>
      <c r="E140" s="1">
        <v>70471.8</v>
      </c>
      <c r="F140" s="1">
        <v>33289.82</v>
      </c>
      <c r="G140" s="1">
        <v>78.349999999999994</v>
      </c>
    </row>
    <row r="141" spans="1:9">
      <c r="A141" s="9" t="s">
        <v>13</v>
      </c>
      <c r="B141" s="9" t="s">
        <v>13</v>
      </c>
      <c r="C141" t="s">
        <v>415</v>
      </c>
      <c r="D141" s="5" t="s">
        <v>417</v>
      </c>
      <c r="E141" s="1">
        <v>9070.35</v>
      </c>
      <c r="F141" s="1">
        <v>14281.06</v>
      </c>
      <c r="H141" s="1">
        <v>107.04</v>
      </c>
    </row>
    <row r="142" spans="1:9">
      <c r="A142" s="9" t="s">
        <v>13</v>
      </c>
      <c r="B142" s="9" t="s">
        <v>13</v>
      </c>
      <c r="C142" t="s">
        <v>418</v>
      </c>
      <c r="D142" s="5" t="s">
        <v>420</v>
      </c>
      <c r="E142" s="1">
        <v>132453.71</v>
      </c>
      <c r="F142" s="1">
        <v>45830.57</v>
      </c>
      <c r="G142" s="1">
        <v>194.95</v>
      </c>
      <c r="H142" s="1">
        <v>1247.6600000000001</v>
      </c>
    </row>
    <row r="143" spans="1:9">
      <c r="A143" s="9" t="s">
        <v>13</v>
      </c>
      <c r="B143" s="9" t="s">
        <v>13</v>
      </c>
      <c r="C143" t="s">
        <v>421</v>
      </c>
      <c r="D143" s="5" t="s">
        <v>423</v>
      </c>
      <c r="E143" s="1">
        <v>135000</v>
      </c>
      <c r="H143" s="1">
        <v>60.08</v>
      </c>
    </row>
    <row r="144" spans="1:9">
      <c r="A144" s="9" t="s">
        <v>13</v>
      </c>
      <c r="B144" s="9" t="s">
        <v>13</v>
      </c>
      <c r="C144" t="s">
        <v>424</v>
      </c>
      <c r="D144" s="5" t="s">
        <v>426</v>
      </c>
      <c r="H144" s="1">
        <v>200.88</v>
      </c>
    </row>
    <row r="145" spans="1:8">
      <c r="A145" s="9" t="s">
        <v>13</v>
      </c>
      <c r="B145" s="9" t="s">
        <v>13</v>
      </c>
      <c r="C145" t="s">
        <v>427</v>
      </c>
      <c r="D145" s="5" t="s">
        <v>429</v>
      </c>
      <c r="E145" s="1">
        <v>175576.16</v>
      </c>
      <c r="F145" s="1">
        <v>44770.239999999998</v>
      </c>
      <c r="G145" s="1">
        <v>1620</v>
      </c>
      <c r="H145" s="1">
        <v>2786.74</v>
      </c>
    </row>
    <row r="146" spans="1:8">
      <c r="A146" s="9" t="s">
        <v>13</v>
      </c>
      <c r="B146" s="9" t="s">
        <v>13</v>
      </c>
      <c r="C146" t="s">
        <v>430</v>
      </c>
      <c r="D146" s="5" t="s">
        <v>432</v>
      </c>
      <c r="E146" s="1">
        <v>225114.99</v>
      </c>
      <c r="F146" s="1">
        <v>48089.71</v>
      </c>
      <c r="H146" s="1">
        <v>575.02499999999998</v>
      </c>
    </row>
    <row r="147" spans="1:8">
      <c r="A147" s="9" t="s">
        <v>13</v>
      </c>
      <c r="B147" s="9" t="s">
        <v>13</v>
      </c>
      <c r="C147" t="s">
        <v>433</v>
      </c>
      <c r="D147" s="5" t="s">
        <v>435</v>
      </c>
      <c r="E147" s="1">
        <v>123242.97</v>
      </c>
      <c r="F147" s="1">
        <v>33212</v>
      </c>
      <c r="H147" s="1">
        <v>605.54999999999995</v>
      </c>
    </row>
    <row r="148" spans="1:8">
      <c r="A148" s="9" t="s">
        <v>13</v>
      </c>
      <c r="B148" s="9" t="s">
        <v>13</v>
      </c>
      <c r="C148" t="s">
        <v>436</v>
      </c>
      <c r="D148" s="5" t="s">
        <v>438</v>
      </c>
      <c r="E148" s="1">
        <v>122644.81</v>
      </c>
      <c r="F148" s="1">
        <v>29747.9</v>
      </c>
      <c r="H148" s="1">
        <v>883.45</v>
      </c>
    </row>
    <row r="149" spans="1:8">
      <c r="A149" s="9" t="s">
        <v>13</v>
      </c>
      <c r="B149" s="9" t="s">
        <v>13</v>
      </c>
      <c r="C149" t="s">
        <v>439</v>
      </c>
      <c r="D149" s="5" t="s">
        <v>441</v>
      </c>
      <c r="E149" s="1">
        <v>40436.339999999997</v>
      </c>
      <c r="F149" s="1">
        <v>17388.599999999999</v>
      </c>
      <c r="H149" s="1">
        <v>120.4</v>
      </c>
    </row>
    <row r="150" spans="1:8">
      <c r="A150" s="9" t="s">
        <v>13</v>
      </c>
      <c r="B150" s="9" t="s">
        <v>13</v>
      </c>
      <c r="C150" t="s">
        <v>442</v>
      </c>
      <c r="D150" s="5" t="s">
        <v>444</v>
      </c>
      <c r="E150" s="1">
        <v>247597.52</v>
      </c>
      <c r="F150" s="1">
        <v>174678.93</v>
      </c>
      <c r="G150" s="1">
        <v>3.64</v>
      </c>
      <c r="H150" s="1">
        <v>11476.69</v>
      </c>
    </row>
    <row r="151" spans="1:8">
      <c r="A151" s="9" t="s">
        <v>13</v>
      </c>
      <c r="B151" s="9" t="s">
        <v>13</v>
      </c>
      <c r="C151" t="s">
        <v>445</v>
      </c>
      <c r="D151" s="5" t="s">
        <v>447</v>
      </c>
      <c r="E151" s="1">
        <v>45970.3</v>
      </c>
      <c r="F151" s="1">
        <v>19005.990000000002</v>
      </c>
      <c r="G151" s="1">
        <v>99.77</v>
      </c>
      <c r="H151" s="1">
        <v>535.97</v>
      </c>
    </row>
    <row r="152" spans="1:8">
      <c r="A152" s="9" t="s">
        <v>13</v>
      </c>
      <c r="B152" s="9" t="s">
        <v>13</v>
      </c>
      <c r="C152" t="s">
        <v>448</v>
      </c>
      <c r="D152" s="5" t="s">
        <v>450</v>
      </c>
      <c r="E152" s="1">
        <v>2497.5</v>
      </c>
      <c r="F152" s="1">
        <v>84469.8</v>
      </c>
      <c r="H152" s="1">
        <v>749.12</v>
      </c>
    </row>
    <row r="153" spans="1:8">
      <c r="A153" s="9" t="s">
        <v>13</v>
      </c>
      <c r="B153" s="9" t="s">
        <v>13</v>
      </c>
      <c r="C153" t="s">
        <v>451</v>
      </c>
      <c r="D153" s="5" t="s">
        <v>453</v>
      </c>
      <c r="E153" s="1">
        <v>39388.78</v>
      </c>
      <c r="F153" s="1">
        <v>28074.54</v>
      </c>
      <c r="G153" s="1">
        <v>1314.51</v>
      </c>
    </row>
    <row r="154" spans="1:8">
      <c r="A154" s="9" t="s">
        <v>13</v>
      </c>
      <c r="B154" s="9" t="s">
        <v>13</v>
      </c>
      <c r="C154" t="s">
        <v>454</v>
      </c>
      <c r="D154" s="5" t="s">
        <v>456</v>
      </c>
      <c r="E154" s="1">
        <v>948553.48</v>
      </c>
      <c r="F154" s="1">
        <v>338709.91</v>
      </c>
    </row>
    <row r="155" spans="1:8">
      <c r="A155" s="9" t="s">
        <v>13</v>
      </c>
      <c r="B155" s="9" t="s">
        <v>13</v>
      </c>
      <c r="C155" t="s">
        <v>457</v>
      </c>
      <c r="D155" s="5" t="s">
        <v>457</v>
      </c>
      <c r="F155" s="1">
        <v>1499.66</v>
      </c>
    </row>
    <row r="156" spans="1:8">
      <c r="A156" s="9" t="s">
        <v>13</v>
      </c>
      <c r="B156" s="9" t="s">
        <v>13</v>
      </c>
      <c r="C156" t="s">
        <v>459</v>
      </c>
      <c r="D156" s="5" t="s">
        <v>461</v>
      </c>
      <c r="E156" s="1">
        <v>102872.94</v>
      </c>
      <c r="F156" s="1">
        <v>111024.5</v>
      </c>
      <c r="H156" s="1">
        <v>537.36</v>
      </c>
    </row>
    <row r="157" spans="1:8">
      <c r="A157" s="9" t="s">
        <v>13</v>
      </c>
      <c r="B157" s="9" t="s">
        <v>13</v>
      </c>
      <c r="C157" t="s">
        <v>462</v>
      </c>
      <c r="D157" s="5" t="s">
        <v>464</v>
      </c>
      <c r="E157" s="1">
        <v>40730.550000000003</v>
      </c>
      <c r="F157" s="1">
        <v>4466.45</v>
      </c>
      <c r="G157" s="1">
        <v>1219.05</v>
      </c>
    </row>
    <row r="158" spans="1:8">
      <c r="A158" s="9" t="s">
        <v>13</v>
      </c>
      <c r="B158" s="9" t="s">
        <v>13</v>
      </c>
      <c r="C158" t="s">
        <v>465</v>
      </c>
      <c r="D158" s="5" t="s">
        <v>467</v>
      </c>
      <c r="E158" s="1">
        <v>3325</v>
      </c>
      <c r="F158" s="1">
        <v>872.65</v>
      </c>
    </row>
    <row r="159" spans="1:8">
      <c r="A159" s="9" t="s">
        <v>13</v>
      </c>
      <c r="B159" s="9" t="s">
        <v>13</v>
      </c>
      <c r="C159" t="s">
        <v>468</v>
      </c>
      <c r="D159" s="5" t="s">
        <v>470</v>
      </c>
      <c r="E159" s="1">
        <v>110118.58</v>
      </c>
      <c r="F159" s="1">
        <v>46159.61</v>
      </c>
      <c r="G159" s="1">
        <v>5752.83</v>
      </c>
      <c r="H159" s="1">
        <v>1765.7</v>
      </c>
    </row>
    <row r="160" spans="1:8">
      <c r="A160" s="9" t="s">
        <v>13</v>
      </c>
      <c r="B160" s="9" t="s">
        <v>13</v>
      </c>
      <c r="C160" t="s">
        <v>471</v>
      </c>
      <c r="D160" s="5" t="s">
        <v>473</v>
      </c>
      <c r="F160" s="1">
        <v>3338.62</v>
      </c>
    </row>
    <row r="161" spans="1:9">
      <c r="A161" s="9" t="s">
        <v>13</v>
      </c>
      <c r="B161" s="9" t="s">
        <v>13</v>
      </c>
      <c r="C161" t="s">
        <v>474</v>
      </c>
      <c r="D161" s="5" t="s">
        <v>476</v>
      </c>
      <c r="E161" s="1">
        <v>94774.13</v>
      </c>
      <c r="F161" s="1">
        <v>31506.36</v>
      </c>
      <c r="H161" s="1">
        <v>1302.9100000000001</v>
      </c>
    </row>
    <row r="162" spans="1:9">
      <c r="A162" s="9" t="s">
        <v>13</v>
      </c>
      <c r="B162" s="9" t="s">
        <v>13</v>
      </c>
      <c r="C162" t="s">
        <v>477</v>
      </c>
      <c r="D162" s="5" t="s">
        <v>479</v>
      </c>
      <c r="E162" s="1">
        <v>56994.96</v>
      </c>
      <c r="F162" s="1">
        <v>27081.75</v>
      </c>
    </row>
    <row r="163" spans="1:9">
      <c r="A163" s="9" t="s">
        <v>13</v>
      </c>
      <c r="B163" s="9" t="s">
        <v>13</v>
      </c>
      <c r="C163" t="s">
        <v>480</v>
      </c>
      <c r="D163" s="5" t="s">
        <v>482</v>
      </c>
      <c r="E163" s="1">
        <v>62000</v>
      </c>
      <c r="F163" s="1">
        <v>35337.17</v>
      </c>
      <c r="G163" s="1">
        <v>4117.3599999999997</v>
      </c>
      <c r="H163" s="1">
        <v>13276.65</v>
      </c>
    </row>
    <row r="164" spans="1:9">
      <c r="A164" s="9" t="s">
        <v>13</v>
      </c>
      <c r="B164" s="9" t="s">
        <v>13</v>
      </c>
      <c r="C164" t="s">
        <v>483</v>
      </c>
      <c r="D164" s="5" t="s">
        <v>485</v>
      </c>
      <c r="E164" s="1">
        <v>35543.69</v>
      </c>
      <c r="F164" s="1">
        <v>6050.01</v>
      </c>
      <c r="H164" s="1">
        <v>582.88</v>
      </c>
    </row>
    <row r="165" spans="1:9">
      <c r="A165" s="9" t="s">
        <v>13</v>
      </c>
      <c r="B165" s="9" t="s">
        <v>13</v>
      </c>
      <c r="C165" t="s">
        <v>486</v>
      </c>
      <c r="D165" s="5" t="s">
        <v>488</v>
      </c>
      <c r="F165" s="1">
        <v>1328</v>
      </c>
    </row>
    <row r="166" spans="1:9">
      <c r="A166" s="9" t="s">
        <v>13</v>
      </c>
      <c r="B166" s="9" t="s">
        <v>13</v>
      </c>
      <c r="C166" t="s">
        <v>489</v>
      </c>
      <c r="D166" s="5" t="s">
        <v>491</v>
      </c>
      <c r="E166" s="1">
        <v>559215.35</v>
      </c>
      <c r="F166" s="1">
        <v>199215.61</v>
      </c>
      <c r="H166" s="1">
        <v>4405.5649999999996</v>
      </c>
    </row>
    <row r="167" spans="1:9">
      <c r="A167" s="9" t="s">
        <v>13</v>
      </c>
      <c r="B167" s="9" t="s">
        <v>13</v>
      </c>
      <c r="C167" t="s">
        <v>492</v>
      </c>
      <c r="D167" s="5" t="s">
        <v>494</v>
      </c>
      <c r="E167" s="1">
        <v>835092.83</v>
      </c>
      <c r="F167" s="1">
        <v>131267.28</v>
      </c>
      <c r="H167" s="1">
        <v>12089.075000000001</v>
      </c>
    </row>
    <row r="168" spans="1:9">
      <c r="A168" s="9" t="s">
        <v>13</v>
      </c>
      <c r="B168" s="9" t="s">
        <v>13</v>
      </c>
      <c r="C168" t="s">
        <v>495</v>
      </c>
      <c r="D168" s="5" t="s">
        <v>497</v>
      </c>
      <c r="E168" s="1">
        <v>76568.759999999995</v>
      </c>
      <c r="F168" s="1">
        <v>18615.060000000001</v>
      </c>
      <c r="H168" s="1">
        <v>1603.7</v>
      </c>
    </row>
    <row r="169" spans="1:9">
      <c r="A169" s="9" t="s">
        <v>13</v>
      </c>
      <c r="B169" s="9" t="s">
        <v>13</v>
      </c>
      <c r="C169" t="s">
        <v>498</v>
      </c>
      <c r="D169" s="5" t="s">
        <v>500</v>
      </c>
      <c r="E169" s="1">
        <v>14614.44</v>
      </c>
      <c r="F169" s="1">
        <v>6387.25</v>
      </c>
      <c r="H169" s="1">
        <v>126.65</v>
      </c>
    </row>
    <row r="170" spans="1:9">
      <c r="A170" s="9" t="s">
        <v>13</v>
      </c>
      <c r="B170" s="9" t="s">
        <v>13</v>
      </c>
      <c r="C170" t="s">
        <v>501</v>
      </c>
      <c r="D170" s="5" t="s">
        <v>503</v>
      </c>
      <c r="E170" s="1">
        <v>14522.87</v>
      </c>
      <c r="F170" s="1">
        <v>10066.51</v>
      </c>
    </row>
    <row r="171" spans="1:9">
      <c r="A171" s="9" t="s">
        <v>13</v>
      </c>
      <c r="B171" s="9" t="s">
        <v>13</v>
      </c>
      <c r="C171" t="s">
        <v>504</v>
      </c>
      <c r="D171" s="5" t="s">
        <v>506</v>
      </c>
      <c r="E171" s="1">
        <v>19143.419999999998</v>
      </c>
      <c r="F171" s="1">
        <v>4983.75</v>
      </c>
      <c r="H171" s="1">
        <v>537.36</v>
      </c>
    </row>
    <row r="172" spans="1:9">
      <c r="A172" s="9" t="s">
        <v>13</v>
      </c>
      <c r="B172" s="9" t="s">
        <v>13</v>
      </c>
      <c r="C172" t="s">
        <v>507</v>
      </c>
      <c r="D172" s="5" t="s">
        <v>509</v>
      </c>
      <c r="E172" s="1">
        <v>27484.27</v>
      </c>
      <c r="F172" s="1">
        <v>3769.5</v>
      </c>
      <c r="H172" s="1">
        <v>1093.68</v>
      </c>
    </row>
    <row r="173" spans="1:9">
      <c r="A173" s="9" t="s">
        <v>13</v>
      </c>
      <c r="B173" s="9" t="s">
        <v>13</v>
      </c>
      <c r="C173" t="s">
        <v>510</v>
      </c>
      <c r="D173" s="5" t="s">
        <v>512</v>
      </c>
      <c r="E173" s="1">
        <v>171683.96</v>
      </c>
      <c r="F173" s="1">
        <v>53136.85</v>
      </c>
    </row>
    <row r="174" spans="1:9">
      <c r="A174" s="9" t="s">
        <v>13</v>
      </c>
      <c r="B174" s="9" t="s">
        <v>13</v>
      </c>
      <c r="C174" t="s">
        <v>513</v>
      </c>
      <c r="D174" s="5" t="s">
        <v>515</v>
      </c>
      <c r="E174" s="1">
        <v>208932.43</v>
      </c>
      <c r="F174" s="1">
        <v>78654.66</v>
      </c>
      <c r="G174" s="1">
        <v>26.73</v>
      </c>
      <c r="H174" s="1">
        <v>1700.655</v>
      </c>
      <c r="I174" s="1">
        <v>351.23</v>
      </c>
    </row>
    <row r="175" spans="1:9">
      <c r="A175" s="9" t="s">
        <v>13</v>
      </c>
      <c r="B175" s="9" t="s">
        <v>13</v>
      </c>
      <c r="C175" t="s">
        <v>516</v>
      </c>
      <c r="D175" s="5" t="s">
        <v>518</v>
      </c>
      <c r="E175" s="1">
        <v>155778.28</v>
      </c>
      <c r="F175" s="1">
        <v>165203.65</v>
      </c>
      <c r="H175" s="1">
        <v>4246.4799999999996</v>
      </c>
    </row>
    <row r="176" spans="1:9">
      <c r="A176" s="9" t="s">
        <v>13</v>
      </c>
      <c r="B176" s="9" t="s">
        <v>13</v>
      </c>
      <c r="C176" t="s">
        <v>519</v>
      </c>
      <c r="D176" s="5" t="s">
        <v>521</v>
      </c>
      <c r="E176" s="1">
        <v>-82457.350000000006</v>
      </c>
      <c r="F176" s="1">
        <v>61815.86</v>
      </c>
      <c r="H176" s="1">
        <v>1820.1949999999999</v>
      </c>
    </row>
    <row r="177" spans="1:8">
      <c r="A177" s="9" t="s">
        <v>13</v>
      </c>
      <c r="B177" s="9" t="s">
        <v>13</v>
      </c>
      <c r="C177" t="s">
        <v>522</v>
      </c>
      <c r="D177" s="5" t="s">
        <v>524</v>
      </c>
      <c r="E177" s="1">
        <v>63516.84</v>
      </c>
      <c r="F177" s="1">
        <v>41453.69</v>
      </c>
      <c r="H177" s="1">
        <v>284</v>
      </c>
    </row>
    <row r="178" spans="1:8">
      <c r="A178" s="9" t="s">
        <v>13</v>
      </c>
      <c r="B178" s="9" t="s">
        <v>13</v>
      </c>
      <c r="C178" t="s">
        <v>525</v>
      </c>
      <c r="D178" s="5" t="s">
        <v>527</v>
      </c>
      <c r="E178" s="1">
        <v>112286.69</v>
      </c>
      <c r="F178" s="1">
        <v>37978.97</v>
      </c>
      <c r="G178" s="1">
        <v>500</v>
      </c>
    </row>
    <row r="179" spans="1:8">
      <c r="A179" s="9" t="s">
        <v>13</v>
      </c>
      <c r="B179" s="9" t="s">
        <v>13</v>
      </c>
      <c r="C179" t="s">
        <v>528</v>
      </c>
      <c r="D179" s="5" t="s">
        <v>530</v>
      </c>
      <c r="E179" s="1">
        <v>110634.93</v>
      </c>
      <c r="F179" s="1">
        <v>53705.03</v>
      </c>
      <c r="G179" s="1">
        <v>5084.71</v>
      </c>
    </row>
    <row r="180" spans="1:8">
      <c r="A180" s="9" t="s">
        <v>13</v>
      </c>
      <c r="B180" s="9" t="s">
        <v>13</v>
      </c>
      <c r="C180" t="s">
        <v>531</v>
      </c>
      <c r="D180" s="5" t="s">
        <v>533</v>
      </c>
      <c r="E180" s="1">
        <v>63170.8</v>
      </c>
      <c r="F180" s="1">
        <v>24492.94</v>
      </c>
      <c r="G180" s="1">
        <v>212.88</v>
      </c>
      <c r="H180" s="1">
        <v>39.090000000000003</v>
      </c>
    </row>
    <row r="181" spans="1:8">
      <c r="A181" s="9" t="s">
        <v>13</v>
      </c>
      <c r="B181" s="9" t="s">
        <v>13</v>
      </c>
      <c r="C181" t="s">
        <v>534</v>
      </c>
      <c r="D181" s="5" t="s">
        <v>536</v>
      </c>
      <c r="E181" s="1">
        <v>160414.59</v>
      </c>
      <c r="F181" s="1">
        <v>42126.39</v>
      </c>
      <c r="G181" s="1">
        <v>655.82</v>
      </c>
      <c r="H181" s="1">
        <v>190.745</v>
      </c>
    </row>
    <row r="182" spans="1:8">
      <c r="A182" s="9" t="s">
        <v>13</v>
      </c>
      <c r="B182" s="9" t="s">
        <v>13</v>
      </c>
      <c r="C182" t="s">
        <v>537</v>
      </c>
      <c r="D182" s="5" t="s">
        <v>539</v>
      </c>
      <c r="E182" s="1">
        <v>286714.68</v>
      </c>
      <c r="F182" s="1">
        <v>98325.58</v>
      </c>
      <c r="H182" s="1">
        <v>491.44</v>
      </c>
    </row>
    <row r="183" spans="1:8">
      <c r="A183" s="9" t="s">
        <v>13</v>
      </c>
      <c r="B183" s="9" t="s">
        <v>13</v>
      </c>
      <c r="C183" t="s">
        <v>540</v>
      </c>
      <c r="D183" s="5" t="s">
        <v>542</v>
      </c>
      <c r="E183" s="1">
        <v>201972.89</v>
      </c>
      <c r="F183" s="1">
        <v>57933.56</v>
      </c>
      <c r="G183" s="1">
        <v>2524.02</v>
      </c>
      <c r="H183" s="1">
        <v>1972.88</v>
      </c>
    </row>
    <row r="184" spans="1:8">
      <c r="A184" s="9" t="s">
        <v>13</v>
      </c>
      <c r="B184" s="9" t="s">
        <v>13</v>
      </c>
      <c r="C184" t="s">
        <v>543</v>
      </c>
      <c r="D184" s="5" t="s">
        <v>545</v>
      </c>
      <c r="H184" s="1">
        <v>232.5</v>
      </c>
    </row>
    <row r="185" spans="1:8">
      <c r="A185" s="9" t="s">
        <v>13</v>
      </c>
      <c r="B185" s="9" t="s">
        <v>13</v>
      </c>
      <c r="C185" t="s">
        <v>546</v>
      </c>
      <c r="D185" s="5" t="s">
        <v>548</v>
      </c>
      <c r="F185" s="1">
        <v>12672.02</v>
      </c>
      <c r="H185" s="1">
        <v>140.68</v>
      </c>
    </row>
    <row r="186" spans="1:8">
      <c r="A186" s="9" t="s">
        <v>13</v>
      </c>
      <c r="B186" s="9" t="s">
        <v>13</v>
      </c>
      <c r="C186" t="s">
        <v>549</v>
      </c>
      <c r="D186" s="5" t="s">
        <v>551</v>
      </c>
      <c r="E186" s="1">
        <v>34988.76</v>
      </c>
      <c r="F186" s="1">
        <v>22144.95</v>
      </c>
      <c r="H186" s="1">
        <v>1020.01</v>
      </c>
    </row>
    <row r="187" spans="1:8">
      <c r="A187" s="9" t="s">
        <v>13</v>
      </c>
      <c r="B187" s="9" t="s">
        <v>13</v>
      </c>
      <c r="C187" t="s">
        <v>552</v>
      </c>
      <c r="D187" s="5" t="s">
        <v>554</v>
      </c>
      <c r="E187" s="1">
        <v>52383.24</v>
      </c>
      <c r="F187" s="1">
        <v>25243.53</v>
      </c>
      <c r="H187" s="1">
        <v>1953.6</v>
      </c>
    </row>
    <row r="188" spans="1:8">
      <c r="A188" s="9" t="s">
        <v>13</v>
      </c>
      <c r="B188" s="9" t="s">
        <v>13</v>
      </c>
      <c r="C188" t="s">
        <v>555</v>
      </c>
      <c r="D188" s="5" t="s">
        <v>557</v>
      </c>
      <c r="F188" s="1">
        <v>15.54</v>
      </c>
    </row>
    <row r="189" spans="1:8">
      <c r="A189" s="9" t="s">
        <v>13</v>
      </c>
      <c r="B189" s="9" t="s">
        <v>13</v>
      </c>
      <c r="C189" t="s">
        <v>558</v>
      </c>
      <c r="D189" s="5" t="s">
        <v>560</v>
      </c>
      <c r="E189" s="1">
        <v>45626.31</v>
      </c>
      <c r="F189" s="1">
        <v>19749.37</v>
      </c>
      <c r="H189" s="1">
        <v>213.52</v>
      </c>
    </row>
    <row r="190" spans="1:8">
      <c r="A190" s="9" t="s">
        <v>13</v>
      </c>
      <c r="B190" s="9" t="s">
        <v>13</v>
      </c>
      <c r="C190" t="s">
        <v>561</v>
      </c>
      <c r="D190" s="5" t="s">
        <v>563</v>
      </c>
      <c r="E190" s="1">
        <v>9835.43</v>
      </c>
      <c r="F190" s="1">
        <v>14727.6</v>
      </c>
      <c r="H190" s="1">
        <v>420.27</v>
      </c>
    </row>
    <row r="191" spans="1:8">
      <c r="A191" s="9" t="s">
        <v>13</v>
      </c>
      <c r="B191" s="9" t="s">
        <v>13</v>
      </c>
      <c r="C191" t="s">
        <v>564</v>
      </c>
      <c r="D191" s="5" t="s">
        <v>566</v>
      </c>
      <c r="E191" s="1">
        <v>124381.15</v>
      </c>
      <c r="F191" s="1">
        <v>54146.9</v>
      </c>
      <c r="H191" s="1">
        <v>1290.45</v>
      </c>
    </row>
    <row r="192" spans="1:8">
      <c r="A192" s="9" t="s">
        <v>13</v>
      </c>
      <c r="B192" s="9" t="s">
        <v>13</v>
      </c>
      <c r="C192" t="s">
        <v>567</v>
      </c>
      <c r="D192" s="5" t="s">
        <v>569</v>
      </c>
      <c r="F192" s="1">
        <v>38070</v>
      </c>
      <c r="G192" s="1">
        <v>3643.69</v>
      </c>
      <c r="H192" s="1">
        <v>2508.65</v>
      </c>
    </row>
    <row r="193" spans="1:8">
      <c r="A193" s="9" t="s">
        <v>13</v>
      </c>
      <c r="B193" s="9" t="s">
        <v>13</v>
      </c>
      <c r="C193" t="s">
        <v>570</v>
      </c>
      <c r="D193" s="5" t="s">
        <v>572</v>
      </c>
      <c r="E193" s="1">
        <v>71710.240000000005</v>
      </c>
      <c r="F193" s="1">
        <v>29467.81</v>
      </c>
      <c r="G193" s="1">
        <v>181.7</v>
      </c>
    </row>
    <row r="194" spans="1:8">
      <c r="A194" s="9" t="s">
        <v>13</v>
      </c>
      <c r="B194" s="9" t="s">
        <v>13</v>
      </c>
      <c r="C194" t="s">
        <v>573</v>
      </c>
      <c r="D194" s="5" t="s">
        <v>575</v>
      </c>
      <c r="E194" s="1">
        <v>106312.8</v>
      </c>
      <c r="F194" s="1">
        <v>63878</v>
      </c>
    </row>
    <row r="195" spans="1:8">
      <c r="A195" s="9" t="s">
        <v>13</v>
      </c>
      <c r="B195" s="9" t="s">
        <v>13</v>
      </c>
      <c r="C195" t="s">
        <v>576</v>
      </c>
      <c r="D195" s="5" t="s">
        <v>578</v>
      </c>
      <c r="E195" s="1">
        <v>40906.019999999997</v>
      </c>
      <c r="F195" s="1">
        <v>20920.47</v>
      </c>
    </row>
    <row r="196" spans="1:8">
      <c r="A196" s="9" t="s">
        <v>13</v>
      </c>
      <c r="B196" s="9" t="s">
        <v>13</v>
      </c>
      <c r="C196" t="s">
        <v>579</v>
      </c>
      <c r="D196" s="5" t="s">
        <v>581</v>
      </c>
      <c r="E196" s="1">
        <v>64527.6</v>
      </c>
      <c r="F196" s="1">
        <v>2000</v>
      </c>
    </row>
    <row r="197" spans="1:8">
      <c r="A197" s="9" t="s">
        <v>13</v>
      </c>
      <c r="B197" s="9" t="s">
        <v>13</v>
      </c>
      <c r="C197" t="s">
        <v>582</v>
      </c>
      <c r="D197" s="5" t="s">
        <v>584</v>
      </c>
      <c r="E197" s="1">
        <v>177657.99</v>
      </c>
      <c r="F197" s="1">
        <v>27503.67</v>
      </c>
      <c r="G197" s="1">
        <v>713</v>
      </c>
      <c r="H197" s="1">
        <v>1520.0050000000001</v>
      </c>
    </row>
    <row r="198" spans="1:8">
      <c r="A198" s="9" t="s">
        <v>13</v>
      </c>
      <c r="B198" s="9" t="s">
        <v>13</v>
      </c>
      <c r="C198" t="s">
        <v>585</v>
      </c>
      <c r="D198" s="5" t="s">
        <v>587</v>
      </c>
      <c r="E198" s="1">
        <v>49997.760000000002</v>
      </c>
      <c r="F198" s="1">
        <v>25561.13</v>
      </c>
    </row>
    <row r="199" spans="1:8">
      <c r="A199" s="9" t="s">
        <v>13</v>
      </c>
      <c r="B199" s="9" t="s">
        <v>13</v>
      </c>
      <c r="C199" t="s">
        <v>588</v>
      </c>
      <c r="D199" s="5" t="s">
        <v>590</v>
      </c>
      <c r="E199" s="1">
        <v>117657.60000000001</v>
      </c>
      <c r="F199" s="1">
        <v>25621.72</v>
      </c>
      <c r="H199" s="1">
        <v>268.47000000000003</v>
      </c>
    </row>
    <row r="200" spans="1:8">
      <c r="A200" s="9" t="s">
        <v>13</v>
      </c>
      <c r="B200" s="9" t="s">
        <v>13</v>
      </c>
      <c r="C200" t="s">
        <v>591</v>
      </c>
      <c r="D200" s="5" t="s">
        <v>593</v>
      </c>
      <c r="F200" s="1">
        <v>40</v>
      </c>
    </row>
    <row r="201" spans="1:8">
      <c r="A201" s="9" t="s">
        <v>13</v>
      </c>
      <c r="B201" s="9" t="s">
        <v>13</v>
      </c>
      <c r="C201" t="s">
        <v>594</v>
      </c>
      <c r="D201" s="5" t="s">
        <v>596</v>
      </c>
      <c r="F201" s="1">
        <v>660</v>
      </c>
    </row>
    <row r="202" spans="1:8">
      <c r="A202" s="9" t="s">
        <v>13</v>
      </c>
      <c r="B202" s="9" t="s">
        <v>13</v>
      </c>
      <c r="C202" t="s">
        <v>597</v>
      </c>
      <c r="D202" s="5" t="s">
        <v>599</v>
      </c>
      <c r="F202" s="1">
        <v>6383.62</v>
      </c>
    </row>
    <row r="203" spans="1:8">
      <c r="A203" s="9" t="s">
        <v>13</v>
      </c>
      <c r="B203" s="9" t="s">
        <v>13</v>
      </c>
      <c r="C203" t="s">
        <v>600</v>
      </c>
      <c r="D203" s="5" t="s">
        <v>602</v>
      </c>
      <c r="E203" s="1">
        <v>459590.16</v>
      </c>
    </row>
    <row r="204" spans="1:8">
      <c r="A204" s="9" t="s">
        <v>13</v>
      </c>
      <c r="B204" s="9" t="s">
        <v>13</v>
      </c>
      <c r="C204" t="s">
        <v>603</v>
      </c>
      <c r="D204" s="5" t="s">
        <v>605</v>
      </c>
      <c r="E204" s="1">
        <v>274660.19</v>
      </c>
      <c r="F204" s="1">
        <v>58825.21</v>
      </c>
    </row>
    <row r="205" spans="1:8">
      <c r="A205" s="9" t="s">
        <v>13</v>
      </c>
      <c r="B205" s="9" t="s">
        <v>13</v>
      </c>
      <c r="C205" t="s">
        <v>606</v>
      </c>
      <c r="D205" s="5" t="s">
        <v>608</v>
      </c>
      <c r="E205" s="1">
        <v>96867.26</v>
      </c>
      <c r="F205" s="1">
        <v>31528.560000000001</v>
      </c>
      <c r="G205" s="1">
        <v>428.86</v>
      </c>
    </row>
    <row r="206" spans="1:8">
      <c r="A206" s="9" t="s">
        <v>13</v>
      </c>
      <c r="B206" s="9" t="s">
        <v>13</v>
      </c>
      <c r="C206" t="s">
        <v>609</v>
      </c>
      <c r="D206" s="5" t="s">
        <v>611</v>
      </c>
      <c r="E206" s="1">
        <v>20101.95</v>
      </c>
      <c r="F206" s="1">
        <v>14834.69</v>
      </c>
    </row>
    <row r="207" spans="1:8">
      <c r="A207" s="9" t="s">
        <v>13</v>
      </c>
      <c r="B207" s="9" t="s">
        <v>13</v>
      </c>
      <c r="C207" t="s">
        <v>612</v>
      </c>
      <c r="D207" s="5" t="s">
        <v>614</v>
      </c>
      <c r="E207" s="1">
        <v>71619.02</v>
      </c>
      <c r="F207" s="1">
        <v>38319.33</v>
      </c>
      <c r="G207" s="1">
        <v>5400</v>
      </c>
      <c r="H207" s="1">
        <v>3405.24</v>
      </c>
    </row>
    <row r="208" spans="1:8">
      <c r="A208" s="9" t="s">
        <v>13</v>
      </c>
      <c r="B208" s="9" t="s">
        <v>13</v>
      </c>
      <c r="C208" t="s">
        <v>615</v>
      </c>
      <c r="D208" s="5" t="s">
        <v>617</v>
      </c>
      <c r="E208" s="1">
        <v>-10188.24</v>
      </c>
      <c r="F208" s="1">
        <v>138957.32</v>
      </c>
    </row>
    <row r="209" spans="1:9">
      <c r="A209" s="9" t="s">
        <v>13</v>
      </c>
      <c r="B209" s="9" t="s">
        <v>13</v>
      </c>
      <c r="C209" t="s">
        <v>618</v>
      </c>
      <c r="D209" s="5" t="s">
        <v>620</v>
      </c>
      <c r="E209" s="1">
        <v>1255923.57</v>
      </c>
      <c r="F209" s="1">
        <v>329823.14</v>
      </c>
      <c r="G209" s="1">
        <v>9020.06</v>
      </c>
      <c r="H209" s="1">
        <v>5434.96</v>
      </c>
    </row>
    <row r="210" spans="1:9">
      <c r="A210" s="9" t="s">
        <v>13</v>
      </c>
      <c r="B210" s="9" t="s">
        <v>13</v>
      </c>
      <c r="C210" t="s">
        <v>621</v>
      </c>
      <c r="D210" s="5" t="s">
        <v>623</v>
      </c>
      <c r="E210" s="1">
        <v>225068.87</v>
      </c>
      <c r="G210" s="1">
        <v>1900.71</v>
      </c>
    </row>
    <row r="211" spans="1:9">
      <c r="A211" s="9" t="s">
        <v>13</v>
      </c>
      <c r="B211" s="9" t="s">
        <v>13</v>
      </c>
      <c r="C211" t="s">
        <v>624</v>
      </c>
      <c r="D211" s="5" t="s">
        <v>626</v>
      </c>
      <c r="E211" s="1">
        <v>20611.48</v>
      </c>
      <c r="F211" s="1">
        <v>18199.419999999998</v>
      </c>
      <c r="G211" s="1">
        <v>897.98</v>
      </c>
      <c r="H211" s="1">
        <v>917.52</v>
      </c>
    </row>
    <row r="212" spans="1:9">
      <c r="A212" s="9" t="s">
        <v>13</v>
      </c>
      <c r="B212" s="9" t="s">
        <v>13</v>
      </c>
      <c r="C212" t="s">
        <v>627</v>
      </c>
      <c r="D212" s="5" t="s">
        <v>629</v>
      </c>
      <c r="E212" s="1">
        <v>17308.02</v>
      </c>
      <c r="F212" s="1">
        <v>8690</v>
      </c>
      <c r="G212" s="1">
        <v>200</v>
      </c>
      <c r="H212" s="1">
        <v>1625.35</v>
      </c>
    </row>
    <row r="213" spans="1:9">
      <c r="A213" s="9" t="s">
        <v>13</v>
      </c>
      <c r="B213" s="9" t="s">
        <v>13</v>
      </c>
      <c r="C213" t="s">
        <v>630</v>
      </c>
      <c r="D213" s="5" t="s">
        <v>632</v>
      </c>
      <c r="E213" s="1">
        <v>78356.11</v>
      </c>
      <c r="F213" s="1">
        <v>58898.67</v>
      </c>
      <c r="H213" s="1">
        <v>101.58</v>
      </c>
    </row>
    <row r="214" spans="1:9">
      <c r="A214" s="9" t="s">
        <v>13</v>
      </c>
      <c r="B214" s="9" t="s">
        <v>13</v>
      </c>
      <c r="C214" t="s">
        <v>633</v>
      </c>
      <c r="D214" s="5" t="s">
        <v>635</v>
      </c>
      <c r="E214" s="1">
        <v>3291.85</v>
      </c>
      <c r="H214" s="1">
        <v>476.49</v>
      </c>
      <c r="I214" s="1">
        <v>104.5</v>
      </c>
    </row>
    <row r="215" spans="1:9">
      <c r="A215" s="9" t="s">
        <v>13</v>
      </c>
      <c r="B215" s="9" t="s">
        <v>13</v>
      </c>
      <c r="C215" t="s">
        <v>636</v>
      </c>
      <c r="D215" s="5" t="s">
        <v>638</v>
      </c>
      <c r="E215" s="1">
        <v>22983.31</v>
      </c>
      <c r="F215" s="1">
        <v>3204.84</v>
      </c>
      <c r="H215" s="1">
        <v>1408.4</v>
      </c>
    </row>
    <row r="216" spans="1:9">
      <c r="A216" s="9" t="s">
        <v>13</v>
      </c>
      <c r="B216" s="9" t="s">
        <v>13</v>
      </c>
      <c r="C216" t="s">
        <v>639</v>
      </c>
      <c r="D216" s="5" t="s">
        <v>641</v>
      </c>
      <c r="H216" s="1">
        <v>1229.52</v>
      </c>
    </row>
    <row r="217" spans="1:9">
      <c r="A217" s="9" t="s">
        <v>13</v>
      </c>
      <c r="B217" s="9" t="s">
        <v>13</v>
      </c>
      <c r="C217" t="s">
        <v>642</v>
      </c>
      <c r="D217" s="5" t="s">
        <v>644</v>
      </c>
      <c r="E217" s="1">
        <v>-8246</v>
      </c>
      <c r="F217" s="1">
        <v>7470.96</v>
      </c>
      <c r="H217" s="1">
        <v>602.69500000000005</v>
      </c>
    </row>
    <row r="218" spans="1:9">
      <c r="A218" s="9" t="s">
        <v>13</v>
      </c>
      <c r="B218" s="9" t="s">
        <v>13</v>
      </c>
      <c r="C218" t="s">
        <v>645</v>
      </c>
      <c r="D218" s="5" t="s">
        <v>647</v>
      </c>
      <c r="E218" s="1">
        <v>14156.68</v>
      </c>
      <c r="F218" s="1">
        <v>9106.9699999999993</v>
      </c>
    </row>
    <row r="219" spans="1:9">
      <c r="A219" s="9" t="s">
        <v>13</v>
      </c>
      <c r="B219" s="9" t="s">
        <v>13</v>
      </c>
      <c r="C219" t="s">
        <v>648</v>
      </c>
      <c r="D219" s="5" t="s">
        <v>650</v>
      </c>
      <c r="E219" s="1">
        <v>53826.75</v>
      </c>
      <c r="F219" s="1">
        <v>14187.02</v>
      </c>
    </row>
    <row r="220" spans="1:9">
      <c r="A220" s="9" t="s">
        <v>13</v>
      </c>
      <c r="B220" s="9" t="s">
        <v>13</v>
      </c>
      <c r="C220" t="s">
        <v>651</v>
      </c>
      <c r="D220" s="5" t="s">
        <v>653</v>
      </c>
      <c r="E220" s="1">
        <v>92225.919999999998</v>
      </c>
      <c r="F220" s="1">
        <v>57886.54</v>
      </c>
      <c r="G220" s="1">
        <v>2171.9699999999998</v>
      </c>
    </row>
    <row r="221" spans="1:9">
      <c r="A221" s="9" t="s">
        <v>13</v>
      </c>
      <c r="B221" s="9" t="s">
        <v>13</v>
      </c>
      <c r="C221" t="s">
        <v>654</v>
      </c>
      <c r="D221" s="5" t="s">
        <v>656</v>
      </c>
      <c r="E221" s="1">
        <v>33362.07</v>
      </c>
      <c r="F221" s="1">
        <v>36565.24</v>
      </c>
    </row>
    <row r="222" spans="1:9">
      <c r="A222" s="9" t="s">
        <v>13</v>
      </c>
      <c r="B222" s="9" t="s">
        <v>13</v>
      </c>
      <c r="C222" t="s">
        <v>657</v>
      </c>
      <c r="D222" s="5" t="s">
        <v>659</v>
      </c>
      <c r="E222" s="1">
        <v>293110.37</v>
      </c>
      <c r="F222" s="1">
        <v>100418.73</v>
      </c>
    </row>
    <row r="223" spans="1:9">
      <c r="A223" s="9" t="s">
        <v>13</v>
      </c>
      <c r="B223" s="9" t="s">
        <v>13</v>
      </c>
      <c r="C223" t="s">
        <v>660</v>
      </c>
      <c r="D223" s="5" t="s">
        <v>662</v>
      </c>
      <c r="E223" s="1">
        <v>65463.16</v>
      </c>
      <c r="F223" s="1">
        <v>18141.849999999999</v>
      </c>
      <c r="H223" s="1">
        <v>446.56</v>
      </c>
    </row>
    <row r="224" spans="1:9">
      <c r="A224" s="9" t="s">
        <v>13</v>
      </c>
      <c r="B224" s="9" t="s">
        <v>13</v>
      </c>
      <c r="C224" t="s">
        <v>663</v>
      </c>
      <c r="D224" s="5" t="s">
        <v>665</v>
      </c>
      <c r="E224" s="1">
        <v>199237.38</v>
      </c>
      <c r="F224" s="1">
        <v>41998.63</v>
      </c>
      <c r="G224" s="1">
        <v>2241.6799999999998</v>
      </c>
      <c r="H224" s="1">
        <v>3085</v>
      </c>
      <c r="I224" s="1">
        <v>1013.92</v>
      </c>
    </row>
    <row r="225" spans="1:9">
      <c r="A225" s="9" t="s">
        <v>13</v>
      </c>
      <c r="B225" s="9" t="s">
        <v>13</v>
      </c>
      <c r="C225" t="s">
        <v>666</v>
      </c>
      <c r="D225" s="5" t="s">
        <v>668</v>
      </c>
      <c r="F225" s="1">
        <v>59289.96</v>
      </c>
    </row>
    <row r="226" spans="1:9">
      <c r="A226" s="9" t="s">
        <v>13</v>
      </c>
      <c r="B226" s="9" t="s">
        <v>13</v>
      </c>
      <c r="C226" t="s">
        <v>669</v>
      </c>
      <c r="D226" s="5" t="s">
        <v>671</v>
      </c>
      <c r="F226" s="1">
        <v>107.48</v>
      </c>
    </row>
    <row r="227" spans="1:9">
      <c r="A227" s="9" t="s">
        <v>13</v>
      </c>
      <c r="B227" s="9" t="s">
        <v>13</v>
      </c>
      <c r="C227" t="s">
        <v>672</v>
      </c>
      <c r="D227" s="5" t="s">
        <v>674</v>
      </c>
      <c r="E227" s="1">
        <v>11885.77</v>
      </c>
      <c r="F227" s="1">
        <v>5598</v>
      </c>
    </row>
    <row r="228" spans="1:9">
      <c r="A228" s="9" t="s">
        <v>13</v>
      </c>
      <c r="B228" s="9" t="s">
        <v>13</v>
      </c>
      <c r="C228" t="s">
        <v>675</v>
      </c>
      <c r="D228" s="5" t="s">
        <v>677</v>
      </c>
      <c r="E228" s="1">
        <v>459866.76</v>
      </c>
      <c r="F228" s="1">
        <v>74053.16</v>
      </c>
      <c r="G228" s="1">
        <v>5140.32</v>
      </c>
      <c r="H228" s="1">
        <v>2726</v>
      </c>
    </row>
    <row r="229" spans="1:9">
      <c r="A229" s="9" t="s">
        <v>13</v>
      </c>
      <c r="B229" s="9" t="s">
        <v>13</v>
      </c>
      <c r="C229" t="s">
        <v>678</v>
      </c>
      <c r="D229" s="5" t="s">
        <v>680</v>
      </c>
      <c r="F229" s="1">
        <v>20972.71</v>
      </c>
    </row>
    <row r="230" spans="1:9">
      <c r="A230" s="9" t="s">
        <v>13</v>
      </c>
      <c r="B230" s="9" t="s">
        <v>13</v>
      </c>
      <c r="C230" t="s">
        <v>681</v>
      </c>
      <c r="D230" s="5" t="s">
        <v>683</v>
      </c>
      <c r="F230" s="1">
        <v>1920</v>
      </c>
    </row>
    <row r="231" spans="1:9">
      <c r="A231" s="9" t="s">
        <v>13</v>
      </c>
      <c r="B231" s="9" t="s">
        <v>13</v>
      </c>
      <c r="C231" t="s">
        <v>684</v>
      </c>
      <c r="D231" s="5" t="s">
        <v>686</v>
      </c>
      <c r="F231" s="1">
        <v>-27.28</v>
      </c>
    </row>
    <row r="232" spans="1:9">
      <c r="A232" s="9" t="s">
        <v>13</v>
      </c>
      <c r="B232" s="9" t="s">
        <v>13</v>
      </c>
      <c r="C232" t="s">
        <v>687</v>
      </c>
      <c r="D232" s="5" t="s">
        <v>689</v>
      </c>
      <c r="F232" s="1">
        <v>12970.6</v>
      </c>
    </row>
    <row r="233" spans="1:9">
      <c r="A233" s="9" t="s">
        <v>13</v>
      </c>
      <c r="B233" s="9" t="s">
        <v>13</v>
      </c>
      <c r="C233" t="s">
        <v>690</v>
      </c>
      <c r="D233" s="5" t="s">
        <v>692</v>
      </c>
      <c r="E233" s="1">
        <v>11522.4</v>
      </c>
      <c r="F233" s="1">
        <v>11522.4</v>
      </c>
    </row>
    <row r="234" spans="1:9">
      <c r="A234" s="9" t="s">
        <v>13</v>
      </c>
      <c r="B234" s="9" t="s">
        <v>13</v>
      </c>
      <c r="C234" t="s">
        <v>693</v>
      </c>
      <c r="D234" s="5" t="s">
        <v>695</v>
      </c>
      <c r="E234" s="1">
        <v>17892.84</v>
      </c>
      <c r="F234" s="1">
        <v>3169.26</v>
      </c>
      <c r="G234" s="1">
        <v>705.43</v>
      </c>
      <c r="H234" s="1">
        <v>149.91999999999999</v>
      </c>
    </row>
    <row r="235" spans="1:9">
      <c r="A235" s="9" t="s">
        <v>13</v>
      </c>
      <c r="B235" s="9" t="s">
        <v>13</v>
      </c>
      <c r="C235" t="s">
        <v>696</v>
      </c>
      <c r="D235" s="5" t="s">
        <v>698</v>
      </c>
      <c r="E235" s="1">
        <v>252697.9</v>
      </c>
      <c r="F235" s="1">
        <v>55538.400000000001</v>
      </c>
    </row>
    <row r="236" spans="1:9">
      <c r="A236" s="9" t="s">
        <v>13</v>
      </c>
      <c r="B236" s="9" t="s">
        <v>13</v>
      </c>
      <c r="C236" t="s">
        <v>699</v>
      </c>
      <c r="D236" s="5" t="s">
        <v>701</v>
      </c>
      <c r="E236" s="1">
        <v>39927.26</v>
      </c>
      <c r="F236" s="1">
        <v>14830.97</v>
      </c>
      <c r="G236" s="1">
        <v>823.8</v>
      </c>
    </row>
    <row r="237" spans="1:9">
      <c r="A237" s="9" t="s">
        <v>13</v>
      </c>
      <c r="B237" s="9" t="s">
        <v>13</v>
      </c>
      <c r="C237" t="s">
        <v>702</v>
      </c>
      <c r="D237" s="5" t="s">
        <v>704</v>
      </c>
      <c r="E237" s="1">
        <v>11132.91</v>
      </c>
      <c r="F237" s="1">
        <v>4867.3100000000004</v>
      </c>
    </row>
    <row r="238" spans="1:9">
      <c r="A238" s="9" t="s">
        <v>13</v>
      </c>
      <c r="B238" s="9" t="s">
        <v>13</v>
      </c>
      <c r="C238" t="s">
        <v>705</v>
      </c>
      <c r="D238" s="5" t="s">
        <v>707</v>
      </c>
      <c r="E238" s="1">
        <v>48239.45</v>
      </c>
      <c r="G238" s="1">
        <v>1650.86</v>
      </c>
      <c r="H238" s="1">
        <v>3444.61</v>
      </c>
      <c r="I238" s="1">
        <v>1046.93</v>
      </c>
    </row>
    <row r="239" spans="1:9">
      <c r="A239" s="9" t="s">
        <v>13</v>
      </c>
      <c r="B239" s="9" t="s">
        <v>13</v>
      </c>
      <c r="C239" t="s">
        <v>708</v>
      </c>
      <c r="D239" s="5" t="s">
        <v>710</v>
      </c>
      <c r="G239" s="1">
        <v>23.36</v>
      </c>
    </row>
    <row r="240" spans="1:9">
      <c r="A240" s="9" t="s">
        <v>13</v>
      </c>
      <c r="B240" s="9" t="s">
        <v>13</v>
      </c>
      <c r="C240" t="s">
        <v>711</v>
      </c>
      <c r="D240" s="5" t="s">
        <v>713</v>
      </c>
      <c r="G240" s="1">
        <v>567.84</v>
      </c>
    </row>
    <row r="241" spans="1:8">
      <c r="A241" s="9" t="s">
        <v>13</v>
      </c>
      <c r="B241" s="9" t="s">
        <v>13</v>
      </c>
      <c r="C241" t="s">
        <v>714</v>
      </c>
      <c r="D241" s="5" t="s">
        <v>716</v>
      </c>
      <c r="G241" s="1">
        <v>2494.86</v>
      </c>
    </row>
    <row r="242" spans="1:8">
      <c r="A242" s="9" t="s">
        <v>13</v>
      </c>
      <c r="B242" s="9" t="s">
        <v>13</v>
      </c>
      <c r="C242" t="s">
        <v>717</v>
      </c>
      <c r="D242" s="5" t="s">
        <v>719</v>
      </c>
      <c r="H242" s="1">
        <v>2642.72</v>
      </c>
    </row>
    <row r="243" spans="1:8">
      <c r="A243" s="9" t="s">
        <v>13</v>
      </c>
      <c r="B243" s="9" t="s">
        <v>13</v>
      </c>
      <c r="C243" t="s">
        <v>720</v>
      </c>
      <c r="D243" s="5" t="s">
        <v>722</v>
      </c>
      <c r="E243" s="1">
        <v>-10186.040000000001</v>
      </c>
      <c r="H243" s="1">
        <v>2180.8000000000002</v>
      </c>
    </row>
    <row r="244" spans="1:8">
      <c r="A244" s="9" t="s">
        <v>13</v>
      </c>
      <c r="B244" s="9" t="s">
        <v>13</v>
      </c>
      <c r="C244" t="s">
        <v>723</v>
      </c>
      <c r="D244" s="5" t="s">
        <v>725</v>
      </c>
      <c r="H244" s="1">
        <v>218.21</v>
      </c>
    </row>
    <row r="245" spans="1:8">
      <c r="A245" s="9" t="s">
        <v>13</v>
      </c>
      <c r="B245" s="9" t="s">
        <v>13</v>
      </c>
      <c r="C245" t="s">
        <v>726</v>
      </c>
      <c r="D245" s="5" t="s">
        <v>728</v>
      </c>
      <c r="E245" s="1">
        <v>54842.14</v>
      </c>
      <c r="F245" s="1">
        <v>40324.449999999997</v>
      </c>
    </row>
    <row r="246" spans="1:8">
      <c r="A246" s="9" t="s">
        <v>13</v>
      </c>
      <c r="B246" s="9" t="s">
        <v>13</v>
      </c>
      <c r="C246" t="s">
        <v>729</v>
      </c>
      <c r="D246" s="5" t="s">
        <v>731</v>
      </c>
      <c r="E246" s="1">
        <v>35554.5</v>
      </c>
      <c r="F246" s="1">
        <v>15013.04</v>
      </c>
      <c r="H246" s="1">
        <v>302.56</v>
      </c>
    </row>
    <row r="247" spans="1:8">
      <c r="A247" s="9" t="s">
        <v>13</v>
      </c>
      <c r="B247" s="9" t="s">
        <v>13</v>
      </c>
      <c r="C247" t="s">
        <v>732</v>
      </c>
      <c r="D247" s="5" t="s">
        <v>734</v>
      </c>
      <c r="F247" s="1">
        <v>135.47999999999999</v>
      </c>
    </row>
    <row r="248" spans="1:8">
      <c r="A248" s="9" t="s">
        <v>13</v>
      </c>
      <c r="B248" s="9" t="s">
        <v>13</v>
      </c>
      <c r="C248" t="s">
        <v>735</v>
      </c>
      <c r="D248" s="5" t="s">
        <v>737</v>
      </c>
      <c r="F248" s="1">
        <v>243</v>
      </c>
      <c r="H248" s="1">
        <v>939.94</v>
      </c>
    </row>
    <row r="249" spans="1:8">
      <c r="A249" s="9" t="s">
        <v>13</v>
      </c>
      <c r="B249" s="9" t="s">
        <v>13</v>
      </c>
      <c r="C249" t="s">
        <v>738</v>
      </c>
      <c r="D249" s="5" t="s">
        <v>740</v>
      </c>
      <c r="F249" s="1">
        <v>33925.94</v>
      </c>
    </row>
    <row r="250" spans="1:8">
      <c r="A250" s="9" t="s">
        <v>13</v>
      </c>
      <c r="B250" s="9" t="s">
        <v>13</v>
      </c>
      <c r="C250" t="s">
        <v>741</v>
      </c>
      <c r="D250" s="5" t="s">
        <v>743</v>
      </c>
      <c r="F250" s="1">
        <v>1602.42</v>
      </c>
    </row>
    <row r="251" spans="1:8">
      <c r="A251" s="9" t="s">
        <v>13</v>
      </c>
      <c r="B251" s="9" t="s">
        <v>13</v>
      </c>
      <c r="C251" t="s">
        <v>744</v>
      </c>
      <c r="D251" s="5" t="s">
        <v>746</v>
      </c>
      <c r="E251" s="1">
        <v>103333.32</v>
      </c>
    </row>
    <row r="252" spans="1:8">
      <c r="A252" s="9" t="s">
        <v>13</v>
      </c>
      <c r="B252" s="9" t="s">
        <v>13</v>
      </c>
      <c r="C252" t="s">
        <v>747</v>
      </c>
      <c r="D252" s="5" t="s">
        <v>749</v>
      </c>
      <c r="E252" s="1">
        <v>243334.34</v>
      </c>
      <c r="G252" s="1">
        <v>3532.76</v>
      </c>
    </row>
    <row r="253" spans="1:8">
      <c r="A253" s="9" t="s">
        <v>13</v>
      </c>
      <c r="B253" s="9" t="s">
        <v>13</v>
      </c>
      <c r="C253" t="s">
        <v>750</v>
      </c>
      <c r="D253" s="5" t="s">
        <v>752</v>
      </c>
      <c r="E253" s="1">
        <v>40317.9</v>
      </c>
      <c r="F253" s="1">
        <v>18525.080000000002</v>
      </c>
    </row>
    <row r="254" spans="1:8">
      <c r="A254" s="9" t="s">
        <v>13</v>
      </c>
      <c r="B254" s="9" t="s">
        <v>13</v>
      </c>
      <c r="C254" t="s">
        <v>753</v>
      </c>
      <c r="D254" s="5" t="s">
        <v>755</v>
      </c>
      <c r="E254" s="1">
        <v>566705.52</v>
      </c>
      <c r="F254" s="1">
        <v>216976.96</v>
      </c>
      <c r="G254" s="1">
        <v>18190</v>
      </c>
      <c r="H254" s="1">
        <v>3490.95</v>
      </c>
    </row>
    <row r="255" spans="1:8">
      <c r="A255" s="9" t="s">
        <v>13</v>
      </c>
      <c r="B255" s="9" t="s">
        <v>13</v>
      </c>
      <c r="C255" t="s">
        <v>756</v>
      </c>
      <c r="D255" s="5" t="s">
        <v>758</v>
      </c>
      <c r="E255" s="1">
        <v>146000</v>
      </c>
    </row>
    <row r="256" spans="1:8">
      <c r="A256" s="9" t="s">
        <v>13</v>
      </c>
      <c r="B256" s="9" t="s">
        <v>13</v>
      </c>
      <c r="C256" t="s">
        <v>759</v>
      </c>
      <c r="D256" s="5" t="s">
        <v>761</v>
      </c>
      <c r="E256" s="1">
        <v>88062.66</v>
      </c>
      <c r="F256" s="1">
        <v>27192.68</v>
      </c>
    </row>
    <row r="257" spans="1:8">
      <c r="A257" s="9" t="s">
        <v>13</v>
      </c>
      <c r="B257" s="9" t="s">
        <v>13</v>
      </c>
      <c r="C257" t="s">
        <v>762</v>
      </c>
      <c r="D257" s="5" t="s">
        <v>764</v>
      </c>
      <c r="E257" s="1">
        <v>104391.98</v>
      </c>
      <c r="F257" s="1">
        <v>36651.57</v>
      </c>
    </row>
    <row r="258" spans="1:8">
      <c r="A258" s="9" t="s">
        <v>13</v>
      </c>
      <c r="B258" s="9" t="s">
        <v>13</v>
      </c>
      <c r="C258" t="s">
        <v>765</v>
      </c>
      <c r="D258" s="5" t="s">
        <v>767</v>
      </c>
      <c r="E258" s="1">
        <v>54164.28</v>
      </c>
      <c r="F258" s="1">
        <v>13776.56</v>
      </c>
      <c r="G258" s="1">
        <v>3334.73</v>
      </c>
    </row>
    <row r="259" spans="1:8">
      <c r="A259" s="9" t="s">
        <v>13</v>
      </c>
      <c r="B259" s="9" t="s">
        <v>13</v>
      </c>
      <c r="C259" t="s">
        <v>768</v>
      </c>
      <c r="D259" s="5" t="s">
        <v>770</v>
      </c>
      <c r="E259" s="1">
        <v>34330.089999999997</v>
      </c>
      <c r="F259" s="1">
        <v>34393.730000000003</v>
      </c>
    </row>
    <row r="260" spans="1:8">
      <c r="A260" s="9" t="s">
        <v>13</v>
      </c>
      <c r="B260" s="9" t="s">
        <v>13</v>
      </c>
      <c r="C260" t="s">
        <v>771</v>
      </c>
      <c r="D260" s="5" t="s">
        <v>773</v>
      </c>
      <c r="E260" s="1">
        <v>15136.41</v>
      </c>
      <c r="F260" s="1">
        <v>13133.65</v>
      </c>
    </row>
    <row r="261" spans="1:8">
      <c r="A261" s="9" t="s">
        <v>13</v>
      </c>
      <c r="B261" s="9" t="s">
        <v>13</v>
      </c>
      <c r="C261" t="s">
        <v>774</v>
      </c>
      <c r="D261" s="5" t="s">
        <v>776</v>
      </c>
      <c r="E261" s="1">
        <v>6190</v>
      </c>
    </row>
    <row r="262" spans="1:8">
      <c r="A262" s="9" t="s">
        <v>13</v>
      </c>
      <c r="B262" s="9" t="s">
        <v>13</v>
      </c>
      <c r="C262" t="s">
        <v>777</v>
      </c>
      <c r="D262" s="5" t="s">
        <v>779</v>
      </c>
      <c r="G262" s="1">
        <v>1088.8499999999999</v>
      </c>
    </row>
    <row r="263" spans="1:8">
      <c r="A263" s="9" t="s">
        <v>13</v>
      </c>
      <c r="B263" s="9" t="s">
        <v>13</v>
      </c>
      <c r="C263" t="s">
        <v>780</v>
      </c>
      <c r="D263" s="5" t="s">
        <v>782</v>
      </c>
      <c r="G263" s="1">
        <v>19334.03</v>
      </c>
    </row>
    <row r="264" spans="1:8">
      <c r="A264" s="9" t="s">
        <v>13</v>
      </c>
      <c r="B264" s="9" t="s">
        <v>13</v>
      </c>
      <c r="C264" t="s">
        <v>783</v>
      </c>
      <c r="D264" s="5" t="s">
        <v>785</v>
      </c>
      <c r="F264" s="1">
        <v>3737.73</v>
      </c>
    </row>
    <row r="265" spans="1:8">
      <c r="A265" s="9" t="s">
        <v>13</v>
      </c>
      <c r="B265" s="9" t="s">
        <v>13</v>
      </c>
      <c r="C265" t="s">
        <v>786</v>
      </c>
      <c r="D265" s="5" t="s">
        <v>788</v>
      </c>
      <c r="F265" s="1">
        <v>31504.79</v>
      </c>
      <c r="G265" s="1">
        <v>757.5</v>
      </c>
      <c r="H265" s="1">
        <v>6809.33</v>
      </c>
    </row>
    <row r="266" spans="1:8">
      <c r="A266" s="9" t="s">
        <v>13</v>
      </c>
      <c r="B266" s="9" t="s">
        <v>13</v>
      </c>
      <c r="C266" t="s">
        <v>789</v>
      </c>
      <c r="D266" s="5" t="s">
        <v>791</v>
      </c>
      <c r="F266" s="1">
        <v>3652.7</v>
      </c>
    </row>
    <row r="267" spans="1:8">
      <c r="A267" s="9" t="s">
        <v>13</v>
      </c>
      <c r="B267" s="9" t="s">
        <v>13</v>
      </c>
      <c r="C267" t="s">
        <v>792</v>
      </c>
      <c r="D267" s="5" t="s">
        <v>794</v>
      </c>
      <c r="E267" s="1">
        <v>0</v>
      </c>
      <c r="F267" s="1">
        <v>51676.2</v>
      </c>
    </row>
    <row r="268" spans="1:8">
      <c r="A268" s="9" t="s">
        <v>13</v>
      </c>
      <c r="B268" s="9" t="s">
        <v>13</v>
      </c>
      <c r="C268" t="s">
        <v>795</v>
      </c>
      <c r="D268" s="5" t="s">
        <v>797</v>
      </c>
      <c r="E268" s="1">
        <v>40789.980000000003</v>
      </c>
    </row>
    <row r="269" spans="1:8">
      <c r="A269" s="9" t="s">
        <v>13</v>
      </c>
      <c r="B269" s="9" t="s">
        <v>13</v>
      </c>
      <c r="C269" t="s">
        <v>798</v>
      </c>
      <c r="D269" s="5" t="s">
        <v>800</v>
      </c>
      <c r="G269" s="1">
        <v>1015.2</v>
      </c>
    </row>
    <row r="270" spans="1:8">
      <c r="A270" s="9" t="s">
        <v>13</v>
      </c>
      <c r="B270" s="9" t="s">
        <v>13</v>
      </c>
      <c r="C270" t="s">
        <v>801</v>
      </c>
      <c r="D270" s="5" t="s">
        <v>803</v>
      </c>
      <c r="H270" s="1">
        <v>918.8</v>
      </c>
    </row>
    <row r="271" spans="1:8">
      <c r="A271" s="9" t="s">
        <v>13</v>
      </c>
      <c r="B271" s="9" t="s">
        <v>13</v>
      </c>
      <c r="C271" t="s">
        <v>804</v>
      </c>
      <c r="D271" s="5" t="s">
        <v>806</v>
      </c>
      <c r="E271" s="1">
        <v>44246.8</v>
      </c>
      <c r="F271" s="1">
        <v>40642.79</v>
      </c>
    </row>
    <row r="272" spans="1:8">
      <c r="A272" s="9" t="s">
        <v>13</v>
      </c>
      <c r="B272" s="9" t="s">
        <v>13</v>
      </c>
      <c r="C272" t="s">
        <v>807</v>
      </c>
      <c r="D272" s="5" t="s">
        <v>809</v>
      </c>
      <c r="F272" s="1">
        <v>1262</v>
      </c>
    </row>
    <row r="273" spans="1:9">
      <c r="A273" s="9" t="s">
        <v>13</v>
      </c>
      <c r="B273" s="9" t="s">
        <v>13</v>
      </c>
      <c r="C273" t="s">
        <v>810</v>
      </c>
      <c r="D273" s="5" t="s">
        <v>812</v>
      </c>
      <c r="E273" s="1">
        <v>20882.07</v>
      </c>
      <c r="F273" s="1">
        <v>20000</v>
      </c>
    </row>
    <row r="274" spans="1:9">
      <c r="A274" s="9" t="s">
        <v>13</v>
      </c>
      <c r="B274" s="9" t="s">
        <v>13</v>
      </c>
      <c r="C274" t="s">
        <v>813</v>
      </c>
      <c r="D274" s="5" t="s">
        <v>815</v>
      </c>
      <c r="F274" s="1">
        <v>5671.91</v>
      </c>
    </row>
    <row r="275" spans="1:9">
      <c r="A275" s="9" t="s">
        <v>13</v>
      </c>
      <c r="B275" s="9" t="s">
        <v>13</v>
      </c>
      <c r="C275" t="s">
        <v>816</v>
      </c>
      <c r="D275" s="5" t="s">
        <v>818</v>
      </c>
      <c r="F275" s="1">
        <v>4678.0600000000004</v>
      </c>
    </row>
    <row r="276" spans="1:9">
      <c r="A276" s="9" t="s">
        <v>13</v>
      </c>
      <c r="B276" s="9" t="s">
        <v>13</v>
      </c>
      <c r="C276" t="s">
        <v>819</v>
      </c>
      <c r="D276" s="5" t="s">
        <v>821</v>
      </c>
      <c r="E276" s="1">
        <v>4060</v>
      </c>
    </row>
    <row r="277" spans="1:9">
      <c r="A277" s="9" t="s">
        <v>13</v>
      </c>
      <c r="B277" s="9" t="s">
        <v>13</v>
      </c>
      <c r="C277" t="s">
        <v>822</v>
      </c>
      <c r="D277" s="5" t="s">
        <v>824</v>
      </c>
      <c r="E277" s="1">
        <v>2667.5</v>
      </c>
    </row>
    <row r="278" spans="1:9">
      <c r="A278" s="9" t="s">
        <v>825</v>
      </c>
      <c r="B278" s="9" t="s">
        <v>825</v>
      </c>
      <c r="C278" t="s">
        <v>827</v>
      </c>
      <c r="D278" s="5" t="s">
        <v>829</v>
      </c>
      <c r="E278" s="1">
        <v>1380.67</v>
      </c>
      <c r="F278" s="1">
        <v>2066</v>
      </c>
    </row>
    <row r="279" spans="1:9">
      <c r="A279" s="9" t="s">
        <v>825</v>
      </c>
      <c r="B279" s="9" t="s">
        <v>825</v>
      </c>
      <c r="C279" t="s">
        <v>830</v>
      </c>
      <c r="D279" s="5" t="s">
        <v>832</v>
      </c>
      <c r="F279" s="1">
        <v>50</v>
      </c>
      <c r="G279" s="1">
        <v>355.43</v>
      </c>
    </row>
    <row r="280" spans="1:9">
      <c r="A280" s="9" t="s">
        <v>825</v>
      </c>
      <c r="B280" s="9" t="s">
        <v>825</v>
      </c>
      <c r="C280" t="s">
        <v>833</v>
      </c>
      <c r="D280" s="5" t="s">
        <v>835</v>
      </c>
      <c r="F280" s="1">
        <v>311736.90999999997</v>
      </c>
      <c r="G280" s="1">
        <v>846.59</v>
      </c>
    </row>
    <row r="281" spans="1:9">
      <c r="A281" s="9" t="s">
        <v>825</v>
      </c>
      <c r="B281" s="9" t="s">
        <v>825</v>
      </c>
      <c r="C281" t="s">
        <v>836</v>
      </c>
      <c r="D281" s="5" t="s">
        <v>838</v>
      </c>
      <c r="F281" s="1">
        <v>191.08</v>
      </c>
      <c r="H281" s="1">
        <v>349.47</v>
      </c>
    </row>
    <row r="282" spans="1:9">
      <c r="A282" s="9" t="s">
        <v>825</v>
      </c>
      <c r="B282" s="9" t="s">
        <v>825</v>
      </c>
      <c r="C282" t="s">
        <v>807</v>
      </c>
      <c r="D282" s="5" t="s">
        <v>809</v>
      </c>
      <c r="E282" s="1">
        <v>1923.41</v>
      </c>
      <c r="F282" s="1">
        <v>9475.7999999999993</v>
      </c>
    </row>
    <row r="283" spans="1:9">
      <c r="A283" s="9" t="s">
        <v>825</v>
      </c>
      <c r="B283" s="9" t="s">
        <v>825</v>
      </c>
      <c r="C283" t="s">
        <v>839</v>
      </c>
      <c r="D283" s="5" t="s">
        <v>841</v>
      </c>
      <c r="E283" s="1">
        <v>715.91</v>
      </c>
      <c r="F283" s="1">
        <v>555</v>
      </c>
    </row>
    <row r="284" spans="1:9">
      <c r="A284" s="9" t="s">
        <v>825</v>
      </c>
      <c r="B284" s="9" t="s">
        <v>825</v>
      </c>
      <c r="C284" t="s">
        <v>842</v>
      </c>
      <c r="D284" s="5" t="s">
        <v>844</v>
      </c>
      <c r="E284" s="1">
        <v>6571.58</v>
      </c>
    </row>
    <row r="285" spans="1:9">
      <c r="A285" s="9" t="s">
        <v>825</v>
      </c>
      <c r="B285" s="9" t="s">
        <v>825</v>
      </c>
      <c r="C285" t="s">
        <v>845</v>
      </c>
      <c r="D285" s="5" t="s">
        <v>847</v>
      </c>
      <c r="E285" s="1">
        <v>1055.3800000000001</v>
      </c>
    </row>
    <row r="286" spans="1:9">
      <c r="A286" s="9" t="s">
        <v>825</v>
      </c>
      <c r="B286" s="9" t="s">
        <v>825</v>
      </c>
      <c r="C286" t="s">
        <v>848</v>
      </c>
      <c r="D286" s="5" t="s">
        <v>850</v>
      </c>
      <c r="E286" s="1">
        <v>7529.99</v>
      </c>
      <c r="G286" s="1">
        <v>330.62</v>
      </c>
      <c r="H286" s="1">
        <v>1182.5350000000001</v>
      </c>
      <c r="I286" s="1">
        <v>1180.4000000000001</v>
      </c>
    </row>
    <row r="287" spans="1:9">
      <c r="A287" s="9" t="s">
        <v>825</v>
      </c>
      <c r="B287" s="9" t="s">
        <v>825</v>
      </c>
      <c r="C287" t="s">
        <v>851</v>
      </c>
      <c r="D287" s="5" t="s">
        <v>853</v>
      </c>
      <c r="E287" s="1">
        <v>7332.06</v>
      </c>
    </row>
    <row r="288" spans="1:9">
      <c r="A288" s="9" t="s">
        <v>825</v>
      </c>
      <c r="B288" s="9" t="s">
        <v>825</v>
      </c>
      <c r="C288" t="s">
        <v>854</v>
      </c>
      <c r="D288" s="5" t="s">
        <v>856</v>
      </c>
      <c r="E288" s="1">
        <v>19108.61</v>
      </c>
      <c r="F288" s="1">
        <v>5416</v>
      </c>
      <c r="G288" s="1">
        <v>1100</v>
      </c>
    </row>
    <row r="289" spans="1:9">
      <c r="A289" s="9" t="s">
        <v>825</v>
      </c>
      <c r="B289" s="9" t="s">
        <v>825</v>
      </c>
      <c r="C289" t="s">
        <v>857</v>
      </c>
      <c r="D289" s="5" t="s">
        <v>859</v>
      </c>
      <c r="E289" s="1">
        <v>1484.7</v>
      </c>
    </row>
    <row r="290" spans="1:9">
      <c r="A290" s="9" t="s">
        <v>825</v>
      </c>
      <c r="B290" s="9" t="s">
        <v>825</v>
      </c>
      <c r="C290" t="s">
        <v>860</v>
      </c>
      <c r="D290" s="5" t="s">
        <v>862</v>
      </c>
      <c r="E290" s="1">
        <v>2796.51</v>
      </c>
    </row>
    <row r="291" spans="1:9">
      <c r="A291" s="9" t="s">
        <v>825</v>
      </c>
      <c r="B291" s="9" t="s">
        <v>825</v>
      </c>
      <c r="C291" t="s">
        <v>863</v>
      </c>
      <c r="D291" s="5" t="s">
        <v>865</v>
      </c>
      <c r="E291" s="1">
        <v>-180</v>
      </c>
      <c r="H291" s="1">
        <v>1477.34</v>
      </c>
    </row>
    <row r="292" spans="1:9">
      <c r="A292" s="9" t="s">
        <v>825</v>
      </c>
      <c r="B292" s="9" t="s">
        <v>825</v>
      </c>
      <c r="C292" t="s">
        <v>866</v>
      </c>
      <c r="D292" s="5" t="s">
        <v>868</v>
      </c>
      <c r="E292" s="1">
        <v>83319.03</v>
      </c>
      <c r="F292" s="1">
        <v>1539.15</v>
      </c>
      <c r="G292" s="1">
        <v>29288.95</v>
      </c>
    </row>
    <row r="293" spans="1:9">
      <c r="A293" s="9" t="s">
        <v>825</v>
      </c>
      <c r="B293" s="9" t="s">
        <v>825</v>
      </c>
      <c r="C293" t="s">
        <v>869</v>
      </c>
      <c r="D293" s="5" t="s">
        <v>871</v>
      </c>
      <c r="E293" s="1">
        <v>1620.48</v>
      </c>
      <c r="G293" s="1">
        <v>856.43</v>
      </c>
    </row>
    <row r="294" spans="1:9">
      <c r="A294" s="9" t="s">
        <v>825</v>
      </c>
      <c r="B294" s="9" t="s">
        <v>825</v>
      </c>
      <c r="C294" t="s">
        <v>872</v>
      </c>
      <c r="D294" s="5" t="s">
        <v>874</v>
      </c>
      <c r="E294" s="1">
        <v>1300</v>
      </c>
      <c r="G294" s="1">
        <v>434.45</v>
      </c>
      <c r="H294" s="1">
        <v>1252.7349999999999</v>
      </c>
      <c r="I294" s="1">
        <v>180.16</v>
      </c>
    </row>
    <row r="295" spans="1:9">
      <c r="A295" s="9" t="s">
        <v>825</v>
      </c>
      <c r="B295" s="9" t="s">
        <v>825</v>
      </c>
      <c r="C295" t="s">
        <v>875</v>
      </c>
      <c r="D295" s="5" t="s">
        <v>877</v>
      </c>
      <c r="G295" s="1">
        <v>1636.52</v>
      </c>
      <c r="H295" s="1">
        <v>542.44000000000005</v>
      </c>
    </row>
    <row r="296" spans="1:9">
      <c r="A296" s="9" t="s">
        <v>825</v>
      </c>
      <c r="B296" s="9" t="s">
        <v>825</v>
      </c>
      <c r="C296" t="s">
        <v>878</v>
      </c>
      <c r="D296" s="5" t="s">
        <v>880</v>
      </c>
      <c r="F296" s="1">
        <v>0</v>
      </c>
      <c r="G296" s="1">
        <v>1843</v>
      </c>
      <c r="H296" s="1">
        <v>981.47</v>
      </c>
    </row>
    <row r="297" spans="1:9">
      <c r="A297" s="9" t="s">
        <v>825</v>
      </c>
      <c r="B297" s="9" t="s">
        <v>825</v>
      </c>
      <c r="C297" t="s">
        <v>881</v>
      </c>
      <c r="D297" s="5" t="s">
        <v>883</v>
      </c>
      <c r="H297" s="1">
        <v>463.15</v>
      </c>
      <c r="I297" s="1">
        <v>348.49</v>
      </c>
    </row>
    <row r="298" spans="1:9">
      <c r="A298" s="9" t="s">
        <v>825</v>
      </c>
      <c r="B298" s="9" t="s">
        <v>825</v>
      </c>
      <c r="C298" t="s">
        <v>884</v>
      </c>
      <c r="D298" s="5" t="s">
        <v>886</v>
      </c>
      <c r="E298" s="1">
        <v>13670.49</v>
      </c>
      <c r="F298" s="1">
        <v>5910</v>
      </c>
    </row>
    <row r="299" spans="1:9">
      <c r="A299" s="9" t="s">
        <v>825</v>
      </c>
      <c r="B299" s="9" t="s">
        <v>825</v>
      </c>
      <c r="C299" t="s">
        <v>887</v>
      </c>
      <c r="D299" s="5" t="s">
        <v>889</v>
      </c>
      <c r="E299" s="1">
        <v>414231.28</v>
      </c>
      <c r="F299" s="1">
        <v>2340</v>
      </c>
      <c r="G299" s="1">
        <v>60035.9</v>
      </c>
      <c r="H299" s="1">
        <v>6503.15</v>
      </c>
    </row>
    <row r="300" spans="1:9">
      <c r="A300" s="9" t="s">
        <v>825</v>
      </c>
      <c r="B300" s="9" t="s">
        <v>825</v>
      </c>
      <c r="C300" t="s">
        <v>406</v>
      </c>
      <c r="D300" s="5" t="s">
        <v>408</v>
      </c>
      <c r="F300" s="1">
        <v>10724</v>
      </c>
      <c r="H300" s="1">
        <v>91.1</v>
      </c>
    </row>
    <row r="301" spans="1:9">
      <c r="A301" s="9" t="s">
        <v>825</v>
      </c>
      <c r="B301" s="9" t="s">
        <v>825</v>
      </c>
      <c r="C301" t="s">
        <v>890</v>
      </c>
      <c r="D301" s="5" t="s">
        <v>892</v>
      </c>
      <c r="F301" s="1">
        <v>4254.92</v>
      </c>
    </row>
    <row r="302" spans="1:9">
      <c r="A302" s="9" t="s">
        <v>825</v>
      </c>
      <c r="B302" s="9" t="s">
        <v>825</v>
      </c>
      <c r="C302" t="s">
        <v>893</v>
      </c>
      <c r="D302" s="5" t="s">
        <v>895</v>
      </c>
      <c r="E302" s="1">
        <v>2599.87</v>
      </c>
      <c r="F302" s="1">
        <v>850</v>
      </c>
    </row>
    <row r="303" spans="1:9">
      <c r="A303" s="9" t="s">
        <v>825</v>
      </c>
      <c r="B303" s="9" t="s">
        <v>825</v>
      </c>
      <c r="C303" t="s">
        <v>896</v>
      </c>
      <c r="D303" s="5" t="s">
        <v>898</v>
      </c>
      <c r="F303" s="1">
        <v>724</v>
      </c>
    </row>
    <row r="304" spans="1:9">
      <c r="A304" s="9" t="s">
        <v>825</v>
      </c>
      <c r="B304" s="9" t="s">
        <v>825</v>
      </c>
      <c r="C304" t="s">
        <v>899</v>
      </c>
      <c r="D304" s="5" t="s">
        <v>901</v>
      </c>
      <c r="F304" s="1">
        <v>8900</v>
      </c>
    </row>
    <row r="305" spans="1:9">
      <c r="A305" s="9" t="s">
        <v>825</v>
      </c>
      <c r="B305" s="9" t="s">
        <v>825</v>
      </c>
      <c r="C305" t="s">
        <v>902</v>
      </c>
      <c r="D305" s="5" t="s">
        <v>904</v>
      </c>
      <c r="E305" s="1">
        <v>16679.53</v>
      </c>
      <c r="F305" s="1">
        <v>390</v>
      </c>
      <c r="G305" s="1">
        <v>72902.490000000005</v>
      </c>
    </row>
    <row r="306" spans="1:9">
      <c r="A306" s="9" t="s">
        <v>825</v>
      </c>
      <c r="B306" s="9" t="s">
        <v>825</v>
      </c>
      <c r="C306" t="s">
        <v>905</v>
      </c>
      <c r="D306" s="5" t="s">
        <v>907</v>
      </c>
      <c r="E306" s="1">
        <v>16038.98</v>
      </c>
      <c r="F306" s="1">
        <v>6300</v>
      </c>
      <c r="G306" s="1">
        <v>2488</v>
      </c>
    </row>
    <row r="307" spans="1:9">
      <c r="A307" s="9" t="s">
        <v>825</v>
      </c>
      <c r="B307" s="9" t="s">
        <v>825</v>
      </c>
      <c r="C307" t="s">
        <v>908</v>
      </c>
      <c r="D307" s="5" t="s">
        <v>910</v>
      </c>
      <c r="E307" s="1">
        <v>16400</v>
      </c>
    </row>
    <row r="308" spans="1:9">
      <c r="A308" s="9" t="s">
        <v>825</v>
      </c>
      <c r="B308" s="9" t="s">
        <v>825</v>
      </c>
      <c r="C308" t="s">
        <v>911</v>
      </c>
      <c r="D308" s="5" t="s">
        <v>913</v>
      </c>
      <c r="E308" s="1">
        <v>951.89</v>
      </c>
      <c r="H308" s="1">
        <v>248.42500000000001</v>
      </c>
      <c r="I308" s="1">
        <v>45.33</v>
      </c>
    </row>
    <row r="309" spans="1:9">
      <c r="A309" s="9" t="s">
        <v>825</v>
      </c>
      <c r="B309" s="9" t="s">
        <v>825</v>
      </c>
      <c r="C309" t="s">
        <v>914</v>
      </c>
      <c r="D309" s="5" t="s">
        <v>916</v>
      </c>
      <c r="E309" s="1">
        <v>12295.08</v>
      </c>
      <c r="F309" s="1">
        <v>6540</v>
      </c>
    </row>
    <row r="310" spans="1:9">
      <c r="A310" s="9" t="s">
        <v>825</v>
      </c>
      <c r="B310" s="9" t="s">
        <v>825</v>
      </c>
      <c r="C310" t="s">
        <v>917</v>
      </c>
      <c r="D310" s="5" t="s">
        <v>919</v>
      </c>
      <c r="E310" s="1">
        <v>32447.08</v>
      </c>
    </row>
    <row r="311" spans="1:9">
      <c r="A311" s="9" t="s">
        <v>825</v>
      </c>
      <c r="B311" s="9" t="s">
        <v>825</v>
      </c>
      <c r="C311" t="s">
        <v>920</v>
      </c>
      <c r="D311" s="5" t="s">
        <v>922</v>
      </c>
      <c r="F311" s="1">
        <v>0</v>
      </c>
      <c r="G311" s="1">
        <v>352.37</v>
      </c>
      <c r="H311" s="1">
        <v>285.91000000000003</v>
      </c>
      <c r="I311" s="1">
        <v>135.83000000000001</v>
      </c>
    </row>
    <row r="312" spans="1:9">
      <c r="A312" s="9" t="s">
        <v>825</v>
      </c>
      <c r="B312" s="9" t="s">
        <v>825</v>
      </c>
      <c r="C312" t="s">
        <v>708</v>
      </c>
      <c r="D312" s="5" t="s">
        <v>710</v>
      </c>
      <c r="G312" s="1">
        <v>2387.63</v>
      </c>
      <c r="H312" s="1">
        <v>2540.7600000000002</v>
      </c>
    </row>
    <row r="313" spans="1:9">
      <c r="A313" s="9" t="s">
        <v>825</v>
      </c>
      <c r="B313" s="9" t="s">
        <v>825</v>
      </c>
      <c r="C313" t="s">
        <v>923</v>
      </c>
      <c r="D313" s="5" t="s">
        <v>925</v>
      </c>
      <c r="E313" s="1">
        <v>31855.919999999998</v>
      </c>
      <c r="G313" s="1">
        <v>3360</v>
      </c>
    </row>
    <row r="314" spans="1:9">
      <c r="A314" s="9" t="s">
        <v>825</v>
      </c>
      <c r="B314" s="9" t="s">
        <v>825</v>
      </c>
      <c r="C314" t="s">
        <v>926</v>
      </c>
      <c r="D314" s="5" t="s">
        <v>928</v>
      </c>
      <c r="G314" s="1">
        <v>2554.4499999999998</v>
      </c>
      <c r="H314" s="1">
        <v>88.04</v>
      </c>
    </row>
    <row r="315" spans="1:9">
      <c r="A315" s="9" t="s">
        <v>825</v>
      </c>
      <c r="B315" s="9" t="s">
        <v>825</v>
      </c>
      <c r="C315" t="s">
        <v>929</v>
      </c>
      <c r="D315" s="5" t="s">
        <v>931</v>
      </c>
      <c r="H315" s="1">
        <v>73.92</v>
      </c>
    </row>
    <row r="316" spans="1:9">
      <c r="A316" s="9" t="s">
        <v>825</v>
      </c>
      <c r="B316" s="9" t="s">
        <v>825</v>
      </c>
      <c r="C316" t="s">
        <v>932</v>
      </c>
      <c r="D316" s="5" t="s">
        <v>934</v>
      </c>
      <c r="F316" s="1">
        <v>919</v>
      </c>
    </row>
    <row r="317" spans="1:9">
      <c r="A317" s="9" t="s">
        <v>825</v>
      </c>
      <c r="B317" s="9" t="s">
        <v>825</v>
      </c>
      <c r="C317" t="s">
        <v>935</v>
      </c>
      <c r="D317" s="5" t="s">
        <v>937</v>
      </c>
      <c r="E317" s="1">
        <v>41634</v>
      </c>
      <c r="F317" s="1">
        <v>634</v>
      </c>
      <c r="G317" s="1">
        <v>55706.41</v>
      </c>
    </row>
    <row r="318" spans="1:9">
      <c r="A318" s="9" t="s">
        <v>825</v>
      </c>
      <c r="B318" s="9" t="s">
        <v>825</v>
      </c>
      <c r="C318" t="s">
        <v>938</v>
      </c>
      <c r="D318" s="5" t="s">
        <v>940</v>
      </c>
      <c r="F318" s="1">
        <v>40</v>
      </c>
    </row>
    <row r="319" spans="1:9">
      <c r="A319" s="9" t="s">
        <v>825</v>
      </c>
      <c r="B319" s="9" t="s">
        <v>1901</v>
      </c>
      <c r="C319" t="s">
        <v>941</v>
      </c>
      <c r="D319" s="5" t="s">
        <v>943</v>
      </c>
      <c r="E319" s="1">
        <v>499.86</v>
      </c>
    </row>
    <row r="320" spans="1:9">
      <c r="A320" s="9" t="s">
        <v>825</v>
      </c>
      <c r="B320" s="9" t="s">
        <v>825</v>
      </c>
      <c r="C320" t="s">
        <v>944</v>
      </c>
      <c r="D320" s="5" t="s">
        <v>946</v>
      </c>
      <c r="E320" s="1">
        <v>8196.7099999999991</v>
      </c>
      <c r="H320" s="1">
        <v>72.275000000000006</v>
      </c>
    </row>
    <row r="321" spans="1:8">
      <c r="A321" s="9" t="s">
        <v>825</v>
      </c>
      <c r="B321" s="9" t="s">
        <v>825</v>
      </c>
      <c r="C321" t="s">
        <v>947</v>
      </c>
      <c r="D321" s="5" t="s">
        <v>949</v>
      </c>
      <c r="E321" s="1">
        <v>2530.3200000000002</v>
      </c>
    </row>
    <row r="322" spans="1:8">
      <c r="A322" s="9" t="s">
        <v>825</v>
      </c>
      <c r="B322" s="9" t="s">
        <v>825</v>
      </c>
      <c r="C322" t="s">
        <v>950</v>
      </c>
      <c r="D322" s="5" t="s">
        <v>952</v>
      </c>
      <c r="G322" s="1">
        <v>2334.61</v>
      </c>
      <c r="H322" s="1">
        <v>807.06</v>
      </c>
    </row>
    <row r="323" spans="1:8">
      <c r="A323" s="9" t="s">
        <v>825</v>
      </c>
      <c r="B323" s="9" t="s">
        <v>825</v>
      </c>
      <c r="C323" t="s">
        <v>953</v>
      </c>
      <c r="D323" s="5" t="s">
        <v>955</v>
      </c>
      <c r="G323" s="1">
        <v>8099</v>
      </c>
    </row>
    <row r="324" spans="1:8">
      <c r="A324" s="9" t="s">
        <v>825</v>
      </c>
      <c r="B324" s="9" t="s">
        <v>825</v>
      </c>
      <c r="C324" t="s">
        <v>798</v>
      </c>
      <c r="D324" s="5" t="s">
        <v>800</v>
      </c>
      <c r="G324" s="1">
        <v>173.56</v>
      </c>
      <c r="H324" s="1">
        <v>571.20000000000005</v>
      </c>
    </row>
    <row r="325" spans="1:8">
      <c r="A325" s="9" t="s">
        <v>825</v>
      </c>
      <c r="B325" s="9" t="s">
        <v>825</v>
      </c>
      <c r="C325" t="s">
        <v>956</v>
      </c>
      <c r="D325" s="5" t="s">
        <v>958</v>
      </c>
      <c r="H325" s="1">
        <v>72.275000000000006</v>
      </c>
    </row>
    <row r="326" spans="1:8">
      <c r="A326" s="9" t="s">
        <v>825</v>
      </c>
      <c r="B326" s="9" t="s">
        <v>825</v>
      </c>
      <c r="C326" t="s">
        <v>959</v>
      </c>
      <c r="D326" s="5" t="s">
        <v>961</v>
      </c>
      <c r="H326" s="1">
        <v>41.3</v>
      </c>
    </row>
    <row r="327" spans="1:8">
      <c r="A327" s="9" t="s">
        <v>825</v>
      </c>
      <c r="B327" s="9" t="s">
        <v>825</v>
      </c>
      <c r="C327" t="s">
        <v>756</v>
      </c>
      <c r="D327" s="5" t="s">
        <v>758</v>
      </c>
      <c r="E327" s="1">
        <v>194595.31</v>
      </c>
      <c r="G327" s="1">
        <v>8548.39</v>
      </c>
    </row>
    <row r="328" spans="1:8">
      <c r="A328" s="9" t="s">
        <v>825</v>
      </c>
      <c r="B328" s="9" t="s">
        <v>825</v>
      </c>
      <c r="C328" t="s">
        <v>962</v>
      </c>
      <c r="D328" s="5" t="s">
        <v>964</v>
      </c>
      <c r="E328" s="1">
        <v>13596.66</v>
      </c>
    </row>
    <row r="329" spans="1:8">
      <c r="A329" s="9" t="s">
        <v>825</v>
      </c>
      <c r="B329" s="9" t="s">
        <v>825</v>
      </c>
      <c r="C329" t="s">
        <v>965</v>
      </c>
      <c r="D329" s="5" t="s">
        <v>967</v>
      </c>
      <c r="F329" s="1">
        <v>2010</v>
      </c>
    </row>
    <row r="330" spans="1:8">
      <c r="A330" s="9" t="s">
        <v>825</v>
      </c>
      <c r="B330" s="9" t="s">
        <v>825</v>
      </c>
      <c r="C330" t="s">
        <v>968</v>
      </c>
      <c r="D330" s="5" t="s">
        <v>970</v>
      </c>
      <c r="E330" s="1">
        <v>11503.63</v>
      </c>
    </row>
    <row r="331" spans="1:8">
      <c r="A331" s="9" t="s">
        <v>825</v>
      </c>
      <c r="B331" s="9" t="s">
        <v>825</v>
      </c>
      <c r="C331" t="s">
        <v>327</v>
      </c>
      <c r="D331" s="5" t="s">
        <v>329</v>
      </c>
      <c r="E331" s="1">
        <v>3661.92</v>
      </c>
    </row>
    <row r="332" spans="1:8">
      <c r="A332" s="9" t="s">
        <v>825</v>
      </c>
      <c r="B332" s="9" t="s">
        <v>825</v>
      </c>
      <c r="C332" t="s">
        <v>971</v>
      </c>
      <c r="D332" s="5" t="s">
        <v>973</v>
      </c>
      <c r="E332" s="1">
        <v>0</v>
      </c>
    </row>
    <row r="333" spans="1:8">
      <c r="A333" s="9" t="s">
        <v>825</v>
      </c>
      <c r="B333" s="9" t="s">
        <v>825</v>
      </c>
      <c r="C333" t="s">
        <v>974</v>
      </c>
      <c r="D333" s="5" t="s">
        <v>976</v>
      </c>
      <c r="E333" s="1">
        <v>1053.57</v>
      </c>
      <c r="F333" s="1">
        <v>4346.2700000000004</v>
      </c>
    </row>
    <row r="334" spans="1:8">
      <c r="A334" s="9" t="s">
        <v>825</v>
      </c>
      <c r="B334" s="9" t="s">
        <v>825</v>
      </c>
      <c r="C334" t="s">
        <v>977</v>
      </c>
      <c r="D334" s="5" t="s">
        <v>979</v>
      </c>
      <c r="E334" s="1">
        <v>940</v>
      </c>
    </row>
    <row r="335" spans="1:8">
      <c r="A335" s="9" t="s">
        <v>825</v>
      </c>
      <c r="B335" s="9" t="s">
        <v>825</v>
      </c>
      <c r="C335" t="s">
        <v>980</v>
      </c>
      <c r="D335" s="5" t="s">
        <v>982</v>
      </c>
      <c r="E335" s="1">
        <v>8612.8799999999992</v>
      </c>
    </row>
    <row r="336" spans="1:8">
      <c r="A336" s="9" t="s">
        <v>825</v>
      </c>
      <c r="B336" s="9" t="s">
        <v>825</v>
      </c>
      <c r="C336" t="s">
        <v>983</v>
      </c>
      <c r="D336" s="5" t="s">
        <v>985</v>
      </c>
      <c r="E336" s="1">
        <v>8010</v>
      </c>
    </row>
    <row r="337" spans="1:9">
      <c r="A337" s="9" t="s">
        <v>825</v>
      </c>
      <c r="B337" s="9" t="s">
        <v>825</v>
      </c>
      <c r="C337" t="s">
        <v>986</v>
      </c>
      <c r="D337" s="5" t="s">
        <v>988</v>
      </c>
      <c r="G337" s="1">
        <v>128</v>
      </c>
    </row>
    <row r="338" spans="1:9">
      <c r="A338" s="9" t="s">
        <v>825</v>
      </c>
      <c r="B338" s="9" t="s">
        <v>825</v>
      </c>
      <c r="C338" t="s">
        <v>989</v>
      </c>
      <c r="D338" s="5" t="s">
        <v>991</v>
      </c>
      <c r="E338" s="1">
        <v>19621.060000000001</v>
      </c>
      <c r="G338" s="1">
        <v>3691.6</v>
      </c>
    </row>
    <row r="339" spans="1:9">
      <c r="A339" s="9" t="s">
        <v>825</v>
      </c>
      <c r="B339" s="9" t="s">
        <v>825</v>
      </c>
      <c r="C339" t="s">
        <v>992</v>
      </c>
      <c r="D339" s="5" t="s">
        <v>994</v>
      </c>
      <c r="G339" s="1">
        <v>1644.48</v>
      </c>
      <c r="H339" s="1">
        <v>1647.96</v>
      </c>
    </row>
    <row r="340" spans="1:9">
      <c r="A340" s="9" t="s">
        <v>825</v>
      </c>
      <c r="B340" s="9" t="s">
        <v>825</v>
      </c>
      <c r="C340" t="s">
        <v>995</v>
      </c>
      <c r="D340" s="5" t="s">
        <v>997</v>
      </c>
      <c r="E340" s="1">
        <v>3947.56</v>
      </c>
      <c r="H340" s="1">
        <v>1323.67</v>
      </c>
      <c r="I340" s="1">
        <v>300.22000000000003</v>
      </c>
    </row>
    <row r="341" spans="1:9">
      <c r="A341" s="9" t="s">
        <v>825</v>
      </c>
      <c r="B341" s="9" t="s">
        <v>825</v>
      </c>
      <c r="C341" t="s">
        <v>998</v>
      </c>
      <c r="D341" s="5" t="s">
        <v>1000</v>
      </c>
      <c r="F341" s="1">
        <v>12635.6</v>
      </c>
    </row>
    <row r="342" spans="1:9">
      <c r="A342" s="9" t="s">
        <v>825</v>
      </c>
      <c r="B342" s="9" t="s">
        <v>825</v>
      </c>
      <c r="C342" t="s">
        <v>1001</v>
      </c>
      <c r="D342" s="5" t="s">
        <v>1003</v>
      </c>
      <c r="F342" s="1">
        <v>40</v>
      </c>
    </row>
    <row r="343" spans="1:9">
      <c r="A343" s="9" t="s">
        <v>825</v>
      </c>
      <c r="B343" s="9" t="s">
        <v>825</v>
      </c>
      <c r="C343" t="s">
        <v>1004</v>
      </c>
      <c r="D343" s="5" t="s">
        <v>1006</v>
      </c>
      <c r="E343" s="1">
        <v>83333.36</v>
      </c>
    </row>
    <row r="344" spans="1:9">
      <c r="A344" s="9" t="s">
        <v>825</v>
      </c>
      <c r="B344" s="9" t="s">
        <v>825</v>
      </c>
      <c r="C344" t="s">
        <v>1007</v>
      </c>
      <c r="D344" s="5" t="s">
        <v>1009</v>
      </c>
      <c r="E344" s="1">
        <v>20240.71</v>
      </c>
    </row>
    <row r="345" spans="1:9">
      <c r="A345" s="9" t="s">
        <v>825</v>
      </c>
      <c r="B345" s="9" t="s">
        <v>825</v>
      </c>
      <c r="C345" t="s">
        <v>1010</v>
      </c>
      <c r="D345" s="5" t="s">
        <v>1012</v>
      </c>
      <c r="E345" s="1">
        <v>3195.16</v>
      </c>
    </row>
    <row r="346" spans="1:9">
      <c r="A346" s="9" t="s">
        <v>825</v>
      </c>
      <c r="B346" s="9" t="s">
        <v>825</v>
      </c>
      <c r="C346" t="s">
        <v>1013</v>
      </c>
      <c r="D346" s="5" t="s">
        <v>1015</v>
      </c>
      <c r="G346" s="1">
        <v>17830.689999999999</v>
      </c>
    </row>
    <row r="347" spans="1:9">
      <c r="A347" s="9" t="s">
        <v>825</v>
      </c>
      <c r="B347" s="9" t="s">
        <v>825</v>
      </c>
      <c r="C347" t="s">
        <v>1016</v>
      </c>
      <c r="D347" s="5" t="s">
        <v>1018</v>
      </c>
      <c r="F347" s="1">
        <v>1005</v>
      </c>
      <c r="G347" s="1">
        <v>1820</v>
      </c>
      <c r="H347" s="1">
        <v>492</v>
      </c>
    </row>
    <row r="348" spans="1:9">
      <c r="A348" s="9" t="s">
        <v>825</v>
      </c>
      <c r="B348" s="9" t="s">
        <v>1900</v>
      </c>
      <c r="C348" t="s">
        <v>333</v>
      </c>
      <c r="D348" s="5" t="s">
        <v>335</v>
      </c>
      <c r="H348" s="1">
        <v>188.03</v>
      </c>
    </row>
    <row r="349" spans="1:9">
      <c r="A349" s="9" t="s">
        <v>825</v>
      </c>
      <c r="B349" s="9" t="s">
        <v>825</v>
      </c>
      <c r="C349" t="s">
        <v>1019</v>
      </c>
      <c r="D349" s="5" t="s">
        <v>1021</v>
      </c>
      <c r="H349" s="1">
        <v>1854.8</v>
      </c>
    </row>
    <row r="350" spans="1:9">
      <c r="A350" s="9" t="s">
        <v>825</v>
      </c>
      <c r="B350" s="9" t="s">
        <v>825</v>
      </c>
      <c r="C350" t="s">
        <v>1022</v>
      </c>
      <c r="D350" s="5" t="s">
        <v>1024</v>
      </c>
      <c r="F350" s="1">
        <v>1199</v>
      </c>
      <c r="H350" s="1">
        <v>296.67</v>
      </c>
    </row>
    <row r="351" spans="1:9">
      <c r="A351" s="9" t="s">
        <v>825</v>
      </c>
      <c r="B351" s="9" t="s">
        <v>825</v>
      </c>
      <c r="C351" t="s">
        <v>1025</v>
      </c>
      <c r="D351" s="5" t="s">
        <v>1027</v>
      </c>
      <c r="F351" s="1">
        <v>850</v>
      </c>
    </row>
    <row r="352" spans="1:9">
      <c r="A352" s="9" t="s">
        <v>825</v>
      </c>
      <c r="B352" s="9" t="s">
        <v>825</v>
      </c>
      <c r="C352" t="s">
        <v>822</v>
      </c>
      <c r="D352" s="5" t="s">
        <v>824</v>
      </c>
      <c r="F352" s="1">
        <v>5704.62</v>
      </c>
    </row>
    <row r="353" spans="1:7">
      <c r="A353" s="9" t="s">
        <v>825</v>
      </c>
      <c r="B353" s="9" t="s">
        <v>825</v>
      </c>
      <c r="C353" t="s">
        <v>1028</v>
      </c>
      <c r="D353" s="5" t="s">
        <v>1030</v>
      </c>
      <c r="E353" s="1">
        <v>4988.45</v>
      </c>
    </row>
    <row r="354" spans="1:7">
      <c r="A354" s="9" t="s">
        <v>825</v>
      </c>
      <c r="B354" s="9" t="s">
        <v>825</v>
      </c>
      <c r="C354" t="s">
        <v>1031</v>
      </c>
      <c r="D354" s="5" t="s">
        <v>1033</v>
      </c>
      <c r="E354" s="1">
        <v>1644.63</v>
      </c>
    </row>
    <row r="355" spans="1:7">
      <c r="A355" s="9" t="s">
        <v>825</v>
      </c>
      <c r="B355" s="9" t="s">
        <v>825</v>
      </c>
      <c r="C355" t="s">
        <v>1034</v>
      </c>
      <c r="D355" s="5" t="s">
        <v>1036</v>
      </c>
      <c r="E355" s="1">
        <v>14314.23</v>
      </c>
      <c r="G355" s="1">
        <v>3926.5</v>
      </c>
    </row>
    <row r="356" spans="1:7">
      <c r="A356" s="9" t="s">
        <v>825</v>
      </c>
      <c r="B356" s="9" t="s">
        <v>825</v>
      </c>
      <c r="C356" t="s">
        <v>1037</v>
      </c>
      <c r="D356" s="5" t="s">
        <v>1039</v>
      </c>
      <c r="G356" s="1">
        <v>2404</v>
      </c>
    </row>
    <row r="357" spans="1:7">
      <c r="A357" s="9" t="s">
        <v>825</v>
      </c>
      <c r="B357" s="9" t="s">
        <v>825</v>
      </c>
      <c r="C357" t="s">
        <v>1040</v>
      </c>
      <c r="D357" s="5" t="s">
        <v>1042</v>
      </c>
      <c r="G357" s="1">
        <v>1048</v>
      </c>
    </row>
    <row r="358" spans="1:7">
      <c r="A358" s="9" t="s">
        <v>825</v>
      </c>
      <c r="B358" s="9" t="s">
        <v>825</v>
      </c>
      <c r="C358" t="s">
        <v>1043</v>
      </c>
      <c r="D358" s="5" t="s">
        <v>1045</v>
      </c>
      <c r="G358" s="1">
        <v>6943</v>
      </c>
    </row>
    <row r="359" spans="1:7">
      <c r="A359" s="9" t="s">
        <v>825</v>
      </c>
      <c r="B359" s="9" t="s">
        <v>825</v>
      </c>
      <c r="C359" t="s">
        <v>1046</v>
      </c>
      <c r="D359" s="5" t="s">
        <v>1048</v>
      </c>
      <c r="G359" s="1">
        <v>516</v>
      </c>
    </row>
    <row r="360" spans="1:7">
      <c r="A360" s="9" t="s">
        <v>825</v>
      </c>
      <c r="B360" s="9" t="s">
        <v>825</v>
      </c>
      <c r="C360" t="s">
        <v>1049</v>
      </c>
      <c r="D360" s="5" t="s">
        <v>1051</v>
      </c>
      <c r="G360" s="1">
        <v>48468.85</v>
      </c>
    </row>
    <row r="361" spans="1:7">
      <c r="A361" s="9" t="s">
        <v>825</v>
      </c>
      <c r="B361" s="9" t="s">
        <v>825</v>
      </c>
      <c r="C361" t="s">
        <v>1052</v>
      </c>
      <c r="D361" s="5" t="s">
        <v>1054</v>
      </c>
      <c r="G361" s="1">
        <v>396</v>
      </c>
    </row>
    <row r="362" spans="1:7">
      <c r="A362" s="9" t="s">
        <v>825</v>
      </c>
      <c r="B362" s="9" t="s">
        <v>825</v>
      </c>
      <c r="C362" t="s">
        <v>1055</v>
      </c>
      <c r="D362" s="5" t="s">
        <v>1057</v>
      </c>
      <c r="G362" s="1">
        <v>3635.63</v>
      </c>
    </row>
    <row r="363" spans="1:7">
      <c r="A363" s="9" t="s">
        <v>825</v>
      </c>
      <c r="B363" s="9" t="s">
        <v>825</v>
      </c>
      <c r="C363" t="s">
        <v>1058</v>
      </c>
      <c r="D363" s="5" t="s">
        <v>1060</v>
      </c>
      <c r="F363" s="1">
        <v>530</v>
      </c>
    </row>
    <row r="364" spans="1:7">
      <c r="A364" s="9" t="s">
        <v>825</v>
      </c>
      <c r="B364" s="9" t="s">
        <v>825</v>
      </c>
      <c r="C364" t="s">
        <v>1061</v>
      </c>
      <c r="D364" s="5" t="s">
        <v>1063</v>
      </c>
      <c r="F364" s="1">
        <v>0</v>
      </c>
    </row>
    <row r="365" spans="1:7">
      <c r="A365" s="9" t="s">
        <v>825</v>
      </c>
      <c r="B365" s="9" t="s">
        <v>825</v>
      </c>
      <c r="C365" t="s">
        <v>219</v>
      </c>
      <c r="D365" s="5" t="s">
        <v>221</v>
      </c>
      <c r="E365" s="1">
        <v>9629.8700000000008</v>
      </c>
      <c r="G365" s="1">
        <v>4957.8</v>
      </c>
    </row>
    <row r="366" spans="1:7">
      <c r="A366" s="9" t="s">
        <v>825</v>
      </c>
      <c r="B366" s="9" t="s">
        <v>825</v>
      </c>
      <c r="C366" t="s">
        <v>1064</v>
      </c>
      <c r="D366" s="5" t="s">
        <v>1066</v>
      </c>
      <c r="E366" s="1">
        <v>2415.38</v>
      </c>
    </row>
    <row r="367" spans="1:7">
      <c r="A367" s="9" t="s">
        <v>825</v>
      </c>
      <c r="B367" s="9" t="s">
        <v>825</v>
      </c>
      <c r="C367" t="s">
        <v>1067</v>
      </c>
      <c r="D367" s="5" t="s">
        <v>1069</v>
      </c>
      <c r="E367" s="1">
        <v>3871.27</v>
      </c>
    </row>
    <row r="368" spans="1:7">
      <c r="A368" s="9" t="s">
        <v>825</v>
      </c>
      <c r="B368" s="9" t="s">
        <v>825</v>
      </c>
      <c r="C368" t="s">
        <v>1070</v>
      </c>
      <c r="D368" s="5" t="s">
        <v>1072</v>
      </c>
      <c r="G368" s="1">
        <v>5333.67</v>
      </c>
    </row>
    <row r="369" spans="1:8">
      <c r="A369" s="9" t="s">
        <v>825</v>
      </c>
      <c r="B369" s="9" t="s">
        <v>825</v>
      </c>
      <c r="C369" t="s">
        <v>1073</v>
      </c>
      <c r="D369" s="5" t="s">
        <v>1075</v>
      </c>
      <c r="F369" s="1">
        <v>300</v>
      </c>
    </row>
    <row r="370" spans="1:8">
      <c r="A370" s="9" t="s">
        <v>825</v>
      </c>
      <c r="B370" s="9" t="s">
        <v>825</v>
      </c>
      <c r="C370" t="s">
        <v>1076</v>
      </c>
      <c r="D370" s="5" t="s">
        <v>1078</v>
      </c>
      <c r="F370" s="1">
        <v>3868</v>
      </c>
    </row>
    <row r="371" spans="1:8">
      <c r="A371" s="9" t="s">
        <v>825</v>
      </c>
      <c r="B371" s="9" t="s">
        <v>825</v>
      </c>
      <c r="C371" t="s">
        <v>1079</v>
      </c>
      <c r="D371" s="5" t="s">
        <v>1081</v>
      </c>
      <c r="F371" s="1">
        <v>33</v>
      </c>
    </row>
    <row r="372" spans="1:8">
      <c r="A372" s="9" t="s">
        <v>825</v>
      </c>
      <c r="B372" s="9" t="s">
        <v>825</v>
      </c>
      <c r="C372" t="s">
        <v>1082</v>
      </c>
      <c r="D372" s="5" t="s">
        <v>1084</v>
      </c>
      <c r="E372" s="1">
        <v>4511.68</v>
      </c>
    </row>
    <row r="373" spans="1:8">
      <c r="A373" s="9" t="s">
        <v>825</v>
      </c>
      <c r="B373" s="9" t="s">
        <v>825</v>
      </c>
      <c r="C373" t="s">
        <v>1085</v>
      </c>
      <c r="D373" s="5" t="s">
        <v>1087</v>
      </c>
      <c r="E373" s="1">
        <v>5713.14</v>
      </c>
    </row>
    <row r="374" spans="1:8">
      <c r="A374" s="9" t="s">
        <v>825</v>
      </c>
      <c r="B374" s="9" t="s">
        <v>825</v>
      </c>
      <c r="C374" t="s">
        <v>1088</v>
      </c>
      <c r="D374" s="5" t="s">
        <v>1090</v>
      </c>
      <c r="E374" s="1">
        <v>2610.7399999999998</v>
      </c>
    </row>
    <row r="375" spans="1:8">
      <c r="A375" s="9" t="s">
        <v>825</v>
      </c>
      <c r="B375" s="9" t="s">
        <v>825</v>
      </c>
      <c r="C375" t="s">
        <v>1091</v>
      </c>
      <c r="D375" s="5" t="s">
        <v>1093</v>
      </c>
      <c r="H375" s="1">
        <v>211.92</v>
      </c>
    </row>
    <row r="376" spans="1:8">
      <c r="A376" s="9" t="s">
        <v>825</v>
      </c>
      <c r="B376" s="9" t="s">
        <v>825</v>
      </c>
      <c r="C376" t="s">
        <v>1094</v>
      </c>
      <c r="D376" s="5" t="s">
        <v>1096</v>
      </c>
      <c r="H376" s="1">
        <v>154.875</v>
      </c>
    </row>
    <row r="377" spans="1:8">
      <c r="A377" s="9" t="s">
        <v>1097</v>
      </c>
      <c r="B377" s="9" t="s">
        <v>1097</v>
      </c>
      <c r="C377" t="s">
        <v>341</v>
      </c>
      <c r="D377" s="5" t="s">
        <v>343</v>
      </c>
      <c r="F377" s="1">
        <v>4600.08</v>
      </c>
      <c r="G377" s="1">
        <v>140414.72</v>
      </c>
    </row>
    <row r="378" spans="1:8">
      <c r="A378" s="9" t="s">
        <v>1097</v>
      </c>
      <c r="B378" s="9" t="s">
        <v>1097</v>
      </c>
      <c r="C378" t="s">
        <v>543</v>
      </c>
      <c r="D378" s="5" t="s">
        <v>545</v>
      </c>
      <c r="F378" s="1">
        <v>105703.2</v>
      </c>
      <c r="G378" s="1">
        <v>452769.8</v>
      </c>
    </row>
    <row r="379" spans="1:8">
      <c r="A379" s="9" t="s">
        <v>1097</v>
      </c>
      <c r="B379" s="9" t="s">
        <v>1097</v>
      </c>
      <c r="C379" t="s">
        <v>1099</v>
      </c>
      <c r="D379" s="5" t="s">
        <v>1101</v>
      </c>
      <c r="F379" s="1">
        <v>234914.31</v>
      </c>
      <c r="G379" s="1">
        <v>455272.37</v>
      </c>
    </row>
    <row r="380" spans="1:8">
      <c r="A380" s="9" t="s">
        <v>1097</v>
      </c>
      <c r="B380" s="9" t="s">
        <v>1097</v>
      </c>
      <c r="C380" t="s">
        <v>338</v>
      </c>
      <c r="D380" s="5" t="s">
        <v>340</v>
      </c>
      <c r="F380" s="1">
        <v>216782.36</v>
      </c>
      <c r="G380" s="1">
        <v>177871.39</v>
      </c>
    </row>
    <row r="381" spans="1:8">
      <c r="A381" s="9" t="s">
        <v>1097</v>
      </c>
      <c r="B381" s="9" t="s">
        <v>1097</v>
      </c>
      <c r="C381" t="s">
        <v>636</v>
      </c>
      <c r="D381" s="5" t="s">
        <v>638</v>
      </c>
      <c r="F381" s="1">
        <v>39258.92</v>
      </c>
      <c r="G381" s="1">
        <v>25703.59</v>
      </c>
    </row>
    <row r="382" spans="1:8">
      <c r="A382" s="9" t="s">
        <v>1097</v>
      </c>
      <c r="B382" s="9" t="s">
        <v>1097</v>
      </c>
      <c r="C382" t="s">
        <v>195</v>
      </c>
      <c r="D382" s="5" t="s">
        <v>197</v>
      </c>
      <c r="F382" s="1">
        <v>0</v>
      </c>
    </row>
    <row r="383" spans="1:8">
      <c r="A383" s="9" t="s">
        <v>1097</v>
      </c>
      <c r="B383" s="9" t="s">
        <v>1097</v>
      </c>
      <c r="C383" t="s">
        <v>516</v>
      </c>
      <c r="D383" s="5" t="s">
        <v>518</v>
      </c>
      <c r="F383" s="1">
        <v>93431.89</v>
      </c>
      <c r="G383" s="1">
        <v>6355.77</v>
      </c>
    </row>
    <row r="384" spans="1:8">
      <c r="A384" s="9" t="s">
        <v>1097</v>
      </c>
      <c r="B384" s="9" t="s">
        <v>1097</v>
      </c>
      <c r="C384" t="s">
        <v>1102</v>
      </c>
      <c r="D384" s="5" t="s">
        <v>1104</v>
      </c>
      <c r="F384" s="1">
        <v>145906.72</v>
      </c>
      <c r="G384" s="1">
        <v>320444.63</v>
      </c>
    </row>
    <row r="385" spans="1:7">
      <c r="A385" s="9" t="s">
        <v>1097</v>
      </c>
      <c r="B385" s="9" t="s">
        <v>1097</v>
      </c>
      <c r="C385" t="s">
        <v>1105</v>
      </c>
      <c r="D385" s="5" t="s">
        <v>1107</v>
      </c>
      <c r="F385" s="1">
        <v>651972.81999999995</v>
      </c>
      <c r="G385" s="1">
        <v>671218.22</v>
      </c>
    </row>
    <row r="386" spans="1:7">
      <c r="A386" s="9" t="s">
        <v>1097</v>
      </c>
      <c r="B386" s="9" t="s">
        <v>1097</v>
      </c>
      <c r="C386" t="s">
        <v>1108</v>
      </c>
      <c r="D386" s="5" t="s">
        <v>1110</v>
      </c>
      <c r="F386" s="1">
        <v>110769.43</v>
      </c>
    </row>
    <row r="387" spans="1:7">
      <c r="A387" s="9" t="s">
        <v>1097</v>
      </c>
      <c r="B387" s="9" t="s">
        <v>1097</v>
      </c>
      <c r="C387" t="s">
        <v>60</v>
      </c>
      <c r="D387" s="5" t="s">
        <v>62</v>
      </c>
      <c r="F387" s="1">
        <v>69501.22</v>
      </c>
      <c r="G387" s="1">
        <v>88269.95</v>
      </c>
    </row>
    <row r="388" spans="1:7">
      <c r="A388" s="9" t="s">
        <v>1097</v>
      </c>
      <c r="B388" s="9" t="s">
        <v>1097</v>
      </c>
      <c r="C388" t="s">
        <v>1111</v>
      </c>
      <c r="D388" s="5" t="s">
        <v>1113</v>
      </c>
      <c r="F388" s="1">
        <v>154624.9</v>
      </c>
    </row>
    <row r="389" spans="1:7">
      <c r="A389" s="9" t="s">
        <v>1097</v>
      </c>
      <c r="B389" s="9" t="s">
        <v>1097</v>
      </c>
      <c r="C389" t="s">
        <v>525</v>
      </c>
      <c r="D389" s="5" t="s">
        <v>527</v>
      </c>
      <c r="F389" s="1">
        <v>245954.22</v>
      </c>
    </row>
    <row r="390" spans="1:7">
      <c r="A390" s="9" t="s">
        <v>1097</v>
      </c>
      <c r="B390" s="9" t="s">
        <v>1097</v>
      </c>
      <c r="C390" t="s">
        <v>558</v>
      </c>
      <c r="D390" s="5" t="s">
        <v>560</v>
      </c>
      <c r="F390" s="1">
        <v>0</v>
      </c>
    </row>
    <row r="391" spans="1:7">
      <c r="A391" s="9" t="s">
        <v>1097</v>
      </c>
      <c r="B391" s="9" t="s">
        <v>1097</v>
      </c>
      <c r="C391" t="s">
        <v>81</v>
      </c>
      <c r="D391" s="5" t="s">
        <v>83</v>
      </c>
      <c r="F391" s="1">
        <v>4061.97</v>
      </c>
      <c r="G391" s="1">
        <v>8.9</v>
      </c>
    </row>
    <row r="392" spans="1:7">
      <c r="A392" s="9" t="s">
        <v>1097</v>
      </c>
      <c r="B392" s="9" t="s">
        <v>1097</v>
      </c>
      <c r="C392" t="s">
        <v>723</v>
      </c>
      <c r="D392" s="5" t="s">
        <v>725</v>
      </c>
      <c r="F392" s="1">
        <v>113978.26</v>
      </c>
      <c r="G392" s="1">
        <v>434377.03</v>
      </c>
    </row>
    <row r="393" spans="1:7">
      <c r="A393" s="9" t="s">
        <v>1097</v>
      </c>
      <c r="B393" s="9" t="s">
        <v>1097</v>
      </c>
      <c r="C393" t="s">
        <v>288</v>
      </c>
      <c r="D393" s="5" t="s">
        <v>290</v>
      </c>
      <c r="F393" s="1">
        <v>211753.86</v>
      </c>
      <c r="G393" s="1">
        <v>452451.27</v>
      </c>
    </row>
    <row r="394" spans="1:7">
      <c r="A394" s="9" t="s">
        <v>1097</v>
      </c>
      <c r="B394" s="9" t="s">
        <v>1097</v>
      </c>
      <c r="C394" t="s">
        <v>1114</v>
      </c>
      <c r="D394" s="5" t="s">
        <v>1116</v>
      </c>
      <c r="F394" s="1">
        <v>246583</v>
      </c>
      <c r="G394" s="1">
        <v>115770.85</v>
      </c>
    </row>
    <row r="395" spans="1:7">
      <c r="A395" s="9" t="s">
        <v>1097</v>
      </c>
      <c r="B395" s="9" t="s">
        <v>1097</v>
      </c>
      <c r="C395" t="s">
        <v>486</v>
      </c>
      <c r="D395" s="5" t="s">
        <v>488</v>
      </c>
      <c r="F395" s="1">
        <v>109209.91</v>
      </c>
    </row>
    <row r="396" spans="1:7">
      <c r="A396" s="9" t="s">
        <v>1097</v>
      </c>
      <c r="B396" s="9" t="s">
        <v>1097</v>
      </c>
      <c r="C396" t="s">
        <v>1117</v>
      </c>
      <c r="D396" s="5" t="s">
        <v>1119</v>
      </c>
      <c r="F396" s="1">
        <v>113296.09</v>
      </c>
    </row>
    <row r="397" spans="1:7">
      <c r="A397" s="9" t="s">
        <v>1097</v>
      </c>
      <c r="B397" s="9" t="s">
        <v>1097</v>
      </c>
      <c r="C397" t="s">
        <v>1120</v>
      </c>
      <c r="D397" s="5" t="s">
        <v>1122</v>
      </c>
      <c r="F397" s="1">
        <v>95138.14</v>
      </c>
    </row>
    <row r="398" spans="1:7">
      <c r="A398" s="9" t="s">
        <v>1097</v>
      </c>
      <c r="B398" s="9" t="s">
        <v>1097</v>
      </c>
      <c r="C398" t="s">
        <v>415</v>
      </c>
      <c r="D398" s="5" t="s">
        <v>417</v>
      </c>
      <c r="F398" s="1">
        <v>0</v>
      </c>
    </row>
    <row r="399" spans="1:7">
      <c r="A399" s="9" t="s">
        <v>1097</v>
      </c>
      <c r="B399" s="9" t="s">
        <v>1097</v>
      </c>
      <c r="C399" t="s">
        <v>804</v>
      </c>
      <c r="D399" s="5" t="s">
        <v>806</v>
      </c>
      <c r="F399" s="1">
        <v>45689.22</v>
      </c>
      <c r="G399" s="1">
        <v>-1478.08</v>
      </c>
    </row>
    <row r="400" spans="1:7">
      <c r="A400" s="9" t="s">
        <v>1097</v>
      </c>
      <c r="B400" s="9" t="s">
        <v>1097</v>
      </c>
      <c r="C400" t="s">
        <v>1123</v>
      </c>
      <c r="D400" s="5" t="s">
        <v>1125</v>
      </c>
      <c r="F400" s="1">
        <v>97028.64</v>
      </c>
      <c r="G400" s="1">
        <v>407133.21</v>
      </c>
    </row>
    <row r="401" spans="1:7">
      <c r="A401" s="9" t="s">
        <v>1097</v>
      </c>
      <c r="B401" s="9" t="s">
        <v>1097</v>
      </c>
      <c r="C401" t="s">
        <v>555</v>
      </c>
      <c r="D401" s="5" t="s">
        <v>557</v>
      </c>
      <c r="F401" s="1">
        <v>180526.8</v>
      </c>
      <c r="G401" s="1">
        <v>430569.03</v>
      </c>
    </row>
    <row r="402" spans="1:7">
      <c r="A402" s="9" t="s">
        <v>1097</v>
      </c>
      <c r="B402" s="9" t="s">
        <v>1097</v>
      </c>
      <c r="C402" t="s">
        <v>477</v>
      </c>
      <c r="D402" s="5" t="s">
        <v>479</v>
      </c>
      <c r="F402" s="1">
        <v>110903.36</v>
      </c>
      <c r="G402" s="1">
        <v>81303.66</v>
      </c>
    </row>
    <row r="403" spans="1:7">
      <c r="A403" s="9" t="s">
        <v>1097</v>
      </c>
      <c r="B403" s="9" t="s">
        <v>1097</v>
      </c>
      <c r="C403" t="s">
        <v>1126</v>
      </c>
      <c r="D403" s="5" t="s">
        <v>1128</v>
      </c>
      <c r="F403" s="1">
        <v>364892.89</v>
      </c>
      <c r="G403" s="1">
        <v>431408.92</v>
      </c>
    </row>
    <row r="404" spans="1:7">
      <c r="A404" s="9" t="s">
        <v>1097</v>
      </c>
      <c r="B404" s="9" t="s">
        <v>1097</v>
      </c>
      <c r="C404" t="s">
        <v>669</v>
      </c>
      <c r="D404" s="5" t="s">
        <v>671</v>
      </c>
      <c r="F404" s="1">
        <v>33.520000000000003</v>
      </c>
    </row>
    <row r="405" spans="1:7">
      <c r="A405" s="9" t="s">
        <v>1097</v>
      </c>
      <c r="B405" s="9" t="s">
        <v>1097</v>
      </c>
      <c r="C405" t="s">
        <v>448</v>
      </c>
      <c r="D405" s="5" t="s">
        <v>450</v>
      </c>
      <c r="F405" s="1">
        <v>33292.410000000003</v>
      </c>
      <c r="G405" s="1">
        <v>42058.42</v>
      </c>
    </row>
    <row r="406" spans="1:7">
      <c r="A406" s="9" t="s">
        <v>1097</v>
      </c>
      <c r="B406" s="9" t="s">
        <v>1097</v>
      </c>
      <c r="C406" t="s">
        <v>1129</v>
      </c>
      <c r="D406" s="5" t="s">
        <v>1131</v>
      </c>
      <c r="F406" s="1">
        <v>62465.81</v>
      </c>
      <c r="G406" s="1">
        <v>288809.44</v>
      </c>
    </row>
    <row r="407" spans="1:7">
      <c r="A407" s="9" t="s">
        <v>1097</v>
      </c>
      <c r="B407" s="9" t="s">
        <v>1097</v>
      </c>
      <c r="C407" t="s">
        <v>459</v>
      </c>
      <c r="D407" s="5" t="s">
        <v>461</v>
      </c>
      <c r="F407" s="1">
        <v>77130.23</v>
      </c>
      <c r="G407" s="1">
        <v>-35476.47</v>
      </c>
    </row>
    <row r="408" spans="1:7">
      <c r="A408" s="9" t="s">
        <v>1097</v>
      </c>
      <c r="B408" s="9" t="s">
        <v>1097</v>
      </c>
      <c r="C408" t="s">
        <v>1132</v>
      </c>
      <c r="D408" s="5" t="s">
        <v>1134</v>
      </c>
      <c r="F408" s="1">
        <v>227577.2</v>
      </c>
    </row>
    <row r="409" spans="1:7">
      <c r="A409" s="9" t="s">
        <v>1097</v>
      </c>
      <c r="B409" s="9" t="s">
        <v>1097</v>
      </c>
      <c r="C409" t="s">
        <v>1135</v>
      </c>
      <c r="D409" s="5" t="s">
        <v>1137</v>
      </c>
      <c r="F409" s="1">
        <v>287778.7</v>
      </c>
    </row>
    <row r="410" spans="1:7">
      <c r="A410" s="9" t="s">
        <v>1097</v>
      </c>
      <c r="B410" s="9" t="s">
        <v>1097</v>
      </c>
      <c r="C410" t="s">
        <v>792</v>
      </c>
      <c r="D410" s="5" t="s">
        <v>794</v>
      </c>
      <c r="F410" s="1">
        <v>20847.810000000001</v>
      </c>
    </row>
    <row r="411" spans="1:7">
      <c r="A411" s="9" t="s">
        <v>1097</v>
      </c>
      <c r="B411" s="9" t="s">
        <v>1097</v>
      </c>
      <c r="C411" t="s">
        <v>594</v>
      </c>
      <c r="D411" s="5" t="s">
        <v>596</v>
      </c>
      <c r="F411" s="1">
        <v>139884.32</v>
      </c>
    </row>
    <row r="412" spans="1:7">
      <c r="A412" s="9" t="s">
        <v>1097</v>
      </c>
      <c r="B412" s="9" t="s">
        <v>1097</v>
      </c>
      <c r="C412" t="s">
        <v>186</v>
      </c>
      <c r="D412" s="5" t="s">
        <v>188</v>
      </c>
      <c r="F412" s="1">
        <v>0</v>
      </c>
    </row>
    <row r="413" spans="1:7">
      <c r="A413" s="9" t="s">
        <v>1097</v>
      </c>
      <c r="B413" s="9" t="s">
        <v>1097</v>
      </c>
      <c r="C413" t="s">
        <v>1138</v>
      </c>
      <c r="D413" s="5" t="s">
        <v>1140</v>
      </c>
      <c r="F413" s="1">
        <v>205501.81</v>
      </c>
    </row>
    <row r="414" spans="1:7">
      <c r="A414" s="9" t="s">
        <v>1097</v>
      </c>
      <c r="B414" s="9" t="s">
        <v>1097</v>
      </c>
      <c r="C414" t="s">
        <v>1141</v>
      </c>
      <c r="D414" s="5" t="s">
        <v>1143</v>
      </c>
      <c r="F414" s="1">
        <v>166791.60999999999</v>
      </c>
    </row>
    <row r="415" spans="1:7">
      <c r="A415" s="9" t="s">
        <v>1097</v>
      </c>
      <c r="B415" s="9" t="s">
        <v>1097</v>
      </c>
      <c r="C415" t="s">
        <v>1144</v>
      </c>
      <c r="D415" s="5" t="s">
        <v>1146</v>
      </c>
      <c r="F415" s="1">
        <v>212727</v>
      </c>
    </row>
    <row r="416" spans="1:7">
      <c r="A416" s="9" t="s">
        <v>1097</v>
      </c>
      <c r="B416" s="9" t="s">
        <v>1097</v>
      </c>
      <c r="C416" t="s">
        <v>303</v>
      </c>
      <c r="D416" s="5" t="s">
        <v>305</v>
      </c>
      <c r="F416" s="1">
        <v>9787.6200000000008</v>
      </c>
      <c r="G416" s="1">
        <v>2036.65</v>
      </c>
    </row>
    <row r="417" spans="1:9">
      <c r="A417" s="9" t="s">
        <v>1097</v>
      </c>
      <c r="B417" s="9" t="s">
        <v>1097</v>
      </c>
      <c r="C417" t="s">
        <v>1147</v>
      </c>
      <c r="D417" s="5" t="s">
        <v>1149</v>
      </c>
      <c r="F417" s="1">
        <v>49844</v>
      </c>
    </row>
    <row r="418" spans="1:9">
      <c r="A418" s="9" t="s">
        <v>1097</v>
      </c>
      <c r="B418" s="9" t="s">
        <v>1097</v>
      </c>
      <c r="C418" t="s">
        <v>666</v>
      </c>
      <c r="D418" s="5" t="s">
        <v>668</v>
      </c>
      <c r="F418" s="1">
        <v>0</v>
      </c>
    </row>
    <row r="419" spans="1:9">
      <c r="A419" s="9" t="s">
        <v>1097</v>
      </c>
      <c r="B419" s="9" t="s">
        <v>1097</v>
      </c>
      <c r="C419" t="s">
        <v>330</v>
      </c>
      <c r="D419" s="5" t="s">
        <v>332</v>
      </c>
      <c r="F419" s="1">
        <v>59391.839999999997</v>
      </c>
    </row>
    <row r="420" spans="1:9">
      <c r="A420" s="9" t="s">
        <v>1097</v>
      </c>
      <c r="B420" s="9" t="s">
        <v>1097</v>
      </c>
      <c r="C420" t="s">
        <v>439</v>
      </c>
      <c r="D420" s="5" t="s">
        <v>441</v>
      </c>
      <c r="G420" s="1">
        <v>670</v>
      </c>
    </row>
    <row r="421" spans="1:9">
      <c r="A421" s="9" t="s">
        <v>1097</v>
      </c>
      <c r="B421" s="9" t="s">
        <v>1097</v>
      </c>
      <c r="C421" t="s">
        <v>510</v>
      </c>
      <c r="D421" s="5" t="s">
        <v>512</v>
      </c>
      <c r="F421" s="1">
        <v>87164</v>
      </c>
    </row>
    <row r="422" spans="1:9">
      <c r="A422" s="9" t="s">
        <v>1097</v>
      </c>
      <c r="B422" s="9" t="s">
        <v>1097</v>
      </c>
      <c r="C422" t="s">
        <v>741</v>
      </c>
      <c r="D422" s="5" t="s">
        <v>743</v>
      </c>
      <c r="F422" s="1">
        <v>231696.82</v>
      </c>
    </row>
    <row r="423" spans="1:9">
      <c r="A423" s="9" t="s">
        <v>1097</v>
      </c>
      <c r="B423" s="9" t="s">
        <v>1097</v>
      </c>
      <c r="C423" t="s">
        <v>344</v>
      </c>
      <c r="D423" s="5" t="s">
        <v>346</v>
      </c>
      <c r="F423" s="1">
        <v>38004.949999999997</v>
      </c>
      <c r="G423" s="1">
        <v>-2774.17</v>
      </c>
    </row>
    <row r="424" spans="1:9">
      <c r="A424" s="9" t="s">
        <v>1097</v>
      </c>
      <c r="B424" s="9" t="s">
        <v>1097</v>
      </c>
      <c r="C424" t="s">
        <v>615</v>
      </c>
      <c r="D424" s="5" t="s">
        <v>617</v>
      </c>
      <c r="F424" s="1">
        <v>258556.48</v>
      </c>
    </row>
    <row r="425" spans="1:9">
      <c r="A425" s="9" t="s">
        <v>1150</v>
      </c>
      <c r="B425" s="9" t="s">
        <v>1150</v>
      </c>
      <c r="C425" t="s">
        <v>285</v>
      </c>
      <c r="D425" s="5" t="s">
        <v>287</v>
      </c>
      <c r="E425" s="1">
        <v>9253.5</v>
      </c>
      <c r="F425" s="1">
        <v>3619.21</v>
      </c>
      <c r="G425" s="1">
        <v>301.64</v>
      </c>
      <c r="H425" s="1">
        <v>302.77</v>
      </c>
      <c r="I425" s="1">
        <v>107.46</v>
      </c>
    </row>
    <row r="426" spans="1:9">
      <c r="A426" s="9" t="s">
        <v>1150</v>
      </c>
      <c r="B426" s="9" t="s">
        <v>1150</v>
      </c>
      <c r="C426" t="s">
        <v>183</v>
      </c>
      <c r="D426" s="5" t="s">
        <v>185</v>
      </c>
      <c r="E426" s="1">
        <v>10419.41</v>
      </c>
      <c r="F426" s="1">
        <v>2664.75</v>
      </c>
    </row>
    <row r="427" spans="1:9">
      <c r="A427" s="9" t="s">
        <v>1150</v>
      </c>
      <c r="B427" s="9" t="s">
        <v>1150</v>
      </c>
      <c r="C427" t="s">
        <v>252</v>
      </c>
      <c r="D427" s="5" t="s">
        <v>254</v>
      </c>
      <c r="E427" s="1">
        <v>8447.7099999999991</v>
      </c>
      <c r="F427" s="1">
        <v>9607.6299999999992</v>
      </c>
    </row>
    <row r="428" spans="1:9">
      <c r="A428" s="9" t="s">
        <v>1150</v>
      </c>
      <c r="B428" s="9" t="s">
        <v>1150</v>
      </c>
      <c r="C428" t="s">
        <v>318</v>
      </c>
      <c r="D428" s="5" t="s">
        <v>320</v>
      </c>
      <c r="E428" s="1">
        <v>14178.86</v>
      </c>
      <c r="F428" s="1">
        <v>2743.27</v>
      </c>
    </row>
    <row r="429" spans="1:9">
      <c r="A429" s="9" t="s">
        <v>1150</v>
      </c>
      <c r="B429" s="9" t="s">
        <v>1150</v>
      </c>
      <c r="C429" t="s">
        <v>690</v>
      </c>
      <c r="D429" s="5" t="s">
        <v>692</v>
      </c>
      <c r="E429" s="1">
        <v>4119.45</v>
      </c>
      <c r="F429" s="1">
        <v>1919.45</v>
      </c>
    </row>
    <row r="430" spans="1:9">
      <c r="A430" s="9" t="s">
        <v>1150</v>
      </c>
      <c r="B430" s="9" t="s">
        <v>1150</v>
      </c>
      <c r="C430" t="s">
        <v>552</v>
      </c>
      <c r="D430" s="5" t="s">
        <v>554</v>
      </c>
      <c r="E430" s="1">
        <v>7483.32</v>
      </c>
      <c r="F430" s="1">
        <v>3542.44</v>
      </c>
    </row>
    <row r="431" spans="1:9">
      <c r="A431" s="9" t="s">
        <v>1150</v>
      </c>
      <c r="B431" s="9" t="s">
        <v>1150</v>
      </c>
      <c r="C431" t="s">
        <v>207</v>
      </c>
      <c r="D431" s="5" t="s">
        <v>209</v>
      </c>
      <c r="E431" s="1">
        <v>47609.13</v>
      </c>
      <c r="F431" s="1">
        <v>5882.52</v>
      </c>
    </row>
    <row r="432" spans="1:9">
      <c r="A432" s="9" t="s">
        <v>1150</v>
      </c>
      <c r="B432" s="9" t="s">
        <v>1150</v>
      </c>
      <c r="C432" t="s">
        <v>177</v>
      </c>
      <c r="D432" s="5" t="s">
        <v>179</v>
      </c>
      <c r="E432" s="1">
        <v>10622.59</v>
      </c>
      <c r="F432" s="1">
        <v>3271.2</v>
      </c>
      <c r="G432" s="1">
        <v>192.51</v>
      </c>
      <c r="H432" s="1">
        <v>308.125</v>
      </c>
      <c r="I432" s="1">
        <v>38.9</v>
      </c>
    </row>
    <row r="433" spans="1:9">
      <c r="A433" s="9" t="s">
        <v>1150</v>
      </c>
      <c r="B433" s="9" t="s">
        <v>1150</v>
      </c>
      <c r="C433" t="s">
        <v>81</v>
      </c>
      <c r="D433" s="5" t="s">
        <v>83</v>
      </c>
      <c r="E433" s="1">
        <v>7560.32</v>
      </c>
      <c r="F433" s="1">
        <v>2280.66</v>
      </c>
    </row>
    <row r="434" spans="1:9">
      <c r="A434" s="9" t="s">
        <v>1150</v>
      </c>
      <c r="B434" s="9" t="s">
        <v>1150</v>
      </c>
      <c r="C434" t="s">
        <v>531</v>
      </c>
      <c r="D434" s="5" t="s">
        <v>533</v>
      </c>
      <c r="E434" s="1">
        <v>9024.4</v>
      </c>
      <c r="F434" s="1">
        <v>2937.01</v>
      </c>
    </row>
    <row r="435" spans="1:9">
      <c r="A435" s="9" t="s">
        <v>1150</v>
      </c>
      <c r="B435" s="9" t="s">
        <v>1150</v>
      </c>
      <c r="C435" t="s">
        <v>534</v>
      </c>
      <c r="D435" s="5" t="s">
        <v>536</v>
      </c>
      <c r="E435" s="1">
        <v>22916.37</v>
      </c>
      <c r="F435" s="1">
        <v>7789.59</v>
      </c>
    </row>
    <row r="436" spans="1:9">
      <c r="A436" s="9" t="s">
        <v>1150</v>
      </c>
      <c r="B436" s="9" t="s">
        <v>1150</v>
      </c>
      <c r="C436" t="s">
        <v>78</v>
      </c>
      <c r="D436" s="5" t="s">
        <v>80</v>
      </c>
      <c r="E436" s="1">
        <v>7142.92</v>
      </c>
      <c r="F436" s="1">
        <v>2905.33</v>
      </c>
      <c r="H436" s="1">
        <v>1295.21</v>
      </c>
      <c r="I436" s="1">
        <v>333</v>
      </c>
    </row>
    <row r="437" spans="1:9">
      <c r="A437" s="9" t="s">
        <v>1150</v>
      </c>
      <c r="B437" s="9" t="s">
        <v>1150</v>
      </c>
      <c r="C437" t="s">
        <v>582</v>
      </c>
      <c r="D437" s="5" t="s">
        <v>584</v>
      </c>
      <c r="F437" s="1">
        <v>4139.16</v>
      </c>
      <c r="H437" s="1">
        <v>814.34</v>
      </c>
    </row>
    <row r="438" spans="1:9">
      <c r="A438" s="9" t="s">
        <v>1150</v>
      </c>
      <c r="B438" s="9" t="s">
        <v>1150</v>
      </c>
      <c r="C438" t="s">
        <v>1152</v>
      </c>
      <c r="D438" s="5" t="s">
        <v>1154</v>
      </c>
      <c r="F438" s="1">
        <v>1600</v>
      </c>
    </row>
    <row r="439" spans="1:9">
      <c r="A439" s="9" t="s">
        <v>1150</v>
      </c>
      <c r="B439" s="9" t="s">
        <v>1150</v>
      </c>
      <c r="C439" t="s">
        <v>448</v>
      </c>
      <c r="D439" s="5" t="s">
        <v>450</v>
      </c>
      <c r="E439" s="1">
        <v>269712.58</v>
      </c>
      <c r="F439" s="1">
        <v>18843.97</v>
      </c>
    </row>
    <row r="440" spans="1:9">
      <c r="A440" s="9" t="s">
        <v>1150</v>
      </c>
      <c r="B440" s="9" t="s">
        <v>1150</v>
      </c>
      <c r="C440" t="s">
        <v>213</v>
      </c>
      <c r="D440" s="5" t="s">
        <v>215</v>
      </c>
      <c r="E440" s="1">
        <v>2936.3</v>
      </c>
      <c r="F440" s="1">
        <v>1336.3</v>
      </c>
    </row>
    <row r="441" spans="1:9">
      <c r="A441" s="9" t="s">
        <v>1150</v>
      </c>
      <c r="B441" s="9" t="s">
        <v>1150</v>
      </c>
      <c r="C441" t="s">
        <v>1070</v>
      </c>
      <c r="D441" s="5" t="s">
        <v>1072</v>
      </c>
      <c r="E441" s="1">
        <v>29807.95</v>
      </c>
      <c r="G441" s="1">
        <v>381.79</v>
      </c>
    </row>
    <row r="442" spans="1:9">
      <c r="A442" s="9" t="s">
        <v>1150</v>
      </c>
      <c r="B442" s="9" t="s">
        <v>1150</v>
      </c>
      <c r="C442" t="s">
        <v>1155</v>
      </c>
      <c r="D442" s="5" t="s">
        <v>1157</v>
      </c>
      <c r="E442" s="1">
        <v>2776.67</v>
      </c>
    </row>
    <row r="443" spans="1:9">
      <c r="A443" s="9" t="s">
        <v>1150</v>
      </c>
      <c r="B443" s="9" t="s">
        <v>1150</v>
      </c>
      <c r="C443" t="s">
        <v>1158</v>
      </c>
      <c r="D443" s="5" t="s">
        <v>1160</v>
      </c>
      <c r="E443" s="1">
        <v>14320.93</v>
      </c>
    </row>
    <row r="444" spans="1:9">
      <c r="A444" s="9" t="s">
        <v>1150</v>
      </c>
      <c r="B444" s="9" t="s">
        <v>1150</v>
      </c>
      <c r="C444" t="s">
        <v>344</v>
      </c>
      <c r="D444" s="5" t="s">
        <v>346</v>
      </c>
      <c r="E444" s="1">
        <v>3166.66</v>
      </c>
      <c r="F444" s="1">
        <v>931.58</v>
      </c>
    </row>
    <row r="445" spans="1:9">
      <c r="A445" s="9" t="s">
        <v>1150</v>
      </c>
      <c r="B445" s="9" t="s">
        <v>1150</v>
      </c>
      <c r="C445" t="s">
        <v>681</v>
      </c>
      <c r="D445" s="5" t="s">
        <v>683</v>
      </c>
      <c r="E445" s="1">
        <v>76843.7</v>
      </c>
      <c r="F445" s="1">
        <v>9198</v>
      </c>
    </row>
    <row r="446" spans="1:9">
      <c r="A446" s="9" t="s">
        <v>1150</v>
      </c>
      <c r="B446" s="9" t="s">
        <v>1150</v>
      </c>
      <c r="C446" t="s">
        <v>385</v>
      </c>
      <c r="D446" s="5" t="s">
        <v>387</v>
      </c>
      <c r="E446" s="1">
        <v>1713.21</v>
      </c>
      <c r="F446" s="1">
        <v>711.02</v>
      </c>
      <c r="H446" s="1">
        <v>291.53500000000003</v>
      </c>
    </row>
    <row r="447" spans="1:9">
      <c r="A447" s="9" t="s">
        <v>1150</v>
      </c>
      <c r="B447" s="9" t="s">
        <v>1150</v>
      </c>
      <c r="C447" t="s">
        <v>388</v>
      </c>
      <c r="D447" s="5" t="s">
        <v>390</v>
      </c>
      <c r="E447" s="1">
        <v>24557.49</v>
      </c>
      <c r="F447" s="1">
        <v>1560.78</v>
      </c>
      <c r="G447" s="1">
        <v>4510.16</v>
      </c>
    </row>
    <row r="448" spans="1:9">
      <c r="A448" s="9" t="s">
        <v>1150</v>
      </c>
      <c r="B448" s="9" t="s">
        <v>1150</v>
      </c>
      <c r="C448" t="s">
        <v>412</v>
      </c>
      <c r="D448" s="5" t="s">
        <v>414</v>
      </c>
      <c r="E448" s="1">
        <v>10067.4</v>
      </c>
      <c r="F448" s="1">
        <v>10644.94</v>
      </c>
    </row>
    <row r="449" spans="1:9">
      <c r="A449" s="9" t="s">
        <v>1150</v>
      </c>
      <c r="B449" s="9" t="s">
        <v>1150</v>
      </c>
      <c r="C449" t="s">
        <v>258</v>
      </c>
      <c r="D449" s="5" t="s">
        <v>260</v>
      </c>
      <c r="E449" s="1">
        <v>58125.43</v>
      </c>
      <c r="F449" s="1">
        <v>16408.47</v>
      </c>
      <c r="H449" s="1">
        <v>13.7</v>
      </c>
    </row>
    <row r="450" spans="1:9">
      <c r="A450" s="9" t="s">
        <v>1150</v>
      </c>
      <c r="B450" s="9" t="s">
        <v>1150</v>
      </c>
      <c r="C450" t="s">
        <v>540</v>
      </c>
      <c r="D450" s="5" t="s">
        <v>542</v>
      </c>
      <c r="E450" s="1">
        <v>28853.27</v>
      </c>
      <c r="F450" s="1">
        <v>10834.69</v>
      </c>
      <c r="H450" s="1">
        <v>3083.84</v>
      </c>
    </row>
    <row r="451" spans="1:9">
      <c r="A451" s="9" t="s">
        <v>1150</v>
      </c>
      <c r="B451" s="9" t="s">
        <v>1150</v>
      </c>
      <c r="C451" t="s">
        <v>370</v>
      </c>
      <c r="D451" s="5" t="s">
        <v>372</v>
      </c>
      <c r="E451" s="1">
        <v>28998.78</v>
      </c>
      <c r="F451" s="1">
        <v>9808.08</v>
      </c>
    </row>
    <row r="452" spans="1:9">
      <c r="A452" s="9" t="s">
        <v>1150</v>
      </c>
      <c r="B452" s="9" t="s">
        <v>1150</v>
      </c>
      <c r="C452" t="s">
        <v>465</v>
      </c>
      <c r="D452" s="5" t="s">
        <v>467</v>
      </c>
      <c r="E452" s="1">
        <v>475</v>
      </c>
      <c r="F452" s="1">
        <v>135.69999999999999</v>
      </c>
    </row>
    <row r="453" spans="1:9">
      <c r="A453" s="9" t="s">
        <v>1150</v>
      </c>
      <c r="B453" s="9" t="s">
        <v>1150</v>
      </c>
      <c r="C453" t="s">
        <v>240</v>
      </c>
      <c r="D453" s="5" t="s">
        <v>242</v>
      </c>
      <c r="E453" s="1">
        <v>13394.46</v>
      </c>
      <c r="F453" s="1">
        <v>2775.82</v>
      </c>
    </row>
    <row r="454" spans="1:9">
      <c r="A454" s="9" t="s">
        <v>1150</v>
      </c>
      <c r="B454" s="9" t="s">
        <v>1150</v>
      </c>
      <c r="C454" t="s">
        <v>144</v>
      </c>
      <c r="D454" s="5" t="s">
        <v>146</v>
      </c>
      <c r="E454" s="1">
        <v>-765.47</v>
      </c>
      <c r="F454" s="1">
        <v>17773.7</v>
      </c>
      <c r="H454" s="1">
        <v>1339.8</v>
      </c>
    </row>
    <row r="455" spans="1:9">
      <c r="A455" s="9" t="s">
        <v>1150</v>
      </c>
      <c r="B455" s="9" t="s">
        <v>1150</v>
      </c>
      <c r="C455" t="s">
        <v>376</v>
      </c>
      <c r="D455" s="5" t="s">
        <v>378</v>
      </c>
      <c r="E455" s="1">
        <v>11073.5</v>
      </c>
      <c r="F455" s="1">
        <v>4008.29</v>
      </c>
      <c r="G455" s="1">
        <v>327.37</v>
      </c>
    </row>
    <row r="456" spans="1:9">
      <c r="A456" s="9" t="s">
        <v>1150</v>
      </c>
      <c r="B456" s="9" t="s">
        <v>1150</v>
      </c>
      <c r="C456" t="s">
        <v>306</v>
      </c>
      <c r="D456" s="5" t="s">
        <v>308</v>
      </c>
      <c r="E456" s="1">
        <v>17092.62</v>
      </c>
      <c r="F456" s="1">
        <v>3155.81</v>
      </c>
      <c r="G456" s="1">
        <v>1255.81</v>
      </c>
    </row>
    <row r="457" spans="1:9">
      <c r="A457" s="9" t="s">
        <v>1150</v>
      </c>
      <c r="B457" s="9" t="s">
        <v>1150</v>
      </c>
      <c r="C457" t="s">
        <v>935</v>
      </c>
      <c r="D457" s="5" t="s">
        <v>937</v>
      </c>
      <c r="G457" s="1">
        <v>492.25</v>
      </c>
    </row>
    <row r="458" spans="1:9">
      <c r="A458" s="9" t="s">
        <v>1150</v>
      </c>
      <c r="B458" s="9" t="s">
        <v>1150</v>
      </c>
      <c r="C458" t="s">
        <v>30</v>
      </c>
      <c r="D458" s="5" t="s">
        <v>32</v>
      </c>
      <c r="E458" s="1">
        <v>61325.15</v>
      </c>
      <c r="F458" s="1">
        <v>3592.78</v>
      </c>
      <c r="G458" s="1">
        <v>1336.66</v>
      </c>
      <c r="H458" s="1">
        <v>264.12</v>
      </c>
    </row>
    <row r="459" spans="1:9">
      <c r="A459" s="9" t="s">
        <v>1150</v>
      </c>
      <c r="B459" s="9" t="s">
        <v>1150</v>
      </c>
      <c r="C459" t="s">
        <v>270</v>
      </c>
      <c r="D459" s="5" t="s">
        <v>272</v>
      </c>
      <c r="E459" s="1">
        <v>7693.31</v>
      </c>
      <c r="F459" s="1">
        <v>1563.71</v>
      </c>
      <c r="G459" s="1">
        <v>57.3</v>
      </c>
      <c r="H459" s="1">
        <v>171.45</v>
      </c>
      <c r="I459" s="1">
        <v>131.38999999999999</v>
      </c>
    </row>
    <row r="460" spans="1:9">
      <c r="A460" s="9" t="s">
        <v>1150</v>
      </c>
      <c r="B460" s="9" t="s">
        <v>1150</v>
      </c>
      <c r="C460" t="s">
        <v>1161</v>
      </c>
      <c r="D460" s="5" t="s">
        <v>1163</v>
      </c>
      <c r="G460" s="1">
        <v>1990</v>
      </c>
    </row>
    <row r="461" spans="1:9">
      <c r="A461" s="9" t="s">
        <v>1150</v>
      </c>
      <c r="B461" s="9" t="s">
        <v>1150</v>
      </c>
      <c r="C461" t="s">
        <v>612</v>
      </c>
      <c r="D461" s="5" t="s">
        <v>614</v>
      </c>
      <c r="F461" s="1">
        <v>2700</v>
      </c>
      <c r="H461" s="1">
        <v>1382.64</v>
      </c>
    </row>
    <row r="462" spans="1:9">
      <c r="A462" s="9" t="s">
        <v>1150</v>
      </c>
      <c r="B462" s="9" t="s">
        <v>1150</v>
      </c>
      <c r="C462" t="s">
        <v>255</v>
      </c>
      <c r="D462" s="5" t="s">
        <v>257</v>
      </c>
      <c r="E462" s="1">
        <v>284916.78000000003</v>
      </c>
      <c r="F462" s="1">
        <v>3100</v>
      </c>
      <c r="H462" s="1">
        <v>169.74</v>
      </c>
    </row>
    <row r="463" spans="1:9">
      <c r="A463" s="9" t="s">
        <v>1150</v>
      </c>
      <c r="B463" s="9" t="s">
        <v>1150</v>
      </c>
      <c r="C463" t="s">
        <v>1164</v>
      </c>
      <c r="D463" s="5" t="s">
        <v>1166</v>
      </c>
      <c r="H463" s="1">
        <v>534.98</v>
      </c>
    </row>
    <row r="464" spans="1:9">
      <c r="A464" s="9" t="s">
        <v>1150</v>
      </c>
      <c r="B464" s="9" t="s">
        <v>1150</v>
      </c>
      <c r="C464" t="s">
        <v>234</v>
      </c>
      <c r="D464" s="5" t="s">
        <v>236</v>
      </c>
      <c r="E464" s="1">
        <v>64350.16</v>
      </c>
      <c r="F464" s="1">
        <v>4824.3900000000003</v>
      </c>
      <c r="H464" s="1">
        <v>1257.31</v>
      </c>
    </row>
    <row r="465" spans="1:9">
      <c r="A465" s="9" t="s">
        <v>1150</v>
      </c>
      <c r="B465" s="9" t="s">
        <v>1150</v>
      </c>
      <c r="C465" t="s">
        <v>1167</v>
      </c>
      <c r="D465" s="5" t="s">
        <v>1169</v>
      </c>
      <c r="H465" s="1">
        <v>361.2</v>
      </c>
    </row>
    <row r="466" spans="1:9">
      <c r="A466" s="9" t="s">
        <v>1150</v>
      </c>
      <c r="B466" s="9" t="s">
        <v>1150</v>
      </c>
      <c r="C466" t="s">
        <v>1073</v>
      </c>
      <c r="D466" s="5" t="s">
        <v>1075</v>
      </c>
      <c r="H466" s="1">
        <v>4799.99</v>
      </c>
    </row>
    <row r="467" spans="1:9">
      <c r="A467" s="9" t="s">
        <v>1150</v>
      </c>
      <c r="B467" s="9" t="s">
        <v>1150</v>
      </c>
      <c r="C467" t="s">
        <v>249</v>
      </c>
      <c r="D467" s="5" t="s">
        <v>251</v>
      </c>
      <c r="F467" s="1">
        <v>21026.01</v>
      </c>
      <c r="H467" s="1">
        <v>1261.56</v>
      </c>
    </row>
    <row r="468" spans="1:9">
      <c r="A468" s="9" t="s">
        <v>1150</v>
      </c>
      <c r="B468" s="9" t="s">
        <v>1150</v>
      </c>
      <c r="C468" t="s">
        <v>15</v>
      </c>
      <c r="D468" s="5" t="s">
        <v>17</v>
      </c>
      <c r="G468" s="1">
        <v>650</v>
      </c>
      <c r="H468" s="1">
        <v>78.599999999999994</v>
      </c>
    </row>
    <row r="469" spans="1:9">
      <c r="A469" s="9" t="s">
        <v>1150</v>
      </c>
      <c r="B469" s="9" t="s">
        <v>1150</v>
      </c>
      <c r="C469" t="s">
        <v>282</v>
      </c>
      <c r="D469" s="5" t="s">
        <v>284</v>
      </c>
      <c r="F469" s="1">
        <v>9200.77</v>
      </c>
      <c r="H469" s="1">
        <v>623.58000000000004</v>
      </c>
    </row>
    <row r="470" spans="1:9">
      <c r="A470" s="9" t="s">
        <v>1150</v>
      </c>
      <c r="B470" s="9" t="s">
        <v>1150</v>
      </c>
      <c r="C470" t="s">
        <v>857</v>
      </c>
      <c r="D470" s="5" t="s">
        <v>859</v>
      </c>
      <c r="H470" s="1">
        <v>722.4</v>
      </c>
    </row>
    <row r="471" spans="1:9">
      <c r="A471" s="9" t="s">
        <v>1150</v>
      </c>
      <c r="B471" s="9" t="s">
        <v>1150</v>
      </c>
      <c r="C471" t="s">
        <v>433</v>
      </c>
      <c r="D471" s="5" t="s">
        <v>435</v>
      </c>
      <c r="F471" s="1">
        <v>4333.41</v>
      </c>
      <c r="H471" s="1">
        <v>285.04000000000002</v>
      </c>
    </row>
    <row r="472" spans="1:9">
      <c r="A472" s="9" t="s">
        <v>1150</v>
      </c>
      <c r="B472" s="9" t="s">
        <v>1150</v>
      </c>
      <c r="C472" t="s">
        <v>1170</v>
      </c>
      <c r="D472" s="5" t="s">
        <v>1172</v>
      </c>
      <c r="F472" s="1">
        <v>19.690000000000001</v>
      </c>
    </row>
    <row r="473" spans="1:9">
      <c r="A473" s="9" t="s">
        <v>1150</v>
      </c>
      <c r="B473" s="9" t="s">
        <v>1150</v>
      </c>
      <c r="C473" t="s">
        <v>189</v>
      </c>
      <c r="D473" s="5" t="s">
        <v>191</v>
      </c>
      <c r="E473" s="1">
        <v>6193.33</v>
      </c>
      <c r="F473" s="1">
        <v>4254.3999999999996</v>
      </c>
    </row>
    <row r="474" spans="1:9">
      <c r="A474" s="9" t="s">
        <v>1150</v>
      </c>
      <c r="B474" s="9" t="s">
        <v>1150</v>
      </c>
      <c r="C474" t="s">
        <v>168</v>
      </c>
      <c r="D474" s="5" t="s">
        <v>170</v>
      </c>
      <c r="E474" s="1">
        <v>15655.18</v>
      </c>
      <c r="F474" s="1">
        <v>4808.6400000000003</v>
      </c>
      <c r="G474" s="1">
        <v>219.71</v>
      </c>
    </row>
    <row r="475" spans="1:9">
      <c r="A475" s="9" t="s">
        <v>1150</v>
      </c>
      <c r="B475" s="9" t="s">
        <v>1150</v>
      </c>
      <c r="C475" t="s">
        <v>663</v>
      </c>
      <c r="D475" s="5" t="s">
        <v>665</v>
      </c>
      <c r="E475" s="1">
        <v>9487.49</v>
      </c>
      <c r="F475" s="1">
        <v>6822.16</v>
      </c>
      <c r="G475" s="1">
        <v>208.63</v>
      </c>
      <c r="H475" s="1">
        <v>1609.19</v>
      </c>
      <c r="I475" s="1">
        <v>455.5</v>
      </c>
    </row>
    <row r="476" spans="1:9">
      <c r="A476" s="9" t="s">
        <v>1150</v>
      </c>
      <c r="B476" s="9" t="s">
        <v>1150</v>
      </c>
      <c r="C476" t="s">
        <v>96</v>
      </c>
      <c r="D476" s="5" t="s">
        <v>98</v>
      </c>
      <c r="F476" s="1">
        <v>2724.41</v>
      </c>
      <c r="H476" s="1">
        <v>722.4</v>
      </c>
    </row>
    <row r="477" spans="1:9">
      <c r="A477" s="9" t="s">
        <v>1150</v>
      </c>
      <c r="B477" s="9" t="s">
        <v>1150</v>
      </c>
      <c r="C477" t="s">
        <v>355</v>
      </c>
      <c r="D477" s="5" t="s">
        <v>357</v>
      </c>
      <c r="E477" s="1">
        <v>327617.44</v>
      </c>
      <c r="F477" s="1">
        <v>131571</v>
      </c>
    </row>
    <row r="478" spans="1:9">
      <c r="A478" s="9" t="s">
        <v>1150</v>
      </c>
      <c r="B478" s="9" t="s">
        <v>1150</v>
      </c>
      <c r="C478" t="s">
        <v>439</v>
      </c>
      <c r="D478" s="5" t="s">
        <v>441</v>
      </c>
      <c r="E478" s="1">
        <v>5776.62</v>
      </c>
      <c r="F478" s="1">
        <v>2022.17</v>
      </c>
    </row>
    <row r="479" spans="1:9">
      <c r="A479" s="9" t="s">
        <v>1150</v>
      </c>
      <c r="B479" s="9" t="s">
        <v>1150</v>
      </c>
      <c r="C479" t="s">
        <v>768</v>
      </c>
      <c r="D479" s="5" t="s">
        <v>770</v>
      </c>
      <c r="E479" s="1">
        <v>11795.42</v>
      </c>
      <c r="F479" s="1">
        <v>5795.42</v>
      </c>
    </row>
    <row r="480" spans="1:9">
      <c r="A480" s="9" t="s">
        <v>1150</v>
      </c>
      <c r="B480" s="9" t="s">
        <v>1150</v>
      </c>
      <c r="C480" t="s">
        <v>141</v>
      </c>
      <c r="D480" s="5" t="s">
        <v>143</v>
      </c>
      <c r="F480" s="1">
        <v>43662.63</v>
      </c>
      <c r="G480" s="1">
        <v>1687.56</v>
      </c>
      <c r="H480" s="1">
        <v>39.299999999999997</v>
      </c>
    </row>
    <row r="481" spans="1:8">
      <c r="A481" s="9" t="s">
        <v>1150</v>
      </c>
      <c r="B481" s="9" t="s">
        <v>1150</v>
      </c>
      <c r="C481" t="s">
        <v>397</v>
      </c>
      <c r="D481" s="5" t="s">
        <v>399</v>
      </c>
      <c r="E481" s="1">
        <v>26372.43</v>
      </c>
      <c r="F481" s="1">
        <v>7591.03</v>
      </c>
      <c r="G481" s="1">
        <v>999.7</v>
      </c>
    </row>
    <row r="482" spans="1:8">
      <c r="A482" s="9" t="s">
        <v>1150</v>
      </c>
      <c r="B482" s="9" t="s">
        <v>1150</v>
      </c>
      <c r="C482" t="s">
        <v>672</v>
      </c>
      <c r="D482" s="5" t="s">
        <v>674</v>
      </c>
      <c r="F482" s="1">
        <v>1866</v>
      </c>
    </row>
    <row r="483" spans="1:8">
      <c r="A483" s="9" t="s">
        <v>1150</v>
      </c>
      <c r="B483" s="9" t="s">
        <v>1150</v>
      </c>
      <c r="C483" t="s">
        <v>228</v>
      </c>
      <c r="D483" s="5" t="s">
        <v>230</v>
      </c>
      <c r="E483" s="1">
        <v>10018.07</v>
      </c>
      <c r="F483" s="1">
        <v>4746.32</v>
      </c>
    </row>
    <row r="484" spans="1:8">
      <c r="A484" s="9" t="s">
        <v>1150</v>
      </c>
      <c r="B484" s="9" t="s">
        <v>1150</v>
      </c>
      <c r="C484" t="s">
        <v>45</v>
      </c>
      <c r="D484" s="5" t="s">
        <v>47</v>
      </c>
      <c r="E484" s="1">
        <v>133362.16</v>
      </c>
      <c r="F484" s="1">
        <v>8583.4500000000007</v>
      </c>
    </row>
    <row r="485" spans="1:8">
      <c r="A485" s="9" t="s">
        <v>1150</v>
      </c>
      <c r="B485" s="9" t="s">
        <v>1150</v>
      </c>
      <c r="C485" t="s">
        <v>594</v>
      </c>
      <c r="D485" s="5" t="s">
        <v>596</v>
      </c>
      <c r="E485" s="1">
        <v>750.75</v>
      </c>
      <c r="F485" s="1">
        <v>977.4</v>
      </c>
    </row>
    <row r="486" spans="1:8">
      <c r="A486" s="9" t="s">
        <v>1150</v>
      </c>
      <c r="B486" s="9" t="s">
        <v>1150</v>
      </c>
      <c r="C486" t="s">
        <v>666</v>
      </c>
      <c r="D486" s="5" t="s">
        <v>668</v>
      </c>
      <c r="E486" s="1">
        <v>67896.320000000007</v>
      </c>
      <c r="F486" s="1">
        <v>8251.92</v>
      </c>
    </row>
    <row r="487" spans="1:8">
      <c r="A487" s="9" t="s">
        <v>1150</v>
      </c>
      <c r="B487" s="9" t="s">
        <v>1150</v>
      </c>
      <c r="C487" t="s">
        <v>597</v>
      </c>
      <c r="D487" s="5" t="s">
        <v>599</v>
      </c>
      <c r="F487" s="1">
        <v>3247.13</v>
      </c>
    </row>
    <row r="488" spans="1:8">
      <c r="A488" s="9" t="s">
        <v>1150</v>
      </c>
      <c r="B488" s="9" t="s">
        <v>1150</v>
      </c>
      <c r="C488" t="s">
        <v>636</v>
      </c>
      <c r="D488" s="5" t="s">
        <v>638</v>
      </c>
      <c r="E488" s="1">
        <v>3283.33</v>
      </c>
      <c r="F488" s="1">
        <v>1602.42</v>
      </c>
    </row>
    <row r="489" spans="1:8">
      <c r="A489" s="9" t="s">
        <v>1150</v>
      </c>
      <c r="B489" s="9" t="s">
        <v>1150</v>
      </c>
      <c r="C489" t="s">
        <v>813</v>
      </c>
      <c r="D489" s="5" t="s">
        <v>815</v>
      </c>
      <c r="F489" s="1">
        <v>2335.31</v>
      </c>
    </row>
    <row r="490" spans="1:8">
      <c r="A490" s="9" t="s">
        <v>1150</v>
      </c>
      <c r="B490" s="9" t="s">
        <v>1150</v>
      </c>
      <c r="C490" t="s">
        <v>427</v>
      </c>
      <c r="D490" s="5" t="s">
        <v>429</v>
      </c>
      <c r="F490" s="1">
        <v>5607.69</v>
      </c>
      <c r="H490" s="1">
        <v>669.06</v>
      </c>
    </row>
    <row r="491" spans="1:8">
      <c r="A491" s="9" t="s">
        <v>1150</v>
      </c>
      <c r="B491" s="9" t="s">
        <v>1150</v>
      </c>
      <c r="C491" t="s">
        <v>627</v>
      </c>
      <c r="D491" s="5" t="s">
        <v>629</v>
      </c>
      <c r="F491" s="1">
        <v>2080</v>
      </c>
      <c r="G491" s="1">
        <v>1325</v>
      </c>
      <c r="H491" s="1">
        <v>564.81500000000005</v>
      </c>
    </row>
    <row r="492" spans="1:8">
      <c r="A492" s="9" t="s">
        <v>1150</v>
      </c>
      <c r="B492" s="9" t="s">
        <v>1150</v>
      </c>
      <c r="C492" t="s">
        <v>338</v>
      </c>
      <c r="D492" s="5" t="s">
        <v>340</v>
      </c>
      <c r="E492" s="1">
        <v>84608.57</v>
      </c>
      <c r="F492" s="1">
        <v>36951.599999999999</v>
      </c>
    </row>
    <row r="493" spans="1:8">
      <c r="A493" s="9" t="s">
        <v>1150</v>
      </c>
      <c r="B493" s="9" t="s">
        <v>1150</v>
      </c>
      <c r="C493" t="s">
        <v>373</v>
      </c>
      <c r="D493" s="5" t="s">
        <v>375</v>
      </c>
      <c r="E493" s="1">
        <v>7998.52</v>
      </c>
      <c r="F493" s="1">
        <v>1692.22</v>
      </c>
    </row>
    <row r="494" spans="1:8">
      <c r="A494" s="9" t="s">
        <v>1150</v>
      </c>
      <c r="B494" s="9" t="s">
        <v>1150</v>
      </c>
      <c r="C494" t="s">
        <v>1173</v>
      </c>
      <c r="D494" s="5" t="s">
        <v>1175</v>
      </c>
      <c r="E494" s="1">
        <v>1457.07</v>
      </c>
      <c r="G494" s="1">
        <v>313.44</v>
      </c>
    </row>
    <row r="495" spans="1:8">
      <c r="A495" s="9" t="s">
        <v>1150</v>
      </c>
      <c r="B495" s="9" t="s">
        <v>1150</v>
      </c>
      <c r="C495" t="s">
        <v>1076</v>
      </c>
      <c r="D495" s="5" t="s">
        <v>1078</v>
      </c>
      <c r="E495" s="1">
        <v>12233.6</v>
      </c>
    </row>
    <row r="496" spans="1:8">
      <c r="A496" s="9" t="s">
        <v>1150</v>
      </c>
      <c r="B496" s="9" t="s">
        <v>1150</v>
      </c>
      <c r="C496" t="s">
        <v>93</v>
      </c>
      <c r="D496" s="5" t="s">
        <v>95</v>
      </c>
      <c r="E496" s="1">
        <v>14692.13</v>
      </c>
      <c r="F496" s="1">
        <v>853.47</v>
      </c>
      <c r="G496" s="1">
        <v>44.6</v>
      </c>
    </row>
    <row r="497" spans="1:9">
      <c r="A497" s="9" t="s">
        <v>1150</v>
      </c>
      <c r="B497" s="9" t="s">
        <v>1150</v>
      </c>
      <c r="C497" t="s">
        <v>201</v>
      </c>
      <c r="D497" s="5" t="s">
        <v>203</v>
      </c>
      <c r="E497" s="1">
        <v>7533.22</v>
      </c>
      <c r="F497" s="1">
        <v>70</v>
      </c>
    </row>
    <row r="498" spans="1:9">
      <c r="A498" s="9" t="s">
        <v>1150</v>
      </c>
      <c r="B498" s="9" t="s">
        <v>1150</v>
      </c>
      <c r="C498" t="s">
        <v>792</v>
      </c>
      <c r="D498" s="5" t="s">
        <v>794</v>
      </c>
      <c r="E498" s="1">
        <v>190024.08</v>
      </c>
      <c r="F498" s="1">
        <v>5133.38</v>
      </c>
    </row>
    <row r="499" spans="1:9">
      <c r="A499" s="9" t="s">
        <v>1150</v>
      </c>
      <c r="B499" s="9" t="s">
        <v>1150</v>
      </c>
      <c r="C499" t="s">
        <v>525</v>
      </c>
      <c r="D499" s="5" t="s">
        <v>527</v>
      </c>
      <c r="E499" s="1">
        <v>37428.9</v>
      </c>
      <c r="F499" s="1">
        <v>34091.19</v>
      </c>
      <c r="G499" s="1">
        <v>793.43</v>
      </c>
    </row>
    <row r="500" spans="1:9">
      <c r="A500" s="9" t="s">
        <v>1150</v>
      </c>
      <c r="B500" s="9" t="s">
        <v>1150</v>
      </c>
      <c r="C500" t="s">
        <v>330</v>
      </c>
      <c r="D500" s="5" t="s">
        <v>332</v>
      </c>
      <c r="E500" s="1">
        <v>9974.4599999999991</v>
      </c>
      <c r="F500" s="1">
        <v>49466.77</v>
      </c>
    </row>
    <row r="501" spans="1:9">
      <c r="A501" s="9" t="s">
        <v>1150</v>
      </c>
      <c r="B501" s="9" t="s">
        <v>1150</v>
      </c>
      <c r="C501" t="s">
        <v>477</v>
      </c>
      <c r="D501" s="5" t="s">
        <v>479</v>
      </c>
      <c r="E501" s="1">
        <v>19000</v>
      </c>
      <c r="F501" s="1">
        <v>98427.25</v>
      </c>
    </row>
    <row r="502" spans="1:9">
      <c r="A502" s="9" t="s">
        <v>1150</v>
      </c>
      <c r="B502" s="9" t="s">
        <v>1150</v>
      </c>
      <c r="C502" t="s">
        <v>1176</v>
      </c>
      <c r="D502" s="5" t="s">
        <v>1178</v>
      </c>
      <c r="E502" s="1">
        <v>3638.72</v>
      </c>
      <c r="F502" s="1">
        <v>196.66</v>
      </c>
    </row>
    <row r="503" spans="1:9">
      <c r="A503" s="9" t="s">
        <v>1150</v>
      </c>
      <c r="B503" s="9" t="s">
        <v>1150</v>
      </c>
      <c r="C503" t="s">
        <v>762</v>
      </c>
      <c r="D503" s="5" t="s">
        <v>764</v>
      </c>
      <c r="E503" s="1">
        <v>14913.14</v>
      </c>
      <c r="F503" s="1">
        <v>7866.14</v>
      </c>
    </row>
    <row r="504" spans="1:9">
      <c r="A504" s="9" t="s">
        <v>1150</v>
      </c>
      <c r="B504" s="9" t="s">
        <v>1150</v>
      </c>
      <c r="C504" t="s">
        <v>1179</v>
      </c>
      <c r="D504" s="5" t="s">
        <v>1181</v>
      </c>
      <c r="E504" s="1">
        <v>297.44</v>
      </c>
    </row>
    <row r="505" spans="1:9">
      <c r="A505" s="9" t="s">
        <v>1150</v>
      </c>
      <c r="B505" s="9" t="s">
        <v>1150</v>
      </c>
      <c r="C505" t="s">
        <v>705</v>
      </c>
      <c r="D505" s="5" t="s">
        <v>707</v>
      </c>
      <c r="E505" s="1">
        <v>6454.58</v>
      </c>
      <c r="G505" s="1">
        <v>3.14</v>
      </c>
      <c r="H505" s="1">
        <v>695.91</v>
      </c>
      <c r="I505" s="1">
        <v>477.93</v>
      </c>
    </row>
    <row r="506" spans="1:9">
      <c r="A506" s="9" t="s">
        <v>1150</v>
      </c>
      <c r="B506" s="9" t="s">
        <v>1150</v>
      </c>
      <c r="C506" t="s">
        <v>27</v>
      </c>
      <c r="D506" s="5" t="s">
        <v>29</v>
      </c>
      <c r="E506" s="1">
        <v>20293.150000000001</v>
      </c>
      <c r="F506" s="1">
        <v>4861.99</v>
      </c>
    </row>
    <row r="507" spans="1:9">
      <c r="A507" s="9" t="s">
        <v>1150</v>
      </c>
      <c r="B507" s="9" t="s">
        <v>1150</v>
      </c>
      <c r="C507" t="s">
        <v>394</v>
      </c>
      <c r="D507" s="5" t="s">
        <v>396</v>
      </c>
      <c r="E507" s="1">
        <v>8235.27</v>
      </c>
      <c r="F507" s="1">
        <v>1234.94</v>
      </c>
    </row>
    <row r="508" spans="1:9">
      <c r="A508" s="9" t="s">
        <v>1150</v>
      </c>
      <c r="B508" s="9" t="s">
        <v>1150</v>
      </c>
      <c r="C508" t="s">
        <v>415</v>
      </c>
      <c r="D508" s="5" t="s">
        <v>417</v>
      </c>
      <c r="E508" s="1">
        <v>3023.45</v>
      </c>
      <c r="F508" s="1">
        <v>352.07</v>
      </c>
    </row>
    <row r="509" spans="1:9">
      <c r="A509" s="9" t="s">
        <v>1150</v>
      </c>
      <c r="B509" s="9" t="s">
        <v>1150</v>
      </c>
      <c r="C509" t="s">
        <v>507</v>
      </c>
      <c r="D509" s="5" t="s">
        <v>509</v>
      </c>
      <c r="E509" s="1">
        <v>3900.61</v>
      </c>
      <c r="F509" s="1">
        <v>1256.5</v>
      </c>
    </row>
    <row r="510" spans="1:9">
      <c r="A510" s="9" t="s">
        <v>1150</v>
      </c>
      <c r="B510" s="9" t="s">
        <v>1150</v>
      </c>
      <c r="C510" t="s">
        <v>261</v>
      </c>
      <c r="D510" s="5" t="s">
        <v>263</v>
      </c>
      <c r="E510" s="1">
        <v>12258.14</v>
      </c>
      <c r="F510" s="1">
        <v>4941.4399999999996</v>
      </c>
      <c r="H510" s="1">
        <v>380</v>
      </c>
    </row>
    <row r="511" spans="1:9">
      <c r="A511" s="9" t="s">
        <v>1150</v>
      </c>
      <c r="B511" s="9" t="s">
        <v>1150</v>
      </c>
      <c r="C511" t="s">
        <v>570</v>
      </c>
      <c r="D511" s="5" t="s">
        <v>572</v>
      </c>
      <c r="E511" s="1">
        <v>10244.32</v>
      </c>
      <c r="F511" s="1">
        <v>5358.58</v>
      </c>
    </row>
    <row r="512" spans="1:9">
      <c r="A512" s="9" t="s">
        <v>1150</v>
      </c>
      <c r="B512" s="9" t="s">
        <v>1150</v>
      </c>
      <c r="C512" t="s">
        <v>693</v>
      </c>
      <c r="D512" s="5" t="s">
        <v>695</v>
      </c>
      <c r="E512" s="1">
        <v>2556.12</v>
      </c>
      <c r="F512" s="1">
        <v>1056.42</v>
      </c>
    </row>
    <row r="513" spans="1:9">
      <c r="A513" s="9" t="s">
        <v>1150</v>
      </c>
      <c r="B513" s="9" t="s">
        <v>1150</v>
      </c>
      <c r="C513" t="s">
        <v>1182</v>
      </c>
      <c r="D513" s="5" t="s">
        <v>1184</v>
      </c>
      <c r="E513" s="1">
        <v>1269.03</v>
      </c>
    </row>
    <row r="514" spans="1:9">
      <c r="A514" s="9" t="s">
        <v>1150</v>
      </c>
      <c r="B514" s="9" t="s">
        <v>1150</v>
      </c>
      <c r="C514" t="s">
        <v>759</v>
      </c>
      <c r="D514" s="5" t="s">
        <v>761</v>
      </c>
      <c r="E514" s="1">
        <v>12580.38</v>
      </c>
      <c r="F514" s="1">
        <v>5018.47</v>
      </c>
    </row>
    <row r="515" spans="1:9">
      <c r="A515" s="9" t="s">
        <v>1150</v>
      </c>
      <c r="B515" s="9" t="s">
        <v>1150</v>
      </c>
      <c r="C515" t="s">
        <v>315</v>
      </c>
      <c r="D515" s="5" t="s">
        <v>317</v>
      </c>
      <c r="E515" s="1">
        <v>27493.03</v>
      </c>
      <c r="F515" s="1">
        <v>3729</v>
      </c>
    </row>
    <row r="516" spans="1:9">
      <c r="A516" s="9" t="s">
        <v>1150</v>
      </c>
      <c r="B516" s="9" t="s">
        <v>1150</v>
      </c>
      <c r="C516" t="s">
        <v>1185</v>
      </c>
      <c r="D516" s="5" t="s">
        <v>1187</v>
      </c>
      <c r="E516" s="1">
        <v>3488.7</v>
      </c>
    </row>
    <row r="517" spans="1:9">
      <c r="A517" s="9" t="s">
        <v>1150</v>
      </c>
      <c r="B517" s="9" t="s">
        <v>1150</v>
      </c>
      <c r="C517" t="s">
        <v>1188</v>
      </c>
      <c r="D517" s="5" t="s">
        <v>1190</v>
      </c>
      <c r="E517" s="1">
        <v>4230.96</v>
      </c>
    </row>
    <row r="518" spans="1:9">
      <c r="A518" s="9" t="s">
        <v>1150</v>
      </c>
      <c r="B518" s="9" t="s">
        <v>1150</v>
      </c>
      <c r="C518" t="s">
        <v>651</v>
      </c>
      <c r="D518" s="5" t="s">
        <v>653</v>
      </c>
      <c r="E518" s="1">
        <v>30958.639999999999</v>
      </c>
      <c r="F518" s="1">
        <v>5231.2</v>
      </c>
      <c r="G518" s="1">
        <v>1152.33</v>
      </c>
    </row>
    <row r="519" spans="1:9">
      <c r="A519" s="9" t="s">
        <v>1150</v>
      </c>
      <c r="B519" s="9" t="s">
        <v>1150</v>
      </c>
      <c r="C519" t="s">
        <v>162</v>
      </c>
      <c r="D519" s="5" t="s">
        <v>164</v>
      </c>
      <c r="E519" s="1">
        <v>46854.83</v>
      </c>
      <c r="F519" s="1">
        <v>16813.07</v>
      </c>
      <c r="G519" s="1">
        <v>529.04999999999995</v>
      </c>
      <c r="H519" s="1">
        <v>54.18</v>
      </c>
    </row>
    <row r="520" spans="1:9">
      <c r="A520" s="9" t="s">
        <v>1150</v>
      </c>
      <c r="B520" s="9" t="s">
        <v>1150</v>
      </c>
      <c r="C520" t="s">
        <v>1191</v>
      </c>
      <c r="D520" s="5" t="s">
        <v>1193</v>
      </c>
      <c r="G520" s="1">
        <v>429.87</v>
      </c>
    </row>
    <row r="521" spans="1:9">
      <c r="A521" s="9" t="s">
        <v>1150</v>
      </c>
      <c r="B521" s="9" t="s">
        <v>1150</v>
      </c>
      <c r="C521" t="s">
        <v>980</v>
      </c>
      <c r="D521" s="5" t="s">
        <v>982</v>
      </c>
      <c r="H521" s="1">
        <v>201.03</v>
      </c>
      <c r="I521" s="1">
        <v>502.8</v>
      </c>
    </row>
    <row r="522" spans="1:9">
      <c r="A522" s="9" t="s">
        <v>1150</v>
      </c>
      <c r="B522" s="9" t="s">
        <v>1150</v>
      </c>
      <c r="C522" t="s">
        <v>1194</v>
      </c>
      <c r="D522" s="5" t="s">
        <v>1196</v>
      </c>
      <c r="G522" s="1">
        <v>2058.1</v>
      </c>
      <c r="H522" s="1">
        <v>1287.6849999999999</v>
      </c>
      <c r="I522" s="1">
        <v>166.5</v>
      </c>
    </row>
    <row r="523" spans="1:9">
      <c r="A523" s="9" t="s">
        <v>1150</v>
      </c>
      <c r="B523" s="9" t="s">
        <v>1150</v>
      </c>
      <c r="C523" t="s">
        <v>567</v>
      </c>
      <c r="D523" s="5" t="s">
        <v>569</v>
      </c>
      <c r="H523" s="1">
        <v>3873.49</v>
      </c>
    </row>
    <row r="524" spans="1:9">
      <c r="A524" s="9" t="s">
        <v>1150</v>
      </c>
      <c r="B524" s="9" t="s">
        <v>1150</v>
      </c>
      <c r="C524" t="s">
        <v>279</v>
      </c>
      <c r="D524" s="5" t="s">
        <v>281</v>
      </c>
      <c r="F524" s="1">
        <v>4824.1400000000003</v>
      </c>
      <c r="H524" s="1">
        <v>302.67</v>
      </c>
    </row>
    <row r="525" spans="1:9">
      <c r="A525" s="9" t="s">
        <v>1150</v>
      </c>
      <c r="B525" s="9" t="s">
        <v>1150</v>
      </c>
      <c r="C525" t="s">
        <v>36</v>
      </c>
      <c r="D525" s="5" t="s">
        <v>38</v>
      </c>
      <c r="F525" s="1">
        <v>30689.22</v>
      </c>
      <c r="H525" s="1">
        <v>1303.92</v>
      </c>
    </row>
    <row r="526" spans="1:9">
      <c r="A526" s="9" t="s">
        <v>1150</v>
      </c>
      <c r="B526" s="9" t="s">
        <v>1150</v>
      </c>
      <c r="C526" t="s">
        <v>878</v>
      </c>
      <c r="D526" s="5" t="s">
        <v>880</v>
      </c>
      <c r="H526" s="1">
        <v>58.95</v>
      </c>
    </row>
    <row r="527" spans="1:9">
      <c r="A527" s="9" t="s">
        <v>1150</v>
      </c>
      <c r="B527" s="9" t="s">
        <v>1150</v>
      </c>
      <c r="C527" t="s">
        <v>246</v>
      </c>
      <c r="D527" s="5" t="s">
        <v>248</v>
      </c>
      <c r="E527" s="1">
        <v>20858.099999999999</v>
      </c>
      <c r="F527" s="1">
        <v>4855.6000000000004</v>
      </c>
      <c r="G527" s="1">
        <v>103.93</v>
      </c>
      <c r="H527" s="1">
        <v>359.18</v>
      </c>
      <c r="I527" s="1">
        <v>132.80000000000001</v>
      </c>
    </row>
    <row r="528" spans="1:9">
      <c r="A528" s="9" t="s">
        <v>1150</v>
      </c>
      <c r="B528" s="9" t="s">
        <v>1150</v>
      </c>
      <c r="C528" t="s">
        <v>1197</v>
      </c>
      <c r="D528" s="5" t="s">
        <v>1199</v>
      </c>
      <c r="H528" s="1">
        <v>2748.5549999999998</v>
      </c>
      <c r="I528" s="1">
        <v>687.26</v>
      </c>
    </row>
    <row r="529" spans="1:8">
      <c r="A529" s="9" t="s">
        <v>1150</v>
      </c>
      <c r="B529" s="9" t="s">
        <v>1150</v>
      </c>
      <c r="C529" t="s">
        <v>192</v>
      </c>
      <c r="D529" s="5" t="s">
        <v>194</v>
      </c>
      <c r="E529" s="1">
        <v>13991.67</v>
      </c>
      <c r="F529" s="1">
        <v>8761.83</v>
      </c>
    </row>
    <row r="530" spans="1:8">
      <c r="A530" s="9" t="s">
        <v>1150</v>
      </c>
      <c r="B530" s="9" t="s">
        <v>1150</v>
      </c>
      <c r="C530" t="s">
        <v>603</v>
      </c>
      <c r="D530" s="5" t="s">
        <v>605</v>
      </c>
      <c r="E530" s="1">
        <v>39310.61</v>
      </c>
      <c r="F530" s="1">
        <v>19897.66</v>
      </c>
    </row>
    <row r="531" spans="1:8">
      <c r="A531" s="9" t="s">
        <v>1150</v>
      </c>
      <c r="B531" s="9" t="s">
        <v>1150</v>
      </c>
      <c r="C531" t="s">
        <v>204</v>
      </c>
      <c r="D531" s="5" t="s">
        <v>206</v>
      </c>
      <c r="E531" s="1">
        <v>11774.35</v>
      </c>
      <c r="F531" s="1">
        <v>2192.83</v>
      </c>
    </row>
    <row r="532" spans="1:8">
      <c r="A532" s="9" t="s">
        <v>1150</v>
      </c>
      <c r="B532" s="9" t="s">
        <v>1150</v>
      </c>
      <c r="C532" t="s">
        <v>492</v>
      </c>
      <c r="D532" s="5" t="s">
        <v>494</v>
      </c>
      <c r="F532" s="1">
        <v>21491.4</v>
      </c>
    </row>
    <row r="533" spans="1:8">
      <c r="A533" s="9" t="s">
        <v>1150</v>
      </c>
      <c r="B533" s="9" t="s">
        <v>1150</v>
      </c>
      <c r="C533" t="s">
        <v>198</v>
      </c>
      <c r="D533" s="5" t="s">
        <v>200</v>
      </c>
      <c r="E533" s="1">
        <v>3309.69</v>
      </c>
      <c r="F533" s="1">
        <v>1338.01</v>
      </c>
      <c r="H533" s="1">
        <v>32.24</v>
      </c>
    </row>
    <row r="534" spans="1:8">
      <c r="A534" s="9" t="s">
        <v>1150</v>
      </c>
      <c r="B534" s="9" t="s">
        <v>1150</v>
      </c>
      <c r="C534" t="s">
        <v>549</v>
      </c>
      <c r="D534" s="5" t="s">
        <v>551</v>
      </c>
      <c r="F534" s="1">
        <v>1797</v>
      </c>
    </row>
    <row r="535" spans="1:8">
      <c r="A535" s="9" t="s">
        <v>1150</v>
      </c>
      <c r="B535" s="9" t="s">
        <v>1150</v>
      </c>
      <c r="C535" t="s">
        <v>660</v>
      </c>
      <c r="D535" s="5" t="s">
        <v>662</v>
      </c>
      <c r="E535" s="1">
        <v>9351.8799999999992</v>
      </c>
      <c r="F535" s="1">
        <v>3396.43</v>
      </c>
    </row>
    <row r="536" spans="1:8">
      <c r="A536" s="9" t="s">
        <v>1150</v>
      </c>
      <c r="B536" s="9" t="s">
        <v>1150</v>
      </c>
      <c r="C536" t="s">
        <v>276</v>
      </c>
      <c r="D536" s="5" t="s">
        <v>278</v>
      </c>
      <c r="F536" s="1">
        <v>13177.5</v>
      </c>
      <c r="H536" s="1">
        <v>409.4</v>
      </c>
    </row>
    <row r="537" spans="1:8">
      <c r="A537" s="9" t="s">
        <v>1150</v>
      </c>
      <c r="B537" s="9" t="s">
        <v>1150</v>
      </c>
      <c r="C537" t="s">
        <v>804</v>
      </c>
      <c r="D537" s="5" t="s">
        <v>806</v>
      </c>
      <c r="E537" s="1">
        <v>24937.17</v>
      </c>
      <c r="F537" s="1">
        <v>6817.86</v>
      </c>
    </row>
    <row r="538" spans="1:8">
      <c r="A538" s="9" t="s">
        <v>1150</v>
      </c>
      <c r="B538" s="9" t="s">
        <v>1150</v>
      </c>
      <c r="C538" t="s">
        <v>462</v>
      </c>
      <c r="D538" s="5" t="s">
        <v>464</v>
      </c>
      <c r="E538" s="1">
        <v>5818.65</v>
      </c>
      <c r="F538" s="1">
        <v>1464.44</v>
      </c>
    </row>
    <row r="539" spans="1:8">
      <c r="A539" s="9" t="s">
        <v>1150</v>
      </c>
      <c r="B539" s="9" t="s">
        <v>1150</v>
      </c>
      <c r="C539" t="s">
        <v>102</v>
      </c>
      <c r="D539" s="5" t="s">
        <v>104</v>
      </c>
      <c r="E539" s="1">
        <v>13193.57</v>
      </c>
      <c r="F539" s="1">
        <v>2121.9</v>
      </c>
      <c r="H539" s="1">
        <v>253.78</v>
      </c>
    </row>
    <row r="540" spans="1:8">
      <c r="A540" s="9" t="s">
        <v>1150</v>
      </c>
      <c r="B540" s="9" t="s">
        <v>1150</v>
      </c>
      <c r="C540" t="s">
        <v>699</v>
      </c>
      <c r="D540" s="5" t="s">
        <v>701</v>
      </c>
      <c r="E540" s="1">
        <v>13309.09</v>
      </c>
      <c r="F540" s="1">
        <v>3014.12</v>
      </c>
      <c r="H540" s="1">
        <v>399.45</v>
      </c>
    </row>
    <row r="541" spans="1:8">
      <c r="A541" s="9" t="s">
        <v>1150</v>
      </c>
      <c r="B541" s="9" t="s">
        <v>1150</v>
      </c>
      <c r="C541" t="s">
        <v>564</v>
      </c>
      <c r="D541" s="5" t="s">
        <v>566</v>
      </c>
      <c r="F541" s="1">
        <v>7689.29</v>
      </c>
      <c r="H541" s="1">
        <v>360.76</v>
      </c>
    </row>
    <row r="542" spans="1:8">
      <c r="A542" s="9" t="s">
        <v>1150</v>
      </c>
      <c r="B542" s="9" t="s">
        <v>1150</v>
      </c>
      <c r="C542" t="s">
        <v>606</v>
      </c>
      <c r="D542" s="5" t="s">
        <v>608</v>
      </c>
      <c r="E542" s="1">
        <v>13838.18</v>
      </c>
      <c r="F542" s="1">
        <v>6748.64</v>
      </c>
    </row>
    <row r="543" spans="1:8">
      <c r="A543" s="9" t="s">
        <v>1150</v>
      </c>
      <c r="B543" s="9" t="s">
        <v>1150</v>
      </c>
      <c r="C543" t="s">
        <v>678</v>
      </c>
      <c r="D543" s="5" t="s">
        <v>680</v>
      </c>
      <c r="F543" s="1">
        <v>23870.1</v>
      </c>
    </row>
    <row r="544" spans="1:8">
      <c r="A544" s="9" t="s">
        <v>1150</v>
      </c>
      <c r="B544" s="9" t="s">
        <v>1150</v>
      </c>
      <c r="C544" t="s">
        <v>165</v>
      </c>
      <c r="D544" s="5" t="s">
        <v>167</v>
      </c>
      <c r="E544" s="1">
        <v>22200.3</v>
      </c>
      <c r="F544" s="1">
        <v>3799.28</v>
      </c>
      <c r="G544" s="1">
        <v>1507.01</v>
      </c>
      <c r="H544" s="1">
        <v>60.2</v>
      </c>
    </row>
    <row r="545" spans="1:8">
      <c r="A545" s="9" t="s">
        <v>1150</v>
      </c>
      <c r="B545" s="9" t="s">
        <v>1150</v>
      </c>
      <c r="C545" t="s">
        <v>21</v>
      </c>
      <c r="D545" s="5" t="s">
        <v>23</v>
      </c>
      <c r="F545" s="1">
        <v>19.190000000000001</v>
      </c>
    </row>
    <row r="546" spans="1:8">
      <c r="A546" s="9" t="s">
        <v>1150</v>
      </c>
      <c r="B546" s="9" t="s">
        <v>1150</v>
      </c>
      <c r="C546" t="s">
        <v>615</v>
      </c>
      <c r="D546" s="5" t="s">
        <v>617</v>
      </c>
      <c r="F546" s="1">
        <v>23114.27</v>
      </c>
    </row>
    <row r="547" spans="1:8">
      <c r="A547" s="9" t="s">
        <v>1150</v>
      </c>
      <c r="B547" s="9" t="s">
        <v>1150</v>
      </c>
      <c r="C547" t="s">
        <v>210</v>
      </c>
      <c r="D547" s="5" t="s">
        <v>212</v>
      </c>
      <c r="E547" s="1">
        <v>635940.44999999995</v>
      </c>
      <c r="F547" s="1">
        <v>20262.669999999998</v>
      </c>
      <c r="H547" s="1">
        <v>115.12</v>
      </c>
    </row>
    <row r="548" spans="1:8">
      <c r="A548" s="9" t="s">
        <v>1150</v>
      </c>
      <c r="B548" s="9" t="s">
        <v>1150</v>
      </c>
      <c r="C548" t="s">
        <v>468</v>
      </c>
      <c r="D548" s="5" t="s">
        <v>470</v>
      </c>
      <c r="E548" s="1">
        <v>152167.32999999999</v>
      </c>
      <c r="F548" s="1">
        <v>3000</v>
      </c>
      <c r="G548" s="1">
        <v>773.54</v>
      </c>
      <c r="H548" s="1">
        <v>264.12</v>
      </c>
    </row>
    <row r="549" spans="1:8">
      <c r="A549" s="9" t="s">
        <v>1150</v>
      </c>
      <c r="B549" s="9" t="s">
        <v>1150</v>
      </c>
      <c r="C549" t="s">
        <v>451</v>
      </c>
      <c r="D549" s="5" t="s">
        <v>453</v>
      </c>
      <c r="E549" s="1">
        <v>62181.1</v>
      </c>
      <c r="F549" s="1">
        <v>2400.4</v>
      </c>
      <c r="G549" s="1">
        <v>1480</v>
      </c>
    </row>
    <row r="550" spans="1:8">
      <c r="A550" s="9" t="s">
        <v>1150</v>
      </c>
      <c r="B550" s="9" t="s">
        <v>1150</v>
      </c>
      <c r="C550" t="s">
        <v>24</v>
      </c>
      <c r="D550" s="5" t="s">
        <v>26</v>
      </c>
      <c r="E550" s="1">
        <v>27311.9</v>
      </c>
      <c r="F550" s="1">
        <v>1057.54</v>
      </c>
      <c r="H550" s="1">
        <v>240.8</v>
      </c>
    </row>
    <row r="551" spans="1:8">
      <c r="A551" s="9" t="s">
        <v>1150</v>
      </c>
      <c r="B551" s="9" t="s">
        <v>1150</v>
      </c>
      <c r="C551" t="s">
        <v>738</v>
      </c>
      <c r="D551" s="5" t="s">
        <v>740</v>
      </c>
      <c r="E551" s="1">
        <v>87332.479999999996</v>
      </c>
      <c r="F551" s="1">
        <v>4998.38</v>
      </c>
    </row>
    <row r="552" spans="1:8">
      <c r="A552" s="9" t="s">
        <v>1150</v>
      </c>
      <c r="B552" s="9" t="s">
        <v>1150</v>
      </c>
      <c r="C552" t="s">
        <v>998</v>
      </c>
      <c r="D552" s="5" t="s">
        <v>1000</v>
      </c>
      <c r="E552" s="1">
        <v>26558.66</v>
      </c>
    </row>
    <row r="553" spans="1:8">
      <c r="A553" s="9" t="s">
        <v>1150</v>
      </c>
      <c r="B553" s="9" t="s">
        <v>1150</v>
      </c>
      <c r="C553" t="s">
        <v>1010</v>
      </c>
      <c r="D553" s="5" t="s">
        <v>1012</v>
      </c>
      <c r="E553" s="1">
        <v>3195.16</v>
      </c>
    </row>
    <row r="554" spans="1:8">
      <c r="A554" s="9" t="s">
        <v>1150</v>
      </c>
      <c r="B554" s="9" t="s">
        <v>1150</v>
      </c>
      <c r="C554" t="s">
        <v>1200</v>
      </c>
      <c r="D554" s="5" t="s">
        <v>1202</v>
      </c>
      <c r="E554" s="1">
        <v>32670</v>
      </c>
    </row>
    <row r="555" spans="1:8">
      <c r="A555" s="9" t="s">
        <v>1150</v>
      </c>
      <c r="B555" s="9" t="s">
        <v>1150</v>
      </c>
      <c r="C555" t="s">
        <v>579</v>
      </c>
      <c r="D555" s="5" t="s">
        <v>581</v>
      </c>
      <c r="E555" s="1">
        <v>99883.54</v>
      </c>
      <c r="F555" s="1">
        <v>16871.93</v>
      </c>
      <c r="G555" s="1">
        <v>1990</v>
      </c>
    </row>
    <row r="556" spans="1:8">
      <c r="A556" s="9" t="s">
        <v>1150</v>
      </c>
      <c r="B556" s="9" t="s">
        <v>1150</v>
      </c>
      <c r="C556" t="s">
        <v>1203</v>
      </c>
      <c r="D556" s="5" t="s">
        <v>1205</v>
      </c>
      <c r="E556" s="1">
        <v>8700</v>
      </c>
      <c r="F556" s="1">
        <v>4678</v>
      </c>
    </row>
    <row r="557" spans="1:8">
      <c r="A557" s="9" t="s">
        <v>1150</v>
      </c>
      <c r="B557" s="9" t="s">
        <v>1150</v>
      </c>
      <c r="C557" t="s">
        <v>1031</v>
      </c>
      <c r="D557" s="5" t="s">
        <v>1033</v>
      </c>
      <c r="F557" s="1">
        <v>919</v>
      </c>
    </row>
    <row r="558" spans="1:8">
      <c r="A558" s="9" t="s">
        <v>1150</v>
      </c>
      <c r="B558" s="9" t="s">
        <v>1150</v>
      </c>
      <c r="C558" t="s">
        <v>267</v>
      </c>
      <c r="D558" s="5" t="s">
        <v>269</v>
      </c>
      <c r="E558" s="1">
        <v>26999.759999999998</v>
      </c>
      <c r="F558" s="1">
        <v>10382.9</v>
      </c>
      <c r="G558" s="1">
        <v>271.87</v>
      </c>
      <c r="H558" s="1">
        <v>602.98</v>
      </c>
    </row>
    <row r="559" spans="1:8">
      <c r="A559" s="9" t="s">
        <v>1150</v>
      </c>
      <c r="B559" s="9" t="s">
        <v>1150</v>
      </c>
      <c r="C559" t="s">
        <v>33</v>
      </c>
      <c r="D559" s="5" t="s">
        <v>35</v>
      </c>
      <c r="E559" s="1">
        <v>1680</v>
      </c>
      <c r="H559" s="1">
        <v>75.25</v>
      </c>
    </row>
    <row r="560" spans="1:8">
      <c r="A560" s="9" t="s">
        <v>1150</v>
      </c>
      <c r="B560" s="9" t="s">
        <v>1150</v>
      </c>
      <c r="C560" t="s">
        <v>819</v>
      </c>
      <c r="D560" s="5" t="s">
        <v>821</v>
      </c>
      <c r="E560" s="1">
        <v>580</v>
      </c>
    </row>
    <row r="561" spans="1:9">
      <c r="A561" s="9" t="s">
        <v>1150</v>
      </c>
      <c r="B561" s="9" t="s">
        <v>1150</v>
      </c>
      <c r="C561" t="s">
        <v>1206</v>
      </c>
      <c r="D561" s="5" t="s">
        <v>1208</v>
      </c>
      <c r="E561" s="1">
        <v>1142.05</v>
      </c>
    </row>
    <row r="562" spans="1:9">
      <c r="A562" s="9" t="s">
        <v>1150</v>
      </c>
      <c r="B562" s="9" t="s">
        <v>1150</v>
      </c>
      <c r="C562" t="s">
        <v>657</v>
      </c>
      <c r="D562" s="5" t="s">
        <v>659</v>
      </c>
      <c r="E562" s="1">
        <v>41872.910000000003</v>
      </c>
      <c r="F562" s="1">
        <v>36820.879999999997</v>
      </c>
    </row>
    <row r="563" spans="1:9">
      <c r="A563" s="9" t="s">
        <v>1150</v>
      </c>
      <c r="B563" s="9" t="s">
        <v>1150</v>
      </c>
      <c r="C563" t="s">
        <v>237</v>
      </c>
      <c r="D563" s="5" t="s">
        <v>239</v>
      </c>
      <c r="E563" s="1">
        <v>7894.1</v>
      </c>
      <c r="F563" s="1">
        <v>2091.84</v>
      </c>
    </row>
    <row r="564" spans="1:9">
      <c r="A564" s="9" t="s">
        <v>1150</v>
      </c>
      <c r="B564" s="9" t="s">
        <v>1150</v>
      </c>
      <c r="C564" t="s">
        <v>630</v>
      </c>
      <c r="D564" s="5" t="s">
        <v>632</v>
      </c>
      <c r="E564" s="1">
        <v>11193.73</v>
      </c>
      <c r="F564" s="1">
        <v>13554.95</v>
      </c>
    </row>
    <row r="565" spans="1:9">
      <c r="A565" s="9" t="s">
        <v>1150</v>
      </c>
      <c r="B565" s="9" t="s">
        <v>1150</v>
      </c>
      <c r="C565" t="s">
        <v>382</v>
      </c>
      <c r="D565" s="5" t="s">
        <v>384</v>
      </c>
      <c r="E565" s="1">
        <v>7471.31</v>
      </c>
      <c r="F565" s="1">
        <v>385.58</v>
      </c>
    </row>
    <row r="566" spans="1:9">
      <c r="A566" s="9" t="s">
        <v>1150</v>
      </c>
      <c r="B566" s="9" t="s">
        <v>1150</v>
      </c>
      <c r="C566" t="s">
        <v>297</v>
      </c>
      <c r="D566" s="5" t="s">
        <v>299</v>
      </c>
      <c r="E566" s="1">
        <v>189299.47</v>
      </c>
      <c r="F566" s="1">
        <v>12230</v>
      </c>
      <c r="H566" s="1">
        <v>2703.84</v>
      </c>
    </row>
    <row r="567" spans="1:9">
      <c r="A567" s="9" t="s">
        <v>1150</v>
      </c>
      <c r="B567" s="9" t="s">
        <v>1150</v>
      </c>
      <c r="C567" t="s">
        <v>624</v>
      </c>
      <c r="D567" s="5" t="s">
        <v>626</v>
      </c>
      <c r="E567" s="1">
        <v>24777.95</v>
      </c>
      <c r="F567" s="1">
        <v>3585</v>
      </c>
      <c r="H567" s="1">
        <v>572.26</v>
      </c>
    </row>
    <row r="568" spans="1:9">
      <c r="A568" s="9" t="s">
        <v>1150</v>
      </c>
      <c r="B568" s="9" t="s">
        <v>1150</v>
      </c>
      <c r="C568" t="s">
        <v>225</v>
      </c>
      <c r="D568" s="5" t="s">
        <v>227</v>
      </c>
      <c r="F568" s="1">
        <v>6422.07</v>
      </c>
      <c r="H568" s="1">
        <v>1746.25</v>
      </c>
      <c r="I568" s="1">
        <v>633.01</v>
      </c>
    </row>
    <row r="569" spans="1:9">
      <c r="A569" s="9" t="s">
        <v>1150</v>
      </c>
      <c r="B569" s="9" t="s">
        <v>1150</v>
      </c>
      <c r="C569" t="s">
        <v>1209</v>
      </c>
      <c r="D569" s="5" t="s">
        <v>1211</v>
      </c>
      <c r="H569" s="1">
        <v>15.98</v>
      </c>
    </row>
    <row r="570" spans="1:9">
      <c r="A570" s="9" t="s">
        <v>1150</v>
      </c>
      <c r="B570" s="9" t="s">
        <v>1150</v>
      </c>
      <c r="C570" t="s">
        <v>273</v>
      </c>
      <c r="D570" s="5" t="s">
        <v>275</v>
      </c>
      <c r="F570" s="1">
        <v>13426.61</v>
      </c>
      <c r="H570" s="1">
        <v>1832.48</v>
      </c>
    </row>
    <row r="571" spans="1:9">
      <c r="A571" s="9" t="s">
        <v>1150</v>
      </c>
      <c r="B571" s="9" t="s">
        <v>1150</v>
      </c>
      <c r="C571" t="s">
        <v>421</v>
      </c>
      <c r="D571" s="5" t="s">
        <v>423</v>
      </c>
      <c r="G571" s="1">
        <v>322.2</v>
      </c>
      <c r="H571" s="1">
        <v>75.099999999999994</v>
      </c>
    </row>
    <row r="572" spans="1:9">
      <c r="A572" s="9" t="s">
        <v>1150</v>
      </c>
      <c r="B572" s="9" t="s">
        <v>1150</v>
      </c>
      <c r="C572" t="s">
        <v>1212</v>
      </c>
      <c r="D572" s="5" t="s">
        <v>1214</v>
      </c>
      <c r="G572" s="1">
        <v>438.96</v>
      </c>
      <c r="H572" s="1">
        <v>39.299999999999997</v>
      </c>
    </row>
    <row r="573" spans="1:9">
      <c r="A573" s="9" t="s">
        <v>1150</v>
      </c>
      <c r="B573" s="9" t="s">
        <v>1150</v>
      </c>
      <c r="C573" t="s">
        <v>1064</v>
      </c>
      <c r="D573" s="5" t="s">
        <v>1066</v>
      </c>
      <c r="H573" s="1">
        <v>697.3</v>
      </c>
      <c r="I573" s="1">
        <v>206.5</v>
      </c>
    </row>
    <row r="574" spans="1:9">
      <c r="A574" s="9" t="s">
        <v>1150</v>
      </c>
      <c r="B574" s="9" t="s">
        <v>1150</v>
      </c>
      <c r="C574" t="s">
        <v>42</v>
      </c>
      <c r="D574" s="5" t="s">
        <v>44</v>
      </c>
      <c r="E574" s="1">
        <v>8580.5300000000007</v>
      </c>
      <c r="F574" s="1">
        <v>4773.16</v>
      </c>
    </row>
    <row r="575" spans="1:9">
      <c r="A575" s="9" t="s">
        <v>1150</v>
      </c>
      <c r="B575" s="9" t="s">
        <v>1150</v>
      </c>
      <c r="C575" t="s">
        <v>1215</v>
      </c>
      <c r="D575" s="5" t="s">
        <v>1217</v>
      </c>
      <c r="F575" s="1">
        <v>3200</v>
      </c>
    </row>
    <row r="576" spans="1:9">
      <c r="A576" s="9" t="s">
        <v>1150</v>
      </c>
      <c r="B576" s="9" t="s">
        <v>1150</v>
      </c>
      <c r="C576" t="s">
        <v>1218</v>
      </c>
      <c r="D576" s="5" t="s">
        <v>323</v>
      </c>
      <c r="F576" s="1">
        <v>4944.41</v>
      </c>
    </row>
    <row r="577" spans="1:8">
      <c r="A577" s="9" t="s">
        <v>1150</v>
      </c>
      <c r="B577" s="9" t="s">
        <v>1150</v>
      </c>
      <c r="C577" t="s">
        <v>400</v>
      </c>
      <c r="D577" s="5" t="s">
        <v>402</v>
      </c>
      <c r="E577" s="1">
        <v>56144</v>
      </c>
      <c r="F577" s="1">
        <v>10246.94</v>
      </c>
    </row>
    <row r="578" spans="1:8">
      <c r="A578" s="9" t="s">
        <v>1150</v>
      </c>
      <c r="B578" s="9" t="s">
        <v>1150</v>
      </c>
      <c r="C578" t="s">
        <v>159</v>
      </c>
      <c r="D578" s="5" t="s">
        <v>161</v>
      </c>
      <c r="E578" s="1">
        <v>37259.51</v>
      </c>
      <c r="F578" s="1">
        <v>1915.69</v>
      </c>
    </row>
    <row r="579" spans="1:8">
      <c r="A579" s="9" t="s">
        <v>1150</v>
      </c>
      <c r="B579" s="9" t="s">
        <v>1150</v>
      </c>
      <c r="C579" t="s">
        <v>291</v>
      </c>
      <c r="D579" s="5" t="s">
        <v>293</v>
      </c>
      <c r="E579" s="1">
        <v>38298.58</v>
      </c>
      <c r="F579" s="1">
        <v>13625.93</v>
      </c>
    </row>
    <row r="580" spans="1:8">
      <c r="A580" s="9" t="s">
        <v>1150</v>
      </c>
      <c r="B580" s="9" t="s">
        <v>1150</v>
      </c>
      <c r="C580" t="s">
        <v>1220</v>
      </c>
      <c r="D580" s="5" t="s">
        <v>1222</v>
      </c>
      <c r="F580" s="1">
        <v>19.690000000000001</v>
      </c>
    </row>
    <row r="581" spans="1:8">
      <c r="A581" s="9" t="s">
        <v>1150</v>
      </c>
      <c r="B581" s="9" t="s">
        <v>1150</v>
      </c>
      <c r="C581" t="s">
        <v>18</v>
      </c>
      <c r="D581" s="5" t="s">
        <v>20</v>
      </c>
      <c r="E581" s="1">
        <v>4233.99</v>
      </c>
      <c r="F581" s="1">
        <v>2326.5</v>
      </c>
    </row>
    <row r="582" spans="1:8">
      <c r="A582" s="9" t="s">
        <v>1150</v>
      </c>
      <c r="B582" s="9" t="s">
        <v>1150</v>
      </c>
      <c r="C582" t="s">
        <v>445</v>
      </c>
      <c r="D582" s="5" t="s">
        <v>447</v>
      </c>
      <c r="E582" s="1">
        <v>80445.600000000006</v>
      </c>
      <c r="F582" s="1">
        <v>2987.12</v>
      </c>
      <c r="H582" s="1">
        <v>220.1</v>
      </c>
    </row>
    <row r="583" spans="1:8">
      <c r="A583" s="9" t="s">
        <v>1150</v>
      </c>
      <c r="B583" s="9" t="s">
        <v>1150</v>
      </c>
      <c r="C583" t="s">
        <v>1223</v>
      </c>
      <c r="D583" s="5" t="s">
        <v>1225</v>
      </c>
      <c r="F583" s="1">
        <v>1070</v>
      </c>
    </row>
    <row r="584" spans="1:8">
      <c r="A584" s="9" t="s">
        <v>1150</v>
      </c>
      <c r="B584" s="9" t="s">
        <v>1150</v>
      </c>
      <c r="C584" t="s">
        <v>1226</v>
      </c>
      <c r="D584" s="5" t="s">
        <v>1228</v>
      </c>
      <c r="F584" s="1">
        <v>19.690000000000001</v>
      </c>
    </row>
    <row r="585" spans="1:8">
      <c r="A585" s="9" t="s">
        <v>1150</v>
      </c>
      <c r="B585" s="9" t="s">
        <v>1150</v>
      </c>
      <c r="C585" t="s">
        <v>1229</v>
      </c>
      <c r="D585" s="5" t="s">
        <v>1231</v>
      </c>
      <c r="F585" s="1">
        <v>12182.2</v>
      </c>
    </row>
    <row r="586" spans="1:8">
      <c r="A586" s="9" t="s">
        <v>1150</v>
      </c>
      <c r="B586" s="9" t="s">
        <v>1150</v>
      </c>
      <c r="C586" t="s">
        <v>72</v>
      </c>
      <c r="D586" s="5" t="s">
        <v>74</v>
      </c>
      <c r="E586" s="1">
        <v>21972.45</v>
      </c>
      <c r="F586" s="1">
        <v>3871.86</v>
      </c>
    </row>
    <row r="587" spans="1:8">
      <c r="A587" s="9" t="s">
        <v>1150</v>
      </c>
      <c r="B587" s="9" t="s">
        <v>1150</v>
      </c>
      <c r="C587" t="s">
        <v>430</v>
      </c>
      <c r="D587" s="5" t="s">
        <v>432</v>
      </c>
      <c r="F587" s="1">
        <v>5365.05</v>
      </c>
    </row>
    <row r="588" spans="1:8">
      <c r="A588" s="9" t="s">
        <v>1150</v>
      </c>
      <c r="B588" s="9" t="s">
        <v>1150</v>
      </c>
      <c r="C588" t="s">
        <v>132</v>
      </c>
      <c r="D588" s="5" t="s">
        <v>134</v>
      </c>
      <c r="F588" s="1">
        <v>10319.200000000001</v>
      </c>
      <c r="H588" s="1">
        <v>602</v>
      </c>
    </row>
    <row r="589" spans="1:8">
      <c r="A589" s="9" t="s">
        <v>1150</v>
      </c>
      <c r="B589" s="9" t="s">
        <v>1150</v>
      </c>
      <c r="C589" t="s">
        <v>459</v>
      </c>
      <c r="D589" s="5" t="s">
        <v>461</v>
      </c>
      <c r="E589" s="1">
        <v>65262.23</v>
      </c>
      <c r="F589" s="1">
        <v>17412.41</v>
      </c>
    </row>
    <row r="590" spans="1:8">
      <c r="A590" s="9" t="s">
        <v>1150</v>
      </c>
      <c r="B590" s="9" t="s">
        <v>1150</v>
      </c>
      <c r="C590" t="s">
        <v>887</v>
      </c>
      <c r="D590" s="5" t="s">
        <v>889</v>
      </c>
      <c r="E590" s="1">
        <v>611.4</v>
      </c>
    </row>
    <row r="591" spans="1:8">
      <c r="A591" s="9" t="s">
        <v>1150</v>
      </c>
      <c r="B591" s="9" t="s">
        <v>1150</v>
      </c>
      <c r="C591" t="s">
        <v>1232</v>
      </c>
      <c r="D591" s="5" t="s">
        <v>1234</v>
      </c>
      <c r="E591" s="1">
        <v>1429.84</v>
      </c>
    </row>
    <row r="592" spans="1:8">
      <c r="A592" s="9" t="s">
        <v>1150</v>
      </c>
      <c r="B592" s="9" t="s">
        <v>1150</v>
      </c>
      <c r="C592" t="s">
        <v>63</v>
      </c>
      <c r="D592" s="5" t="s">
        <v>65</v>
      </c>
      <c r="E592" s="1">
        <v>117409.4</v>
      </c>
      <c r="F592" s="1">
        <v>30729.81</v>
      </c>
    </row>
    <row r="593" spans="1:8">
      <c r="A593" s="9" t="s">
        <v>1150</v>
      </c>
      <c r="B593" s="9" t="s">
        <v>1150</v>
      </c>
      <c r="C593" t="s">
        <v>510</v>
      </c>
      <c r="D593" s="5" t="s">
        <v>512</v>
      </c>
      <c r="E593" s="1">
        <v>57522.46</v>
      </c>
      <c r="F593" s="1">
        <v>26293.24</v>
      </c>
      <c r="G593" s="1">
        <v>678.5</v>
      </c>
    </row>
    <row r="594" spans="1:8">
      <c r="A594" s="9" t="s">
        <v>1150</v>
      </c>
      <c r="B594" s="9" t="s">
        <v>1150</v>
      </c>
      <c r="C594" t="s">
        <v>522</v>
      </c>
      <c r="D594" s="5" t="s">
        <v>524</v>
      </c>
      <c r="E594" s="1">
        <v>8117.96</v>
      </c>
      <c r="F594" s="1">
        <v>6470.17</v>
      </c>
      <c r="H594" s="1">
        <v>19.98</v>
      </c>
    </row>
    <row r="595" spans="1:8">
      <c r="A595" s="9" t="s">
        <v>1150</v>
      </c>
      <c r="B595" s="9" t="s">
        <v>1150</v>
      </c>
      <c r="C595" t="s">
        <v>174</v>
      </c>
      <c r="D595" s="5" t="s">
        <v>176</v>
      </c>
      <c r="E595" s="1">
        <v>14924.62</v>
      </c>
      <c r="F595" s="1">
        <v>8617.89</v>
      </c>
    </row>
    <row r="596" spans="1:8">
      <c r="A596" s="9" t="s">
        <v>1150</v>
      </c>
      <c r="B596" s="9" t="s">
        <v>1150</v>
      </c>
      <c r="C596" t="s">
        <v>1235</v>
      </c>
      <c r="D596" s="5" t="s">
        <v>1237</v>
      </c>
      <c r="E596" s="1">
        <v>932.36</v>
      </c>
    </row>
    <row r="597" spans="1:8">
      <c r="A597" s="9" t="s">
        <v>1150</v>
      </c>
      <c r="B597" s="9" t="s">
        <v>1150</v>
      </c>
      <c r="C597" t="s">
        <v>48</v>
      </c>
      <c r="D597" s="5" t="s">
        <v>50</v>
      </c>
      <c r="E597" s="1">
        <v>10805.63</v>
      </c>
      <c r="F597" s="1">
        <v>4983.8599999999997</v>
      </c>
    </row>
    <row r="598" spans="1:8">
      <c r="A598" s="9" t="s">
        <v>1150</v>
      </c>
      <c r="B598" s="9" t="s">
        <v>1150</v>
      </c>
      <c r="C598" t="s">
        <v>84</v>
      </c>
      <c r="D598" s="5" t="s">
        <v>86</v>
      </c>
      <c r="E598" s="1">
        <v>10374</v>
      </c>
      <c r="F598" s="1">
        <v>7577.99</v>
      </c>
    </row>
    <row r="599" spans="1:8">
      <c r="A599" s="9" t="s">
        <v>1150</v>
      </c>
      <c r="B599" s="9" t="s">
        <v>1150</v>
      </c>
      <c r="C599" t="s">
        <v>303</v>
      </c>
      <c r="D599" s="5" t="s">
        <v>305</v>
      </c>
      <c r="E599" s="1">
        <v>5086.5</v>
      </c>
      <c r="F599" s="1">
        <v>9898.4599999999991</v>
      </c>
    </row>
    <row r="600" spans="1:8">
      <c r="A600" s="9" t="s">
        <v>1150</v>
      </c>
      <c r="B600" s="9" t="s">
        <v>1150</v>
      </c>
      <c r="C600" t="s">
        <v>195</v>
      </c>
      <c r="D600" s="5" t="s">
        <v>197</v>
      </c>
      <c r="E600" s="1">
        <v>37887.99</v>
      </c>
      <c r="F600" s="1">
        <v>6771.67</v>
      </c>
    </row>
    <row r="601" spans="1:8">
      <c r="A601" s="9" t="s">
        <v>1150</v>
      </c>
      <c r="B601" s="9" t="s">
        <v>1150</v>
      </c>
      <c r="C601" t="s">
        <v>1238</v>
      </c>
      <c r="D601" s="5" t="s">
        <v>1240</v>
      </c>
      <c r="E601" s="1">
        <v>-1319.51</v>
      </c>
    </row>
    <row r="602" spans="1:8">
      <c r="A602" s="9" t="s">
        <v>1150</v>
      </c>
      <c r="B602" s="9" t="s">
        <v>1150</v>
      </c>
      <c r="C602" t="s">
        <v>1241</v>
      </c>
      <c r="D602" s="5" t="s">
        <v>1243</v>
      </c>
      <c r="E602" s="1">
        <v>2389.29</v>
      </c>
    </row>
    <row r="603" spans="1:8">
      <c r="A603" s="9" t="s">
        <v>1150</v>
      </c>
      <c r="B603" s="9" t="s">
        <v>1150</v>
      </c>
      <c r="C603" t="s">
        <v>309</v>
      </c>
      <c r="D603" s="5" t="s">
        <v>311</v>
      </c>
      <c r="E603" s="1">
        <v>3863.17</v>
      </c>
      <c r="F603" s="1">
        <v>1986.33</v>
      </c>
      <c r="G603" s="1">
        <v>62.01</v>
      </c>
    </row>
    <row r="604" spans="1:8">
      <c r="A604" s="9" t="s">
        <v>1150</v>
      </c>
      <c r="B604" s="9" t="s">
        <v>1150</v>
      </c>
      <c r="C604" t="s">
        <v>711</v>
      </c>
      <c r="D604" s="5" t="s">
        <v>713</v>
      </c>
      <c r="G604" s="1">
        <v>384.54</v>
      </c>
    </row>
    <row r="605" spans="1:8">
      <c r="A605" s="9" t="s">
        <v>1150</v>
      </c>
      <c r="B605" s="9" t="s">
        <v>1150</v>
      </c>
      <c r="C605" t="s">
        <v>1244</v>
      </c>
      <c r="D605" s="5" t="s">
        <v>1246</v>
      </c>
      <c r="H605" s="1">
        <v>20.805</v>
      </c>
    </row>
    <row r="606" spans="1:8">
      <c r="A606" s="9" t="s">
        <v>1150</v>
      </c>
      <c r="B606" s="9" t="s">
        <v>1150</v>
      </c>
      <c r="C606" t="s">
        <v>717</v>
      </c>
      <c r="D606" s="5" t="s">
        <v>719</v>
      </c>
      <c r="H606" s="1">
        <v>211.92</v>
      </c>
    </row>
    <row r="607" spans="1:8">
      <c r="A607" s="9" t="s">
        <v>1150</v>
      </c>
      <c r="B607" s="9" t="s">
        <v>1150</v>
      </c>
      <c r="C607" t="s">
        <v>409</v>
      </c>
      <c r="D607" s="5" t="s">
        <v>411</v>
      </c>
      <c r="E607" s="1">
        <v>19995.96</v>
      </c>
      <c r="F607" s="1">
        <v>4615.67</v>
      </c>
      <c r="H607" s="1">
        <v>44.02</v>
      </c>
    </row>
    <row r="608" spans="1:8">
      <c r="A608" s="9" t="s">
        <v>1150</v>
      </c>
      <c r="B608" s="9" t="s">
        <v>1150</v>
      </c>
      <c r="C608" t="s">
        <v>786</v>
      </c>
      <c r="D608" s="5" t="s">
        <v>788</v>
      </c>
      <c r="E608" s="1">
        <v>113638.32</v>
      </c>
      <c r="F608" s="1">
        <v>2300</v>
      </c>
      <c r="H608" s="1">
        <v>905.375</v>
      </c>
    </row>
    <row r="609" spans="1:9">
      <c r="A609" s="9" t="s">
        <v>1150</v>
      </c>
      <c r="B609" s="9" t="s">
        <v>1150</v>
      </c>
      <c r="C609" t="s">
        <v>483</v>
      </c>
      <c r="D609" s="5" t="s">
        <v>485</v>
      </c>
      <c r="E609" s="1">
        <v>5077.67</v>
      </c>
      <c r="F609" s="1">
        <v>1954.67</v>
      </c>
      <c r="H609" s="1">
        <v>592.55999999999995</v>
      </c>
    </row>
    <row r="610" spans="1:9">
      <c r="A610" s="9" t="s">
        <v>1150</v>
      </c>
      <c r="B610" s="9" t="s">
        <v>1150</v>
      </c>
      <c r="C610" t="s">
        <v>442</v>
      </c>
      <c r="D610" s="5" t="s">
        <v>444</v>
      </c>
      <c r="F610" s="1">
        <v>683.03</v>
      </c>
      <c r="H610" s="1">
        <v>5588.38</v>
      </c>
    </row>
    <row r="611" spans="1:9">
      <c r="A611" s="9" t="s">
        <v>1150</v>
      </c>
      <c r="B611" s="9" t="s">
        <v>1150</v>
      </c>
      <c r="C611" t="s">
        <v>480</v>
      </c>
      <c r="D611" s="5" t="s">
        <v>482</v>
      </c>
      <c r="F611" s="1">
        <v>42380.959999999999</v>
      </c>
      <c r="G611" s="1">
        <v>10.84</v>
      </c>
      <c r="H611" s="1">
        <v>565.04999999999995</v>
      </c>
    </row>
    <row r="612" spans="1:9">
      <c r="A612" s="9" t="s">
        <v>1150</v>
      </c>
      <c r="B612" s="9" t="s">
        <v>1150</v>
      </c>
      <c r="C612" t="s">
        <v>588</v>
      </c>
      <c r="D612" s="5" t="s">
        <v>590</v>
      </c>
      <c r="F612" s="1">
        <v>1845.58</v>
      </c>
      <c r="H612" s="1">
        <v>548.84</v>
      </c>
    </row>
    <row r="613" spans="1:9">
      <c r="A613" s="9" t="s">
        <v>1150</v>
      </c>
      <c r="B613" s="9" t="s">
        <v>1150</v>
      </c>
      <c r="C613" t="s">
        <v>489</v>
      </c>
      <c r="D613" s="5" t="s">
        <v>491</v>
      </c>
      <c r="F613" s="1">
        <v>30485.040000000001</v>
      </c>
      <c r="H613" s="1">
        <v>177.89</v>
      </c>
    </row>
    <row r="614" spans="1:9">
      <c r="A614" s="9" t="s">
        <v>1150</v>
      </c>
      <c r="B614" s="9" t="s">
        <v>1150</v>
      </c>
      <c r="C614" t="s">
        <v>495</v>
      </c>
      <c r="D614" s="5" t="s">
        <v>497</v>
      </c>
      <c r="F614" s="1">
        <v>1728.71</v>
      </c>
      <c r="H614" s="1">
        <v>418.76</v>
      </c>
    </row>
    <row r="615" spans="1:9">
      <c r="A615" s="9" t="s">
        <v>1150</v>
      </c>
      <c r="B615" s="9" t="s">
        <v>1150</v>
      </c>
      <c r="C615" t="s">
        <v>474</v>
      </c>
      <c r="D615" s="5" t="s">
        <v>476</v>
      </c>
      <c r="F615" s="1">
        <v>3226.16</v>
      </c>
      <c r="H615" s="1">
        <v>361.2</v>
      </c>
    </row>
    <row r="616" spans="1:9">
      <c r="A616" s="9" t="s">
        <v>1150</v>
      </c>
      <c r="B616" s="9" t="s">
        <v>1150</v>
      </c>
      <c r="C616" t="s">
        <v>753</v>
      </c>
      <c r="D616" s="5" t="s">
        <v>755</v>
      </c>
      <c r="F616" s="1">
        <v>49819.91</v>
      </c>
      <c r="H616" s="1">
        <v>1191.8800000000001</v>
      </c>
    </row>
    <row r="617" spans="1:9">
      <c r="A617" s="9" t="s">
        <v>1150</v>
      </c>
      <c r="B617" s="9" t="s">
        <v>1150</v>
      </c>
      <c r="C617" t="s">
        <v>436</v>
      </c>
      <c r="D617" s="5" t="s">
        <v>438</v>
      </c>
      <c r="F617" s="1">
        <v>18233.509999999998</v>
      </c>
      <c r="H617" s="1">
        <v>586.86</v>
      </c>
    </row>
    <row r="618" spans="1:9">
      <c r="A618" s="9" t="s">
        <v>1150</v>
      </c>
      <c r="B618" s="9" t="s">
        <v>1150</v>
      </c>
      <c r="C618" t="s">
        <v>848</v>
      </c>
      <c r="D618" s="5" t="s">
        <v>850</v>
      </c>
      <c r="H618" s="1">
        <v>894.32500000000005</v>
      </c>
      <c r="I618" s="1">
        <v>629.14</v>
      </c>
    </row>
    <row r="619" spans="1:9">
      <c r="A619" s="9" t="s">
        <v>1150</v>
      </c>
      <c r="B619" s="9" t="s">
        <v>1150</v>
      </c>
      <c r="C619" t="s">
        <v>1247</v>
      </c>
      <c r="D619" s="5" t="s">
        <v>1249</v>
      </c>
      <c r="G619" s="1">
        <v>649.59</v>
      </c>
      <c r="H619" s="1">
        <v>91.064999999999998</v>
      </c>
      <c r="I619" s="1">
        <v>92.07</v>
      </c>
    </row>
    <row r="620" spans="1:9">
      <c r="A620" s="9" t="s">
        <v>1150</v>
      </c>
      <c r="B620" s="9" t="s">
        <v>1150</v>
      </c>
      <c r="C620" t="s">
        <v>513</v>
      </c>
      <c r="D620" s="5" t="s">
        <v>515</v>
      </c>
      <c r="E620" s="1">
        <v>29847.49</v>
      </c>
      <c r="F620" s="1">
        <v>10143.19</v>
      </c>
    </row>
    <row r="621" spans="1:9">
      <c r="A621" s="9" t="s">
        <v>1150</v>
      </c>
      <c r="B621" s="9" t="s">
        <v>1150</v>
      </c>
      <c r="C621" t="s">
        <v>528</v>
      </c>
      <c r="D621" s="5" t="s">
        <v>530</v>
      </c>
      <c r="E621" s="1">
        <v>31830.27</v>
      </c>
      <c r="F621" s="1">
        <v>22758.58</v>
      </c>
    </row>
    <row r="622" spans="1:9">
      <c r="A622" s="9" t="s">
        <v>1150</v>
      </c>
      <c r="B622" s="9" t="s">
        <v>1150</v>
      </c>
      <c r="C622" t="s">
        <v>222</v>
      </c>
      <c r="D622" s="5" t="s">
        <v>224</v>
      </c>
      <c r="F622" s="1">
        <v>494</v>
      </c>
    </row>
    <row r="623" spans="1:9">
      <c r="A623" s="9" t="s">
        <v>1150</v>
      </c>
      <c r="B623" s="9" t="s">
        <v>1150</v>
      </c>
      <c r="C623" t="s">
        <v>231</v>
      </c>
      <c r="D623" s="5" t="s">
        <v>233</v>
      </c>
      <c r="E623" s="1">
        <v>49687.5</v>
      </c>
      <c r="F623" s="1">
        <v>8635.08</v>
      </c>
    </row>
    <row r="624" spans="1:9">
      <c r="A624" s="9" t="s">
        <v>1150</v>
      </c>
      <c r="B624" s="9" t="s">
        <v>1150</v>
      </c>
      <c r="C624" t="s">
        <v>1250</v>
      </c>
      <c r="D624" s="5" t="s">
        <v>1252</v>
      </c>
      <c r="E624" s="1">
        <v>30000</v>
      </c>
      <c r="F624" s="1">
        <v>5365.69</v>
      </c>
    </row>
    <row r="625" spans="1:6">
      <c r="A625" s="9" t="s">
        <v>1150</v>
      </c>
      <c r="B625" s="9" t="s">
        <v>1150</v>
      </c>
      <c r="C625" t="s">
        <v>654</v>
      </c>
      <c r="D625" s="5" t="s">
        <v>656</v>
      </c>
      <c r="E625" s="1">
        <v>11120.69</v>
      </c>
      <c r="F625" s="1">
        <v>7564.75</v>
      </c>
    </row>
    <row r="626" spans="1:6">
      <c r="A626" s="9" t="s">
        <v>1150</v>
      </c>
      <c r="B626" s="9" t="s">
        <v>1150</v>
      </c>
      <c r="C626" t="s">
        <v>696</v>
      </c>
      <c r="D626" s="5" t="s">
        <v>698</v>
      </c>
      <c r="E626" s="1">
        <v>36099.699999999997</v>
      </c>
      <c r="F626" s="1">
        <v>12435.24</v>
      </c>
    </row>
    <row r="627" spans="1:6">
      <c r="A627" s="9" t="s">
        <v>1150</v>
      </c>
      <c r="B627" s="9" t="s">
        <v>1150</v>
      </c>
      <c r="C627" t="s">
        <v>729</v>
      </c>
      <c r="D627" s="5" t="s">
        <v>731</v>
      </c>
      <c r="E627" s="1">
        <v>11851.5</v>
      </c>
      <c r="F627" s="1">
        <v>3226.59</v>
      </c>
    </row>
    <row r="628" spans="1:6">
      <c r="A628" s="9" t="s">
        <v>1150</v>
      </c>
      <c r="B628" s="9" t="s">
        <v>1150</v>
      </c>
      <c r="C628" t="s">
        <v>90</v>
      </c>
      <c r="D628" s="5" t="s">
        <v>92</v>
      </c>
      <c r="F628" s="1">
        <v>308.24</v>
      </c>
    </row>
    <row r="629" spans="1:6">
      <c r="A629" s="9" t="s">
        <v>1150</v>
      </c>
      <c r="B629" s="9" t="s">
        <v>1150</v>
      </c>
      <c r="C629" t="s">
        <v>54</v>
      </c>
      <c r="D629" s="5" t="s">
        <v>56</v>
      </c>
      <c r="E629" s="1">
        <v>25289.66</v>
      </c>
      <c r="F629" s="1">
        <v>9380.3700000000008</v>
      </c>
    </row>
    <row r="630" spans="1:6">
      <c r="A630" s="9" t="s">
        <v>1150</v>
      </c>
      <c r="B630" s="9" t="s">
        <v>1150</v>
      </c>
      <c r="C630" t="s">
        <v>120</v>
      </c>
      <c r="D630" s="5" t="s">
        <v>122</v>
      </c>
      <c r="E630" s="1">
        <v>5701.58</v>
      </c>
      <c r="F630" s="1">
        <v>38865.46</v>
      </c>
    </row>
    <row r="631" spans="1:6">
      <c r="A631" s="9" t="s">
        <v>1150</v>
      </c>
      <c r="B631" s="9" t="s">
        <v>1150</v>
      </c>
      <c r="C631" t="s">
        <v>403</v>
      </c>
      <c r="D631" s="5" t="s">
        <v>405</v>
      </c>
      <c r="E631" s="1">
        <v>37873.57</v>
      </c>
      <c r="F631" s="1">
        <v>2856</v>
      </c>
    </row>
    <row r="632" spans="1:6">
      <c r="A632" s="9" t="s">
        <v>1150</v>
      </c>
      <c r="B632" s="9" t="s">
        <v>1150</v>
      </c>
      <c r="C632" t="s">
        <v>264</v>
      </c>
      <c r="D632" s="5" t="s">
        <v>266</v>
      </c>
      <c r="E632" s="1">
        <v>8103.62</v>
      </c>
      <c r="F632" s="1">
        <v>5867.24</v>
      </c>
    </row>
    <row r="633" spans="1:6">
      <c r="A633" s="9" t="s">
        <v>1150</v>
      </c>
      <c r="B633" s="9" t="s">
        <v>1150</v>
      </c>
      <c r="C633" t="s">
        <v>558</v>
      </c>
      <c r="D633" s="5" t="s">
        <v>560</v>
      </c>
      <c r="E633" s="1">
        <v>9608.33</v>
      </c>
      <c r="F633" s="1">
        <v>4957</v>
      </c>
    </row>
    <row r="634" spans="1:6">
      <c r="A634" s="9" t="s">
        <v>1150</v>
      </c>
      <c r="B634" s="9" t="s">
        <v>1150</v>
      </c>
      <c r="C634" t="s">
        <v>1253</v>
      </c>
      <c r="D634" s="5" t="s">
        <v>1255</v>
      </c>
      <c r="E634" s="1">
        <v>232.17</v>
      </c>
    </row>
    <row r="635" spans="1:6">
      <c r="A635" s="9" t="s">
        <v>1150</v>
      </c>
      <c r="B635" s="9" t="s">
        <v>1150</v>
      </c>
      <c r="C635" t="s">
        <v>1256</v>
      </c>
      <c r="D635" s="5" t="s">
        <v>1258</v>
      </c>
      <c r="E635" s="1">
        <v>454.59</v>
      </c>
    </row>
    <row r="636" spans="1:6">
      <c r="A636" s="9" t="s">
        <v>1150</v>
      </c>
      <c r="B636" s="9" t="s">
        <v>1150</v>
      </c>
      <c r="C636" t="s">
        <v>321</v>
      </c>
      <c r="D636" s="5" t="s">
        <v>323</v>
      </c>
      <c r="E636" s="1">
        <v>40666.6</v>
      </c>
    </row>
    <row r="637" spans="1:6">
      <c r="A637" s="9" t="s">
        <v>1150</v>
      </c>
      <c r="B637" s="9" t="s">
        <v>1150</v>
      </c>
      <c r="C637" t="s">
        <v>60</v>
      </c>
      <c r="D637" s="5" t="s">
        <v>62</v>
      </c>
      <c r="E637" s="1">
        <v>668736.82999999996</v>
      </c>
      <c r="F637" s="1">
        <v>10135.030000000001</v>
      </c>
    </row>
    <row r="638" spans="1:6">
      <c r="A638" s="9" t="s">
        <v>1150</v>
      </c>
      <c r="B638" s="9" t="s">
        <v>1150</v>
      </c>
      <c r="C638" t="s">
        <v>866</v>
      </c>
      <c r="D638" s="5" t="s">
        <v>868</v>
      </c>
      <c r="E638" s="1">
        <v>37628.04</v>
      </c>
    </row>
    <row r="639" spans="1:6">
      <c r="A639" s="9" t="s">
        <v>1150</v>
      </c>
      <c r="B639" s="9" t="s">
        <v>1150</v>
      </c>
      <c r="C639" t="s">
        <v>783</v>
      </c>
      <c r="D639" s="5" t="s">
        <v>785</v>
      </c>
      <c r="E639" s="1">
        <v>24760.560000000001</v>
      </c>
      <c r="F639" s="1">
        <v>529</v>
      </c>
    </row>
    <row r="640" spans="1:6">
      <c r="A640" s="9" t="s">
        <v>1150</v>
      </c>
      <c r="B640" s="9" t="s">
        <v>1150</v>
      </c>
      <c r="C640" t="s">
        <v>1259</v>
      </c>
      <c r="D640" s="5" t="s">
        <v>1261</v>
      </c>
      <c r="F640" s="1">
        <v>10651.27</v>
      </c>
    </row>
    <row r="641" spans="1:8">
      <c r="A641" s="9" t="s">
        <v>1150</v>
      </c>
      <c r="B641" s="9" t="s">
        <v>1150</v>
      </c>
      <c r="C641" t="s">
        <v>537</v>
      </c>
      <c r="D641" s="5" t="s">
        <v>539</v>
      </c>
      <c r="E641" s="1">
        <v>40959.24</v>
      </c>
      <c r="F641" s="1">
        <v>2270.16</v>
      </c>
    </row>
    <row r="642" spans="1:8">
      <c r="A642" s="9" t="s">
        <v>1150</v>
      </c>
      <c r="B642" s="9" t="s">
        <v>1150</v>
      </c>
      <c r="C642" t="s">
        <v>171</v>
      </c>
      <c r="D642" s="5" t="s">
        <v>173</v>
      </c>
      <c r="E642" s="1">
        <v>16156.88</v>
      </c>
      <c r="F642" s="1">
        <v>4926.42</v>
      </c>
      <c r="G642" s="1">
        <v>304.8</v>
      </c>
    </row>
    <row r="643" spans="1:8">
      <c r="A643" s="9" t="s">
        <v>1150</v>
      </c>
      <c r="B643" s="9" t="s">
        <v>1150</v>
      </c>
      <c r="C643" t="s">
        <v>379</v>
      </c>
      <c r="D643" s="5" t="s">
        <v>381</v>
      </c>
      <c r="E643" s="1">
        <v>5046.32</v>
      </c>
      <c r="F643" s="1">
        <v>2260</v>
      </c>
    </row>
    <row r="644" spans="1:8">
      <c r="A644" s="9" t="s">
        <v>1150</v>
      </c>
      <c r="B644" s="9" t="s">
        <v>1150</v>
      </c>
      <c r="C644" t="s">
        <v>609</v>
      </c>
      <c r="D644" s="5" t="s">
        <v>611</v>
      </c>
      <c r="E644" s="1">
        <v>6700.65</v>
      </c>
      <c r="F644" s="1">
        <v>2958.45</v>
      </c>
    </row>
    <row r="645" spans="1:8">
      <c r="A645" s="9" t="s">
        <v>1150</v>
      </c>
      <c r="B645" s="9" t="s">
        <v>1150</v>
      </c>
      <c r="C645" t="s">
        <v>1262</v>
      </c>
      <c r="D645" s="5" t="s">
        <v>1264</v>
      </c>
      <c r="E645" s="1">
        <v>1050.71</v>
      </c>
    </row>
    <row r="646" spans="1:8">
      <c r="A646" s="9" t="s">
        <v>1150</v>
      </c>
      <c r="B646" s="9" t="s">
        <v>1150</v>
      </c>
      <c r="C646" t="s">
        <v>1265</v>
      </c>
      <c r="D646" s="5" t="s">
        <v>1267</v>
      </c>
      <c r="G646" s="1">
        <v>132.36000000000001</v>
      </c>
    </row>
    <row r="647" spans="1:8">
      <c r="A647" s="9" t="s">
        <v>1150</v>
      </c>
      <c r="B647" s="9" t="s">
        <v>1150</v>
      </c>
      <c r="C647" t="s">
        <v>219</v>
      </c>
      <c r="D647" s="5" t="s">
        <v>221</v>
      </c>
      <c r="G647" s="1">
        <v>184.12</v>
      </c>
    </row>
    <row r="648" spans="1:8">
      <c r="A648" s="9" t="s">
        <v>1150</v>
      </c>
      <c r="B648" s="9" t="s">
        <v>1150</v>
      </c>
      <c r="C648" t="s">
        <v>591</v>
      </c>
      <c r="D648" s="5" t="s">
        <v>593</v>
      </c>
      <c r="G648" s="1">
        <v>98.02</v>
      </c>
      <c r="H648" s="1">
        <v>450.6</v>
      </c>
    </row>
    <row r="649" spans="1:8">
      <c r="A649" s="9" t="s">
        <v>1150</v>
      </c>
      <c r="B649" s="9" t="s">
        <v>1150</v>
      </c>
      <c r="C649" t="s">
        <v>156</v>
      </c>
      <c r="D649" s="5" t="s">
        <v>158</v>
      </c>
      <c r="E649" s="1">
        <v>48566.47</v>
      </c>
      <c r="F649" s="1">
        <v>3282.99</v>
      </c>
      <c r="G649" s="1">
        <v>1065.69</v>
      </c>
      <c r="H649" s="1">
        <v>60.2</v>
      </c>
    </row>
    <row r="650" spans="1:8">
      <c r="A650" s="9" t="s">
        <v>1150</v>
      </c>
      <c r="B650" s="9" t="s">
        <v>1150</v>
      </c>
      <c r="C650" t="s">
        <v>1268</v>
      </c>
      <c r="D650" s="5" t="s">
        <v>1270</v>
      </c>
      <c r="H650" s="1">
        <v>847.68</v>
      </c>
    </row>
    <row r="651" spans="1:8">
      <c r="A651" s="9" t="s">
        <v>1150</v>
      </c>
      <c r="B651" s="9" t="s">
        <v>1150</v>
      </c>
      <c r="C651" t="s">
        <v>1271</v>
      </c>
      <c r="D651" s="5" t="s">
        <v>1273</v>
      </c>
      <c r="H651" s="1">
        <v>240.96</v>
      </c>
    </row>
    <row r="652" spans="1:8">
      <c r="A652" s="9" t="s">
        <v>1150</v>
      </c>
      <c r="B652" s="9" t="s">
        <v>1150</v>
      </c>
      <c r="C652" t="s">
        <v>1274</v>
      </c>
      <c r="D652" s="5" t="s">
        <v>1276</v>
      </c>
      <c r="G652" s="1">
        <v>35740.07</v>
      </c>
      <c r="H652" s="1">
        <v>417.27</v>
      </c>
    </row>
    <row r="653" spans="1:8">
      <c r="A653" s="9" t="s">
        <v>1150</v>
      </c>
      <c r="B653" s="9" t="s">
        <v>1150</v>
      </c>
      <c r="C653" t="s">
        <v>618</v>
      </c>
      <c r="D653" s="5" t="s">
        <v>620</v>
      </c>
      <c r="F653" s="1">
        <v>31373.96</v>
      </c>
      <c r="H653" s="1">
        <v>2393.3200000000002</v>
      </c>
    </row>
    <row r="654" spans="1:8">
      <c r="A654" s="9" t="s">
        <v>1150</v>
      </c>
      <c r="B654" s="9" t="s">
        <v>1150</v>
      </c>
      <c r="C654" t="s">
        <v>675</v>
      </c>
      <c r="D654" s="5" t="s">
        <v>677</v>
      </c>
      <c r="F654" s="1">
        <v>22718.48</v>
      </c>
      <c r="H654" s="1">
        <v>409.4</v>
      </c>
    </row>
    <row r="655" spans="1:8">
      <c r="A655" s="9" t="s">
        <v>1150</v>
      </c>
      <c r="B655" s="9" t="s">
        <v>1150</v>
      </c>
      <c r="C655" t="s">
        <v>708</v>
      </c>
      <c r="D655" s="5" t="s">
        <v>710</v>
      </c>
      <c r="H655" s="1">
        <v>362.07499999999999</v>
      </c>
    </row>
    <row r="656" spans="1:8">
      <c r="A656" s="9" t="s">
        <v>1150</v>
      </c>
      <c r="B656" s="9" t="s">
        <v>1150</v>
      </c>
      <c r="C656" t="s">
        <v>358</v>
      </c>
      <c r="D656" s="5" t="s">
        <v>360</v>
      </c>
      <c r="F656" s="1">
        <v>12585.59</v>
      </c>
      <c r="H656" s="1">
        <v>1179.92</v>
      </c>
    </row>
    <row r="657" spans="1:9">
      <c r="A657" s="9" t="s">
        <v>1150</v>
      </c>
      <c r="B657" s="9" t="s">
        <v>1150</v>
      </c>
      <c r="C657" t="s">
        <v>735</v>
      </c>
      <c r="D657" s="5" t="s">
        <v>737</v>
      </c>
      <c r="H657" s="1">
        <v>488.12</v>
      </c>
    </row>
    <row r="658" spans="1:9">
      <c r="A658" s="9" t="s">
        <v>1150</v>
      </c>
      <c r="B658" s="9" t="s">
        <v>1150</v>
      </c>
      <c r="C658" t="s">
        <v>105</v>
      </c>
      <c r="D658" s="5" t="s">
        <v>107</v>
      </c>
      <c r="H658" s="1">
        <v>386.46</v>
      </c>
    </row>
    <row r="659" spans="1:9">
      <c r="A659" s="9" t="s">
        <v>1150</v>
      </c>
      <c r="B659" s="9" t="s">
        <v>1150</v>
      </c>
      <c r="C659" t="s">
        <v>1277</v>
      </c>
      <c r="D659" s="5" t="s">
        <v>1279</v>
      </c>
      <c r="H659" s="1">
        <v>5732.2049999999999</v>
      </c>
      <c r="I659" s="1">
        <v>4000.65</v>
      </c>
    </row>
    <row r="660" spans="1:9">
      <c r="A660" s="9" t="s">
        <v>1150</v>
      </c>
      <c r="B660" s="9" t="s">
        <v>1150</v>
      </c>
      <c r="C660" t="s">
        <v>391</v>
      </c>
      <c r="D660" s="5" t="s">
        <v>393</v>
      </c>
      <c r="E660" s="1">
        <v>4234.97</v>
      </c>
      <c r="F660" s="1">
        <v>3731.64</v>
      </c>
    </row>
    <row r="661" spans="1:9">
      <c r="A661" s="9" t="s">
        <v>1150</v>
      </c>
      <c r="B661" s="9" t="s">
        <v>1150</v>
      </c>
      <c r="C661" t="s">
        <v>1049</v>
      </c>
      <c r="D661" s="5" t="s">
        <v>1051</v>
      </c>
      <c r="F661" s="1">
        <v>90297.35</v>
      </c>
      <c r="G661" s="1">
        <v>84347.37</v>
      </c>
    </row>
    <row r="662" spans="1:9">
      <c r="A662" s="9" t="s">
        <v>1150</v>
      </c>
      <c r="B662" s="9" t="s">
        <v>1150</v>
      </c>
      <c r="C662" t="s">
        <v>180</v>
      </c>
      <c r="D662" s="5" t="s">
        <v>182</v>
      </c>
      <c r="E662" s="1">
        <v>8571.33</v>
      </c>
      <c r="F662" s="1">
        <v>5246.34</v>
      </c>
    </row>
    <row r="663" spans="1:9">
      <c r="A663" s="9" t="s">
        <v>1150</v>
      </c>
      <c r="B663" s="9" t="s">
        <v>1150</v>
      </c>
      <c r="C663" t="s">
        <v>1280</v>
      </c>
      <c r="D663" s="5" t="s">
        <v>1282</v>
      </c>
      <c r="F663" s="1">
        <v>400</v>
      </c>
    </row>
    <row r="664" spans="1:9">
      <c r="A664" s="9" t="s">
        <v>1150</v>
      </c>
      <c r="B664" s="9" t="s">
        <v>1150</v>
      </c>
      <c r="C664" t="s">
        <v>561</v>
      </c>
      <c r="D664" s="5" t="s">
        <v>563</v>
      </c>
      <c r="F664" s="1">
        <v>23</v>
      </c>
    </row>
    <row r="665" spans="1:9">
      <c r="A665" s="9" t="s">
        <v>1150</v>
      </c>
      <c r="B665" s="9" t="s">
        <v>1150</v>
      </c>
      <c r="C665" t="s">
        <v>771</v>
      </c>
      <c r="D665" s="5" t="s">
        <v>773</v>
      </c>
      <c r="E665" s="1">
        <v>5045.47</v>
      </c>
      <c r="F665" s="1">
        <v>2705.44</v>
      </c>
    </row>
    <row r="666" spans="1:9">
      <c r="A666" s="9" t="s">
        <v>1150</v>
      </c>
      <c r="B666" s="9" t="s">
        <v>1150</v>
      </c>
      <c r="C666" t="s">
        <v>765</v>
      </c>
      <c r="D666" s="5" t="s">
        <v>767</v>
      </c>
      <c r="E666" s="1">
        <v>6739.4</v>
      </c>
      <c r="F666" s="1">
        <v>1446.54</v>
      </c>
    </row>
    <row r="667" spans="1:9">
      <c r="A667" s="9" t="s">
        <v>1150</v>
      </c>
      <c r="B667" s="9" t="s">
        <v>1150</v>
      </c>
      <c r="C667" t="s">
        <v>687</v>
      </c>
      <c r="D667" s="5" t="s">
        <v>689</v>
      </c>
      <c r="F667" s="1">
        <v>7166.41</v>
      </c>
    </row>
    <row r="668" spans="1:9">
      <c r="A668" s="9" t="s">
        <v>1150</v>
      </c>
      <c r="B668" s="9" t="s">
        <v>1150</v>
      </c>
      <c r="C668" t="s">
        <v>341</v>
      </c>
      <c r="D668" s="5" t="s">
        <v>343</v>
      </c>
      <c r="F668" s="1">
        <v>5765.2</v>
      </c>
    </row>
    <row r="669" spans="1:9">
      <c r="A669" s="9" t="s">
        <v>1150</v>
      </c>
      <c r="B669" s="9" t="s">
        <v>1150</v>
      </c>
      <c r="C669" t="s">
        <v>648</v>
      </c>
      <c r="D669" s="5" t="s">
        <v>650</v>
      </c>
      <c r="E669" s="1">
        <v>41242.42</v>
      </c>
      <c r="F669" s="1">
        <v>3153.68</v>
      </c>
    </row>
    <row r="670" spans="1:9">
      <c r="A670" s="9" t="s">
        <v>1150</v>
      </c>
      <c r="B670" s="9" t="s">
        <v>1150</v>
      </c>
      <c r="C670" t="s">
        <v>87</v>
      </c>
      <c r="D670" s="5" t="s">
        <v>89</v>
      </c>
      <c r="E670" s="1">
        <v>29371.58</v>
      </c>
      <c r="F670" s="1">
        <v>3776.9</v>
      </c>
      <c r="G670" s="1">
        <v>1207.6199999999999</v>
      </c>
      <c r="H670" s="1">
        <v>1427.02</v>
      </c>
      <c r="I670" s="1">
        <v>298.39999999999998</v>
      </c>
    </row>
    <row r="671" spans="1:9">
      <c r="A671" s="9" t="s">
        <v>1150</v>
      </c>
      <c r="B671" s="9" t="s">
        <v>1150</v>
      </c>
      <c r="C671" t="s">
        <v>504</v>
      </c>
      <c r="D671" s="5" t="s">
        <v>506</v>
      </c>
      <c r="E671" s="1">
        <v>6381.14</v>
      </c>
      <c r="F671" s="1">
        <v>4939.28</v>
      </c>
    </row>
    <row r="672" spans="1:9">
      <c r="A672" s="9" t="s">
        <v>1150</v>
      </c>
      <c r="B672" s="9" t="s">
        <v>1150</v>
      </c>
      <c r="C672" t="s">
        <v>816</v>
      </c>
      <c r="D672" s="5" t="s">
        <v>818</v>
      </c>
      <c r="F672" s="1">
        <v>1839.63</v>
      </c>
    </row>
    <row r="673" spans="1:8">
      <c r="A673" s="9" t="s">
        <v>1150</v>
      </c>
      <c r="B673" s="9" t="s">
        <v>1150</v>
      </c>
      <c r="C673" t="s">
        <v>1283</v>
      </c>
      <c r="D673" s="5" t="s">
        <v>1285</v>
      </c>
      <c r="F673" s="1">
        <v>389</v>
      </c>
    </row>
    <row r="674" spans="1:8">
      <c r="A674" s="9" t="s">
        <v>1150</v>
      </c>
      <c r="B674" s="9" t="s">
        <v>1150</v>
      </c>
      <c r="C674" t="s">
        <v>57</v>
      </c>
      <c r="D674" s="5" t="s">
        <v>59</v>
      </c>
      <c r="E674" s="1">
        <v>8086.39</v>
      </c>
      <c r="F674" s="1">
        <v>2971.19</v>
      </c>
    </row>
    <row r="675" spans="1:8">
      <c r="A675" s="9" t="s">
        <v>1150</v>
      </c>
      <c r="B675" s="9" t="s">
        <v>1150</v>
      </c>
      <c r="C675" t="s">
        <v>1286</v>
      </c>
      <c r="D675" s="5" t="s">
        <v>1288</v>
      </c>
      <c r="E675" s="1">
        <v>2500</v>
      </c>
    </row>
    <row r="676" spans="1:8">
      <c r="A676" s="9" t="s">
        <v>1150</v>
      </c>
      <c r="B676" s="9" t="s">
        <v>1150</v>
      </c>
      <c r="C676" t="s">
        <v>69</v>
      </c>
      <c r="D676" s="5" t="s">
        <v>71</v>
      </c>
      <c r="E676" s="1">
        <v>74384.31</v>
      </c>
      <c r="F676" s="1">
        <v>37333.599999999999</v>
      </c>
    </row>
    <row r="677" spans="1:8">
      <c r="A677" s="9" t="s">
        <v>1150</v>
      </c>
      <c r="B677" s="9" t="s">
        <v>1150</v>
      </c>
      <c r="C677" t="s">
        <v>418</v>
      </c>
      <c r="D677" s="5" t="s">
        <v>420</v>
      </c>
      <c r="E677" s="1">
        <v>44151.25</v>
      </c>
      <c r="F677" s="1">
        <v>3893.1</v>
      </c>
    </row>
    <row r="678" spans="1:8">
      <c r="A678" s="9" t="s">
        <v>1150</v>
      </c>
      <c r="B678" s="9" t="s">
        <v>1150</v>
      </c>
      <c r="C678" t="s">
        <v>186</v>
      </c>
      <c r="D678" s="5" t="s">
        <v>188</v>
      </c>
      <c r="E678" s="1">
        <v>6455.96</v>
      </c>
      <c r="F678" s="1">
        <v>3119.38</v>
      </c>
    </row>
    <row r="679" spans="1:8">
      <c r="A679" s="9" t="s">
        <v>1150</v>
      </c>
      <c r="B679" s="9" t="s">
        <v>1150</v>
      </c>
      <c r="C679" t="s">
        <v>1289</v>
      </c>
      <c r="D679" s="5" t="s">
        <v>1291</v>
      </c>
      <c r="H679" s="1">
        <v>827.6</v>
      </c>
    </row>
    <row r="680" spans="1:8">
      <c r="A680" s="9" t="s">
        <v>1150</v>
      </c>
      <c r="B680" s="9" t="s">
        <v>1150</v>
      </c>
      <c r="C680" t="s">
        <v>1067</v>
      </c>
      <c r="D680" s="5" t="s">
        <v>1069</v>
      </c>
      <c r="H680" s="1">
        <v>1152.22</v>
      </c>
    </row>
    <row r="681" spans="1:8">
      <c r="A681" s="9" t="s">
        <v>1150</v>
      </c>
      <c r="B681" s="9" t="s">
        <v>1150</v>
      </c>
      <c r="C681" t="s">
        <v>75</v>
      </c>
      <c r="D681" s="5" t="s">
        <v>77</v>
      </c>
      <c r="F681" s="1">
        <v>86.78</v>
      </c>
    </row>
    <row r="682" spans="1:8">
      <c r="A682" s="9" t="s">
        <v>1150</v>
      </c>
      <c r="B682" s="9" t="s">
        <v>1150</v>
      </c>
      <c r="C682" t="s">
        <v>108</v>
      </c>
      <c r="D682" s="5" t="s">
        <v>110</v>
      </c>
      <c r="F682" s="1">
        <v>15213.2</v>
      </c>
      <c r="H682" s="1">
        <v>281.92</v>
      </c>
    </row>
    <row r="683" spans="1:8">
      <c r="A683" s="9" t="s">
        <v>1150</v>
      </c>
      <c r="B683" s="9" t="s">
        <v>1150</v>
      </c>
      <c r="C683" t="s">
        <v>300</v>
      </c>
      <c r="D683" s="5" t="s">
        <v>302</v>
      </c>
      <c r="F683" s="1">
        <v>63835.13</v>
      </c>
    </row>
    <row r="684" spans="1:8">
      <c r="A684" s="9" t="s">
        <v>1150</v>
      </c>
      <c r="B684" s="9" t="s">
        <v>1150</v>
      </c>
      <c r="C684" t="s">
        <v>350</v>
      </c>
      <c r="D684" s="5" t="s">
        <v>352</v>
      </c>
      <c r="F684" s="1">
        <v>8734.66</v>
      </c>
      <c r="G684" s="1">
        <v>266.61</v>
      </c>
      <c r="H684" s="1">
        <v>980.35</v>
      </c>
    </row>
    <row r="685" spans="1:8">
      <c r="A685" s="9" t="s">
        <v>1150</v>
      </c>
      <c r="B685" s="9" t="s">
        <v>1150</v>
      </c>
      <c r="C685" t="s">
        <v>66</v>
      </c>
      <c r="D685" s="5" t="s">
        <v>68</v>
      </c>
      <c r="F685" s="1">
        <v>2271.8000000000002</v>
      </c>
      <c r="H685" s="1">
        <v>1035.45</v>
      </c>
    </row>
    <row r="686" spans="1:8">
      <c r="A686" s="9" t="s">
        <v>1150</v>
      </c>
      <c r="B686" s="9" t="s">
        <v>1150</v>
      </c>
      <c r="C686" t="s">
        <v>312</v>
      </c>
      <c r="D686" s="5" t="s">
        <v>314</v>
      </c>
      <c r="F686" s="1">
        <v>1886.85</v>
      </c>
    </row>
    <row r="687" spans="1:8">
      <c r="A687" s="9" t="s">
        <v>1150</v>
      </c>
      <c r="B687" s="9" t="s">
        <v>1150</v>
      </c>
      <c r="C687" t="s">
        <v>1040</v>
      </c>
      <c r="D687" s="5" t="s">
        <v>1042</v>
      </c>
      <c r="F687" s="1">
        <v>2517</v>
      </c>
    </row>
    <row r="688" spans="1:8">
      <c r="A688" s="9" t="s">
        <v>1150</v>
      </c>
      <c r="B688" s="9" t="s">
        <v>1150</v>
      </c>
      <c r="C688" t="s">
        <v>324</v>
      </c>
      <c r="D688" s="5" t="s">
        <v>326</v>
      </c>
      <c r="F688" s="1">
        <v>8258</v>
      </c>
    </row>
    <row r="689" spans="1:9">
      <c r="A689" s="9" t="s">
        <v>1150</v>
      </c>
      <c r="B689" s="9" t="s">
        <v>1150</v>
      </c>
      <c r="C689" t="s">
        <v>702</v>
      </c>
      <c r="D689" s="5" t="s">
        <v>704</v>
      </c>
      <c r="F689" s="1">
        <v>10986.08</v>
      </c>
    </row>
    <row r="690" spans="1:9">
      <c r="A690" s="9" t="s">
        <v>1150</v>
      </c>
      <c r="B690" s="9" t="s">
        <v>1150</v>
      </c>
      <c r="C690" t="s">
        <v>1013</v>
      </c>
      <c r="D690" s="5" t="s">
        <v>1015</v>
      </c>
      <c r="E690" s="1">
        <v>29000</v>
      </c>
    </row>
    <row r="691" spans="1:9">
      <c r="A691" s="9" t="s">
        <v>1150</v>
      </c>
      <c r="B691" s="9" t="s">
        <v>1150</v>
      </c>
      <c r="C691" t="s">
        <v>516</v>
      </c>
      <c r="D691" s="5" t="s">
        <v>518</v>
      </c>
      <c r="E691" s="1">
        <v>93849.84</v>
      </c>
      <c r="F691" s="1">
        <v>5651.95</v>
      </c>
    </row>
    <row r="692" spans="1:9">
      <c r="A692" s="9" t="s">
        <v>1150</v>
      </c>
      <c r="B692" s="9" t="s">
        <v>1150</v>
      </c>
      <c r="C692" t="s">
        <v>810</v>
      </c>
      <c r="D692" s="5" t="s">
        <v>812</v>
      </c>
      <c r="F692" s="1">
        <v>18332.27</v>
      </c>
    </row>
    <row r="693" spans="1:9">
      <c r="A693" s="9" t="s">
        <v>1150</v>
      </c>
      <c r="B693" s="9" t="s">
        <v>1150</v>
      </c>
      <c r="C693" t="s">
        <v>1292</v>
      </c>
      <c r="D693" s="5" t="s">
        <v>1294</v>
      </c>
      <c r="F693" s="1">
        <v>1000</v>
      </c>
    </row>
    <row r="694" spans="1:9">
      <c r="A694" s="9" t="s">
        <v>1150</v>
      </c>
      <c r="B694" s="9" t="s">
        <v>1150</v>
      </c>
      <c r="C694" t="s">
        <v>1055</v>
      </c>
      <c r="D694" s="5" t="s">
        <v>1057</v>
      </c>
      <c r="E694" s="1">
        <v>680</v>
      </c>
    </row>
    <row r="695" spans="1:9">
      <c r="A695" s="9" t="s">
        <v>1150</v>
      </c>
      <c r="B695" s="9" t="s">
        <v>1150</v>
      </c>
      <c r="C695" t="s">
        <v>1295</v>
      </c>
      <c r="D695" s="5" t="s">
        <v>1297</v>
      </c>
      <c r="E695" s="1">
        <v>5721.76</v>
      </c>
    </row>
    <row r="696" spans="1:9">
      <c r="A696" s="9" t="s">
        <v>1150</v>
      </c>
      <c r="B696" s="9" t="s">
        <v>1150</v>
      </c>
      <c r="C696" t="s">
        <v>1298</v>
      </c>
      <c r="D696" s="5" t="s">
        <v>1300</v>
      </c>
      <c r="E696" s="1">
        <v>380</v>
      </c>
    </row>
    <row r="697" spans="1:9">
      <c r="A697" s="9" t="s">
        <v>1150</v>
      </c>
      <c r="B697" s="9" t="s">
        <v>1150</v>
      </c>
      <c r="C697" t="s">
        <v>454</v>
      </c>
      <c r="D697" s="5" t="s">
        <v>456</v>
      </c>
      <c r="E697" s="1">
        <v>479116.5</v>
      </c>
      <c r="F697" s="1">
        <v>83827.16</v>
      </c>
    </row>
    <row r="698" spans="1:9">
      <c r="A698" s="9" t="s">
        <v>1150</v>
      </c>
      <c r="B698" s="9" t="s">
        <v>1150</v>
      </c>
      <c r="C698" t="s">
        <v>923</v>
      </c>
      <c r="D698" s="5" t="s">
        <v>925</v>
      </c>
      <c r="E698" s="1">
        <v>-561.41999999999996</v>
      </c>
    </row>
    <row r="699" spans="1:9">
      <c r="A699" s="9" t="s">
        <v>1150</v>
      </c>
      <c r="B699" s="9" t="s">
        <v>1150</v>
      </c>
      <c r="C699" t="s">
        <v>756</v>
      </c>
      <c r="D699" s="5" t="s">
        <v>758</v>
      </c>
      <c r="G699" s="1">
        <v>3477.79</v>
      </c>
    </row>
    <row r="700" spans="1:9">
      <c r="A700" s="9" t="s">
        <v>1150</v>
      </c>
      <c r="B700" s="9" t="s">
        <v>1150</v>
      </c>
      <c r="C700" t="s">
        <v>1301</v>
      </c>
      <c r="D700" s="5" t="s">
        <v>1303</v>
      </c>
      <c r="G700" s="1">
        <v>887.52</v>
      </c>
    </row>
    <row r="701" spans="1:9">
      <c r="A701" s="9" t="s">
        <v>1150</v>
      </c>
      <c r="B701" s="9" t="s">
        <v>1150</v>
      </c>
      <c r="C701" t="s">
        <v>1304</v>
      </c>
      <c r="D701" s="5" t="s">
        <v>1306</v>
      </c>
      <c r="G701" s="1">
        <v>860</v>
      </c>
    </row>
    <row r="702" spans="1:9">
      <c r="A702" s="9" t="s">
        <v>1150</v>
      </c>
      <c r="B702" s="9" t="s">
        <v>1150</v>
      </c>
      <c r="C702" t="s">
        <v>1046</v>
      </c>
      <c r="D702" s="5" t="s">
        <v>1048</v>
      </c>
      <c r="G702" s="1">
        <v>1482.12</v>
      </c>
    </row>
    <row r="703" spans="1:9">
      <c r="A703" s="9" t="s">
        <v>1150</v>
      </c>
      <c r="B703" s="9" t="s">
        <v>1150</v>
      </c>
      <c r="C703" t="s">
        <v>1307</v>
      </c>
      <c r="D703" s="5" t="s">
        <v>1309</v>
      </c>
      <c r="H703" s="1">
        <v>397.85</v>
      </c>
      <c r="I703" s="1">
        <v>62.7</v>
      </c>
    </row>
    <row r="704" spans="1:9">
      <c r="A704" s="9" t="s">
        <v>1150</v>
      </c>
      <c r="B704" s="9" t="s">
        <v>1150</v>
      </c>
      <c r="C704" t="s">
        <v>872</v>
      </c>
      <c r="D704" s="5" t="s">
        <v>874</v>
      </c>
      <c r="H704" s="1">
        <v>139.38</v>
      </c>
    </row>
    <row r="705" spans="1:8">
      <c r="A705" s="9" t="s">
        <v>1150</v>
      </c>
      <c r="B705" s="9" t="s">
        <v>1150</v>
      </c>
      <c r="C705" t="s">
        <v>1019</v>
      </c>
      <c r="D705" s="5" t="s">
        <v>1021</v>
      </c>
      <c r="F705" s="1">
        <v>2546</v>
      </c>
      <c r="H705" s="1">
        <v>477.9</v>
      </c>
    </row>
    <row r="706" spans="1:8">
      <c r="A706" s="9" t="s">
        <v>1150</v>
      </c>
      <c r="B706" s="9" t="s">
        <v>1150</v>
      </c>
      <c r="C706" t="s">
        <v>99</v>
      </c>
      <c r="D706" s="5" t="s">
        <v>101</v>
      </c>
      <c r="E706" s="1">
        <v>28852.47</v>
      </c>
      <c r="F706" s="1">
        <v>8537.09</v>
      </c>
    </row>
    <row r="707" spans="1:8">
      <c r="A707" s="9" t="s">
        <v>1150</v>
      </c>
      <c r="B707" s="9" t="s">
        <v>1150</v>
      </c>
      <c r="C707" t="s">
        <v>917</v>
      </c>
      <c r="D707" s="5" t="s">
        <v>919</v>
      </c>
      <c r="F707" s="1">
        <v>6200</v>
      </c>
    </row>
    <row r="708" spans="1:8">
      <c r="A708" s="9" t="s">
        <v>1150</v>
      </c>
      <c r="B708" s="9" t="s">
        <v>1150</v>
      </c>
      <c r="C708" t="s">
        <v>642</v>
      </c>
      <c r="D708" s="5" t="s">
        <v>644</v>
      </c>
      <c r="F708" s="1">
        <v>-94.86</v>
      </c>
    </row>
    <row r="709" spans="1:8">
      <c r="A709" s="9" t="s">
        <v>1150</v>
      </c>
      <c r="B709" s="9" t="s">
        <v>1150</v>
      </c>
      <c r="C709" t="s">
        <v>1310</v>
      </c>
      <c r="D709" s="5" t="s">
        <v>1312</v>
      </c>
      <c r="E709" s="1">
        <v>555</v>
      </c>
    </row>
    <row r="710" spans="1:8">
      <c r="A710" s="9" t="s">
        <v>1150</v>
      </c>
      <c r="B710" s="9" t="s">
        <v>1150</v>
      </c>
      <c r="C710" t="s">
        <v>585</v>
      </c>
      <c r="D710" s="5" t="s">
        <v>587</v>
      </c>
      <c r="E710" s="1">
        <v>7102.11</v>
      </c>
    </row>
    <row r="711" spans="1:8">
      <c r="A711" s="9" t="s">
        <v>1150</v>
      </c>
      <c r="B711" s="9" t="s">
        <v>1150</v>
      </c>
      <c r="C711" t="s">
        <v>333</v>
      </c>
      <c r="D711" s="5" t="s">
        <v>335</v>
      </c>
      <c r="G711" s="1">
        <v>2262.1999999999998</v>
      </c>
    </row>
    <row r="712" spans="1:8">
      <c r="A712" s="9" t="s">
        <v>1150</v>
      </c>
      <c r="B712" s="9" t="s">
        <v>1150</v>
      </c>
      <c r="C712" t="s">
        <v>992</v>
      </c>
      <c r="D712" s="5" t="s">
        <v>994</v>
      </c>
      <c r="H712" s="1">
        <v>191.16</v>
      </c>
    </row>
    <row r="713" spans="1:8">
      <c r="A713" s="9" t="s">
        <v>1150</v>
      </c>
      <c r="B713" s="9" t="s">
        <v>1150</v>
      </c>
      <c r="C713" t="s">
        <v>153</v>
      </c>
      <c r="D713" s="5" t="s">
        <v>155</v>
      </c>
      <c r="H713" s="1">
        <v>2379.5700000000002</v>
      </c>
    </row>
    <row r="714" spans="1:8">
      <c r="A714" s="9" t="s">
        <v>1313</v>
      </c>
      <c r="B714" s="9" t="s">
        <v>1313</v>
      </c>
      <c r="C714" t="s">
        <v>1315</v>
      </c>
      <c r="D714" s="5" t="s">
        <v>1315</v>
      </c>
      <c r="F714" s="1">
        <v>21314.9</v>
      </c>
      <c r="G714" s="1">
        <v>1127.28</v>
      </c>
      <c r="H714" s="1">
        <v>48302.93</v>
      </c>
    </row>
    <row r="715" spans="1:8">
      <c r="A715" s="9" t="s">
        <v>1313</v>
      </c>
      <c r="B715" s="9" t="s">
        <v>1313</v>
      </c>
      <c r="C715" t="s">
        <v>1317</v>
      </c>
      <c r="D715" s="5" t="s">
        <v>1319</v>
      </c>
      <c r="F715" s="1">
        <v>9980</v>
      </c>
    </row>
    <row r="716" spans="1:8">
      <c r="A716" s="9" t="s">
        <v>1313</v>
      </c>
      <c r="B716" s="9" t="s">
        <v>1313</v>
      </c>
      <c r="C716" t="s">
        <v>1320</v>
      </c>
      <c r="D716" s="5" t="s">
        <v>1322</v>
      </c>
      <c r="E716" s="1">
        <v>244.68</v>
      </c>
      <c r="F716" s="1">
        <v>1722.06</v>
      </c>
    </row>
    <row r="717" spans="1:8">
      <c r="A717" s="9" t="s">
        <v>1313</v>
      </c>
      <c r="B717" s="9" t="s">
        <v>1313</v>
      </c>
      <c r="C717" t="s">
        <v>1323</v>
      </c>
      <c r="D717" s="5" t="s">
        <v>1325</v>
      </c>
      <c r="E717" s="1">
        <v>295.42</v>
      </c>
      <c r="F717" s="1">
        <v>581.84</v>
      </c>
    </row>
    <row r="718" spans="1:8">
      <c r="A718" s="9" t="s">
        <v>1313</v>
      </c>
      <c r="B718" s="9" t="s">
        <v>1313</v>
      </c>
      <c r="C718" t="s">
        <v>1326</v>
      </c>
      <c r="D718" s="5" t="s">
        <v>1328</v>
      </c>
      <c r="F718" s="1">
        <v>6552.96</v>
      </c>
      <c r="H718" s="1">
        <v>589.84</v>
      </c>
    </row>
    <row r="719" spans="1:8">
      <c r="A719" s="9" t="s">
        <v>1313</v>
      </c>
      <c r="B719" s="9" t="s">
        <v>1313</v>
      </c>
      <c r="C719" t="s">
        <v>1329</v>
      </c>
      <c r="D719" s="5" t="s">
        <v>1329</v>
      </c>
      <c r="H719" s="1">
        <v>16644.88</v>
      </c>
    </row>
    <row r="720" spans="1:8">
      <c r="A720" s="9" t="s">
        <v>1313</v>
      </c>
      <c r="B720" s="9" t="s">
        <v>1313</v>
      </c>
      <c r="C720" t="s">
        <v>457</v>
      </c>
      <c r="D720" s="5" t="s">
        <v>457</v>
      </c>
      <c r="F720" s="1">
        <v>2226.48</v>
      </c>
      <c r="G720" s="1">
        <v>130</v>
      </c>
      <c r="H720" s="1">
        <v>54315.61</v>
      </c>
    </row>
    <row r="721" spans="1:9">
      <c r="A721" s="9" t="s">
        <v>1313</v>
      </c>
      <c r="B721" s="17" t="s">
        <v>1901</v>
      </c>
      <c r="C721" t="s">
        <v>1331</v>
      </c>
      <c r="D721" s="5" t="s">
        <v>1333</v>
      </c>
      <c r="H721" s="1">
        <v>31.56</v>
      </c>
      <c r="I721" s="1">
        <v>39.33</v>
      </c>
    </row>
    <row r="722" spans="1:9">
      <c r="A722" s="9" t="s">
        <v>1313</v>
      </c>
      <c r="B722" s="17" t="s">
        <v>1901</v>
      </c>
      <c r="C722" t="s">
        <v>1277</v>
      </c>
      <c r="D722" s="5" t="s">
        <v>1279</v>
      </c>
      <c r="H722" s="1">
        <v>155.04</v>
      </c>
      <c r="I722" s="1">
        <v>140.63</v>
      </c>
    </row>
    <row r="723" spans="1:9">
      <c r="A723" s="9" t="s">
        <v>1313</v>
      </c>
      <c r="B723" s="9" t="s">
        <v>1313</v>
      </c>
      <c r="C723" t="s">
        <v>1334</v>
      </c>
      <c r="D723" s="5" t="s">
        <v>1336</v>
      </c>
      <c r="H723" s="1">
        <v>359.97</v>
      </c>
      <c r="I723" s="1">
        <v>101.43</v>
      </c>
    </row>
    <row r="724" spans="1:9">
      <c r="A724" s="9" t="s">
        <v>1313</v>
      </c>
      <c r="B724" s="9" t="s">
        <v>1313</v>
      </c>
      <c r="C724" t="s">
        <v>1337</v>
      </c>
      <c r="D724" s="5" t="s">
        <v>1339</v>
      </c>
      <c r="E724" s="1">
        <v>9411.9500000000007</v>
      </c>
      <c r="F724" s="1">
        <v>607.39</v>
      </c>
      <c r="G724" s="1">
        <v>1877.86</v>
      </c>
      <c r="H724" s="1">
        <v>10522.61</v>
      </c>
      <c r="I724" s="1">
        <v>46.15</v>
      </c>
    </row>
    <row r="725" spans="1:9">
      <c r="A725" s="9" t="s">
        <v>1313</v>
      </c>
      <c r="B725" s="9" t="s">
        <v>1313</v>
      </c>
      <c r="C725" t="s">
        <v>1340</v>
      </c>
      <c r="D725" s="5" t="s">
        <v>1342</v>
      </c>
      <c r="F725" s="1">
        <v>77077.08</v>
      </c>
      <c r="H725" s="1">
        <v>336.32</v>
      </c>
      <c r="I725" s="1">
        <v>14</v>
      </c>
    </row>
    <row r="726" spans="1:9">
      <c r="A726" s="9" t="s">
        <v>1313</v>
      </c>
      <c r="B726" s="9" t="s">
        <v>1313</v>
      </c>
      <c r="C726" t="s">
        <v>1343</v>
      </c>
      <c r="D726" s="5" t="s">
        <v>1345</v>
      </c>
      <c r="F726" s="1">
        <v>100</v>
      </c>
    </row>
    <row r="727" spans="1:9">
      <c r="A727" s="9" t="s">
        <v>1313</v>
      </c>
      <c r="B727" s="9" t="s">
        <v>1715</v>
      </c>
      <c r="C727" t="s">
        <v>344</v>
      </c>
      <c r="D727" s="5" t="s">
        <v>346</v>
      </c>
      <c r="F727" s="1">
        <v>300</v>
      </c>
    </row>
    <row r="728" spans="1:9">
      <c r="A728" s="9" t="s">
        <v>1313</v>
      </c>
      <c r="B728" s="9" t="s">
        <v>1900</v>
      </c>
      <c r="C728" t="s">
        <v>306</v>
      </c>
      <c r="D728" s="5" t="s">
        <v>308</v>
      </c>
      <c r="F728" s="1">
        <v>13.42</v>
      </c>
    </row>
    <row r="729" spans="1:9">
      <c r="A729" s="9" t="s">
        <v>1313</v>
      </c>
      <c r="B729" s="9" t="s">
        <v>1313</v>
      </c>
      <c r="C729" t="s">
        <v>1346</v>
      </c>
      <c r="D729" s="5" t="s">
        <v>1348</v>
      </c>
      <c r="F729" s="1">
        <v>339.54</v>
      </c>
    </row>
    <row r="730" spans="1:9">
      <c r="A730" s="9" t="s">
        <v>1313</v>
      </c>
      <c r="B730" s="9" t="s">
        <v>1313</v>
      </c>
      <c r="C730" t="s">
        <v>1349</v>
      </c>
      <c r="D730" s="5" t="s">
        <v>1351</v>
      </c>
      <c r="E730" s="1">
        <v>32.82</v>
      </c>
      <c r="F730" s="1">
        <v>60.16</v>
      </c>
    </row>
    <row r="731" spans="1:9">
      <c r="A731" s="9" t="s">
        <v>1313</v>
      </c>
      <c r="B731" s="9" t="s">
        <v>1313</v>
      </c>
      <c r="C731" t="s">
        <v>1352</v>
      </c>
      <c r="D731" s="5" t="s">
        <v>1354</v>
      </c>
      <c r="H731" s="1">
        <v>101.01</v>
      </c>
      <c r="I731" s="1">
        <v>25.5</v>
      </c>
    </row>
    <row r="732" spans="1:9">
      <c r="A732" s="9" t="s">
        <v>1313</v>
      </c>
      <c r="B732" s="9" t="s">
        <v>1313</v>
      </c>
      <c r="C732" t="s">
        <v>1355</v>
      </c>
      <c r="D732" s="5" t="s">
        <v>1355</v>
      </c>
      <c r="H732" s="1">
        <v>58311.834999999999</v>
      </c>
      <c r="I732" s="1">
        <v>3058.43</v>
      </c>
    </row>
    <row r="733" spans="1:9">
      <c r="A733" s="9" t="s">
        <v>1313</v>
      </c>
      <c r="B733" s="9" t="s">
        <v>1313</v>
      </c>
      <c r="C733" t="s">
        <v>336</v>
      </c>
      <c r="D733" s="5" t="s">
        <v>336</v>
      </c>
      <c r="F733" s="1">
        <v>1207.05</v>
      </c>
      <c r="H733" s="1">
        <v>50950.614999999998</v>
      </c>
    </row>
    <row r="734" spans="1:9">
      <c r="A734" s="9" t="s">
        <v>1313</v>
      </c>
      <c r="B734" s="9" t="s">
        <v>1313</v>
      </c>
      <c r="C734" t="s">
        <v>1357</v>
      </c>
      <c r="D734" s="5" t="s">
        <v>1357</v>
      </c>
      <c r="H734" s="1">
        <v>7424.72</v>
      </c>
    </row>
    <row r="735" spans="1:9">
      <c r="A735" s="9" t="s">
        <v>1313</v>
      </c>
      <c r="B735" s="9" t="s">
        <v>1313</v>
      </c>
      <c r="C735" t="s">
        <v>1359</v>
      </c>
      <c r="D735" s="5" t="s">
        <v>1359</v>
      </c>
      <c r="F735" s="1">
        <v>49194.05</v>
      </c>
      <c r="G735" s="1">
        <v>13.6</v>
      </c>
      <c r="H735" s="1">
        <v>123078.16</v>
      </c>
    </row>
    <row r="736" spans="1:9">
      <c r="A736" s="9" t="s">
        <v>1313</v>
      </c>
      <c r="B736" s="9" t="s">
        <v>1313</v>
      </c>
      <c r="C736" t="s">
        <v>353</v>
      </c>
      <c r="D736" s="5" t="s">
        <v>353</v>
      </c>
      <c r="F736" s="1">
        <v>33766.69</v>
      </c>
      <c r="H736" s="1">
        <v>273286.99</v>
      </c>
    </row>
    <row r="737" spans="1:9">
      <c r="A737" s="9" t="s">
        <v>1313</v>
      </c>
      <c r="B737" s="9" t="s">
        <v>1715</v>
      </c>
      <c r="C737" t="s">
        <v>81</v>
      </c>
      <c r="D737" s="5" t="s">
        <v>83</v>
      </c>
      <c r="F737" s="1">
        <v>1056.01</v>
      </c>
    </row>
    <row r="738" spans="1:9">
      <c r="A738" s="9" t="s">
        <v>1313</v>
      </c>
      <c r="B738" s="9" t="s">
        <v>1313</v>
      </c>
      <c r="C738" t="s">
        <v>1361</v>
      </c>
      <c r="D738" s="5" t="s">
        <v>1363</v>
      </c>
      <c r="E738" s="1">
        <v>-28560</v>
      </c>
      <c r="F738" s="1">
        <v>6374.65</v>
      </c>
      <c r="G738" s="1">
        <v>1648.81</v>
      </c>
      <c r="H738" s="1">
        <v>58926.78</v>
      </c>
      <c r="I738" s="1">
        <v>11.04</v>
      </c>
    </row>
    <row r="739" spans="1:9">
      <c r="A739" s="9" t="s">
        <v>1313</v>
      </c>
      <c r="B739" s="9" t="s">
        <v>1313</v>
      </c>
      <c r="C739" t="s">
        <v>1364</v>
      </c>
      <c r="D739" s="5" t="s">
        <v>1366</v>
      </c>
      <c r="E739" s="1">
        <v>1662.3</v>
      </c>
      <c r="F739" s="1">
        <v>2724.08</v>
      </c>
    </row>
    <row r="740" spans="1:9">
      <c r="A740" s="9" t="s">
        <v>1313</v>
      </c>
      <c r="B740" s="9" t="s">
        <v>1715</v>
      </c>
      <c r="C740" t="s">
        <v>555</v>
      </c>
      <c r="D740" s="5" t="s">
        <v>557</v>
      </c>
      <c r="F740" s="1">
        <v>28.38</v>
      </c>
    </row>
    <row r="741" spans="1:9">
      <c r="A741" s="9" t="s">
        <v>1313</v>
      </c>
      <c r="B741" s="9" t="s">
        <v>1313</v>
      </c>
      <c r="C741" t="s">
        <v>1367</v>
      </c>
      <c r="D741" s="5" t="s">
        <v>1367</v>
      </c>
      <c r="F741" s="1">
        <v>2151.59</v>
      </c>
    </row>
    <row r="742" spans="1:9">
      <c r="A742" s="9" t="s">
        <v>1313</v>
      </c>
      <c r="B742" s="9" t="s">
        <v>1313</v>
      </c>
      <c r="C742" t="s">
        <v>1369</v>
      </c>
      <c r="D742" s="5" t="s">
        <v>1371</v>
      </c>
      <c r="E742" s="1">
        <v>1411.55</v>
      </c>
      <c r="F742" s="1">
        <v>134.12</v>
      </c>
    </row>
    <row r="743" spans="1:9">
      <c r="A743" s="9" t="s">
        <v>1313</v>
      </c>
      <c r="B743" s="9" t="s">
        <v>1313</v>
      </c>
      <c r="C743" t="s">
        <v>1372</v>
      </c>
      <c r="D743" s="5" t="s">
        <v>1372</v>
      </c>
      <c r="F743" s="1">
        <v>2692.53</v>
      </c>
      <c r="H743" s="1">
        <v>1475425.12</v>
      </c>
      <c r="I743" s="1">
        <v>6173.56</v>
      </c>
    </row>
    <row r="744" spans="1:9">
      <c r="A744" s="9" t="s">
        <v>1313</v>
      </c>
      <c r="B744" s="9" t="s">
        <v>1715</v>
      </c>
      <c r="C744" t="s">
        <v>288</v>
      </c>
      <c r="D744" s="5" t="s">
        <v>290</v>
      </c>
      <c r="F744" s="1">
        <v>-44.78</v>
      </c>
    </row>
    <row r="745" spans="1:9">
      <c r="A745" s="9" t="s">
        <v>1313</v>
      </c>
      <c r="B745" s="9" t="s">
        <v>1313</v>
      </c>
      <c r="C745" t="s">
        <v>1374</v>
      </c>
      <c r="D745" s="5" t="s">
        <v>1374</v>
      </c>
      <c r="F745" s="1">
        <v>11410.12</v>
      </c>
    </row>
    <row r="746" spans="1:9">
      <c r="A746" s="9" t="s">
        <v>1313</v>
      </c>
      <c r="B746" s="9" t="s">
        <v>1313</v>
      </c>
      <c r="C746" t="s">
        <v>1376</v>
      </c>
      <c r="D746" s="5" t="s">
        <v>1376</v>
      </c>
      <c r="F746" s="1">
        <v>18846.05</v>
      </c>
    </row>
    <row r="747" spans="1:9">
      <c r="A747" s="9" t="s">
        <v>1313</v>
      </c>
      <c r="B747" s="9" t="s">
        <v>1313</v>
      </c>
      <c r="C747" t="s">
        <v>1378</v>
      </c>
      <c r="D747" s="5" t="s">
        <v>1380</v>
      </c>
      <c r="F747" s="1">
        <v>244</v>
      </c>
    </row>
    <row r="748" spans="1:9">
      <c r="A748" s="9" t="s">
        <v>1313</v>
      </c>
      <c r="B748" s="9" t="s">
        <v>1313</v>
      </c>
      <c r="C748" t="s">
        <v>1170</v>
      </c>
      <c r="D748" s="5" t="s">
        <v>1172</v>
      </c>
      <c r="E748" s="1">
        <v>97.82</v>
      </c>
      <c r="F748" s="1">
        <v>1426.05</v>
      </c>
    </row>
    <row r="749" spans="1:9">
      <c r="A749" s="9" t="s">
        <v>1313</v>
      </c>
      <c r="B749" s="9" t="s">
        <v>1313</v>
      </c>
      <c r="C749" t="s">
        <v>1381</v>
      </c>
      <c r="D749" s="5" t="s">
        <v>1383</v>
      </c>
      <c r="F749" s="1">
        <v>518.48</v>
      </c>
    </row>
    <row r="750" spans="1:9">
      <c r="A750" s="9" t="s">
        <v>1313</v>
      </c>
      <c r="B750" s="9" t="s">
        <v>1313</v>
      </c>
      <c r="C750" t="s">
        <v>1384</v>
      </c>
      <c r="D750" s="5" t="s">
        <v>1386</v>
      </c>
      <c r="E750" s="1">
        <v>293.92</v>
      </c>
      <c r="F750" s="1">
        <v>599.20000000000005</v>
      </c>
    </row>
    <row r="751" spans="1:9">
      <c r="A751" s="9" t="s">
        <v>1313</v>
      </c>
      <c r="B751" s="9" t="s">
        <v>1313</v>
      </c>
      <c r="C751" t="s">
        <v>669</v>
      </c>
      <c r="D751" s="5" t="s">
        <v>671</v>
      </c>
      <c r="F751" s="1">
        <v>221.49</v>
      </c>
    </row>
    <row r="752" spans="1:9">
      <c r="A752" s="9" t="s">
        <v>1313</v>
      </c>
      <c r="B752" s="9" t="s">
        <v>1313</v>
      </c>
      <c r="C752" t="s">
        <v>1226</v>
      </c>
      <c r="D752" s="5" t="s">
        <v>1228</v>
      </c>
      <c r="F752" s="1">
        <v>4278.72</v>
      </c>
    </row>
    <row r="753" spans="1:9">
      <c r="A753" s="9" t="s">
        <v>1313</v>
      </c>
      <c r="B753" s="9" t="s">
        <v>1313</v>
      </c>
      <c r="C753" t="s">
        <v>1387</v>
      </c>
      <c r="D753" s="5" t="s">
        <v>1387</v>
      </c>
      <c r="H753" s="1">
        <v>250558.27</v>
      </c>
    </row>
    <row r="754" spans="1:9">
      <c r="A754" s="9" t="s">
        <v>1313</v>
      </c>
      <c r="B754" s="9" t="s">
        <v>1313</v>
      </c>
      <c r="C754" t="s">
        <v>1389</v>
      </c>
      <c r="D754" s="5" t="s">
        <v>1391</v>
      </c>
      <c r="F754" s="1">
        <v>100</v>
      </c>
    </row>
    <row r="755" spans="1:9">
      <c r="A755" s="9" t="s">
        <v>1313</v>
      </c>
      <c r="B755" s="9" t="s">
        <v>1313</v>
      </c>
      <c r="C755" t="s">
        <v>1392</v>
      </c>
      <c r="D755" s="5" t="s">
        <v>1394</v>
      </c>
      <c r="H755" s="1">
        <v>221.19</v>
      </c>
    </row>
    <row r="756" spans="1:9">
      <c r="A756" s="9" t="s">
        <v>1313</v>
      </c>
      <c r="B756" s="9" t="s">
        <v>1313</v>
      </c>
      <c r="C756" t="s">
        <v>1395</v>
      </c>
      <c r="D756" s="5" t="s">
        <v>1395</v>
      </c>
      <c r="H756" s="1">
        <v>5374.95</v>
      </c>
    </row>
    <row r="757" spans="1:9">
      <c r="A757" s="9" t="s">
        <v>1313</v>
      </c>
      <c r="B757" s="9" t="s">
        <v>1313</v>
      </c>
      <c r="C757" t="s">
        <v>1397</v>
      </c>
      <c r="D757" s="5" t="s">
        <v>1397</v>
      </c>
      <c r="H757" s="1">
        <v>55451.01</v>
      </c>
    </row>
    <row r="758" spans="1:9">
      <c r="A758" s="9" t="s">
        <v>1399</v>
      </c>
      <c r="B758" s="9" t="s">
        <v>1399</v>
      </c>
      <c r="C758" t="s">
        <v>1401</v>
      </c>
      <c r="D758" s="5" t="s">
        <v>1403</v>
      </c>
      <c r="F758" s="1">
        <v>14734.72</v>
      </c>
    </row>
    <row r="759" spans="1:9">
      <c r="A759" s="9" t="s">
        <v>1399</v>
      </c>
      <c r="B759" s="9" t="s">
        <v>1399</v>
      </c>
      <c r="C759" t="s">
        <v>1244</v>
      </c>
      <c r="D759" s="5" t="s">
        <v>1246</v>
      </c>
      <c r="H759" s="1">
        <v>337.13</v>
      </c>
      <c r="I759" s="1">
        <v>227.23</v>
      </c>
    </row>
    <row r="760" spans="1:9">
      <c r="A760" s="9" t="s">
        <v>1399</v>
      </c>
      <c r="B760" s="9" t="s">
        <v>1399</v>
      </c>
      <c r="C760" t="s">
        <v>1129</v>
      </c>
      <c r="D760" s="5" t="s">
        <v>1131</v>
      </c>
      <c r="H760" s="1">
        <v>145.755</v>
      </c>
      <c r="I760" s="1">
        <v>424.84</v>
      </c>
    </row>
    <row r="761" spans="1:9">
      <c r="A761" s="9" t="s">
        <v>1399</v>
      </c>
      <c r="B761" s="9" t="s">
        <v>1399</v>
      </c>
      <c r="C761" t="s">
        <v>1126</v>
      </c>
      <c r="D761" s="5" t="s">
        <v>1128</v>
      </c>
      <c r="H761" s="1">
        <v>211.92</v>
      </c>
      <c r="I761" s="1">
        <v>372.84</v>
      </c>
    </row>
    <row r="762" spans="1:9">
      <c r="A762" s="9" t="s">
        <v>1399</v>
      </c>
      <c r="B762" s="9" t="s">
        <v>1399</v>
      </c>
      <c r="C762" t="s">
        <v>1404</v>
      </c>
      <c r="D762" s="5" t="s">
        <v>1406</v>
      </c>
      <c r="H762" s="1">
        <v>973.83</v>
      </c>
    </row>
    <row r="763" spans="1:9">
      <c r="A763" s="9" t="s">
        <v>1399</v>
      </c>
      <c r="B763" s="9" t="s">
        <v>1399</v>
      </c>
      <c r="C763" t="s">
        <v>1407</v>
      </c>
      <c r="D763" s="5" t="s">
        <v>1409</v>
      </c>
      <c r="H763" s="1">
        <v>454.4</v>
      </c>
    </row>
    <row r="764" spans="1:9">
      <c r="A764" s="9" t="s">
        <v>1399</v>
      </c>
      <c r="B764" s="9" t="s">
        <v>1399</v>
      </c>
      <c r="C764" t="s">
        <v>555</v>
      </c>
      <c r="D764" s="5" t="s">
        <v>557</v>
      </c>
      <c r="H764" s="1">
        <v>1247.635</v>
      </c>
      <c r="I764" s="1">
        <v>1321.69</v>
      </c>
    </row>
    <row r="765" spans="1:9">
      <c r="A765" s="9" t="s">
        <v>1399</v>
      </c>
      <c r="B765" s="9" t="s">
        <v>1399</v>
      </c>
      <c r="C765" t="s">
        <v>1099</v>
      </c>
      <c r="D765" s="5" t="s">
        <v>1101</v>
      </c>
      <c r="I765" s="1">
        <v>1344.74</v>
      </c>
    </row>
    <row r="766" spans="1:9">
      <c r="A766" s="9" t="s">
        <v>1399</v>
      </c>
      <c r="B766" s="9" t="s">
        <v>1399</v>
      </c>
      <c r="C766" t="s">
        <v>1410</v>
      </c>
      <c r="D766" s="5" t="s">
        <v>1412</v>
      </c>
      <c r="F766" s="1">
        <v>9413.7999999999993</v>
      </c>
    </row>
    <row r="767" spans="1:9">
      <c r="A767" s="9" t="s">
        <v>1399</v>
      </c>
      <c r="B767" s="9" t="s">
        <v>1399</v>
      </c>
      <c r="C767" t="s">
        <v>1413</v>
      </c>
      <c r="D767" s="5" t="s">
        <v>1415</v>
      </c>
      <c r="F767" s="1">
        <v>2500</v>
      </c>
    </row>
    <row r="768" spans="1:9">
      <c r="A768" s="9" t="s">
        <v>1399</v>
      </c>
      <c r="B768" s="9" t="s">
        <v>1399</v>
      </c>
      <c r="C768" t="s">
        <v>1416</v>
      </c>
      <c r="D768" s="5" t="s">
        <v>1418</v>
      </c>
      <c r="H768" s="1">
        <v>239.84</v>
      </c>
    </row>
    <row r="769" spans="1:9">
      <c r="A769" s="9" t="s">
        <v>1399</v>
      </c>
      <c r="B769" s="9" t="s">
        <v>1399</v>
      </c>
      <c r="C769" t="s">
        <v>1419</v>
      </c>
      <c r="D769" s="5" t="s">
        <v>1421</v>
      </c>
      <c r="F769" s="1">
        <v>18</v>
      </c>
      <c r="H769" s="1">
        <v>933.86</v>
      </c>
    </row>
    <row r="770" spans="1:9">
      <c r="A770" s="9" t="s">
        <v>1399</v>
      </c>
      <c r="B770" s="9" t="s">
        <v>1399</v>
      </c>
      <c r="C770" t="s">
        <v>1422</v>
      </c>
      <c r="D770" s="5" t="s">
        <v>1424</v>
      </c>
      <c r="H770" s="1">
        <v>71</v>
      </c>
    </row>
    <row r="771" spans="1:9">
      <c r="A771" s="9" t="s">
        <v>1399</v>
      </c>
      <c r="B771" s="9" t="s">
        <v>1399</v>
      </c>
      <c r="C771" t="s">
        <v>723</v>
      </c>
      <c r="D771" s="5" t="s">
        <v>725</v>
      </c>
      <c r="H771" s="1">
        <v>2318.5749999999998</v>
      </c>
      <c r="I771" s="1">
        <v>2702.43</v>
      </c>
    </row>
    <row r="772" spans="1:9">
      <c r="A772" s="9" t="s">
        <v>1399</v>
      </c>
      <c r="B772" s="9" t="s">
        <v>1399</v>
      </c>
      <c r="C772" t="s">
        <v>1425</v>
      </c>
      <c r="D772" s="5" t="s">
        <v>1427</v>
      </c>
      <c r="F772" s="1">
        <v>290</v>
      </c>
      <c r="H772" s="1">
        <v>1482.37</v>
      </c>
    </row>
    <row r="773" spans="1:9">
      <c r="A773" s="9" t="s">
        <v>1399</v>
      </c>
      <c r="B773" s="9" t="s">
        <v>1399</v>
      </c>
      <c r="C773" t="s">
        <v>543</v>
      </c>
      <c r="D773" s="5" t="s">
        <v>545</v>
      </c>
      <c r="H773" s="1">
        <v>423.84</v>
      </c>
    </row>
    <row r="774" spans="1:9">
      <c r="A774" s="9" t="s">
        <v>1399</v>
      </c>
      <c r="B774" s="9" t="s">
        <v>1399</v>
      </c>
      <c r="C774" t="s">
        <v>1428</v>
      </c>
      <c r="D774" s="5" t="s">
        <v>1430</v>
      </c>
      <c r="H774" s="1">
        <v>573.6</v>
      </c>
      <c r="I774" s="1">
        <v>178.56</v>
      </c>
    </row>
    <row r="775" spans="1:9">
      <c r="A775" s="9" t="s">
        <v>1399</v>
      </c>
      <c r="B775" s="9" t="s">
        <v>1399</v>
      </c>
      <c r="C775" t="s">
        <v>1123</v>
      </c>
      <c r="D775" s="5" t="s">
        <v>1125</v>
      </c>
      <c r="H775" s="1">
        <v>520.02</v>
      </c>
      <c r="I775" s="1">
        <v>1404.44</v>
      </c>
    </row>
    <row r="776" spans="1:9">
      <c r="A776" s="9" t="s">
        <v>1399</v>
      </c>
      <c r="B776" s="9" t="s">
        <v>1399</v>
      </c>
      <c r="C776" t="s">
        <v>1102</v>
      </c>
      <c r="D776" s="5" t="s">
        <v>1104</v>
      </c>
      <c r="H776" s="1">
        <v>211.13</v>
      </c>
      <c r="I776" s="1">
        <v>532.79999999999995</v>
      </c>
    </row>
    <row r="777" spans="1:9">
      <c r="A777" s="9" t="s">
        <v>1399</v>
      </c>
      <c r="B777" s="9" t="s">
        <v>1399</v>
      </c>
      <c r="C777" t="s">
        <v>681</v>
      </c>
      <c r="D777" s="5" t="s">
        <v>683</v>
      </c>
      <c r="H777" s="1">
        <v>1551.7049999999999</v>
      </c>
    </row>
    <row r="778" spans="1:9">
      <c r="A778" s="9" t="s">
        <v>1399</v>
      </c>
      <c r="B778" s="9" t="s">
        <v>1399</v>
      </c>
      <c r="C778" t="s">
        <v>1431</v>
      </c>
      <c r="D778" s="5" t="s">
        <v>1433</v>
      </c>
      <c r="H778" s="1">
        <v>627.20000000000005</v>
      </c>
    </row>
    <row r="779" spans="1:9">
      <c r="A779" s="9" t="s">
        <v>1399</v>
      </c>
      <c r="B779" s="9" t="s">
        <v>1399</v>
      </c>
      <c r="C779" t="s">
        <v>288</v>
      </c>
      <c r="D779" s="5" t="s">
        <v>290</v>
      </c>
      <c r="H779" s="1">
        <v>469.82</v>
      </c>
      <c r="I779" s="1">
        <v>2339.73</v>
      </c>
    </row>
    <row r="780" spans="1:9">
      <c r="A780" s="9" t="s">
        <v>1399</v>
      </c>
      <c r="B780" s="9" t="s">
        <v>1399</v>
      </c>
      <c r="C780" t="s">
        <v>1434</v>
      </c>
      <c r="D780" s="5" t="s">
        <v>1436</v>
      </c>
      <c r="F780" s="1">
        <v>6367.45</v>
      </c>
    </row>
    <row r="781" spans="1:9">
      <c r="A781" s="9" t="s">
        <v>1399</v>
      </c>
      <c r="B781" s="9" t="s">
        <v>1399</v>
      </c>
      <c r="C781" t="s">
        <v>1437</v>
      </c>
      <c r="D781" s="5" t="s">
        <v>1439</v>
      </c>
      <c r="F781" s="1">
        <v>7280</v>
      </c>
    </row>
    <row r="782" spans="1:9">
      <c r="A782" s="9" t="s">
        <v>1399</v>
      </c>
      <c r="B782" s="9" t="s">
        <v>1399</v>
      </c>
      <c r="C782" t="s">
        <v>1440</v>
      </c>
      <c r="D782" s="5" t="s">
        <v>1442</v>
      </c>
      <c r="F782" s="1">
        <v>16640</v>
      </c>
    </row>
    <row r="783" spans="1:9">
      <c r="A783" s="9" t="s">
        <v>1399</v>
      </c>
      <c r="B783" s="9" t="s">
        <v>1399</v>
      </c>
      <c r="C783" t="s">
        <v>1443</v>
      </c>
      <c r="D783" s="5" t="s">
        <v>1445</v>
      </c>
      <c r="F783" s="1">
        <v>95992</v>
      </c>
      <c r="H783" s="1">
        <v>74.959999999999994</v>
      </c>
    </row>
    <row r="784" spans="1:9">
      <c r="A784" s="9" t="s">
        <v>1399</v>
      </c>
      <c r="B784" s="9" t="s">
        <v>1715</v>
      </c>
      <c r="C784" t="s">
        <v>72</v>
      </c>
      <c r="D784" s="5" t="s">
        <v>74</v>
      </c>
      <c r="H784" s="1">
        <v>60.95</v>
      </c>
    </row>
    <row r="785" spans="1:9">
      <c r="A785" s="9" t="s">
        <v>1399</v>
      </c>
      <c r="B785" s="9" t="s">
        <v>1715</v>
      </c>
      <c r="C785" t="s">
        <v>1446</v>
      </c>
      <c r="D785" s="5" t="s">
        <v>1448</v>
      </c>
      <c r="H785" s="1">
        <v>425.97</v>
      </c>
      <c r="I785" s="1">
        <v>35.75</v>
      </c>
    </row>
    <row r="786" spans="1:9">
      <c r="A786" s="9" t="s">
        <v>1399</v>
      </c>
      <c r="B786" s="9" t="s">
        <v>1399</v>
      </c>
      <c r="C786" t="s">
        <v>1449</v>
      </c>
      <c r="D786" s="5" t="s">
        <v>1451</v>
      </c>
      <c r="H786" s="1">
        <v>2196.1799999999998</v>
      </c>
    </row>
    <row r="787" spans="1:9">
      <c r="A787" s="9" t="s">
        <v>1399</v>
      </c>
      <c r="B787" s="9" t="s">
        <v>1399</v>
      </c>
      <c r="C787" t="s">
        <v>1452</v>
      </c>
      <c r="D787" s="5" t="s">
        <v>1454</v>
      </c>
      <c r="H787" s="1">
        <v>1347.44</v>
      </c>
    </row>
    <row r="788" spans="1:9">
      <c r="A788" s="9" t="s">
        <v>1399</v>
      </c>
      <c r="B788" s="9" t="s">
        <v>1399</v>
      </c>
      <c r="C788" t="s">
        <v>1455</v>
      </c>
      <c r="D788" s="5" t="s">
        <v>1457</v>
      </c>
      <c r="H788" s="1">
        <v>290.27999999999997</v>
      </c>
    </row>
    <row r="789" spans="1:9">
      <c r="A789" s="9" t="s">
        <v>1399</v>
      </c>
      <c r="B789" s="9" t="s">
        <v>1313</v>
      </c>
      <c r="C789" t="s">
        <v>1334</v>
      </c>
      <c r="D789" s="5" t="s">
        <v>1336</v>
      </c>
      <c r="H789" s="1">
        <v>30.21</v>
      </c>
    </row>
    <row r="790" spans="1:9">
      <c r="A790" s="9" t="s">
        <v>1399</v>
      </c>
      <c r="B790" s="9" t="s">
        <v>1399</v>
      </c>
      <c r="C790" t="s">
        <v>1108</v>
      </c>
      <c r="D790" s="5" t="s">
        <v>1110</v>
      </c>
      <c r="H790" s="1">
        <v>1823.79</v>
      </c>
      <c r="I790" s="1">
        <v>1501.49</v>
      </c>
    </row>
    <row r="791" spans="1:9">
      <c r="A791" s="9" t="s">
        <v>1399</v>
      </c>
      <c r="B791" s="9" t="s">
        <v>1399</v>
      </c>
      <c r="C791" t="s">
        <v>1458</v>
      </c>
      <c r="D791" s="5" t="s">
        <v>1460</v>
      </c>
      <c r="H791" s="1">
        <v>694.24</v>
      </c>
    </row>
    <row r="792" spans="1:9">
      <c r="A792" s="9" t="s">
        <v>1399</v>
      </c>
      <c r="B792" s="9" t="s">
        <v>1399</v>
      </c>
      <c r="C792" t="s">
        <v>1461</v>
      </c>
      <c r="D792" s="5" t="s">
        <v>1463</v>
      </c>
      <c r="H792" s="1">
        <v>119.92</v>
      </c>
    </row>
    <row r="793" spans="1:9">
      <c r="A793" s="9" t="s">
        <v>1399</v>
      </c>
      <c r="B793" s="9" t="s">
        <v>1399</v>
      </c>
      <c r="C793" t="s">
        <v>1464</v>
      </c>
      <c r="D793" s="5" t="s">
        <v>1466</v>
      </c>
      <c r="F793" s="1">
        <v>0</v>
      </c>
    </row>
    <row r="794" spans="1:9">
      <c r="A794" s="9" t="s">
        <v>1399</v>
      </c>
      <c r="B794" s="9" t="s">
        <v>1715</v>
      </c>
      <c r="C794" t="s">
        <v>186</v>
      </c>
      <c r="D794" s="5" t="s">
        <v>188</v>
      </c>
      <c r="H794" s="1">
        <v>772.8</v>
      </c>
    </row>
    <row r="795" spans="1:9">
      <c r="A795" s="9" t="s">
        <v>1399</v>
      </c>
      <c r="B795" s="9" t="s">
        <v>1901</v>
      </c>
      <c r="C795" t="s">
        <v>1307</v>
      </c>
      <c r="D795" s="5" t="s">
        <v>1309</v>
      </c>
      <c r="H795" s="1">
        <v>6.85</v>
      </c>
    </row>
    <row r="796" spans="1:9">
      <c r="A796" s="9" t="s">
        <v>1399</v>
      </c>
      <c r="B796" s="9" t="s">
        <v>1399</v>
      </c>
      <c r="C796" t="s">
        <v>1467</v>
      </c>
      <c r="D796" s="5" t="s">
        <v>1469</v>
      </c>
      <c r="F796" s="1">
        <v>2643.9</v>
      </c>
    </row>
    <row r="797" spans="1:9">
      <c r="A797" s="9" t="s">
        <v>1399</v>
      </c>
      <c r="B797" s="9" t="s">
        <v>1399</v>
      </c>
      <c r="C797" t="s">
        <v>1470</v>
      </c>
      <c r="D797" s="5" t="s">
        <v>1472</v>
      </c>
      <c r="F797" s="1">
        <v>220</v>
      </c>
    </row>
    <row r="798" spans="1:9">
      <c r="A798" s="9" t="s">
        <v>1399</v>
      </c>
      <c r="B798" s="9" t="s">
        <v>1715</v>
      </c>
      <c r="C798" t="s">
        <v>630</v>
      </c>
      <c r="D798" s="5" t="s">
        <v>632</v>
      </c>
      <c r="H798" s="1">
        <v>216.72</v>
      </c>
    </row>
    <row r="799" spans="1:9">
      <c r="A799" s="9" t="s">
        <v>1399</v>
      </c>
      <c r="B799" s="9" t="s">
        <v>1399</v>
      </c>
      <c r="C799" t="s">
        <v>1326</v>
      </c>
      <c r="D799" s="5" t="s">
        <v>1328</v>
      </c>
      <c r="H799" s="1">
        <v>80.56</v>
      </c>
    </row>
    <row r="800" spans="1:9">
      <c r="A800" s="9" t="s">
        <v>1399</v>
      </c>
      <c r="B800" s="9" t="s">
        <v>1715</v>
      </c>
      <c r="C800" t="s">
        <v>373</v>
      </c>
      <c r="D800" s="5" t="s">
        <v>375</v>
      </c>
      <c r="H800" s="1">
        <v>552</v>
      </c>
    </row>
    <row r="801" spans="1:10">
      <c r="A801" s="9" t="s">
        <v>1399</v>
      </c>
      <c r="B801" s="9" t="s">
        <v>1399</v>
      </c>
      <c r="C801" t="s">
        <v>1392</v>
      </c>
      <c r="D801" s="5" t="s">
        <v>1394</v>
      </c>
      <c r="H801" s="1">
        <v>30.21</v>
      </c>
    </row>
    <row r="802" spans="1:10">
      <c r="A802" s="9" t="s">
        <v>1399</v>
      </c>
      <c r="B802" s="9" t="s">
        <v>1399</v>
      </c>
      <c r="C802" t="s">
        <v>1105</v>
      </c>
      <c r="D802" s="5" t="s">
        <v>1107</v>
      </c>
      <c r="H802" s="1">
        <v>1361.01</v>
      </c>
      <c r="I802" s="1">
        <v>1719.82</v>
      </c>
    </row>
    <row r="803" spans="1:10">
      <c r="A803" s="9" t="s">
        <v>1399</v>
      </c>
      <c r="B803" s="9" t="s">
        <v>1399</v>
      </c>
      <c r="C803" t="s">
        <v>546</v>
      </c>
      <c r="D803" s="5" t="s">
        <v>548</v>
      </c>
      <c r="H803" s="1">
        <v>240.8</v>
      </c>
    </row>
    <row r="804" spans="1:10">
      <c r="A804" s="9" t="s">
        <v>1473</v>
      </c>
      <c r="B804" s="9" t="s">
        <v>1473</v>
      </c>
      <c r="C804" t="s">
        <v>1475</v>
      </c>
      <c r="D804" s="5" t="s">
        <v>1477</v>
      </c>
      <c r="F804" s="1">
        <v>5632.08</v>
      </c>
    </row>
    <row r="805" spans="1:10">
      <c r="A805" s="9" t="s">
        <v>1473</v>
      </c>
      <c r="B805" s="9" t="s">
        <v>1473</v>
      </c>
      <c r="C805" t="s">
        <v>1478</v>
      </c>
      <c r="D805" s="5" t="s">
        <v>1480</v>
      </c>
      <c r="F805" s="1">
        <v>11940</v>
      </c>
    </row>
    <row r="806" spans="1:10">
      <c r="A806" s="9" t="s">
        <v>1473</v>
      </c>
      <c r="B806" s="9" t="s">
        <v>1473</v>
      </c>
      <c r="C806" t="s">
        <v>1481</v>
      </c>
      <c r="D806" s="5" t="s">
        <v>1483</v>
      </c>
      <c r="F806" s="1">
        <v>8583.7000000000007</v>
      </c>
      <c r="H806" s="1">
        <v>467.005</v>
      </c>
    </row>
    <row r="807" spans="1:10">
      <c r="A807" s="9" t="s">
        <v>1473</v>
      </c>
      <c r="B807" s="9" t="s">
        <v>1473</v>
      </c>
      <c r="C807" t="s">
        <v>1484</v>
      </c>
      <c r="D807" s="5" t="s">
        <v>1486</v>
      </c>
      <c r="F807" s="1">
        <v>19735</v>
      </c>
      <c r="H807" s="1">
        <v>671.66</v>
      </c>
    </row>
    <row r="808" spans="1:10">
      <c r="A808" s="9" t="s">
        <v>1473</v>
      </c>
      <c r="B808" s="9" t="s">
        <v>1473</v>
      </c>
      <c r="C808" t="s">
        <v>1487</v>
      </c>
      <c r="D808" s="5" t="s">
        <v>1489</v>
      </c>
      <c r="F808" s="1">
        <v>2600</v>
      </c>
    </row>
    <row r="809" spans="1:10">
      <c r="A809" s="9" t="s">
        <v>1473</v>
      </c>
      <c r="B809" s="9" t="s">
        <v>1473</v>
      </c>
      <c r="C809" t="s">
        <v>1443</v>
      </c>
      <c r="D809" s="5" t="s">
        <v>1445</v>
      </c>
      <c r="F809" s="1">
        <v>7670</v>
      </c>
      <c r="H809" s="1">
        <v>1911.2</v>
      </c>
    </row>
    <row r="810" spans="1:10">
      <c r="A810" s="9" t="s">
        <v>1473</v>
      </c>
      <c r="B810" s="9" t="s">
        <v>1473</v>
      </c>
      <c r="C810" t="s">
        <v>1434</v>
      </c>
      <c r="D810" s="5" t="s">
        <v>1436</v>
      </c>
      <c r="F810" s="1">
        <v>6876.97</v>
      </c>
    </row>
    <row r="811" spans="1:10">
      <c r="A811" s="9" t="s">
        <v>1473</v>
      </c>
      <c r="B811" s="9" t="s">
        <v>1473</v>
      </c>
      <c r="C811" t="s">
        <v>1428</v>
      </c>
      <c r="D811" s="5" t="s">
        <v>1430</v>
      </c>
      <c r="F811" s="1">
        <v>1388</v>
      </c>
      <c r="H811" s="1">
        <v>1931.67</v>
      </c>
    </row>
    <row r="812" spans="1:10">
      <c r="A812" s="9" t="s">
        <v>1473</v>
      </c>
      <c r="B812" s="9" t="s">
        <v>1473</v>
      </c>
      <c r="C812" t="s">
        <v>1490</v>
      </c>
      <c r="D812" s="5" t="s">
        <v>1492</v>
      </c>
      <c r="F812" s="1">
        <v>0</v>
      </c>
    </row>
    <row r="813" spans="1:10">
      <c r="A813" s="9" t="s">
        <v>1473</v>
      </c>
      <c r="B813" s="9" t="s">
        <v>1473</v>
      </c>
      <c r="C813" t="s">
        <v>1493</v>
      </c>
      <c r="D813" s="5" t="s">
        <v>1495</v>
      </c>
      <c r="F813" s="1">
        <v>50</v>
      </c>
      <c r="H813" s="1">
        <v>1490.925</v>
      </c>
      <c r="I813" s="1">
        <v>236.53</v>
      </c>
      <c r="J813" t="s">
        <v>1909</v>
      </c>
    </row>
    <row r="814" spans="1:10">
      <c r="A814" s="9" t="s">
        <v>1473</v>
      </c>
      <c r="B814" s="9" t="s">
        <v>1473</v>
      </c>
      <c r="C814" t="s">
        <v>1425</v>
      </c>
      <c r="D814" s="5" t="s">
        <v>1427</v>
      </c>
      <c r="F814" s="1">
        <v>517</v>
      </c>
      <c r="H814" s="1">
        <v>2478.59</v>
      </c>
    </row>
    <row r="815" spans="1:10">
      <c r="A815" s="9" t="s">
        <v>1473</v>
      </c>
      <c r="B815" s="9" t="s">
        <v>1473</v>
      </c>
      <c r="C815" t="s">
        <v>1496</v>
      </c>
      <c r="D815" s="5" t="s">
        <v>1498</v>
      </c>
      <c r="F815" s="1">
        <v>7622.89</v>
      </c>
    </row>
    <row r="816" spans="1:10">
      <c r="A816" s="9" t="s">
        <v>1473</v>
      </c>
      <c r="B816" s="9" t="s">
        <v>1473</v>
      </c>
      <c r="C816" t="s">
        <v>192</v>
      </c>
      <c r="D816" s="5" t="s">
        <v>194</v>
      </c>
      <c r="H816" s="1">
        <v>211.76</v>
      </c>
    </row>
    <row r="817" spans="1:8">
      <c r="A817" s="9" t="s">
        <v>1473</v>
      </c>
      <c r="B817" s="9" t="s">
        <v>1473</v>
      </c>
      <c r="C817" t="s">
        <v>1499</v>
      </c>
      <c r="D817" s="5" t="s">
        <v>1501</v>
      </c>
      <c r="F817" s="1">
        <v>13674.63</v>
      </c>
      <c r="H817" s="1">
        <v>807.875</v>
      </c>
    </row>
    <row r="818" spans="1:8">
      <c r="A818" s="9" t="s">
        <v>1473</v>
      </c>
      <c r="B818" s="9" t="s">
        <v>1715</v>
      </c>
      <c r="C818" t="s">
        <v>412</v>
      </c>
      <c r="D818" s="5" t="s">
        <v>414</v>
      </c>
      <c r="H818" s="1">
        <v>78.180000000000007</v>
      </c>
    </row>
    <row r="819" spans="1:8">
      <c r="A819" s="9" t="s">
        <v>1473</v>
      </c>
      <c r="B819" s="9" t="s">
        <v>1473</v>
      </c>
      <c r="C819" t="s">
        <v>1470</v>
      </c>
      <c r="D819" s="5" t="s">
        <v>1472</v>
      </c>
      <c r="F819" s="1">
        <v>15000</v>
      </c>
      <c r="H819" s="1">
        <v>1127.095</v>
      </c>
    </row>
    <row r="820" spans="1:8">
      <c r="A820" s="9" t="s">
        <v>1473</v>
      </c>
      <c r="B820" s="9" t="s">
        <v>1473</v>
      </c>
      <c r="C820" t="s">
        <v>1449</v>
      </c>
      <c r="D820" s="5" t="s">
        <v>1451</v>
      </c>
      <c r="F820" s="1">
        <v>800</v>
      </c>
      <c r="H820" s="1">
        <v>2117.5700000000002</v>
      </c>
    </row>
    <row r="821" spans="1:8">
      <c r="A821" s="9" t="s">
        <v>1473</v>
      </c>
      <c r="B821" s="9" t="s">
        <v>1473</v>
      </c>
      <c r="C821" t="s">
        <v>1502</v>
      </c>
      <c r="D821" s="5" t="s">
        <v>1504</v>
      </c>
      <c r="F821" s="1">
        <v>7589.77</v>
      </c>
      <c r="H821" s="1">
        <v>797.78</v>
      </c>
    </row>
    <row r="822" spans="1:8">
      <c r="A822" s="9" t="s">
        <v>1473</v>
      </c>
      <c r="B822" s="9" t="s">
        <v>1473</v>
      </c>
      <c r="C822" t="s">
        <v>1505</v>
      </c>
      <c r="D822" s="5" t="s">
        <v>1507</v>
      </c>
      <c r="F822" s="1">
        <v>13622.5</v>
      </c>
      <c r="H822" s="1">
        <v>682.245</v>
      </c>
    </row>
    <row r="823" spans="1:8">
      <c r="A823" s="9" t="s">
        <v>1473</v>
      </c>
      <c r="B823" s="9" t="s">
        <v>1473</v>
      </c>
      <c r="C823" t="s">
        <v>1508</v>
      </c>
      <c r="D823" s="5" t="s">
        <v>1510</v>
      </c>
      <c r="F823" s="1">
        <v>9342.4</v>
      </c>
      <c r="H823" s="1">
        <v>240.23</v>
      </c>
    </row>
    <row r="824" spans="1:8">
      <c r="A824" s="9" t="s">
        <v>1473</v>
      </c>
      <c r="B824" s="9" t="s">
        <v>1473</v>
      </c>
      <c r="C824" t="s">
        <v>1511</v>
      </c>
      <c r="D824" s="5" t="s">
        <v>1513</v>
      </c>
      <c r="F824" s="1">
        <v>800</v>
      </c>
    </row>
    <row r="825" spans="1:8">
      <c r="A825" s="9" t="s">
        <v>1473</v>
      </c>
      <c r="B825" s="9" t="s">
        <v>1473</v>
      </c>
      <c r="C825" t="s">
        <v>114</v>
      </c>
      <c r="D825" s="5" t="s">
        <v>116</v>
      </c>
      <c r="F825" s="1">
        <v>16800</v>
      </c>
    </row>
    <row r="826" spans="1:8">
      <c r="A826" s="9" t="s">
        <v>1473</v>
      </c>
      <c r="B826" s="9" t="s">
        <v>1473</v>
      </c>
      <c r="C826" t="s">
        <v>1514</v>
      </c>
      <c r="D826" s="5" t="s">
        <v>1516</v>
      </c>
      <c r="F826" s="1">
        <v>500</v>
      </c>
    </row>
    <row r="827" spans="1:8">
      <c r="A827" s="9" t="s">
        <v>1473</v>
      </c>
      <c r="B827" s="9" t="s">
        <v>1473</v>
      </c>
      <c r="C827" t="s">
        <v>1517</v>
      </c>
      <c r="D827" s="5" t="s">
        <v>1519</v>
      </c>
      <c r="F827" s="1">
        <v>760</v>
      </c>
      <c r="H827" s="1">
        <v>1008.475</v>
      </c>
    </row>
    <row r="828" spans="1:8">
      <c r="A828" s="9" t="s">
        <v>1473</v>
      </c>
      <c r="B828" s="9" t="s">
        <v>1473</v>
      </c>
      <c r="C828" t="s">
        <v>1520</v>
      </c>
      <c r="D828" s="5" t="s">
        <v>1522</v>
      </c>
      <c r="F828" s="1">
        <v>45276.9</v>
      </c>
      <c r="H828" s="1">
        <v>769.36500000000001</v>
      </c>
    </row>
    <row r="829" spans="1:8">
      <c r="A829" s="9" t="s">
        <v>1473</v>
      </c>
      <c r="B829" s="9" t="s">
        <v>1473</v>
      </c>
      <c r="C829" t="s">
        <v>1523</v>
      </c>
      <c r="D829" s="5" t="s">
        <v>1525</v>
      </c>
      <c r="F829" s="1">
        <v>3424.5</v>
      </c>
    </row>
    <row r="830" spans="1:8">
      <c r="A830" s="9" t="s">
        <v>1473</v>
      </c>
      <c r="B830" s="9" t="s">
        <v>1473</v>
      </c>
      <c r="C830" t="s">
        <v>1111</v>
      </c>
      <c r="D830" s="5" t="s">
        <v>1113</v>
      </c>
      <c r="F830" s="1">
        <v>24000</v>
      </c>
    </row>
    <row r="831" spans="1:8">
      <c r="A831" s="9" t="s">
        <v>1473</v>
      </c>
      <c r="B831" s="9" t="s">
        <v>1473</v>
      </c>
      <c r="C831" t="s">
        <v>1437</v>
      </c>
      <c r="D831" s="5" t="s">
        <v>1439</v>
      </c>
      <c r="F831" s="1">
        <v>3000</v>
      </c>
    </row>
    <row r="832" spans="1:8">
      <c r="A832" s="9" t="s">
        <v>1473</v>
      </c>
      <c r="B832" s="9" t="s">
        <v>1473</v>
      </c>
      <c r="C832" t="s">
        <v>1526</v>
      </c>
      <c r="D832" s="5" t="s">
        <v>1528</v>
      </c>
      <c r="F832" s="1">
        <v>4800</v>
      </c>
    </row>
    <row r="833" spans="1:8">
      <c r="A833" s="9" t="s">
        <v>1473</v>
      </c>
      <c r="B833" s="9" t="s">
        <v>1473</v>
      </c>
      <c r="C833" t="s">
        <v>1529</v>
      </c>
      <c r="D833" s="5" t="s">
        <v>1531</v>
      </c>
      <c r="F833" s="1">
        <v>5681.51</v>
      </c>
    </row>
    <row r="834" spans="1:8">
      <c r="A834" s="9" t="s">
        <v>1473</v>
      </c>
      <c r="B834" s="9" t="s">
        <v>1473</v>
      </c>
      <c r="C834" t="s">
        <v>1532</v>
      </c>
      <c r="D834" s="5" t="s">
        <v>1534</v>
      </c>
      <c r="H834" s="1">
        <v>302.93</v>
      </c>
    </row>
    <row r="835" spans="1:8">
      <c r="A835" s="9" t="s">
        <v>1473</v>
      </c>
      <c r="B835" s="9" t="s">
        <v>1473</v>
      </c>
      <c r="C835" t="s">
        <v>117</v>
      </c>
      <c r="D835" s="5" t="s">
        <v>119</v>
      </c>
      <c r="F835" s="1">
        <v>622.5</v>
      </c>
      <c r="H835" s="1">
        <v>36.96</v>
      </c>
    </row>
    <row r="836" spans="1:8">
      <c r="A836" s="9" t="s">
        <v>1473</v>
      </c>
      <c r="B836" s="9" t="s">
        <v>1473</v>
      </c>
      <c r="C836" t="s">
        <v>681</v>
      </c>
      <c r="D836" s="5" t="s">
        <v>683</v>
      </c>
      <c r="F836" s="1">
        <v>10857.08</v>
      </c>
      <c r="H836" s="1">
        <v>423.69</v>
      </c>
    </row>
    <row r="837" spans="1:8">
      <c r="A837" s="9" t="s">
        <v>1473</v>
      </c>
      <c r="B837" s="9" t="s">
        <v>1473</v>
      </c>
      <c r="C837" t="s">
        <v>492</v>
      </c>
      <c r="D837" s="5" t="s">
        <v>494</v>
      </c>
      <c r="H837" s="1">
        <v>385.28</v>
      </c>
    </row>
    <row r="838" spans="1:8">
      <c r="A838" s="9" t="s">
        <v>1473</v>
      </c>
      <c r="B838" s="9" t="s">
        <v>1473</v>
      </c>
      <c r="C838" t="s">
        <v>1535</v>
      </c>
      <c r="D838" s="5" t="s">
        <v>1537</v>
      </c>
      <c r="F838" s="1">
        <v>11049.5</v>
      </c>
      <c r="H838" s="1">
        <v>374.70499999999998</v>
      </c>
    </row>
    <row r="839" spans="1:8">
      <c r="A839" s="9" t="s">
        <v>1473</v>
      </c>
      <c r="B839" s="9" t="s">
        <v>1473</v>
      </c>
      <c r="C839" t="s">
        <v>1538</v>
      </c>
      <c r="D839" s="5" t="s">
        <v>1540</v>
      </c>
      <c r="F839" s="1">
        <v>15537.3</v>
      </c>
      <c r="H839" s="1">
        <v>545.91999999999996</v>
      </c>
    </row>
    <row r="840" spans="1:8">
      <c r="A840" s="9" t="s">
        <v>1473</v>
      </c>
      <c r="B840" s="9" t="s">
        <v>1473</v>
      </c>
      <c r="C840" t="s">
        <v>1541</v>
      </c>
      <c r="D840" s="5" t="s">
        <v>1543</v>
      </c>
      <c r="F840" s="1">
        <v>760</v>
      </c>
      <c r="H840" s="1">
        <v>467.09500000000003</v>
      </c>
    </row>
    <row r="841" spans="1:8">
      <c r="A841" s="9" t="s">
        <v>1473</v>
      </c>
      <c r="B841" s="9" t="s">
        <v>1473</v>
      </c>
      <c r="C841" t="s">
        <v>1544</v>
      </c>
      <c r="D841" s="5" t="s">
        <v>1546</v>
      </c>
      <c r="F841" s="1">
        <v>500</v>
      </c>
    </row>
    <row r="842" spans="1:8">
      <c r="A842" s="9" t="s">
        <v>1473</v>
      </c>
      <c r="B842" s="9" t="s">
        <v>1473</v>
      </c>
      <c r="C842" t="s">
        <v>1547</v>
      </c>
      <c r="D842" s="5" t="s">
        <v>1549</v>
      </c>
      <c r="F842" s="1">
        <v>260</v>
      </c>
      <c r="H842" s="1">
        <v>424.82</v>
      </c>
    </row>
    <row r="843" spans="1:8">
      <c r="A843" s="9" t="s">
        <v>1473</v>
      </c>
      <c r="B843" s="9" t="s">
        <v>1473</v>
      </c>
      <c r="C843" t="s">
        <v>1550</v>
      </c>
      <c r="D843" s="5" t="s">
        <v>1552</v>
      </c>
      <c r="F843" s="1">
        <v>15667.2</v>
      </c>
      <c r="H843" s="1">
        <v>288.04000000000002</v>
      </c>
    </row>
    <row r="844" spans="1:8">
      <c r="A844" s="9" t="s">
        <v>1473</v>
      </c>
      <c r="B844" s="9" t="s">
        <v>1473</v>
      </c>
      <c r="C844" t="s">
        <v>1553</v>
      </c>
      <c r="D844" s="5" t="s">
        <v>1555</v>
      </c>
      <c r="F844" s="1">
        <v>6669.6</v>
      </c>
      <c r="H844" s="1">
        <v>247.065</v>
      </c>
    </row>
    <row r="845" spans="1:8">
      <c r="A845" s="9" t="s">
        <v>1473</v>
      </c>
      <c r="B845" s="9" t="s">
        <v>1473</v>
      </c>
      <c r="C845" t="s">
        <v>1556</v>
      </c>
      <c r="D845" s="5" t="s">
        <v>1558</v>
      </c>
      <c r="F845" s="1">
        <v>4939.2</v>
      </c>
    </row>
    <row r="846" spans="1:8">
      <c r="A846" s="9" t="s">
        <v>1473</v>
      </c>
      <c r="B846" s="9" t="s">
        <v>1473</v>
      </c>
      <c r="C846" t="s">
        <v>1559</v>
      </c>
      <c r="D846" s="5" t="s">
        <v>1561</v>
      </c>
      <c r="H846" s="1">
        <v>431.04</v>
      </c>
    </row>
    <row r="847" spans="1:8">
      <c r="A847" s="9" t="s">
        <v>1473</v>
      </c>
      <c r="B847" s="9" t="s">
        <v>1473</v>
      </c>
      <c r="C847" t="s">
        <v>1562</v>
      </c>
      <c r="D847" s="5" t="s">
        <v>1564</v>
      </c>
      <c r="H847" s="1">
        <v>2272.1950000000002</v>
      </c>
    </row>
    <row r="848" spans="1:8">
      <c r="A848" s="9" t="s">
        <v>1473</v>
      </c>
      <c r="B848" s="9" t="s">
        <v>1473</v>
      </c>
      <c r="C848" t="s">
        <v>1565</v>
      </c>
      <c r="D848" s="5" t="s">
        <v>1567</v>
      </c>
      <c r="F848" s="1">
        <v>19239.400000000001</v>
      </c>
      <c r="H848" s="1">
        <v>961.29</v>
      </c>
    </row>
    <row r="849" spans="1:8">
      <c r="A849" s="9" t="s">
        <v>1473</v>
      </c>
      <c r="B849" s="9" t="s">
        <v>1473</v>
      </c>
      <c r="C849" t="s">
        <v>1292</v>
      </c>
      <c r="D849" s="5" t="s">
        <v>1294</v>
      </c>
      <c r="F849" s="1">
        <v>1267</v>
      </c>
      <c r="H849" s="1">
        <v>3451.77</v>
      </c>
    </row>
    <row r="850" spans="1:8">
      <c r="A850" s="9" t="s">
        <v>1473</v>
      </c>
      <c r="B850" s="9" t="s">
        <v>1473</v>
      </c>
      <c r="C850" t="s">
        <v>1568</v>
      </c>
      <c r="D850" s="5" t="s">
        <v>1570</v>
      </c>
      <c r="F850" s="1">
        <v>936</v>
      </c>
    </row>
    <row r="851" spans="1:8">
      <c r="A851" s="9" t="s">
        <v>1473</v>
      </c>
      <c r="B851" s="9" t="s">
        <v>1473</v>
      </c>
      <c r="C851" t="s">
        <v>1571</v>
      </c>
      <c r="D851" s="5" t="s">
        <v>1573</v>
      </c>
      <c r="F851" s="1">
        <v>3411.9</v>
      </c>
    </row>
    <row r="852" spans="1:8">
      <c r="A852" s="9" t="s">
        <v>1473</v>
      </c>
      <c r="B852" s="9" t="s">
        <v>1473</v>
      </c>
      <c r="C852" t="s">
        <v>347</v>
      </c>
      <c r="D852" s="5" t="s">
        <v>349</v>
      </c>
      <c r="F852" s="1">
        <v>61360</v>
      </c>
      <c r="H852" s="1">
        <v>1263.6600000000001</v>
      </c>
    </row>
    <row r="853" spans="1:8">
      <c r="A853" s="9" t="s">
        <v>1473</v>
      </c>
      <c r="B853" s="9" t="s">
        <v>1473</v>
      </c>
      <c r="C853" t="s">
        <v>1574</v>
      </c>
      <c r="D853" s="5" t="s">
        <v>1576</v>
      </c>
      <c r="F853" s="1">
        <v>19333.64</v>
      </c>
    </row>
    <row r="854" spans="1:8">
      <c r="A854" s="9" t="s">
        <v>1473</v>
      </c>
      <c r="B854" s="9" t="s">
        <v>1473</v>
      </c>
      <c r="C854" t="s">
        <v>1577</v>
      </c>
      <c r="D854" s="5" t="s">
        <v>1579</v>
      </c>
      <c r="F854" s="1">
        <v>833</v>
      </c>
    </row>
    <row r="855" spans="1:8">
      <c r="A855" s="9" t="s">
        <v>1473</v>
      </c>
      <c r="B855" s="9" t="s">
        <v>1473</v>
      </c>
      <c r="C855" t="s">
        <v>1580</v>
      </c>
      <c r="D855" s="5" t="s">
        <v>1582</v>
      </c>
      <c r="F855" s="1">
        <v>0</v>
      </c>
    </row>
    <row r="856" spans="1:8">
      <c r="A856" s="9" t="s">
        <v>1473</v>
      </c>
      <c r="B856" s="9" t="s">
        <v>1473</v>
      </c>
      <c r="C856" t="s">
        <v>1583</v>
      </c>
      <c r="D856" s="5" t="s">
        <v>1585</v>
      </c>
      <c r="F856" s="1">
        <v>455</v>
      </c>
      <c r="H856" s="1">
        <v>200.42</v>
      </c>
    </row>
    <row r="857" spans="1:8">
      <c r="A857" s="9" t="s">
        <v>1473</v>
      </c>
      <c r="B857" s="9" t="s">
        <v>1473</v>
      </c>
      <c r="C857" t="s">
        <v>1586</v>
      </c>
      <c r="D857" s="5" t="s">
        <v>1588</v>
      </c>
      <c r="H857" s="1">
        <v>495.55</v>
      </c>
    </row>
    <row r="858" spans="1:8">
      <c r="A858" s="9" t="s">
        <v>1473</v>
      </c>
      <c r="B858" s="9" t="s">
        <v>1715</v>
      </c>
      <c r="C858" t="s">
        <v>264</v>
      </c>
      <c r="D858" s="5" t="s">
        <v>266</v>
      </c>
      <c r="H858" s="1">
        <v>44.02</v>
      </c>
    </row>
    <row r="859" spans="1:8">
      <c r="A859" s="9" t="s">
        <v>1473</v>
      </c>
      <c r="B859" s="9" t="s">
        <v>1473</v>
      </c>
      <c r="C859" t="s">
        <v>147</v>
      </c>
      <c r="D859" s="5" t="s">
        <v>149</v>
      </c>
      <c r="F859" s="1">
        <v>760</v>
      </c>
      <c r="H859" s="1">
        <v>151.82</v>
      </c>
    </row>
    <row r="860" spans="1:8">
      <c r="A860" s="9" t="s">
        <v>1473</v>
      </c>
      <c r="B860" s="9" t="s">
        <v>1473</v>
      </c>
      <c r="C860" t="s">
        <v>1589</v>
      </c>
      <c r="D860" s="5" t="s">
        <v>1591</v>
      </c>
      <c r="H860" s="1">
        <v>556.79999999999995</v>
      </c>
    </row>
    <row r="861" spans="1:8">
      <c r="A861" s="9" t="s">
        <v>1473</v>
      </c>
      <c r="B861" s="9" t="s">
        <v>1473</v>
      </c>
      <c r="C861" t="s">
        <v>1416</v>
      </c>
      <c r="D861" s="5" t="s">
        <v>1418</v>
      </c>
      <c r="F861" s="1">
        <v>10315.700000000001</v>
      </c>
      <c r="H861" s="1">
        <v>431.815</v>
      </c>
    </row>
    <row r="862" spans="1:8">
      <c r="A862" s="9" t="s">
        <v>1473</v>
      </c>
      <c r="B862" s="9" t="s">
        <v>1473</v>
      </c>
      <c r="C862" t="s">
        <v>627</v>
      </c>
      <c r="D862" s="5" t="s">
        <v>629</v>
      </c>
      <c r="H862" s="1">
        <v>144.55000000000001</v>
      </c>
    </row>
    <row r="863" spans="1:8">
      <c r="A863" s="9" t="s">
        <v>1473</v>
      </c>
      <c r="B863" s="9" t="s">
        <v>1473</v>
      </c>
      <c r="C863" t="s">
        <v>1592</v>
      </c>
      <c r="D863" s="5" t="s">
        <v>1594</v>
      </c>
      <c r="H863" s="1">
        <v>530.16</v>
      </c>
    </row>
    <row r="864" spans="1:8">
      <c r="A864" s="9" t="s">
        <v>1473</v>
      </c>
      <c r="B864" s="9" t="s">
        <v>1473</v>
      </c>
      <c r="C864" t="s">
        <v>1595</v>
      </c>
      <c r="D864" s="5" t="s">
        <v>1597</v>
      </c>
      <c r="F864" s="1">
        <v>34720</v>
      </c>
      <c r="H864" s="1">
        <v>347.12</v>
      </c>
    </row>
    <row r="865" spans="1:8">
      <c r="A865" s="9" t="s">
        <v>1473</v>
      </c>
      <c r="B865" s="9" t="s">
        <v>1473</v>
      </c>
      <c r="C865" t="s">
        <v>1598</v>
      </c>
      <c r="D865" s="5" t="s">
        <v>1600</v>
      </c>
      <c r="F865" s="1">
        <v>2777.04</v>
      </c>
    </row>
    <row r="866" spans="1:8">
      <c r="A866" s="9" t="s">
        <v>1473</v>
      </c>
      <c r="B866" s="9" t="s">
        <v>1473</v>
      </c>
      <c r="C866" t="s">
        <v>1601</v>
      </c>
      <c r="D866" s="5" t="s">
        <v>1603</v>
      </c>
      <c r="F866" s="1">
        <v>18811.099999999999</v>
      </c>
    </row>
    <row r="867" spans="1:8">
      <c r="A867" s="9" t="s">
        <v>1473</v>
      </c>
      <c r="B867" s="9" t="s">
        <v>1473</v>
      </c>
      <c r="C867" t="s">
        <v>1604</v>
      </c>
      <c r="D867" s="5" t="s">
        <v>1606</v>
      </c>
      <c r="F867" s="1">
        <v>36771.019999999997</v>
      </c>
    </row>
    <row r="868" spans="1:8">
      <c r="A868" s="9" t="s">
        <v>1473</v>
      </c>
      <c r="B868" s="9" t="s">
        <v>1473</v>
      </c>
      <c r="C868" t="s">
        <v>1607</v>
      </c>
      <c r="D868" s="5" t="s">
        <v>1609</v>
      </c>
      <c r="F868" s="1">
        <v>760</v>
      </c>
      <c r="H868" s="1">
        <v>1661.46</v>
      </c>
    </row>
    <row r="869" spans="1:8">
      <c r="A869" s="9" t="s">
        <v>1473</v>
      </c>
      <c r="B869" s="9" t="s">
        <v>1473</v>
      </c>
      <c r="C869" t="s">
        <v>1610</v>
      </c>
      <c r="D869" s="5" t="s">
        <v>1612</v>
      </c>
      <c r="F869" s="1">
        <v>1485</v>
      </c>
    </row>
    <row r="870" spans="1:8">
      <c r="A870" s="9" t="s">
        <v>1473</v>
      </c>
      <c r="B870" s="9" t="s">
        <v>1473</v>
      </c>
      <c r="C870" t="s">
        <v>1613</v>
      </c>
      <c r="D870" s="5" t="s">
        <v>1615</v>
      </c>
      <c r="F870" s="1">
        <v>20000</v>
      </c>
    </row>
    <row r="871" spans="1:8">
      <c r="A871" s="9" t="s">
        <v>1473</v>
      </c>
      <c r="B871" s="9" t="s">
        <v>1473</v>
      </c>
      <c r="C871" t="s">
        <v>1616</v>
      </c>
      <c r="D871" s="5" t="s">
        <v>1618</v>
      </c>
      <c r="F871" s="1">
        <v>9828</v>
      </c>
    </row>
    <row r="872" spans="1:8">
      <c r="A872" s="9" t="s">
        <v>1473</v>
      </c>
      <c r="B872" s="9" t="s">
        <v>1473</v>
      </c>
      <c r="C872" t="s">
        <v>1129</v>
      </c>
      <c r="D872" s="5" t="s">
        <v>1131</v>
      </c>
      <c r="F872" s="1">
        <v>311003</v>
      </c>
    </row>
    <row r="873" spans="1:8">
      <c r="A873" s="9" t="s">
        <v>1473</v>
      </c>
      <c r="B873" s="9" t="s">
        <v>1473</v>
      </c>
      <c r="C873" t="s">
        <v>1619</v>
      </c>
      <c r="D873" s="5" t="s">
        <v>1621</v>
      </c>
      <c r="F873" s="1">
        <v>19738.68</v>
      </c>
    </row>
    <row r="874" spans="1:8">
      <c r="A874" s="9" t="s">
        <v>1473</v>
      </c>
      <c r="B874" s="9" t="s">
        <v>1473</v>
      </c>
      <c r="C874" t="s">
        <v>1622</v>
      </c>
      <c r="D874" s="5" t="s">
        <v>1624</v>
      </c>
      <c r="F874" s="1">
        <v>2126.25</v>
      </c>
    </row>
    <row r="875" spans="1:8">
      <c r="A875" s="9" t="s">
        <v>1473</v>
      </c>
      <c r="B875" s="9" t="s">
        <v>1715</v>
      </c>
      <c r="C875" t="s">
        <v>513</v>
      </c>
      <c r="D875" s="5" t="s">
        <v>515</v>
      </c>
      <c r="H875" s="1">
        <v>143.33000000000001</v>
      </c>
    </row>
    <row r="876" spans="1:8">
      <c r="A876" s="9" t="s">
        <v>1473</v>
      </c>
      <c r="B876" s="9" t="s">
        <v>1473</v>
      </c>
      <c r="C876" t="s">
        <v>75</v>
      </c>
      <c r="D876" s="5" t="s">
        <v>77</v>
      </c>
      <c r="H876" s="1">
        <v>1234.585</v>
      </c>
    </row>
    <row r="877" spans="1:8">
      <c r="A877" s="9" t="s">
        <v>1473</v>
      </c>
      <c r="B877" s="9" t="s">
        <v>1473</v>
      </c>
      <c r="C877" t="s">
        <v>1625</v>
      </c>
      <c r="D877" s="5" t="s">
        <v>1627</v>
      </c>
      <c r="F877" s="1">
        <v>1520</v>
      </c>
      <c r="H877" s="1">
        <v>61.38</v>
      </c>
    </row>
    <row r="878" spans="1:8">
      <c r="A878" s="9" t="s">
        <v>1473</v>
      </c>
      <c r="B878" s="9" t="s">
        <v>1473</v>
      </c>
      <c r="C878" t="s">
        <v>1628</v>
      </c>
      <c r="D878" s="5" t="s">
        <v>1630</v>
      </c>
      <c r="F878" s="1">
        <v>800</v>
      </c>
      <c r="H878" s="1">
        <v>408.05500000000001</v>
      </c>
    </row>
    <row r="879" spans="1:8">
      <c r="A879" s="9" t="s">
        <v>1473</v>
      </c>
      <c r="B879" s="9" t="s">
        <v>1473</v>
      </c>
      <c r="C879" t="s">
        <v>1631</v>
      </c>
      <c r="D879" s="5" t="s">
        <v>1633</v>
      </c>
      <c r="F879" s="1">
        <v>4342.6000000000004</v>
      </c>
      <c r="H879" s="1">
        <v>837.07</v>
      </c>
    </row>
    <row r="880" spans="1:8">
      <c r="A880" s="9" t="s">
        <v>1473</v>
      </c>
      <c r="B880" s="9" t="s">
        <v>1473</v>
      </c>
      <c r="C880" t="s">
        <v>1634</v>
      </c>
      <c r="D880" s="5" t="s">
        <v>1636</v>
      </c>
      <c r="F880" s="1">
        <v>1060</v>
      </c>
      <c r="H880" s="1">
        <v>1767.655</v>
      </c>
    </row>
    <row r="881" spans="1:10">
      <c r="A881" s="9" t="s">
        <v>1473</v>
      </c>
      <c r="B881" s="9" t="s">
        <v>1473</v>
      </c>
      <c r="C881" t="s">
        <v>1637</v>
      </c>
      <c r="D881" s="5" t="s">
        <v>1639</v>
      </c>
      <c r="F881" s="1">
        <v>1546</v>
      </c>
      <c r="H881" s="1">
        <v>5156.915</v>
      </c>
    </row>
    <row r="882" spans="1:10">
      <c r="A882" s="9" t="s">
        <v>1473</v>
      </c>
      <c r="B882" s="9" t="s">
        <v>1473</v>
      </c>
      <c r="C882" t="s">
        <v>1640</v>
      </c>
      <c r="D882" s="5" t="s">
        <v>1642</v>
      </c>
      <c r="F882" s="1">
        <v>16959</v>
      </c>
      <c r="H882" s="1">
        <v>622.46</v>
      </c>
      <c r="J882" t="s">
        <v>1909</v>
      </c>
    </row>
    <row r="883" spans="1:10">
      <c r="A883" s="9" t="s">
        <v>1473</v>
      </c>
      <c r="B883" s="9" t="s">
        <v>1473</v>
      </c>
      <c r="C883" t="s">
        <v>1643</v>
      </c>
      <c r="D883" s="5" t="s">
        <v>1645</v>
      </c>
      <c r="F883" s="1">
        <v>15000</v>
      </c>
    </row>
    <row r="884" spans="1:10">
      <c r="A884" s="9" t="s">
        <v>1473</v>
      </c>
      <c r="B884" s="9" t="s">
        <v>1473</v>
      </c>
      <c r="C884" t="s">
        <v>1646</v>
      </c>
      <c r="D884" s="5" t="s">
        <v>1648</v>
      </c>
      <c r="F884" s="1">
        <v>500</v>
      </c>
    </row>
    <row r="885" spans="1:10">
      <c r="A885" s="9" t="s">
        <v>1473</v>
      </c>
      <c r="B885" s="9" t="s">
        <v>1473</v>
      </c>
      <c r="C885" t="s">
        <v>1649</v>
      </c>
      <c r="D885" s="5" t="s">
        <v>1651</v>
      </c>
      <c r="F885" s="1">
        <v>4407.8999999999996</v>
      </c>
    </row>
    <row r="886" spans="1:10">
      <c r="A886" s="9" t="s">
        <v>1473</v>
      </c>
      <c r="B886" s="9" t="s">
        <v>1473</v>
      </c>
      <c r="C886" t="s">
        <v>1652</v>
      </c>
      <c r="D886" s="5" t="s">
        <v>1654</v>
      </c>
      <c r="F886" s="1">
        <v>10096.89</v>
      </c>
      <c r="H886" s="1">
        <v>240.23</v>
      </c>
    </row>
    <row r="887" spans="1:10">
      <c r="A887" s="9" t="s">
        <v>1473</v>
      </c>
      <c r="B887" s="9" t="s">
        <v>1473</v>
      </c>
      <c r="C887" t="s">
        <v>1655</v>
      </c>
      <c r="D887" s="5" t="s">
        <v>1657</v>
      </c>
      <c r="F887" s="1">
        <v>34144</v>
      </c>
      <c r="H887" s="1">
        <v>319.36</v>
      </c>
    </row>
    <row r="888" spans="1:10">
      <c r="A888" s="9" t="s">
        <v>1473</v>
      </c>
      <c r="B888" s="9" t="s">
        <v>1473</v>
      </c>
      <c r="C888" t="s">
        <v>1658</v>
      </c>
      <c r="D888" s="5" t="s">
        <v>1660</v>
      </c>
      <c r="F888" s="1">
        <v>1300</v>
      </c>
    </row>
    <row r="889" spans="1:10">
      <c r="A889" s="9" t="s">
        <v>1473</v>
      </c>
      <c r="B889" s="9" t="s">
        <v>1473</v>
      </c>
      <c r="C889" t="s">
        <v>1464</v>
      </c>
      <c r="D889" s="5" t="s">
        <v>1466</v>
      </c>
      <c r="F889" s="1">
        <v>1551</v>
      </c>
    </row>
    <row r="890" spans="1:10">
      <c r="A890" s="9" t="s">
        <v>1473</v>
      </c>
      <c r="B890" s="9" t="s">
        <v>1473</v>
      </c>
      <c r="C890" t="s">
        <v>1422</v>
      </c>
      <c r="D890" s="5" t="s">
        <v>1424</v>
      </c>
      <c r="F890" s="1">
        <v>14892.3</v>
      </c>
      <c r="H890" s="1">
        <v>662.88</v>
      </c>
    </row>
    <row r="891" spans="1:10">
      <c r="A891" s="9" t="s">
        <v>1473</v>
      </c>
      <c r="B891" s="9" t="s">
        <v>1473</v>
      </c>
      <c r="C891" t="s">
        <v>1440</v>
      </c>
      <c r="D891" s="5" t="s">
        <v>1442</v>
      </c>
      <c r="F891" s="1">
        <v>16640</v>
      </c>
    </row>
    <row r="892" spans="1:10">
      <c r="A892" s="9" t="s">
        <v>1473</v>
      </c>
      <c r="B892" s="9" t="s">
        <v>1473</v>
      </c>
      <c r="C892" t="s">
        <v>1661</v>
      </c>
      <c r="D892" s="5" t="s">
        <v>1663</v>
      </c>
      <c r="F892" s="1">
        <v>1527</v>
      </c>
      <c r="H892" s="1">
        <v>1212.57</v>
      </c>
    </row>
    <row r="893" spans="1:10">
      <c r="A893" s="9" t="s">
        <v>1473</v>
      </c>
      <c r="B893" s="9" t="s">
        <v>1473</v>
      </c>
      <c r="C893" t="s">
        <v>1268</v>
      </c>
      <c r="D893" s="5" t="s">
        <v>1270</v>
      </c>
      <c r="H893" s="1">
        <v>350.74</v>
      </c>
    </row>
    <row r="894" spans="1:10">
      <c r="A894" s="9" t="s">
        <v>1473</v>
      </c>
      <c r="B894" s="9" t="s">
        <v>1473</v>
      </c>
      <c r="C894" t="s">
        <v>1664</v>
      </c>
      <c r="D894" s="5" t="s">
        <v>1666</v>
      </c>
      <c r="F894" s="1">
        <v>760</v>
      </c>
      <c r="H894" s="1">
        <v>254.095</v>
      </c>
    </row>
    <row r="895" spans="1:10">
      <c r="A895" s="9" t="s">
        <v>1473</v>
      </c>
      <c r="B895" s="9" t="s">
        <v>1473</v>
      </c>
      <c r="C895" t="s">
        <v>1667</v>
      </c>
      <c r="D895" s="5" t="s">
        <v>1669</v>
      </c>
      <c r="H895" s="1">
        <v>439.17</v>
      </c>
    </row>
    <row r="896" spans="1:10">
      <c r="A896" s="9" t="s">
        <v>1473</v>
      </c>
      <c r="B896" s="9" t="s">
        <v>1473</v>
      </c>
      <c r="C896" t="s">
        <v>1431</v>
      </c>
      <c r="D896" s="5" t="s">
        <v>1433</v>
      </c>
      <c r="F896" s="1">
        <v>12961.9</v>
      </c>
      <c r="H896" s="1">
        <v>489.76</v>
      </c>
    </row>
    <row r="897" spans="1:8">
      <c r="A897" s="9" t="s">
        <v>1473</v>
      </c>
      <c r="B897" s="9" t="s">
        <v>1473</v>
      </c>
      <c r="C897" t="s">
        <v>1670</v>
      </c>
      <c r="D897" s="5" t="s">
        <v>1672</v>
      </c>
      <c r="F897" s="1">
        <v>2183.64</v>
      </c>
    </row>
    <row r="898" spans="1:8">
      <c r="A898" s="9" t="s">
        <v>1473</v>
      </c>
      <c r="B898" s="9" t="s">
        <v>1473</v>
      </c>
      <c r="C898" t="s">
        <v>1673</v>
      </c>
      <c r="D898" s="5" t="s">
        <v>1675</v>
      </c>
      <c r="F898" s="1">
        <v>5089.5</v>
      </c>
    </row>
    <row r="899" spans="1:8">
      <c r="A899" s="9" t="s">
        <v>1473</v>
      </c>
      <c r="B899" s="9" t="s">
        <v>1473</v>
      </c>
      <c r="C899" t="s">
        <v>1676</v>
      </c>
      <c r="D899" s="5" t="s">
        <v>1678</v>
      </c>
      <c r="F899" s="1">
        <v>4173.84</v>
      </c>
    </row>
    <row r="900" spans="1:8">
      <c r="A900" s="9" t="s">
        <v>1473</v>
      </c>
      <c r="B900" s="9" t="s">
        <v>1473</v>
      </c>
      <c r="C900" t="s">
        <v>1679</v>
      </c>
      <c r="D900" s="5" t="s">
        <v>1681</v>
      </c>
      <c r="F900" s="1">
        <v>500</v>
      </c>
    </row>
    <row r="901" spans="1:8">
      <c r="A901" s="9" t="s">
        <v>1473</v>
      </c>
      <c r="B901" s="9" t="s">
        <v>1473</v>
      </c>
      <c r="C901" t="s">
        <v>1446</v>
      </c>
      <c r="D901" s="5" t="s">
        <v>1448</v>
      </c>
      <c r="F901" s="1">
        <v>760</v>
      </c>
    </row>
    <row r="902" spans="1:8">
      <c r="A902" s="9" t="s">
        <v>1473</v>
      </c>
      <c r="B902" s="9" t="s">
        <v>1473</v>
      </c>
      <c r="C902" t="s">
        <v>1682</v>
      </c>
      <c r="D902" s="5" t="s">
        <v>1684</v>
      </c>
      <c r="F902" s="1">
        <v>500</v>
      </c>
    </row>
    <row r="903" spans="1:8">
      <c r="A903" s="9" t="s">
        <v>1473</v>
      </c>
      <c r="B903" s="9" t="s">
        <v>1473</v>
      </c>
      <c r="C903" t="s">
        <v>1685</v>
      </c>
      <c r="D903" s="5" t="s">
        <v>1687</v>
      </c>
      <c r="F903" s="1">
        <v>1144</v>
      </c>
    </row>
    <row r="904" spans="1:8">
      <c r="A904" s="9" t="s">
        <v>1473</v>
      </c>
      <c r="B904" s="9" t="s">
        <v>1473</v>
      </c>
      <c r="C904" t="s">
        <v>338</v>
      </c>
      <c r="D904" s="5" t="s">
        <v>340</v>
      </c>
      <c r="F904" s="1">
        <v>250</v>
      </c>
    </row>
    <row r="905" spans="1:8">
      <c r="A905" s="9" t="s">
        <v>1473</v>
      </c>
      <c r="B905" s="9" t="s">
        <v>1473</v>
      </c>
      <c r="C905" t="s">
        <v>243</v>
      </c>
      <c r="D905" s="5" t="s">
        <v>245</v>
      </c>
      <c r="F905" s="1">
        <v>500</v>
      </c>
      <c r="H905" s="1">
        <v>780.67499999999995</v>
      </c>
    </row>
    <row r="906" spans="1:8">
      <c r="A906" s="9" t="s">
        <v>1473</v>
      </c>
      <c r="B906" s="9" t="s">
        <v>1473</v>
      </c>
      <c r="C906" t="s">
        <v>1688</v>
      </c>
      <c r="D906" s="5" t="s">
        <v>1690</v>
      </c>
      <c r="F906" s="1">
        <v>38199.699999999997</v>
      </c>
    </row>
    <row r="907" spans="1:8">
      <c r="A907" s="9" t="s">
        <v>1473</v>
      </c>
      <c r="B907" s="9" t="s">
        <v>1473</v>
      </c>
      <c r="C907" t="s">
        <v>1691</v>
      </c>
      <c r="D907" s="5" t="s">
        <v>1693</v>
      </c>
      <c r="F907" s="1">
        <v>26000</v>
      </c>
    </row>
    <row r="908" spans="1:8">
      <c r="A908" s="9" t="s">
        <v>1473</v>
      </c>
      <c r="B908" s="9" t="s">
        <v>1473</v>
      </c>
      <c r="C908" t="s">
        <v>1694</v>
      </c>
      <c r="D908" s="5" t="s">
        <v>1696</v>
      </c>
      <c r="F908" s="1">
        <v>8407.36</v>
      </c>
    </row>
    <row r="909" spans="1:8">
      <c r="A909" s="9" t="s">
        <v>1473</v>
      </c>
      <c r="B909" s="9" t="s">
        <v>1473</v>
      </c>
      <c r="C909" t="s">
        <v>1407</v>
      </c>
      <c r="D909" s="5" t="s">
        <v>1409</v>
      </c>
      <c r="F909" s="1">
        <v>13526.07</v>
      </c>
    </row>
    <row r="910" spans="1:8">
      <c r="A910" s="9" t="s">
        <v>1473</v>
      </c>
      <c r="B910" s="9" t="s">
        <v>1473</v>
      </c>
      <c r="C910" t="s">
        <v>1697</v>
      </c>
      <c r="D910" s="5" t="s">
        <v>1699</v>
      </c>
      <c r="F910" s="1">
        <v>7029.38</v>
      </c>
    </row>
    <row r="911" spans="1:8">
      <c r="A911" s="9" t="s">
        <v>1473</v>
      </c>
      <c r="B911" s="9" t="s">
        <v>1473</v>
      </c>
      <c r="C911" t="s">
        <v>1458</v>
      </c>
      <c r="D911" s="5" t="s">
        <v>1460</v>
      </c>
      <c r="F911" s="1">
        <v>83</v>
      </c>
    </row>
    <row r="912" spans="1:8">
      <c r="A912" s="9" t="s">
        <v>1473</v>
      </c>
      <c r="B912" s="9" t="s">
        <v>1907</v>
      </c>
      <c r="C912" t="s">
        <v>99</v>
      </c>
      <c r="D912" s="5" t="s">
        <v>101</v>
      </c>
      <c r="H912" s="1">
        <v>276.48</v>
      </c>
    </row>
    <row r="913" spans="1:9">
      <c r="A913" s="9" t="s">
        <v>1473</v>
      </c>
      <c r="B913" s="9" t="s">
        <v>1473</v>
      </c>
      <c r="C913" t="s">
        <v>1700</v>
      </c>
      <c r="D913" s="5" t="s">
        <v>1702</v>
      </c>
      <c r="F913" s="1">
        <v>10400</v>
      </c>
    </row>
    <row r="914" spans="1:9">
      <c r="A914" s="9" t="s">
        <v>1473</v>
      </c>
      <c r="B914" s="9" t="s">
        <v>1473</v>
      </c>
      <c r="C914" t="s">
        <v>546</v>
      </c>
      <c r="D914" s="5" t="s">
        <v>548</v>
      </c>
      <c r="F914" s="1">
        <v>1575</v>
      </c>
    </row>
    <row r="915" spans="1:9">
      <c r="A915" s="9" t="s">
        <v>1473</v>
      </c>
      <c r="B915" s="9" t="s">
        <v>1473</v>
      </c>
      <c r="C915" t="s">
        <v>1703</v>
      </c>
      <c r="D915" s="5" t="s">
        <v>1705</v>
      </c>
      <c r="F915" s="1">
        <v>18241.3</v>
      </c>
    </row>
    <row r="916" spans="1:9">
      <c r="A916" s="9" t="s">
        <v>1473</v>
      </c>
      <c r="B916" s="9" t="s">
        <v>1473</v>
      </c>
      <c r="C916" t="s">
        <v>678</v>
      </c>
      <c r="D916" s="5" t="s">
        <v>680</v>
      </c>
      <c r="F916" s="1">
        <v>3150</v>
      </c>
    </row>
    <row r="917" spans="1:9">
      <c r="A917" s="9" t="s">
        <v>1473</v>
      </c>
      <c r="B917" s="9" t="s">
        <v>1473</v>
      </c>
      <c r="C917" t="s">
        <v>1706</v>
      </c>
      <c r="D917" s="5" t="s">
        <v>1708</v>
      </c>
      <c r="F917" s="1">
        <v>27495.58</v>
      </c>
    </row>
    <row r="918" spans="1:9">
      <c r="A918" s="9" t="s">
        <v>1473</v>
      </c>
      <c r="B918" s="9" t="s">
        <v>1473</v>
      </c>
      <c r="C918" t="s">
        <v>1709</v>
      </c>
      <c r="D918" s="5" t="s">
        <v>1711</v>
      </c>
      <c r="F918" s="1">
        <v>27583.439999999999</v>
      </c>
    </row>
    <row r="919" spans="1:9">
      <c r="A919" s="9" t="s">
        <v>1473</v>
      </c>
      <c r="B919" s="9" t="s">
        <v>1473</v>
      </c>
      <c r="C919" t="s">
        <v>288</v>
      </c>
      <c r="D919" s="5" t="s">
        <v>290</v>
      </c>
      <c r="F919" s="1">
        <v>168198</v>
      </c>
    </row>
    <row r="920" spans="1:9">
      <c r="A920" s="9" t="s">
        <v>1473</v>
      </c>
      <c r="B920" s="9" t="s">
        <v>1473</v>
      </c>
      <c r="C920" t="s">
        <v>558</v>
      </c>
      <c r="D920" s="5" t="s">
        <v>560</v>
      </c>
      <c r="H920" s="1">
        <v>6.5149999999999997</v>
      </c>
    </row>
    <row r="921" spans="1:9">
      <c r="A921" s="9" t="s">
        <v>1473</v>
      </c>
      <c r="B921" s="9" t="s">
        <v>1473</v>
      </c>
      <c r="C921" t="s">
        <v>1712</v>
      </c>
      <c r="D921" s="5" t="s">
        <v>1714</v>
      </c>
      <c r="H921" s="1">
        <v>732.94</v>
      </c>
    </row>
    <row r="922" spans="1:9">
      <c r="A922" s="9" t="s">
        <v>1715</v>
      </c>
      <c r="B922" s="9" t="s">
        <v>1715</v>
      </c>
      <c r="C922" t="s">
        <v>231</v>
      </c>
      <c r="D922" s="5" t="s">
        <v>233</v>
      </c>
      <c r="F922" s="1">
        <v>400</v>
      </c>
    </row>
    <row r="923" spans="1:9">
      <c r="A923" s="9" t="s">
        <v>1715</v>
      </c>
      <c r="B923" s="9" t="s">
        <v>1715</v>
      </c>
      <c r="C923" t="s">
        <v>192</v>
      </c>
      <c r="D923" s="5" t="s">
        <v>194</v>
      </c>
      <c r="F923" s="1">
        <v>520</v>
      </c>
      <c r="G923" s="1">
        <v>382.13</v>
      </c>
      <c r="H923" s="1">
        <v>3143.0749999999998</v>
      </c>
      <c r="I923" s="1">
        <v>1196.6600000000001</v>
      </c>
    </row>
    <row r="924" spans="1:9">
      <c r="A924" s="9" t="s">
        <v>1715</v>
      </c>
      <c r="B924" s="9" t="s">
        <v>1715</v>
      </c>
      <c r="C924" t="s">
        <v>723</v>
      </c>
      <c r="D924" s="5" t="s">
        <v>725</v>
      </c>
      <c r="F924" s="1">
        <v>17017.13</v>
      </c>
      <c r="G924" s="1">
        <v>119.54</v>
      </c>
      <c r="H924" s="1">
        <v>5543.335</v>
      </c>
      <c r="I924" s="1">
        <v>1742.94</v>
      </c>
    </row>
    <row r="925" spans="1:9">
      <c r="A925" s="9" t="s">
        <v>1715</v>
      </c>
      <c r="B925" s="9" t="s">
        <v>1715</v>
      </c>
      <c r="C925" t="s">
        <v>159</v>
      </c>
      <c r="D925" s="5" t="s">
        <v>161</v>
      </c>
      <c r="F925" s="1">
        <v>3770.08</v>
      </c>
      <c r="H925" s="1">
        <v>132.06</v>
      </c>
    </row>
    <row r="926" spans="1:9">
      <c r="A926" s="9" t="s">
        <v>1715</v>
      </c>
      <c r="B926" s="9" t="s">
        <v>1715</v>
      </c>
      <c r="C926" t="s">
        <v>1129</v>
      </c>
      <c r="D926" s="5" t="s">
        <v>1131</v>
      </c>
      <c r="F926" s="1">
        <v>63802.2</v>
      </c>
      <c r="G926" s="1">
        <v>32919.54</v>
      </c>
      <c r="H926" s="1">
        <v>294.41000000000003</v>
      </c>
    </row>
    <row r="927" spans="1:9">
      <c r="A927" s="9" t="s">
        <v>1715</v>
      </c>
      <c r="B927" s="9" t="s">
        <v>1715</v>
      </c>
      <c r="C927" t="s">
        <v>186</v>
      </c>
      <c r="D927" s="5" t="s">
        <v>188</v>
      </c>
      <c r="F927" s="1">
        <v>3028.95</v>
      </c>
      <c r="G927" s="1">
        <v>61.58</v>
      </c>
      <c r="H927" s="1">
        <v>3727.7350000000001</v>
      </c>
      <c r="I927" s="1">
        <v>409.82</v>
      </c>
    </row>
    <row r="928" spans="1:9">
      <c r="A928" s="9" t="s">
        <v>1715</v>
      </c>
      <c r="B928" s="9" t="s">
        <v>1715</v>
      </c>
      <c r="C928" t="s">
        <v>804</v>
      </c>
      <c r="D928" s="5" t="s">
        <v>806</v>
      </c>
      <c r="F928" s="1">
        <v>3500</v>
      </c>
      <c r="G928" s="1">
        <v>272</v>
      </c>
      <c r="H928" s="1">
        <v>3523.8850000000002</v>
      </c>
      <c r="I928" s="1">
        <v>100.1</v>
      </c>
    </row>
    <row r="929" spans="1:9">
      <c r="A929" s="9" t="s">
        <v>1715</v>
      </c>
      <c r="B929" s="9" t="s">
        <v>1715</v>
      </c>
      <c r="C929" t="s">
        <v>525</v>
      </c>
      <c r="D929" s="5" t="s">
        <v>527</v>
      </c>
      <c r="F929" s="1">
        <v>50000</v>
      </c>
    </row>
    <row r="930" spans="1:9">
      <c r="A930" s="9" t="s">
        <v>1715</v>
      </c>
      <c r="B930" s="9" t="s">
        <v>1715</v>
      </c>
      <c r="C930" t="s">
        <v>264</v>
      </c>
      <c r="D930" s="5" t="s">
        <v>266</v>
      </c>
      <c r="F930" s="1">
        <v>0</v>
      </c>
      <c r="G930" s="1">
        <v>22402.5</v>
      </c>
      <c r="H930" s="1">
        <v>89.625</v>
      </c>
    </row>
    <row r="931" spans="1:9">
      <c r="A931" s="9" t="s">
        <v>1715</v>
      </c>
      <c r="B931" s="9" t="s">
        <v>1715</v>
      </c>
      <c r="C931" t="s">
        <v>792</v>
      </c>
      <c r="D931" s="5" t="s">
        <v>794</v>
      </c>
      <c r="F931" s="1">
        <v>5000</v>
      </c>
      <c r="G931" s="1">
        <v>17583.27</v>
      </c>
    </row>
    <row r="932" spans="1:9">
      <c r="A932" s="9" t="s">
        <v>1715</v>
      </c>
      <c r="B932" s="9" t="s">
        <v>1715</v>
      </c>
      <c r="C932" t="s">
        <v>654</v>
      </c>
      <c r="D932" s="5" t="s">
        <v>656</v>
      </c>
      <c r="G932" s="1">
        <v>3036.72</v>
      </c>
      <c r="H932" s="1">
        <v>5398.085</v>
      </c>
    </row>
    <row r="933" spans="1:9">
      <c r="A933" s="9" t="s">
        <v>1715</v>
      </c>
      <c r="B933" s="9" t="s">
        <v>1715</v>
      </c>
      <c r="C933" t="s">
        <v>513</v>
      </c>
      <c r="D933" s="5" t="s">
        <v>515</v>
      </c>
      <c r="F933" s="1">
        <v>500</v>
      </c>
      <c r="G933" s="1">
        <v>-3376.6</v>
      </c>
      <c r="H933" s="1">
        <v>21677.505000000001</v>
      </c>
      <c r="I933" s="1">
        <v>1628.11</v>
      </c>
    </row>
    <row r="934" spans="1:9">
      <c r="A934" s="9" t="s">
        <v>1715</v>
      </c>
      <c r="B934" s="9" t="s">
        <v>1715</v>
      </c>
      <c r="C934" t="s">
        <v>370</v>
      </c>
      <c r="D934" s="5" t="s">
        <v>372</v>
      </c>
      <c r="H934" s="1">
        <v>3284.71</v>
      </c>
      <c r="I934" s="1">
        <v>1819.52</v>
      </c>
    </row>
    <row r="935" spans="1:9">
      <c r="A935" s="9" t="s">
        <v>1715</v>
      </c>
      <c r="B935" s="9" t="s">
        <v>1715</v>
      </c>
      <c r="C935" t="s">
        <v>448</v>
      </c>
      <c r="D935" s="5" t="s">
        <v>450</v>
      </c>
      <c r="F935" s="1">
        <v>38063.980000000003</v>
      </c>
      <c r="G935" s="1">
        <v>6112.61</v>
      </c>
      <c r="H935" s="1">
        <v>8089.4849999999997</v>
      </c>
      <c r="I935" s="1">
        <v>807.2</v>
      </c>
    </row>
    <row r="936" spans="1:9">
      <c r="A936" s="9" t="s">
        <v>1715</v>
      </c>
      <c r="B936" s="9" t="s">
        <v>1715</v>
      </c>
      <c r="C936" t="s">
        <v>99</v>
      </c>
      <c r="D936" s="5" t="s">
        <v>101</v>
      </c>
      <c r="H936" s="1">
        <v>14755.004999999999</v>
      </c>
      <c r="I936" s="1">
        <v>1941.03</v>
      </c>
    </row>
    <row r="937" spans="1:9">
      <c r="A937" s="9" t="s">
        <v>1715</v>
      </c>
      <c r="B937" s="9" t="s">
        <v>1715</v>
      </c>
      <c r="C937" t="s">
        <v>48</v>
      </c>
      <c r="D937" s="5" t="s">
        <v>50</v>
      </c>
      <c r="F937" s="1">
        <v>250</v>
      </c>
      <c r="H937" s="1">
        <v>739.89</v>
      </c>
      <c r="I937" s="1">
        <v>137.02000000000001</v>
      </c>
    </row>
    <row r="938" spans="1:9">
      <c r="A938" s="9" t="s">
        <v>1715</v>
      </c>
      <c r="B938" s="9" t="s">
        <v>1715</v>
      </c>
      <c r="C938" t="s">
        <v>636</v>
      </c>
      <c r="D938" s="5" t="s">
        <v>638</v>
      </c>
      <c r="F938" s="1">
        <v>14052.8</v>
      </c>
      <c r="H938" s="1">
        <v>6365.61</v>
      </c>
      <c r="I938" s="1">
        <v>840</v>
      </c>
    </row>
    <row r="939" spans="1:9">
      <c r="A939" s="9" t="s">
        <v>1715</v>
      </c>
      <c r="B939" s="9" t="s">
        <v>1715</v>
      </c>
      <c r="C939" t="s">
        <v>72</v>
      </c>
      <c r="D939" s="5" t="s">
        <v>74</v>
      </c>
      <c r="H939" s="1">
        <v>67.72</v>
      </c>
    </row>
    <row r="940" spans="1:9">
      <c r="A940" s="9" t="s">
        <v>1715</v>
      </c>
      <c r="B940" s="9" t="s">
        <v>1715</v>
      </c>
      <c r="C940" t="s">
        <v>78</v>
      </c>
      <c r="D940" s="5" t="s">
        <v>80</v>
      </c>
      <c r="G940" s="1">
        <v>11379.78</v>
      </c>
      <c r="H940" s="1">
        <v>75.349999999999994</v>
      </c>
    </row>
    <row r="941" spans="1:9">
      <c r="A941" s="9" t="s">
        <v>1715</v>
      </c>
      <c r="B941" s="9" t="s">
        <v>1715</v>
      </c>
      <c r="C941" t="s">
        <v>504</v>
      </c>
      <c r="D941" s="5" t="s">
        <v>506</v>
      </c>
      <c r="F941" s="1">
        <v>1500</v>
      </c>
      <c r="H941" s="1">
        <v>3040.4650000000001</v>
      </c>
    </row>
    <row r="942" spans="1:9">
      <c r="A942" s="9" t="s">
        <v>1715</v>
      </c>
      <c r="B942" s="9" t="s">
        <v>1715</v>
      </c>
      <c r="C942" t="s">
        <v>555</v>
      </c>
      <c r="D942" s="5" t="s">
        <v>557</v>
      </c>
      <c r="G942" s="1">
        <v>119.54</v>
      </c>
      <c r="H942" s="1">
        <v>14264.8</v>
      </c>
      <c r="I942" s="1">
        <v>4873.9399999999996</v>
      </c>
    </row>
    <row r="943" spans="1:9">
      <c r="A943" s="9" t="s">
        <v>1715</v>
      </c>
      <c r="B943" s="9" t="s">
        <v>1715</v>
      </c>
      <c r="C943" t="s">
        <v>552</v>
      </c>
      <c r="D943" s="5" t="s">
        <v>554</v>
      </c>
      <c r="H943" s="1">
        <v>1083.5999999999999</v>
      </c>
    </row>
    <row r="944" spans="1:9">
      <c r="A944" s="9" t="s">
        <v>1715</v>
      </c>
      <c r="B944" s="9" t="s">
        <v>1715</v>
      </c>
      <c r="C944" t="s">
        <v>18</v>
      </c>
      <c r="D944" s="5" t="s">
        <v>20</v>
      </c>
      <c r="H944" s="1">
        <v>963.2</v>
      </c>
    </row>
    <row r="945" spans="1:9">
      <c r="A945" s="9" t="s">
        <v>1715</v>
      </c>
      <c r="B945" s="9" t="s">
        <v>1715</v>
      </c>
      <c r="C945" t="s">
        <v>1126</v>
      </c>
      <c r="D945" s="5" t="s">
        <v>1128</v>
      </c>
      <c r="F945" s="1">
        <v>20443.48</v>
      </c>
      <c r="G945" s="1">
        <v>119.54</v>
      </c>
      <c r="H945" s="1">
        <v>3688.91</v>
      </c>
    </row>
    <row r="946" spans="1:9">
      <c r="A946" s="9" t="s">
        <v>1715</v>
      </c>
      <c r="B946" s="9" t="s">
        <v>1715</v>
      </c>
      <c r="C946" t="s">
        <v>498</v>
      </c>
      <c r="D946" s="5" t="s">
        <v>500</v>
      </c>
      <c r="H946" s="1">
        <v>2682.68</v>
      </c>
    </row>
    <row r="947" spans="1:9">
      <c r="A947" s="9" t="s">
        <v>1715</v>
      </c>
      <c r="B947" s="9" t="s">
        <v>1715</v>
      </c>
      <c r="C947" t="s">
        <v>303</v>
      </c>
      <c r="D947" s="5" t="s">
        <v>305</v>
      </c>
      <c r="F947" s="1">
        <v>146300</v>
      </c>
      <c r="G947" s="1">
        <v>730.4</v>
      </c>
      <c r="H947" s="1">
        <v>10702.08</v>
      </c>
    </row>
    <row r="948" spans="1:9">
      <c r="A948" s="9" t="s">
        <v>1715</v>
      </c>
      <c r="B948" s="9" t="s">
        <v>1715</v>
      </c>
      <c r="C948" t="s">
        <v>681</v>
      </c>
      <c r="D948" s="5" t="s">
        <v>683</v>
      </c>
      <c r="G948" s="1">
        <v>5210.9399999999996</v>
      </c>
      <c r="H948" s="1">
        <v>396.18</v>
      </c>
    </row>
    <row r="949" spans="1:9">
      <c r="A949" s="9" t="s">
        <v>1715</v>
      </c>
      <c r="B949" s="9" t="s">
        <v>1715</v>
      </c>
      <c r="C949" t="s">
        <v>21</v>
      </c>
      <c r="D949" s="5" t="s">
        <v>23</v>
      </c>
      <c r="H949" s="1">
        <v>157.19999999999999</v>
      </c>
    </row>
    <row r="950" spans="1:9">
      <c r="A950" s="9" t="s">
        <v>1715</v>
      </c>
      <c r="B950" s="9" t="s">
        <v>1715</v>
      </c>
      <c r="C950" t="s">
        <v>240</v>
      </c>
      <c r="D950" s="5" t="s">
        <v>242</v>
      </c>
      <c r="H950" s="1">
        <v>142.02000000000001</v>
      </c>
      <c r="I950" s="1">
        <v>68.5</v>
      </c>
    </row>
    <row r="951" spans="1:9">
      <c r="A951" s="9" t="s">
        <v>1715</v>
      </c>
      <c r="B951" s="9" t="s">
        <v>1715</v>
      </c>
      <c r="C951" t="s">
        <v>81</v>
      </c>
      <c r="D951" s="5" t="s">
        <v>83</v>
      </c>
      <c r="F951" s="1">
        <v>7800</v>
      </c>
      <c r="H951" s="1">
        <v>1901.0050000000001</v>
      </c>
      <c r="I951" s="1">
        <v>64.05</v>
      </c>
    </row>
    <row r="952" spans="1:9">
      <c r="A952" s="9" t="s">
        <v>1715</v>
      </c>
      <c r="B952" s="9" t="s">
        <v>1715</v>
      </c>
      <c r="C952" t="s">
        <v>1446</v>
      </c>
      <c r="D952" s="5" t="s">
        <v>1448</v>
      </c>
      <c r="H952" s="1">
        <v>728.1</v>
      </c>
      <c r="I952" s="1">
        <v>83.05</v>
      </c>
    </row>
    <row r="953" spans="1:9">
      <c r="A953" s="9" t="s">
        <v>1715</v>
      </c>
      <c r="B953" s="9" t="s">
        <v>1715</v>
      </c>
      <c r="C953" t="s">
        <v>344</v>
      </c>
      <c r="D953" s="5" t="s">
        <v>346</v>
      </c>
      <c r="F953" s="1">
        <v>15257.55</v>
      </c>
      <c r="H953" s="1">
        <v>1877.59</v>
      </c>
      <c r="I953" s="1">
        <v>224.76</v>
      </c>
    </row>
    <row r="954" spans="1:9">
      <c r="A954" s="9" t="s">
        <v>1715</v>
      </c>
      <c r="B954" s="9" t="s">
        <v>1715</v>
      </c>
      <c r="C954" t="s">
        <v>651</v>
      </c>
      <c r="D954" s="5" t="s">
        <v>653</v>
      </c>
      <c r="F954" s="1">
        <v>1118.8</v>
      </c>
    </row>
    <row r="955" spans="1:9">
      <c r="A955" s="9" t="s">
        <v>1715</v>
      </c>
      <c r="B955" s="9" t="s">
        <v>1715</v>
      </c>
      <c r="C955" t="s">
        <v>57</v>
      </c>
      <c r="D955" s="5" t="s">
        <v>59</v>
      </c>
      <c r="F955" s="1">
        <v>2800</v>
      </c>
    </row>
    <row r="956" spans="1:9">
      <c r="A956" s="9" t="s">
        <v>1715</v>
      </c>
      <c r="B956" s="9" t="s">
        <v>1715</v>
      </c>
      <c r="C956" t="s">
        <v>657</v>
      </c>
      <c r="D956" s="5" t="s">
        <v>659</v>
      </c>
      <c r="F956" s="1">
        <v>22130.75</v>
      </c>
      <c r="G956" s="1">
        <v>1588.06</v>
      </c>
    </row>
    <row r="957" spans="1:9">
      <c r="A957" s="9" t="s">
        <v>1715</v>
      </c>
      <c r="B957" s="9" t="s">
        <v>1715</v>
      </c>
      <c r="C957" t="s">
        <v>1108</v>
      </c>
      <c r="D957" s="5" t="s">
        <v>1110</v>
      </c>
      <c r="F957" s="1">
        <v>117.6</v>
      </c>
      <c r="H957" s="1">
        <v>2539.9749999999999</v>
      </c>
      <c r="I957" s="1">
        <v>402</v>
      </c>
    </row>
    <row r="958" spans="1:9">
      <c r="A958" s="9" t="s">
        <v>1715</v>
      </c>
      <c r="B958" s="9" t="s">
        <v>1715</v>
      </c>
      <c r="C958" t="s">
        <v>63</v>
      </c>
      <c r="D958" s="5" t="s">
        <v>65</v>
      </c>
      <c r="F958" s="1">
        <v>12086.83</v>
      </c>
      <c r="G958" s="1">
        <v>1407.6</v>
      </c>
    </row>
    <row r="959" spans="1:9">
      <c r="A959" s="9" t="s">
        <v>1715</v>
      </c>
      <c r="B959" s="9" t="s">
        <v>1715</v>
      </c>
      <c r="C959" t="s">
        <v>630</v>
      </c>
      <c r="D959" s="5" t="s">
        <v>632</v>
      </c>
      <c r="F959" s="1">
        <v>372.17</v>
      </c>
      <c r="H959" s="1">
        <v>67.72</v>
      </c>
    </row>
    <row r="960" spans="1:9">
      <c r="A960" s="9" t="s">
        <v>1715</v>
      </c>
      <c r="B960" s="9" t="s">
        <v>1715</v>
      </c>
      <c r="C960" t="s">
        <v>1099</v>
      </c>
      <c r="D960" s="5" t="s">
        <v>1101</v>
      </c>
      <c r="F960" s="1">
        <v>117.6</v>
      </c>
      <c r="G960" s="1">
        <v>974.54</v>
      </c>
      <c r="H960" s="1">
        <v>4986.99</v>
      </c>
      <c r="I960" s="1">
        <v>3497.93</v>
      </c>
    </row>
    <row r="961" spans="1:9">
      <c r="A961" s="9" t="s">
        <v>1715</v>
      </c>
      <c r="B961" s="9" t="s">
        <v>1715</v>
      </c>
      <c r="C961" t="s">
        <v>612</v>
      </c>
      <c r="D961" s="5" t="s">
        <v>614</v>
      </c>
      <c r="F961" s="1">
        <v>0</v>
      </c>
    </row>
    <row r="962" spans="1:9">
      <c r="A962" s="9" t="s">
        <v>1715</v>
      </c>
      <c r="B962" s="9" t="s">
        <v>1715</v>
      </c>
      <c r="C962" t="s">
        <v>222</v>
      </c>
      <c r="D962" s="5" t="s">
        <v>224</v>
      </c>
      <c r="E962" s="1">
        <v>1065.56</v>
      </c>
    </row>
    <row r="963" spans="1:9">
      <c r="A963" s="9" t="s">
        <v>1715</v>
      </c>
      <c r="B963" s="9" t="s">
        <v>1715</v>
      </c>
      <c r="C963" t="s">
        <v>624</v>
      </c>
      <c r="D963" s="5" t="s">
        <v>626</v>
      </c>
      <c r="F963" s="1">
        <v>10000</v>
      </c>
      <c r="H963" s="1">
        <v>7116.9</v>
      </c>
      <c r="I963" s="1">
        <v>2576.4499999999998</v>
      </c>
    </row>
    <row r="964" spans="1:9">
      <c r="A964" s="9" t="s">
        <v>1715</v>
      </c>
      <c r="B964" s="9" t="s">
        <v>1715</v>
      </c>
      <c r="C964" t="s">
        <v>355</v>
      </c>
      <c r="D964" s="5" t="s">
        <v>357</v>
      </c>
      <c r="G964" s="1">
        <v>2158.46</v>
      </c>
    </row>
    <row r="965" spans="1:9">
      <c r="A965" s="9" t="s">
        <v>1715</v>
      </c>
      <c r="B965" s="9" t="s">
        <v>1715</v>
      </c>
      <c r="C965" t="s">
        <v>696</v>
      </c>
      <c r="D965" s="5" t="s">
        <v>698</v>
      </c>
      <c r="G965" s="1">
        <v>7439.25</v>
      </c>
      <c r="H965" s="1">
        <v>14438.13</v>
      </c>
      <c r="I965" s="1">
        <v>712.63</v>
      </c>
    </row>
    <row r="966" spans="1:9">
      <c r="A966" s="9" t="s">
        <v>1715</v>
      </c>
      <c r="B966" s="9" t="s">
        <v>1715</v>
      </c>
      <c r="C966" t="s">
        <v>285</v>
      </c>
      <c r="D966" s="5" t="s">
        <v>287</v>
      </c>
      <c r="F966" s="1">
        <v>6416.35</v>
      </c>
      <c r="G966" s="1">
        <v>6225.49</v>
      </c>
      <c r="H966" s="1">
        <v>21836.305</v>
      </c>
      <c r="I966" s="1">
        <v>827.57</v>
      </c>
    </row>
    <row r="967" spans="1:9">
      <c r="A967" s="9" t="s">
        <v>1715</v>
      </c>
      <c r="B967" s="9" t="s">
        <v>1715</v>
      </c>
      <c r="C967" t="s">
        <v>69</v>
      </c>
      <c r="D967" s="5" t="s">
        <v>71</v>
      </c>
      <c r="F967" s="1">
        <v>111561.7</v>
      </c>
      <c r="G967" s="1">
        <v>28731.16</v>
      </c>
      <c r="H967" s="1">
        <v>15976.76</v>
      </c>
    </row>
    <row r="968" spans="1:9">
      <c r="A968" s="9" t="s">
        <v>1715</v>
      </c>
      <c r="B968" s="9" t="s">
        <v>1715</v>
      </c>
      <c r="C968" t="s">
        <v>717</v>
      </c>
      <c r="D968" s="5" t="s">
        <v>719</v>
      </c>
      <c r="H968" s="1">
        <v>511.28</v>
      </c>
    </row>
    <row r="969" spans="1:9">
      <c r="A969" s="9" t="s">
        <v>1715</v>
      </c>
      <c r="B969" s="9" t="s">
        <v>1715</v>
      </c>
      <c r="C969" t="s">
        <v>45</v>
      </c>
      <c r="D969" s="5" t="s">
        <v>47</v>
      </c>
      <c r="H969" s="1">
        <v>1270.8599999999999</v>
      </c>
    </row>
    <row r="970" spans="1:9">
      <c r="A970" s="9" t="s">
        <v>1715</v>
      </c>
      <c r="B970" s="9" t="s">
        <v>1715</v>
      </c>
      <c r="C970" t="s">
        <v>252</v>
      </c>
      <c r="D970" s="5" t="s">
        <v>254</v>
      </c>
      <c r="F970" s="1">
        <v>0</v>
      </c>
      <c r="H970" s="1">
        <v>9741.56</v>
      </c>
      <c r="I970" s="1">
        <v>2431.0500000000002</v>
      </c>
    </row>
    <row r="971" spans="1:9">
      <c r="A971" s="9" t="s">
        <v>1715</v>
      </c>
      <c r="B971" s="9" t="s">
        <v>1715</v>
      </c>
      <c r="C971" t="s">
        <v>558</v>
      </c>
      <c r="D971" s="5" t="s">
        <v>560</v>
      </c>
      <c r="H971" s="1">
        <v>16705.345000000001</v>
      </c>
    </row>
    <row r="972" spans="1:9">
      <c r="A972" s="9" t="s">
        <v>1715</v>
      </c>
      <c r="B972" s="9" t="s">
        <v>1715</v>
      </c>
      <c r="C972" t="s">
        <v>258</v>
      </c>
      <c r="D972" s="5" t="s">
        <v>260</v>
      </c>
      <c r="G972" s="1">
        <v>1252.93</v>
      </c>
      <c r="H972" s="1">
        <v>52014.625</v>
      </c>
      <c r="I972" s="1">
        <v>11633.17</v>
      </c>
    </row>
    <row r="973" spans="1:9">
      <c r="A973" s="9" t="s">
        <v>1715</v>
      </c>
      <c r="B973" s="9" t="s">
        <v>1715</v>
      </c>
      <c r="C973" t="s">
        <v>418</v>
      </c>
      <c r="D973" s="5" t="s">
        <v>420</v>
      </c>
      <c r="F973" s="1">
        <v>450</v>
      </c>
      <c r="H973" s="1">
        <v>211.92</v>
      </c>
    </row>
    <row r="974" spans="1:9">
      <c r="A974" s="9" t="s">
        <v>1715</v>
      </c>
      <c r="B974" s="9" t="s">
        <v>1715</v>
      </c>
      <c r="C974" t="s">
        <v>543</v>
      </c>
      <c r="D974" s="5" t="s">
        <v>545</v>
      </c>
      <c r="F974" s="1">
        <v>90636</v>
      </c>
      <c r="G974" s="1">
        <v>1259.54</v>
      </c>
      <c r="H974" s="1">
        <v>2839.16</v>
      </c>
    </row>
    <row r="975" spans="1:9">
      <c r="A975" s="9" t="s">
        <v>1715</v>
      </c>
      <c r="B975" s="9" t="s">
        <v>1900</v>
      </c>
      <c r="C975" t="s">
        <v>135</v>
      </c>
      <c r="D975" s="5" t="s">
        <v>137</v>
      </c>
      <c r="H975" s="1">
        <v>90.99</v>
      </c>
    </row>
    <row r="976" spans="1:9">
      <c r="A976" s="9" t="s">
        <v>1715</v>
      </c>
      <c r="B976" s="9" t="s">
        <v>1715</v>
      </c>
      <c r="C976" t="s">
        <v>492</v>
      </c>
      <c r="D976" s="5" t="s">
        <v>494</v>
      </c>
      <c r="F976" s="1">
        <v>262</v>
      </c>
      <c r="G976" s="1">
        <v>8621.39</v>
      </c>
      <c r="H976" s="1">
        <v>23718.33</v>
      </c>
    </row>
    <row r="977" spans="1:9">
      <c r="A977" s="9" t="s">
        <v>1715</v>
      </c>
      <c r="B977" s="9" t="s">
        <v>1715</v>
      </c>
      <c r="C977" t="s">
        <v>84</v>
      </c>
      <c r="D977" s="5" t="s">
        <v>86</v>
      </c>
      <c r="G977" s="1">
        <v>1940.64</v>
      </c>
      <c r="H977" s="1">
        <v>31327.73</v>
      </c>
      <c r="I977" s="1">
        <v>4778.6400000000003</v>
      </c>
    </row>
    <row r="978" spans="1:9">
      <c r="A978" s="9" t="s">
        <v>1715</v>
      </c>
      <c r="B978" s="9" t="s">
        <v>1715</v>
      </c>
      <c r="C978" t="s">
        <v>60</v>
      </c>
      <c r="D978" s="5" t="s">
        <v>62</v>
      </c>
      <c r="F978" s="1">
        <v>45550.93</v>
      </c>
      <c r="H978" s="1">
        <v>35179.885000000002</v>
      </c>
    </row>
    <row r="979" spans="1:9">
      <c r="A979" s="9" t="s">
        <v>1715</v>
      </c>
      <c r="B979" s="9" t="s">
        <v>1903</v>
      </c>
      <c r="C979" t="s">
        <v>367</v>
      </c>
      <c r="D979" s="5" t="s">
        <v>369</v>
      </c>
      <c r="F979" s="1">
        <v>28</v>
      </c>
      <c r="G979" s="1">
        <v>15005.57</v>
      </c>
    </row>
    <row r="980" spans="1:9">
      <c r="A980" s="9" t="s">
        <v>1715</v>
      </c>
      <c r="B980" s="9" t="s">
        <v>1715</v>
      </c>
      <c r="C980" t="s">
        <v>1144</v>
      </c>
      <c r="D980" s="5" t="s">
        <v>1146</v>
      </c>
      <c r="F980" s="1">
        <v>145272.75</v>
      </c>
    </row>
    <row r="981" spans="1:9">
      <c r="A981" s="9" t="s">
        <v>1715</v>
      </c>
      <c r="B981" s="9" t="s">
        <v>1715</v>
      </c>
      <c r="C981" t="s">
        <v>180</v>
      </c>
      <c r="D981" s="5" t="s">
        <v>182</v>
      </c>
      <c r="F981" s="1">
        <v>0</v>
      </c>
      <c r="H981" s="1">
        <v>4726.76</v>
      </c>
      <c r="I981" s="1">
        <v>373.1</v>
      </c>
    </row>
    <row r="982" spans="1:9">
      <c r="A982" s="9" t="s">
        <v>1715</v>
      </c>
      <c r="B982" s="9" t="s">
        <v>1715</v>
      </c>
      <c r="C982" t="s">
        <v>762</v>
      </c>
      <c r="D982" s="5" t="s">
        <v>764</v>
      </c>
      <c r="F982" s="1">
        <v>305</v>
      </c>
      <c r="G982" s="1">
        <v>-60.92</v>
      </c>
      <c r="H982" s="1">
        <v>199.65</v>
      </c>
    </row>
    <row r="983" spans="1:9">
      <c r="A983" s="9" t="s">
        <v>1715</v>
      </c>
      <c r="B983" s="9" t="s">
        <v>1901</v>
      </c>
      <c r="C983" t="s">
        <v>1167</v>
      </c>
      <c r="D983" s="5" t="s">
        <v>1169</v>
      </c>
      <c r="F983" s="1">
        <v>115</v>
      </c>
    </row>
    <row r="984" spans="1:9">
      <c r="A984" s="9" t="s">
        <v>1715</v>
      </c>
      <c r="B984" s="9" t="s">
        <v>1715</v>
      </c>
      <c r="C984" t="s">
        <v>373</v>
      </c>
      <c r="D984" s="5" t="s">
        <v>375</v>
      </c>
      <c r="F984" s="1">
        <v>10516.34</v>
      </c>
      <c r="G984" s="1">
        <v>420</v>
      </c>
      <c r="H984" s="1">
        <v>214.9</v>
      </c>
    </row>
    <row r="985" spans="1:9">
      <c r="A985" s="9" t="s">
        <v>1715</v>
      </c>
      <c r="B985" s="9" t="s">
        <v>1715</v>
      </c>
      <c r="C985" t="s">
        <v>315</v>
      </c>
      <c r="D985" s="5" t="s">
        <v>317</v>
      </c>
      <c r="G985" s="1">
        <v>794.71</v>
      </c>
      <c r="H985" s="1">
        <v>24121.96</v>
      </c>
      <c r="I985" s="1">
        <v>9257.52</v>
      </c>
    </row>
    <row r="986" spans="1:9">
      <c r="A986" s="9" t="s">
        <v>1715</v>
      </c>
      <c r="B986" s="9" t="s">
        <v>1715</v>
      </c>
      <c r="C986" t="s">
        <v>1102</v>
      </c>
      <c r="D986" s="5" t="s">
        <v>1104</v>
      </c>
      <c r="F986" s="1">
        <v>38577.800000000003</v>
      </c>
      <c r="G986" s="1">
        <v>123882.74</v>
      </c>
      <c r="H986" s="1">
        <v>1376.9449999999999</v>
      </c>
      <c r="I986" s="1">
        <v>288</v>
      </c>
    </row>
    <row r="987" spans="1:9">
      <c r="A987" s="9" t="s">
        <v>1715</v>
      </c>
      <c r="B987" s="9" t="s">
        <v>1715</v>
      </c>
      <c r="C987" t="s">
        <v>759</v>
      </c>
      <c r="D987" s="5" t="s">
        <v>761</v>
      </c>
      <c r="F987" s="1">
        <v>313.75</v>
      </c>
      <c r="G987" s="1">
        <v>2781.42</v>
      </c>
      <c r="H987" s="1">
        <v>12524.575000000001</v>
      </c>
      <c r="I987" s="1">
        <v>979.83</v>
      </c>
    </row>
    <row r="988" spans="1:9">
      <c r="A988" s="9" t="s">
        <v>1715</v>
      </c>
      <c r="B988" s="9" t="s">
        <v>1715</v>
      </c>
      <c r="C988" t="s">
        <v>771</v>
      </c>
      <c r="D988" s="5" t="s">
        <v>773</v>
      </c>
      <c r="F988" s="1">
        <v>150</v>
      </c>
      <c r="H988" s="1">
        <v>1462.645</v>
      </c>
      <c r="I988" s="1">
        <v>155.76</v>
      </c>
    </row>
    <row r="989" spans="1:9">
      <c r="A989" s="9" t="s">
        <v>1715</v>
      </c>
      <c r="B989" s="9" t="s">
        <v>1715</v>
      </c>
      <c r="C989" t="s">
        <v>1717</v>
      </c>
      <c r="D989" s="5" t="s">
        <v>1719</v>
      </c>
      <c r="H989" s="1">
        <v>60.96</v>
      </c>
    </row>
    <row r="990" spans="1:9">
      <c r="A990" s="9" t="s">
        <v>1715</v>
      </c>
      <c r="B990" s="9" t="s">
        <v>1715</v>
      </c>
      <c r="C990" t="s">
        <v>207</v>
      </c>
      <c r="D990" s="5" t="s">
        <v>209</v>
      </c>
      <c r="H990" s="1">
        <v>4490.79</v>
      </c>
      <c r="I990" s="1">
        <v>1122.72</v>
      </c>
    </row>
    <row r="991" spans="1:9">
      <c r="A991" s="9" t="s">
        <v>1715</v>
      </c>
      <c r="B991" s="9" t="s">
        <v>1715</v>
      </c>
      <c r="C991" t="s">
        <v>459</v>
      </c>
      <c r="D991" s="5" t="s">
        <v>461</v>
      </c>
      <c r="F991" s="1">
        <v>34147.78</v>
      </c>
      <c r="G991" s="1">
        <v>3497.7</v>
      </c>
      <c r="H991" s="1">
        <v>9075.1350000000002</v>
      </c>
      <c r="I991" s="1">
        <v>336.66</v>
      </c>
    </row>
    <row r="992" spans="1:9">
      <c r="A992" s="9" t="s">
        <v>1715</v>
      </c>
      <c r="B992" s="9" t="s">
        <v>1715</v>
      </c>
      <c r="C992" t="s">
        <v>1123</v>
      </c>
      <c r="D992" s="5" t="s">
        <v>1125</v>
      </c>
      <c r="F992" s="1">
        <v>9040</v>
      </c>
      <c r="G992" s="1">
        <v>119.54</v>
      </c>
      <c r="H992" s="1">
        <v>6336.0550000000003</v>
      </c>
      <c r="I992" s="1">
        <v>582.05999999999995</v>
      </c>
    </row>
    <row r="993" spans="1:9">
      <c r="A993" s="9" t="s">
        <v>1715</v>
      </c>
      <c r="B993" s="9" t="s">
        <v>1715</v>
      </c>
      <c r="C993" t="s">
        <v>120</v>
      </c>
      <c r="D993" s="5" t="s">
        <v>122</v>
      </c>
      <c r="F993" s="1">
        <v>3585</v>
      </c>
    </row>
    <row r="994" spans="1:9">
      <c r="A994" s="9" t="s">
        <v>1715</v>
      </c>
      <c r="B994" s="9" t="s">
        <v>1715</v>
      </c>
      <c r="C994" t="s">
        <v>516</v>
      </c>
      <c r="D994" s="5" t="s">
        <v>518</v>
      </c>
      <c r="F994" s="1">
        <v>4035.51</v>
      </c>
      <c r="G994" s="1">
        <v>782.17</v>
      </c>
      <c r="H994" s="1">
        <v>25298.28</v>
      </c>
      <c r="I994" s="1">
        <v>8026.88</v>
      </c>
    </row>
    <row r="995" spans="1:9">
      <c r="A995" s="9" t="s">
        <v>1715</v>
      </c>
      <c r="B995" s="9" t="s">
        <v>1715</v>
      </c>
      <c r="C995" t="s">
        <v>510</v>
      </c>
      <c r="D995" s="5" t="s">
        <v>512</v>
      </c>
      <c r="F995" s="1">
        <v>21993.5</v>
      </c>
      <c r="G995" s="1">
        <v>17490</v>
      </c>
    </row>
    <row r="996" spans="1:9">
      <c r="A996" s="9" t="s">
        <v>1715</v>
      </c>
      <c r="B996" s="9" t="s">
        <v>1715</v>
      </c>
      <c r="C996" t="s">
        <v>225</v>
      </c>
      <c r="D996" s="5" t="s">
        <v>227</v>
      </c>
      <c r="G996" s="1">
        <v>1578.49</v>
      </c>
      <c r="H996" s="1">
        <v>223.28</v>
      </c>
    </row>
    <row r="997" spans="1:9">
      <c r="A997" s="9" t="s">
        <v>1715</v>
      </c>
      <c r="B997" s="9" t="s">
        <v>1715</v>
      </c>
      <c r="C997" t="s">
        <v>609</v>
      </c>
      <c r="D997" s="5" t="s">
        <v>611</v>
      </c>
      <c r="G997" s="1">
        <v>420</v>
      </c>
      <c r="H997" s="1">
        <v>3164.29</v>
      </c>
    </row>
    <row r="998" spans="1:9">
      <c r="A998" s="9" t="s">
        <v>1715</v>
      </c>
      <c r="B998" s="9" t="s">
        <v>1715</v>
      </c>
      <c r="C998" t="s">
        <v>1105</v>
      </c>
      <c r="D998" s="5" t="s">
        <v>1107</v>
      </c>
      <c r="F998" s="1">
        <v>-383191.14</v>
      </c>
      <c r="G998" s="1">
        <v>501892.73</v>
      </c>
      <c r="H998" s="1">
        <v>1700.3050000000001</v>
      </c>
    </row>
    <row r="999" spans="1:9">
      <c r="A999" s="9" t="s">
        <v>1715</v>
      </c>
      <c r="B999" s="9" t="s">
        <v>1715</v>
      </c>
      <c r="C999" t="s">
        <v>594</v>
      </c>
      <c r="D999" s="5" t="s">
        <v>596</v>
      </c>
      <c r="H999" s="1">
        <v>353.12</v>
      </c>
    </row>
    <row r="1000" spans="1:9">
      <c r="A1000" s="9" t="s">
        <v>1715</v>
      </c>
      <c r="B1000" s="9" t="s">
        <v>1715</v>
      </c>
      <c r="C1000" t="s">
        <v>288</v>
      </c>
      <c r="D1000" s="5" t="s">
        <v>290</v>
      </c>
      <c r="F1000" s="1">
        <v>3031.24</v>
      </c>
      <c r="G1000" s="1">
        <v>1000.14</v>
      </c>
      <c r="H1000" s="1">
        <v>16486.375</v>
      </c>
      <c r="I1000" s="1">
        <v>3992.34</v>
      </c>
    </row>
    <row r="1001" spans="1:9">
      <c r="A1001" s="9" t="s">
        <v>1715</v>
      </c>
      <c r="B1001" s="9" t="s">
        <v>1715</v>
      </c>
      <c r="C1001" t="s">
        <v>333</v>
      </c>
      <c r="D1001" s="5" t="s">
        <v>335</v>
      </c>
      <c r="H1001" s="1">
        <v>3881.05</v>
      </c>
    </row>
    <row r="1002" spans="1:9">
      <c r="A1002" s="9" t="s">
        <v>1715</v>
      </c>
      <c r="B1002" s="9" t="s">
        <v>1715</v>
      </c>
      <c r="C1002" t="s">
        <v>627</v>
      </c>
      <c r="D1002" s="5" t="s">
        <v>629</v>
      </c>
      <c r="G1002" s="1">
        <v>1894.91</v>
      </c>
      <c r="H1002" s="1">
        <v>4756.3999999999996</v>
      </c>
    </row>
    <row r="1003" spans="1:9">
      <c r="A1003" s="9" t="s">
        <v>1715</v>
      </c>
      <c r="B1003" s="9" t="s">
        <v>1715</v>
      </c>
      <c r="C1003" t="s">
        <v>54</v>
      </c>
      <c r="D1003" s="5" t="s">
        <v>56</v>
      </c>
      <c r="H1003" s="1">
        <v>1292.43</v>
      </c>
      <c r="I1003" s="1">
        <v>346.32</v>
      </c>
    </row>
    <row r="1004" spans="1:9">
      <c r="A1004" s="9" t="s">
        <v>1715</v>
      </c>
      <c r="B1004" s="9" t="s">
        <v>1715</v>
      </c>
      <c r="C1004" t="s">
        <v>388</v>
      </c>
      <c r="D1004" s="5" t="s">
        <v>390</v>
      </c>
      <c r="H1004" s="1">
        <v>1616.4649999999999</v>
      </c>
      <c r="I1004" s="1">
        <v>709.59</v>
      </c>
    </row>
    <row r="1005" spans="1:9">
      <c r="A1005" s="9" t="s">
        <v>1715</v>
      </c>
      <c r="B1005" s="9" t="s">
        <v>1715</v>
      </c>
      <c r="C1005" t="s">
        <v>270</v>
      </c>
      <c r="D1005" s="5" t="s">
        <v>272</v>
      </c>
      <c r="H1005" s="1">
        <v>1198.8900000000001</v>
      </c>
      <c r="I1005" s="1">
        <v>273.73</v>
      </c>
    </row>
    <row r="1006" spans="1:9">
      <c r="A1006" s="9" t="s">
        <v>1715</v>
      </c>
      <c r="B1006" s="9" t="s">
        <v>1715</v>
      </c>
      <c r="C1006" t="s">
        <v>672</v>
      </c>
      <c r="D1006" s="5" t="s">
        <v>674</v>
      </c>
      <c r="E1006" s="1">
        <v>3961.92</v>
      </c>
    </row>
    <row r="1007" spans="1:9">
      <c r="A1007" s="9" t="s">
        <v>1715</v>
      </c>
      <c r="B1007" s="9" t="s">
        <v>1715</v>
      </c>
      <c r="C1007" t="s">
        <v>324</v>
      </c>
      <c r="D1007" s="5" t="s">
        <v>326</v>
      </c>
      <c r="E1007" s="1">
        <v>30120.28</v>
      </c>
    </row>
    <row r="1008" spans="1:9">
      <c r="A1008" s="9" t="s">
        <v>1715</v>
      </c>
      <c r="B1008" s="9" t="s">
        <v>1715</v>
      </c>
      <c r="C1008" t="s">
        <v>1292</v>
      </c>
      <c r="D1008" s="5" t="s">
        <v>1294</v>
      </c>
      <c r="F1008" s="1">
        <v>61823.88</v>
      </c>
    </row>
    <row r="1009" spans="1:9">
      <c r="A1009" s="9" t="s">
        <v>1715</v>
      </c>
      <c r="B1009" s="9" t="s">
        <v>1715</v>
      </c>
      <c r="C1009" t="s">
        <v>156</v>
      </c>
      <c r="D1009" s="5" t="s">
        <v>158</v>
      </c>
      <c r="G1009" s="1">
        <v>22631.119999999999</v>
      </c>
    </row>
    <row r="1010" spans="1:9">
      <c r="A1010" s="9" t="s">
        <v>1715</v>
      </c>
      <c r="B1010" s="9" t="s">
        <v>1715</v>
      </c>
      <c r="C1010" t="s">
        <v>415</v>
      </c>
      <c r="D1010" s="5" t="s">
        <v>417</v>
      </c>
      <c r="H1010" s="1">
        <v>6221.33</v>
      </c>
    </row>
    <row r="1011" spans="1:9">
      <c r="A1011" s="9" t="s">
        <v>1715</v>
      </c>
      <c r="B1011" s="9" t="s">
        <v>1715</v>
      </c>
      <c r="C1011" t="s">
        <v>699</v>
      </c>
      <c r="D1011" s="5" t="s">
        <v>701</v>
      </c>
      <c r="H1011" s="1">
        <v>750.72500000000002</v>
      </c>
    </row>
    <row r="1012" spans="1:9">
      <c r="A1012" s="9" t="s">
        <v>1715</v>
      </c>
      <c r="B1012" s="9" t="s">
        <v>1715</v>
      </c>
      <c r="C1012" t="s">
        <v>177</v>
      </c>
      <c r="D1012" s="5" t="s">
        <v>179</v>
      </c>
      <c r="H1012" s="1">
        <v>772.26499999999999</v>
      </c>
      <c r="I1012" s="1">
        <v>79.89</v>
      </c>
    </row>
    <row r="1013" spans="1:9">
      <c r="A1013" s="9" t="s">
        <v>1715</v>
      </c>
      <c r="B1013" s="9" t="s">
        <v>1715</v>
      </c>
      <c r="C1013" t="s">
        <v>1114</v>
      </c>
      <c r="D1013" s="5" t="s">
        <v>1116</v>
      </c>
      <c r="F1013" s="1">
        <v>13091.6</v>
      </c>
      <c r="G1013" s="1">
        <v>33219.54</v>
      </c>
    </row>
    <row r="1014" spans="1:9">
      <c r="A1014" s="9" t="s">
        <v>1715</v>
      </c>
      <c r="B1014" s="9" t="s">
        <v>1715</v>
      </c>
      <c r="C1014" t="s">
        <v>1720</v>
      </c>
      <c r="D1014" s="5" t="s">
        <v>1722</v>
      </c>
      <c r="F1014" s="1">
        <v>134001.07999999999</v>
      </c>
    </row>
    <row r="1015" spans="1:9">
      <c r="A1015" s="9" t="s">
        <v>1715</v>
      </c>
      <c r="B1015" s="9" t="s">
        <v>1715</v>
      </c>
      <c r="C1015" t="s">
        <v>24</v>
      </c>
      <c r="D1015" s="5" t="s">
        <v>26</v>
      </c>
      <c r="F1015" s="1">
        <v>0</v>
      </c>
    </row>
    <row r="1016" spans="1:9">
      <c r="A1016" s="9" t="s">
        <v>1715</v>
      </c>
      <c r="B1016" s="9" t="s">
        <v>1715</v>
      </c>
      <c r="C1016" t="s">
        <v>702</v>
      </c>
      <c r="D1016" s="5" t="s">
        <v>704</v>
      </c>
      <c r="E1016" s="1">
        <v>3710.96</v>
      </c>
    </row>
    <row r="1017" spans="1:9">
      <c r="A1017" s="9" t="s">
        <v>1715</v>
      </c>
      <c r="B1017" s="9" t="s">
        <v>1715</v>
      </c>
      <c r="C1017" t="s">
        <v>400</v>
      </c>
      <c r="D1017" s="5" t="s">
        <v>402</v>
      </c>
      <c r="F1017" s="1">
        <v>5000</v>
      </c>
    </row>
    <row r="1018" spans="1:9">
      <c r="A1018" s="9" t="s">
        <v>1715</v>
      </c>
      <c r="B1018" s="9" t="s">
        <v>1715</v>
      </c>
      <c r="C1018" t="s">
        <v>189</v>
      </c>
      <c r="D1018" s="5" t="s">
        <v>191</v>
      </c>
      <c r="H1018" s="1">
        <v>211.92</v>
      </c>
    </row>
    <row r="1019" spans="1:9">
      <c r="A1019" s="9" t="s">
        <v>1715</v>
      </c>
      <c r="B1019" s="9" t="s">
        <v>1715</v>
      </c>
      <c r="C1019" t="s">
        <v>210</v>
      </c>
      <c r="D1019" s="5" t="s">
        <v>212</v>
      </c>
      <c r="H1019" s="1">
        <v>115.12</v>
      </c>
    </row>
    <row r="1020" spans="1:9">
      <c r="A1020" s="9" t="s">
        <v>1715</v>
      </c>
      <c r="B1020" s="9" t="s">
        <v>1715</v>
      </c>
      <c r="C1020" t="s">
        <v>385</v>
      </c>
      <c r="D1020" s="5" t="s">
        <v>387</v>
      </c>
      <c r="H1020" s="1">
        <v>53.22</v>
      </c>
    </row>
    <row r="1021" spans="1:9">
      <c r="A1021" s="9" t="s">
        <v>1715</v>
      </c>
      <c r="B1021" s="9" t="s">
        <v>1715</v>
      </c>
      <c r="C1021" t="s">
        <v>255</v>
      </c>
      <c r="D1021" s="5" t="s">
        <v>257</v>
      </c>
      <c r="H1021" s="1">
        <v>140.96</v>
      </c>
    </row>
    <row r="1022" spans="1:9">
      <c r="A1022" s="9" t="s">
        <v>1715</v>
      </c>
      <c r="B1022" s="9" t="s">
        <v>1715</v>
      </c>
      <c r="C1022" t="s">
        <v>195</v>
      </c>
      <c r="D1022" s="5" t="s">
        <v>197</v>
      </c>
      <c r="F1022" s="1">
        <v>525</v>
      </c>
      <c r="H1022" s="1">
        <v>1083.5999999999999</v>
      </c>
    </row>
    <row r="1023" spans="1:9">
      <c r="A1023" s="9" t="s">
        <v>1715</v>
      </c>
      <c r="B1023" s="9" t="s">
        <v>1715</v>
      </c>
      <c r="C1023" t="s">
        <v>108</v>
      </c>
      <c r="D1023" s="5" t="s">
        <v>110</v>
      </c>
      <c r="H1023" s="1">
        <v>7969.34</v>
      </c>
    </row>
    <row r="1024" spans="1:9">
      <c r="A1024" s="9" t="s">
        <v>1715</v>
      </c>
      <c r="B1024" s="9" t="s">
        <v>1715</v>
      </c>
      <c r="C1024" t="s">
        <v>582</v>
      </c>
      <c r="D1024" s="5" t="s">
        <v>584</v>
      </c>
      <c r="H1024" s="1">
        <v>28.78</v>
      </c>
    </row>
    <row r="1025" spans="1:8">
      <c r="A1025" s="9" t="s">
        <v>1715</v>
      </c>
      <c r="B1025" s="9" t="s">
        <v>1715</v>
      </c>
      <c r="C1025" t="s">
        <v>1117</v>
      </c>
      <c r="D1025" s="5" t="s">
        <v>1119</v>
      </c>
      <c r="F1025" s="1">
        <v>12015.13</v>
      </c>
    </row>
    <row r="1026" spans="1:8">
      <c r="A1026" s="9" t="s">
        <v>1715</v>
      </c>
      <c r="B1026" s="9" t="s">
        <v>1715</v>
      </c>
      <c r="C1026" t="s">
        <v>291</v>
      </c>
      <c r="D1026" s="5" t="s">
        <v>293</v>
      </c>
      <c r="F1026" s="1">
        <v>715.42</v>
      </c>
    </row>
    <row r="1027" spans="1:8">
      <c r="A1027" s="9" t="s">
        <v>1715</v>
      </c>
      <c r="B1027" s="9" t="s">
        <v>1715</v>
      </c>
      <c r="C1027" t="s">
        <v>338</v>
      </c>
      <c r="D1027" s="5" t="s">
        <v>340</v>
      </c>
      <c r="F1027" s="1">
        <v>26793.43</v>
      </c>
    </row>
    <row r="1028" spans="1:8">
      <c r="A1028" s="9" t="s">
        <v>1715</v>
      </c>
      <c r="B1028" s="9" t="s">
        <v>1715</v>
      </c>
      <c r="C1028" t="s">
        <v>615</v>
      </c>
      <c r="D1028" s="5" t="s">
        <v>617</v>
      </c>
      <c r="F1028" s="1">
        <v>66190.399999999994</v>
      </c>
    </row>
    <row r="1029" spans="1:8">
      <c r="A1029" s="9" t="s">
        <v>1715</v>
      </c>
      <c r="B1029" s="9" t="s">
        <v>1715</v>
      </c>
      <c r="C1029" t="s">
        <v>1274</v>
      </c>
      <c r="D1029" s="5" t="s">
        <v>1276</v>
      </c>
      <c r="G1029" s="1">
        <v>68.989999999999995</v>
      </c>
    </row>
    <row r="1030" spans="1:8">
      <c r="A1030" s="9" t="s">
        <v>1715</v>
      </c>
      <c r="B1030" s="9" t="s">
        <v>1715</v>
      </c>
      <c r="C1030" t="s">
        <v>267</v>
      </c>
      <c r="D1030" s="5" t="s">
        <v>269</v>
      </c>
      <c r="G1030" s="1">
        <v>1000.67</v>
      </c>
    </row>
    <row r="1031" spans="1:8">
      <c r="A1031" s="9" t="s">
        <v>1715</v>
      </c>
      <c r="B1031" s="9" t="s">
        <v>1715</v>
      </c>
      <c r="C1031" t="s">
        <v>412</v>
      </c>
      <c r="D1031" s="5" t="s">
        <v>414</v>
      </c>
      <c r="H1031" s="1">
        <v>215.87</v>
      </c>
    </row>
    <row r="1032" spans="1:8">
      <c r="A1032" s="9" t="s">
        <v>1715</v>
      </c>
      <c r="B1032" s="9" t="s">
        <v>1715</v>
      </c>
      <c r="C1032" t="s">
        <v>537</v>
      </c>
      <c r="D1032" s="5" t="s">
        <v>539</v>
      </c>
      <c r="F1032" s="1">
        <v>0</v>
      </c>
      <c r="H1032" s="1">
        <v>211.92</v>
      </c>
    </row>
    <row r="1033" spans="1:8">
      <c r="A1033" s="9" t="s">
        <v>1715</v>
      </c>
      <c r="B1033" s="9" t="s">
        <v>1715</v>
      </c>
      <c r="C1033" t="s">
        <v>729</v>
      </c>
      <c r="D1033" s="5" t="s">
        <v>731</v>
      </c>
      <c r="H1033" s="1">
        <v>1152.78</v>
      </c>
    </row>
    <row r="1034" spans="1:8">
      <c r="A1034" s="9" t="s">
        <v>1715</v>
      </c>
      <c r="B1034" s="9" t="s">
        <v>1715</v>
      </c>
      <c r="C1034" t="s">
        <v>30</v>
      </c>
      <c r="D1034" s="5" t="s">
        <v>32</v>
      </c>
      <c r="F1034" s="1">
        <v>5541.5</v>
      </c>
      <c r="H1034" s="1">
        <v>268.66000000000003</v>
      </c>
    </row>
    <row r="1035" spans="1:8">
      <c r="A1035" s="9" t="s">
        <v>1715</v>
      </c>
      <c r="B1035" s="9" t="s">
        <v>1715</v>
      </c>
      <c r="C1035" t="s">
        <v>162</v>
      </c>
      <c r="D1035" s="5" t="s">
        <v>164</v>
      </c>
      <c r="F1035" s="1">
        <v>2951.75</v>
      </c>
    </row>
    <row r="1036" spans="1:8">
      <c r="A1036" s="9" t="s">
        <v>1715</v>
      </c>
      <c r="B1036" s="9" t="s">
        <v>1715</v>
      </c>
      <c r="C1036" t="s">
        <v>1111</v>
      </c>
      <c r="D1036" s="5" t="s">
        <v>1113</v>
      </c>
      <c r="F1036" s="1">
        <v>56186.25</v>
      </c>
    </row>
    <row r="1037" spans="1:8">
      <c r="A1037" s="9" t="s">
        <v>1715</v>
      </c>
      <c r="B1037" s="9" t="s">
        <v>1715</v>
      </c>
      <c r="C1037" t="s">
        <v>330</v>
      </c>
      <c r="D1037" s="5" t="s">
        <v>332</v>
      </c>
      <c r="G1037" s="1">
        <v>2217.69</v>
      </c>
    </row>
    <row r="1038" spans="1:8">
      <c r="A1038" s="9" t="s">
        <v>1715</v>
      </c>
      <c r="B1038" s="9" t="s">
        <v>1715</v>
      </c>
      <c r="C1038" t="s">
        <v>341</v>
      </c>
      <c r="D1038" s="5" t="s">
        <v>343</v>
      </c>
      <c r="G1038" s="1">
        <v>52895.199999999997</v>
      </c>
    </row>
    <row r="1039" spans="1:8">
      <c r="A1039" s="9" t="s">
        <v>1715</v>
      </c>
      <c r="B1039" s="9" t="s">
        <v>1715</v>
      </c>
      <c r="C1039" t="s">
        <v>507</v>
      </c>
      <c r="D1039" s="5" t="s">
        <v>509</v>
      </c>
      <c r="H1039" s="1">
        <v>4065.94</v>
      </c>
    </row>
    <row r="1040" spans="1:8">
      <c r="A1040" s="9" t="s">
        <v>1715</v>
      </c>
      <c r="B1040" s="9" t="s">
        <v>1715</v>
      </c>
      <c r="C1040" t="s">
        <v>666</v>
      </c>
      <c r="D1040" s="5" t="s">
        <v>668</v>
      </c>
      <c r="H1040" s="1">
        <v>14252.4</v>
      </c>
    </row>
    <row r="1041" spans="1:9">
      <c r="A1041" s="9" t="s">
        <v>1715</v>
      </c>
      <c r="B1041" s="9" t="s">
        <v>1715</v>
      </c>
      <c r="C1041" t="s">
        <v>468</v>
      </c>
      <c r="D1041" s="5" t="s">
        <v>470</v>
      </c>
      <c r="H1041" s="1">
        <v>500.58</v>
      </c>
      <c r="I1041" s="1">
        <v>811.72</v>
      </c>
    </row>
    <row r="1042" spans="1:9">
      <c r="A1042" s="9" t="s">
        <v>1723</v>
      </c>
      <c r="B1042" s="9" t="s">
        <v>1723</v>
      </c>
      <c r="C1042" t="s">
        <v>252</v>
      </c>
      <c r="D1042" s="5" t="s">
        <v>254</v>
      </c>
      <c r="F1042" s="1">
        <v>9813.09</v>
      </c>
      <c r="G1042" s="1">
        <v>10239.23</v>
      </c>
    </row>
    <row r="1043" spans="1:9">
      <c r="A1043" s="9" t="s">
        <v>1723</v>
      </c>
      <c r="B1043" s="9" t="s">
        <v>1723</v>
      </c>
      <c r="C1043" t="s">
        <v>63</v>
      </c>
      <c r="D1043" s="5" t="s">
        <v>65</v>
      </c>
      <c r="F1043" s="1">
        <v>21838.97</v>
      </c>
      <c r="G1043" s="1">
        <v>244812.02</v>
      </c>
    </row>
    <row r="1044" spans="1:9">
      <c r="A1044" s="9" t="s">
        <v>1723</v>
      </c>
      <c r="B1044" s="9" t="s">
        <v>1723</v>
      </c>
      <c r="C1044" t="s">
        <v>84</v>
      </c>
      <c r="D1044" s="5" t="s">
        <v>86</v>
      </c>
      <c r="F1044" s="1">
        <v>20323.86</v>
      </c>
      <c r="G1044" s="1">
        <v>7902.55</v>
      </c>
    </row>
    <row r="1045" spans="1:9">
      <c r="A1045" s="9" t="s">
        <v>1723</v>
      </c>
      <c r="B1045" s="9" t="s">
        <v>1723</v>
      </c>
      <c r="C1045" t="s">
        <v>186</v>
      </c>
      <c r="D1045" s="5" t="s">
        <v>188</v>
      </c>
      <c r="F1045" s="1">
        <v>28514.32</v>
      </c>
      <c r="G1045" s="1">
        <v>-1399.01</v>
      </c>
    </row>
    <row r="1046" spans="1:9">
      <c r="A1046" s="9" t="s">
        <v>1723</v>
      </c>
      <c r="B1046" s="9" t="s">
        <v>1723</v>
      </c>
      <c r="C1046" t="s">
        <v>355</v>
      </c>
      <c r="D1046" s="5" t="s">
        <v>357</v>
      </c>
      <c r="F1046" s="1">
        <v>263806.83</v>
      </c>
      <c r="G1046" s="1">
        <v>15610.26</v>
      </c>
    </row>
    <row r="1047" spans="1:9">
      <c r="A1047" s="9" t="s">
        <v>1723</v>
      </c>
      <c r="B1047" s="9" t="s">
        <v>1723</v>
      </c>
      <c r="C1047" t="s">
        <v>660</v>
      </c>
      <c r="D1047" s="5" t="s">
        <v>662</v>
      </c>
      <c r="F1047" s="1">
        <v>1500</v>
      </c>
    </row>
    <row r="1048" spans="1:9">
      <c r="A1048" s="9" t="s">
        <v>1723</v>
      </c>
      <c r="B1048" s="9" t="s">
        <v>1723</v>
      </c>
      <c r="C1048" t="s">
        <v>459</v>
      </c>
      <c r="D1048" s="5" t="s">
        <v>461</v>
      </c>
      <c r="F1048" s="1">
        <v>20383.64</v>
      </c>
      <c r="G1048" s="1">
        <v>554.66999999999996</v>
      </c>
    </row>
    <row r="1049" spans="1:9">
      <c r="A1049" s="9" t="s">
        <v>1723</v>
      </c>
      <c r="B1049" s="9" t="s">
        <v>1723</v>
      </c>
      <c r="C1049" t="s">
        <v>513</v>
      </c>
      <c r="D1049" s="5" t="s">
        <v>515</v>
      </c>
      <c r="F1049" s="1">
        <v>2144</v>
      </c>
      <c r="G1049" s="1">
        <v>24940.89</v>
      </c>
    </row>
    <row r="1050" spans="1:9">
      <c r="A1050" s="9" t="s">
        <v>1723</v>
      </c>
      <c r="B1050" s="9" t="s">
        <v>1723</v>
      </c>
      <c r="C1050" t="s">
        <v>418</v>
      </c>
      <c r="D1050" s="5" t="s">
        <v>420</v>
      </c>
      <c r="F1050" s="1">
        <v>0</v>
      </c>
    </row>
    <row r="1051" spans="1:9">
      <c r="A1051" s="9" t="s">
        <v>1723</v>
      </c>
      <c r="B1051" s="9" t="s">
        <v>1723</v>
      </c>
      <c r="C1051" t="s">
        <v>69</v>
      </c>
      <c r="D1051" s="5" t="s">
        <v>71</v>
      </c>
      <c r="F1051" s="1">
        <v>291392.86</v>
      </c>
      <c r="G1051" s="1">
        <v>81643.72</v>
      </c>
    </row>
    <row r="1052" spans="1:9">
      <c r="A1052" s="9" t="s">
        <v>1723</v>
      </c>
      <c r="B1052" s="9" t="s">
        <v>1723</v>
      </c>
      <c r="C1052" t="s">
        <v>394</v>
      </c>
      <c r="D1052" s="5" t="s">
        <v>396</v>
      </c>
      <c r="F1052" s="1">
        <v>600</v>
      </c>
    </row>
    <row r="1053" spans="1:9">
      <c r="A1053" s="9" t="s">
        <v>1723</v>
      </c>
      <c r="B1053" s="9" t="s">
        <v>1723</v>
      </c>
      <c r="C1053" t="s">
        <v>615</v>
      </c>
      <c r="D1053" s="5" t="s">
        <v>617</v>
      </c>
      <c r="G1053" s="1">
        <v>598.52</v>
      </c>
    </row>
    <row r="1054" spans="1:9">
      <c r="A1054" s="9" t="s">
        <v>1723</v>
      </c>
      <c r="B1054" s="9" t="s">
        <v>1723</v>
      </c>
      <c r="C1054" t="s">
        <v>1725</v>
      </c>
      <c r="D1054" s="5" t="s">
        <v>1727</v>
      </c>
      <c r="F1054" s="1">
        <v>303</v>
      </c>
    </row>
    <row r="1055" spans="1:9">
      <c r="A1055" s="9" t="s">
        <v>1723</v>
      </c>
      <c r="B1055" s="9" t="s">
        <v>1723</v>
      </c>
      <c r="C1055" t="s">
        <v>30</v>
      </c>
      <c r="D1055" s="5" t="s">
        <v>32</v>
      </c>
      <c r="F1055" s="1">
        <v>22155.75</v>
      </c>
      <c r="G1055" s="1">
        <v>13364.16</v>
      </c>
    </row>
    <row r="1056" spans="1:9">
      <c r="A1056" s="9" t="s">
        <v>1723</v>
      </c>
      <c r="B1056" s="9" t="s">
        <v>1723</v>
      </c>
      <c r="C1056" t="s">
        <v>759</v>
      </c>
      <c r="D1056" s="5" t="s">
        <v>761</v>
      </c>
      <c r="F1056" s="1">
        <v>10671.37</v>
      </c>
      <c r="G1056" s="1">
        <v>21944.639999999999</v>
      </c>
    </row>
    <row r="1057" spans="1:7">
      <c r="A1057" s="9" t="s">
        <v>1723</v>
      </c>
      <c r="B1057" s="9" t="s">
        <v>1723</v>
      </c>
      <c r="C1057" t="s">
        <v>285</v>
      </c>
      <c r="D1057" s="5" t="s">
        <v>287</v>
      </c>
      <c r="F1057" s="1">
        <v>16365</v>
      </c>
      <c r="G1057" s="1">
        <v>7584.95</v>
      </c>
    </row>
    <row r="1058" spans="1:7">
      <c r="A1058" s="9" t="s">
        <v>1723</v>
      </c>
      <c r="B1058" s="9" t="s">
        <v>1723</v>
      </c>
      <c r="C1058" t="s">
        <v>552</v>
      </c>
      <c r="D1058" s="5" t="s">
        <v>554</v>
      </c>
      <c r="F1058" s="1">
        <v>2250</v>
      </c>
      <c r="G1058" s="1">
        <v>4839.8500000000004</v>
      </c>
    </row>
    <row r="1059" spans="1:7">
      <c r="A1059" s="9" t="s">
        <v>1723</v>
      </c>
      <c r="B1059" s="9" t="s">
        <v>1723</v>
      </c>
      <c r="C1059" t="s">
        <v>207</v>
      </c>
      <c r="D1059" s="5" t="s">
        <v>209</v>
      </c>
      <c r="F1059" s="1">
        <v>564</v>
      </c>
      <c r="G1059" s="1">
        <v>3383.08</v>
      </c>
    </row>
    <row r="1060" spans="1:7">
      <c r="A1060" s="9" t="s">
        <v>1723</v>
      </c>
      <c r="B1060" s="9" t="s">
        <v>1723</v>
      </c>
      <c r="C1060" t="s">
        <v>609</v>
      </c>
      <c r="D1060" s="5" t="s">
        <v>611</v>
      </c>
      <c r="F1060" s="1">
        <v>12625.14</v>
      </c>
      <c r="G1060" s="1">
        <v>10388.44</v>
      </c>
    </row>
    <row r="1061" spans="1:7">
      <c r="A1061" s="9" t="s">
        <v>1723</v>
      </c>
      <c r="B1061" s="9" t="s">
        <v>1723</v>
      </c>
      <c r="C1061" t="s">
        <v>525</v>
      </c>
      <c r="D1061" s="5" t="s">
        <v>527</v>
      </c>
      <c r="F1061" s="1">
        <v>7968</v>
      </c>
      <c r="G1061" s="1">
        <v>897.96</v>
      </c>
    </row>
    <row r="1062" spans="1:7">
      <c r="A1062" s="9" t="s">
        <v>1723</v>
      </c>
      <c r="B1062" s="9" t="s">
        <v>1723</v>
      </c>
      <c r="C1062" t="s">
        <v>603</v>
      </c>
      <c r="D1062" s="5" t="s">
        <v>605</v>
      </c>
      <c r="G1062" s="1">
        <v>6784.95</v>
      </c>
    </row>
    <row r="1063" spans="1:7">
      <c r="A1063" s="9" t="s">
        <v>1723</v>
      </c>
      <c r="B1063" s="9" t="s">
        <v>1723</v>
      </c>
      <c r="C1063" t="s">
        <v>630</v>
      </c>
      <c r="D1063" s="5" t="s">
        <v>632</v>
      </c>
      <c r="F1063" s="1">
        <v>21233.26</v>
      </c>
      <c r="G1063" s="1">
        <v>16384.240000000002</v>
      </c>
    </row>
    <row r="1064" spans="1:7">
      <c r="A1064" s="9" t="s">
        <v>1723</v>
      </c>
      <c r="B1064" s="9" t="s">
        <v>1723</v>
      </c>
      <c r="C1064" t="s">
        <v>180</v>
      </c>
      <c r="D1064" s="5" t="s">
        <v>182</v>
      </c>
      <c r="F1064" s="1">
        <v>24980.36</v>
      </c>
      <c r="G1064" s="1">
        <v>10565.54</v>
      </c>
    </row>
    <row r="1065" spans="1:7">
      <c r="A1065" s="9" t="s">
        <v>1723</v>
      </c>
      <c r="B1065" s="9" t="s">
        <v>1723</v>
      </c>
      <c r="C1065" t="s">
        <v>60</v>
      </c>
      <c r="D1065" s="5" t="s">
        <v>62</v>
      </c>
      <c r="F1065" s="1">
        <v>795004.16</v>
      </c>
      <c r="G1065" s="1">
        <v>423893.69</v>
      </c>
    </row>
    <row r="1066" spans="1:7">
      <c r="A1066" s="9" t="s">
        <v>1723</v>
      </c>
      <c r="B1066" s="9" t="s">
        <v>1723</v>
      </c>
      <c r="C1066" t="s">
        <v>492</v>
      </c>
      <c r="D1066" s="5" t="s">
        <v>494</v>
      </c>
      <c r="F1066" s="1">
        <v>237.55</v>
      </c>
      <c r="G1066" s="1">
        <v>69741.820000000007</v>
      </c>
    </row>
    <row r="1067" spans="1:7">
      <c r="A1067" s="9" t="s">
        <v>1723</v>
      </c>
      <c r="B1067" s="9" t="s">
        <v>1723</v>
      </c>
      <c r="C1067" t="s">
        <v>666</v>
      </c>
      <c r="D1067" s="5" t="s">
        <v>668</v>
      </c>
      <c r="F1067" s="1">
        <v>76887.16</v>
      </c>
      <c r="G1067" s="1">
        <v>51827.72</v>
      </c>
    </row>
    <row r="1068" spans="1:7">
      <c r="A1068" s="9" t="s">
        <v>1723</v>
      </c>
      <c r="B1068" s="9" t="s">
        <v>1723</v>
      </c>
      <c r="C1068" t="s">
        <v>291</v>
      </c>
      <c r="D1068" s="5" t="s">
        <v>293</v>
      </c>
      <c r="F1068" s="1">
        <v>5007.9399999999996</v>
      </c>
      <c r="G1068" s="1">
        <v>12774</v>
      </c>
    </row>
    <row r="1069" spans="1:7">
      <c r="A1069" s="9" t="s">
        <v>1723</v>
      </c>
      <c r="B1069" s="9" t="s">
        <v>1723</v>
      </c>
      <c r="C1069" t="s">
        <v>315</v>
      </c>
      <c r="D1069" s="5" t="s">
        <v>317</v>
      </c>
      <c r="F1069" s="1">
        <v>59281.47</v>
      </c>
      <c r="G1069" s="1">
        <v>18437.669999999998</v>
      </c>
    </row>
    <row r="1070" spans="1:7">
      <c r="A1070" s="9" t="s">
        <v>1723</v>
      </c>
      <c r="B1070" s="9" t="s">
        <v>1723</v>
      </c>
      <c r="C1070" t="s">
        <v>558</v>
      </c>
      <c r="D1070" s="5" t="s">
        <v>560</v>
      </c>
      <c r="F1070" s="1">
        <v>26237.279999999999</v>
      </c>
      <c r="G1070" s="1">
        <v>-1191.49</v>
      </c>
    </row>
    <row r="1071" spans="1:7">
      <c r="A1071" s="9" t="s">
        <v>1723</v>
      </c>
      <c r="B1071" s="9" t="s">
        <v>1723</v>
      </c>
      <c r="C1071" t="s">
        <v>72</v>
      </c>
      <c r="D1071" s="5" t="s">
        <v>74</v>
      </c>
      <c r="F1071" s="1">
        <v>9860</v>
      </c>
      <c r="G1071" s="1">
        <v>20310.5</v>
      </c>
    </row>
    <row r="1072" spans="1:7">
      <c r="A1072" s="9" t="s">
        <v>1723</v>
      </c>
      <c r="B1072" s="9" t="s">
        <v>1723</v>
      </c>
      <c r="C1072" t="s">
        <v>300</v>
      </c>
      <c r="D1072" s="5" t="s">
        <v>302</v>
      </c>
      <c r="F1072" s="1">
        <v>103333.33</v>
      </c>
    </row>
    <row r="1073" spans="1:7">
      <c r="A1073" s="9" t="s">
        <v>1723</v>
      </c>
      <c r="B1073" s="9" t="s">
        <v>1723</v>
      </c>
      <c r="C1073" t="s">
        <v>376</v>
      </c>
      <c r="D1073" s="5" t="s">
        <v>378</v>
      </c>
      <c r="F1073" s="1">
        <v>3172.12</v>
      </c>
    </row>
    <row r="1074" spans="1:7">
      <c r="A1074" s="9" t="s">
        <v>1723</v>
      </c>
      <c r="B1074" s="9" t="s">
        <v>1723</v>
      </c>
      <c r="C1074" t="s">
        <v>177</v>
      </c>
      <c r="D1074" s="5" t="s">
        <v>179</v>
      </c>
      <c r="F1074" s="1">
        <v>6580</v>
      </c>
      <c r="G1074" s="1">
        <v>1055.44</v>
      </c>
    </row>
    <row r="1075" spans="1:7">
      <c r="A1075" s="9" t="s">
        <v>1723</v>
      </c>
      <c r="B1075" s="9" t="s">
        <v>1723</v>
      </c>
      <c r="C1075" t="s">
        <v>762</v>
      </c>
      <c r="D1075" s="5" t="s">
        <v>764</v>
      </c>
      <c r="F1075" s="1">
        <v>7792.56</v>
      </c>
      <c r="G1075" s="1">
        <v>14941.95</v>
      </c>
    </row>
    <row r="1076" spans="1:7">
      <c r="A1076" s="9" t="s">
        <v>1723</v>
      </c>
      <c r="B1076" s="9" t="s">
        <v>1723</v>
      </c>
      <c r="C1076" t="s">
        <v>48</v>
      </c>
      <c r="D1076" s="5" t="s">
        <v>50</v>
      </c>
      <c r="F1076" s="1">
        <v>8320</v>
      </c>
    </row>
    <row r="1077" spans="1:7">
      <c r="A1077" s="9" t="s">
        <v>1723</v>
      </c>
      <c r="B1077" s="9" t="s">
        <v>1723</v>
      </c>
      <c r="C1077" t="s">
        <v>297</v>
      </c>
      <c r="D1077" s="5" t="s">
        <v>299</v>
      </c>
      <c r="F1077" s="1">
        <v>19500</v>
      </c>
    </row>
    <row r="1078" spans="1:7">
      <c r="A1078" s="9" t="s">
        <v>1723</v>
      </c>
      <c r="B1078" s="9" t="s">
        <v>1723</v>
      </c>
      <c r="C1078" t="s">
        <v>382</v>
      </c>
      <c r="D1078" s="5" t="s">
        <v>384</v>
      </c>
      <c r="F1078" s="1">
        <v>0</v>
      </c>
    </row>
    <row r="1079" spans="1:7">
      <c r="A1079" s="9" t="s">
        <v>1723</v>
      </c>
      <c r="B1079" s="9" t="s">
        <v>1723</v>
      </c>
      <c r="C1079" t="s">
        <v>189</v>
      </c>
      <c r="D1079" s="5" t="s">
        <v>191</v>
      </c>
      <c r="F1079" s="1">
        <v>0</v>
      </c>
    </row>
    <row r="1080" spans="1:7">
      <c r="A1080" s="9" t="s">
        <v>1723</v>
      </c>
      <c r="B1080" s="9" t="s">
        <v>1723</v>
      </c>
      <c r="C1080" t="s">
        <v>454</v>
      </c>
      <c r="D1080" s="5" t="s">
        <v>456</v>
      </c>
      <c r="E1080" s="1">
        <v>45893.02</v>
      </c>
      <c r="F1080" s="1">
        <v>80076.039999999994</v>
      </c>
      <c r="G1080" s="1">
        <v>9139.2900000000009</v>
      </c>
    </row>
    <row r="1081" spans="1:7">
      <c r="A1081" s="9" t="s">
        <v>1723</v>
      </c>
      <c r="B1081" s="9" t="s">
        <v>1723</v>
      </c>
      <c r="C1081" t="s">
        <v>192</v>
      </c>
      <c r="D1081" s="5" t="s">
        <v>194</v>
      </c>
      <c r="F1081" s="1">
        <v>200</v>
      </c>
      <c r="G1081" s="1">
        <v>1437.67</v>
      </c>
    </row>
    <row r="1082" spans="1:7">
      <c r="A1082" s="9" t="s">
        <v>1723</v>
      </c>
      <c r="B1082" s="9" t="s">
        <v>1723</v>
      </c>
      <c r="C1082" t="s">
        <v>373</v>
      </c>
      <c r="D1082" s="5" t="s">
        <v>375</v>
      </c>
      <c r="F1082" s="1">
        <v>2129.19</v>
      </c>
      <c r="G1082" s="1">
        <v>16916.310000000001</v>
      </c>
    </row>
    <row r="1083" spans="1:7">
      <c r="A1083" s="9" t="s">
        <v>1723</v>
      </c>
      <c r="B1083" s="9" t="s">
        <v>1723</v>
      </c>
      <c r="C1083" t="s">
        <v>651</v>
      </c>
      <c r="D1083" s="5" t="s">
        <v>653</v>
      </c>
      <c r="F1083" s="1">
        <v>14503.3</v>
      </c>
      <c r="G1083" s="1">
        <v>3140.15</v>
      </c>
    </row>
    <row r="1084" spans="1:7">
      <c r="A1084" s="9" t="s">
        <v>1723</v>
      </c>
      <c r="B1084" s="9" t="s">
        <v>1723</v>
      </c>
      <c r="C1084" t="s">
        <v>729</v>
      </c>
      <c r="D1084" s="5" t="s">
        <v>731</v>
      </c>
      <c r="F1084" s="1">
        <v>0</v>
      </c>
      <c r="G1084" s="1">
        <v>1953.59</v>
      </c>
    </row>
    <row r="1085" spans="1:7">
      <c r="A1085" s="9" t="s">
        <v>1723</v>
      </c>
      <c r="B1085" s="9" t="s">
        <v>1723</v>
      </c>
      <c r="C1085" t="s">
        <v>792</v>
      </c>
      <c r="D1085" s="5" t="s">
        <v>794</v>
      </c>
      <c r="G1085" s="1">
        <v>10137.299999999999</v>
      </c>
    </row>
    <row r="1086" spans="1:7">
      <c r="A1086" s="9" t="s">
        <v>1723</v>
      </c>
      <c r="B1086" s="9" t="s">
        <v>1723</v>
      </c>
      <c r="C1086" t="s">
        <v>421</v>
      </c>
      <c r="D1086" s="5" t="s">
        <v>423</v>
      </c>
      <c r="G1086" s="1">
        <v>94.05</v>
      </c>
    </row>
    <row r="1087" spans="1:7">
      <c r="A1087" s="9" t="s">
        <v>1723</v>
      </c>
      <c r="B1087" s="9" t="s">
        <v>1723</v>
      </c>
      <c r="C1087" t="s">
        <v>159</v>
      </c>
      <c r="D1087" s="5" t="s">
        <v>161</v>
      </c>
      <c r="F1087" s="1">
        <v>9204</v>
      </c>
      <c r="G1087" s="1">
        <v>1155.2</v>
      </c>
    </row>
    <row r="1088" spans="1:7">
      <c r="A1088" s="9" t="s">
        <v>1723</v>
      </c>
      <c r="B1088" s="9" t="s">
        <v>1723</v>
      </c>
      <c r="C1088" t="s">
        <v>210</v>
      </c>
      <c r="D1088" s="5" t="s">
        <v>212</v>
      </c>
      <c r="F1088" s="1">
        <v>6050</v>
      </c>
    </row>
    <row r="1089" spans="1:7">
      <c r="A1089" s="9" t="s">
        <v>1723</v>
      </c>
      <c r="B1089" s="9" t="s">
        <v>1723</v>
      </c>
      <c r="C1089" t="s">
        <v>415</v>
      </c>
      <c r="D1089" s="5" t="s">
        <v>417</v>
      </c>
      <c r="F1089" s="1">
        <v>13193.3</v>
      </c>
    </row>
    <row r="1090" spans="1:7">
      <c r="A1090" s="9" t="s">
        <v>1723</v>
      </c>
      <c r="B1090" s="9" t="s">
        <v>1723</v>
      </c>
      <c r="C1090" t="s">
        <v>156</v>
      </c>
      <c r="D1090" s="5" t="s">
        <v>158</v>
      </c>
      <c r="F1090" s="1">
        <v>71939.990000000005</v>
      </c>
      <c r="G1090" s="1">
        <v>1132.8699999999999</v>
      </c>
    </row>
    <row r="1091" spans="1:7">
      <c r="A1091" s="9" t="s">
        <v>1723</v>
      </c>
      <c r="B1091" s="9" t="s">
        <v>1723</v>
      </c>
      <c r="C1091" t="s">
        <v>54</v>
      </c>
      <c r="D1091" s="5" t="s">
        <v>56</v>
      </c>
      <c r="F1091" s="1">
        <v>18200</v>
      </c>
    </row>
    <row r="1092" spans="1:7">
      <c r="A1092" s="9" t="s">
        <v>1723</v>
      </c>
      <c r="B1092" s="9" t="s">
        <v>1723</v>
      </c>
      <c r="C1092" t="s">
        <v>264</v>
      </c>
      <c r="D1092" s="5" t="s">
        <v>266</v>
      </c>
      <c r="F1092" s="1">
        <v>5275</v>
      </c>
    </row>
    <row r="1093" spans="1:7">
      <c r="A1093" s="9" t="s">
        <v>1723</v>
      </c>
      <c r="B1093" s="9" t="s">
        <v>1723</v>
      </c>
      <c r="C1093" t="s">
        <v>507</v>
      </c>
      <c r="D1093" s="5" t="s">
        <v>509</v>
      </c>
      <c r="F1093" s="1">
        <v>3389.82</v>
      </c>
      <c r="G1093" s="1">
        <v>2252.33</v>
      </c>
    </row>
    <row r="1094" spans="1:7">
      <c r="A1094" s="9" t="s">
        <v>1723</v>
      </c>
      <c r="B1094" s="9" t="s">
        <v>1723</v>
      </c>
      <c r="C1094" t="s">
        <v>370</v>
      </c>
      <c r="D1094" s="5" t="s">
        <v>372</v>
      </c>
      <c r="F1094" s="1">
        <v>0</v>
      </c>
      <c r="G1094" s="1">
        <v>450</v>
      </c>
    </row>
    <row r="1095" spans="1:7">
      <c r="A1095" s="9" t="s">
        <v>1723</v>
      </c>
      <c r="B1095" s="9" t="s">
        <v>1723</v>
      </c>
      <c r="C1095" t="s">
        <v>445</v>
      </c>
      <c r="D1095" s="5" t="s">
        <v>447</v>
      </c>
      <c r="F1095" s="1">
        <v>5389.73</v>
      </c>
    </row>
    <row r="1096" spans="1:7">
      <c r="A1096" s="9" t="s">
        <v>1723</v>
      </c>
      <c r="B1096" s="9" t="s">
        <v>1723</v>
      </c>
      <c r="C1096" t="s">
        <v>258</v>
      </c>
      <c r="D1096" s="5" t="s">
        <v>260</v>
      </c>
      <c r="G1096" s="1">
        <v>5283.82</v>
      </c>
    </row>
    <row r="1097" spans="1:7">
      <c r="A1097" s="9" t="s">
        <v>1723</v>
      </c>
      <c r="B1097" s="9" t="s">
        <v>1723</v>
      </c>
      <c r="C1097" t="s">
        <v>624</v>
      </c>
      <c r="D1097" s="5" t="s">
        <v>626</v>
      </c>
      <c r="F1097" s="1">
        <v>4185</v>
      </c>
      <c r="G1097" s="1">
        <v>4154.3999999999996</v>
      </c>
    </row>
    <row r="1098" spans="1:7">
      <c r="A1098" s="9" t="s">
        <v>1723</v>
      </c>
      <c r="B1098" s="9" t="s">
        <v>1723</v>
      </c>
      <c r="C1098" t="s">
        <v>771</v>
      </c>
      <c r="D1098" s="5" t="s">
        <v>773</v>
      </c>
      <c r="G1098" s="1">
        <v>8423.0499999999993</v>
      </c>
    </row>
    <row r="1099" spans="1:7">
      <c r="A1099" s="9" t="s">
        <v>1723</v>
      </c>
      <c r="B1099" s="9" t="s">
        <v>1723</v>
      </c>
      <c r="C1099" t="s">
        <v>510</v>
      </c>
      <c r="D1099" s="5" t="s">
        <v>512</v>
      </c>
      <c r="G1099" s="1">
        <v>11491.69</v>
      </c>
    </row>
    <row r="1100" spans="1:7">
      <c r="A1100" s="9" t="s">
        <v>1723</v>
      </c>
      <c r="B1100" s="9" t="s">
        <v>1723</v>
      </c>
      <c r="C1100" t="s">
        <v>108</v>
      </c>
      <c r="D1100" s="5" t="s">
        <v>110</v>
      </c>
      <c r="F1100" s="1">
        <v>2355.4</v>
      </c>
      <c r="G1100" s="1">
        <v>4108</v>
      </c>
    </row>
    <row r="1101" spans="1:7">
      <c r="A1101" s="9" t="s">
        <v>1723</v>
      </c>
      <c r="B1101" s="9" t="s">
        <v>1723</v>
      </c>
      <c r="C1101" t="s">
        <v>612</v>
      </c>
      <c r="D1101" s="5" t="s">
        <v>614</v>
      </c>
      <c r="F1101" s="1">
        <v>2000</v>
      </c>
    </row>
    <row r="1102" spans="1:7">
      <c r="A1102" s="9" t="s">
        <v>1723</v>
      </c>
      <c r="B1102" s="9" t="s">
        <v>1723</v>
      </c>
      <c r="C1102" t="s">
        <v>696</v>
      </c>
      <c r="D1102" s="5" t="s">
        <v>698</v>
      </c>
      <c r="F1102" s="1">
        <v>34920.67</v>
      </c>
      <c r="G1102" s="1">
        <v>-27117.77</v>
      </c>
    </row>
    <row r="1103" spans="1:7">
      <c r="A1103" s="9" t="s">
        <v>1723</v>
      </c>
      <c r="B1103" s="9" t="s">
        <v>1723</v>
      </c>
      <c r="C1103" t="s">
        <v>738</v>
      </c>
      <c r="D1103" s="5" t="s">
        <v>740</v>
      </c>
      <c r="F1103" s="1">
        <v>10184.11</v>
      </c>
    </row>
    <row r="1104" spans="1:7">
      <c r="A1104" s="9" t="s">
        <v>1723</v>
      </c>
      <c r="B1104" s="9" t="s">
        <v>1723</v>
      </c>
      <c r="C1104" t="s">
        <v>468</v>
      </c>
      <c r="D1104" s="5" t="s">
        <v>470</v>
      </c>
      <c r="F1104" s="1">
        <v>10740</v>
      </c>
      <c r="G1104" s="1">
        <v>19723.3</v>
      </c>
    </row>
    <row r="1105" spans="1:7">
      <c r="A1105" s="9" t="s">
        <v>1723</v>
      </c>
      <c r="B1105" s="9" t="s">
        <v>1723</v>
      </c>
      <c r="C1105" t="s">
        <v>324</v>
      </c>
      <c r="D1105" s="5" t="s">
        <v>326</v>
      </c>
      <c r="F1105" s="1">
        <v>6900</v>
      </c>
    </row>
    <row r="1106" spans="1:7">
      <c r="A1106" s="9" t="s">
        <v>1723</v>
      </c>
      <c r="B1106" s="9" t="s">
        <v>1723</v>
      </c>
      <c r="C1106" t="s">
        <v>27</v>
      </c>
      <c r="D1106" s="5" t="s">
        <v>29</v>
      </c>
      <c r="F1106" s="1">
        <v>620.20000000000005</v>
      </c>
    </row>
    <row r="1107" spans="1:7">
      <c r="A1107" s="9" t="s">
        <v>1723</v>
      </c>
      <c r="B1107" s="9" t="s">
        <v>1723</v>
      </c>
      <c r="C1107" t="s">
        <v>385</v>
      </c>
      <c r="D1107" s="5" t="s">
        <v>387</v>
      </c>
      <c r="F1107" s="1">
        <v>538.35</v>
      </c>
    </row>
    <row r="1108" spans="1:7">
      <c r="A1108" s="9" t="s">
        <v>1723</v>
      </c>
      <c r="B1108" s="9" t="s">
        <v>1723</v>
      </c>
      <c r="C1108" t="s">
        <v>654</v>
      </c>
      <c r="D1108" s="5" t="s">
        <v>656</v>
      </c>
      <c r="F1108" s="1">
        <v>20868.97</v>
      </c>
      <c r="G1108" s="1">
        <v>10662.92</v>
      </c>
    </row>
    <row r="1109" spans="1:7">
      <c r="A1109" s="9" t="s">
        <v>1723</v>
      </c>
      <c r="B1109" s="9" t="s">
        <v>1723</v>
      </c>
      <c r="C1109" t="s">
        <v>24</v>
      </c>
      <c r="D1109" s="5" t="s">
        <v>26</v>
      </c>
      <c r="F1109" s="1">
        <v>1700</v>
      </c>
    </row>
    <row r="1110" spans="1:7">
      <c r="A1110" s="9" t="s">
        <v>1723</v>
      </c>
      <c r="B1110" s="9" t="s">
        <v>1723</v>
      </c>
      <c r="C1110" t="s">
        <v>537</v>
      </c>
      <c r="D1110" s="5" t="s">
        <v>539</v>
      </c>
      <c r="F1110" s="1">
        <v>54374.99</v>
      </c>
      <c r="G1110" s="1">
        <v>2954.3</v>
      </c>
    </row>
    <row r="1111" spans="1:7">
      <c r="A1111" s="9" t="s">
        <v>1723</v>
      </c>
      <c r="B1111" s="9" t="s">
        <v>1723</v>
      </c>
      <c r="C1111" t="s">
        <v>99</v>
      </c>
      <c r="D1111" s="5" t="s">
        <v>101</v>
      </c>
      <c r="F1111" s="1">
        <v>22500</v>
      </c>
      <c r="G1111" s="1">
        <v>35237.32</v>
      </c>
    </row>
    <row r="1112" spans="1:7">
      <c r="A1112" s="9" t="s">
        <v>1723</v>
      </c>
      <c r="B1112" s="9" t="s">
        <v>1723</v>
      </c>
      <c r="C1112" t="s">
        <v>338</v>
      </c>
      <c r="D1112" s="5" t="s">
        <v>340</v>
      </c>
      <c r="F1112" s="1">
        <v>87118.51</v>
      </c>
      <c r="G1112" s="1">
        <v>273389.64</v>
      </c>
    </row>
    <row r="1113" spans="1:7">
      <c r="A1113" s="9" t="s">
        <v>1723</v>
      </c>
      <c r="B1113" s="9" t="s">
        <v>1723</v>
      </c>
      <c r="C1113" t="s">
        <v>627</v>
      </c>
      <c r="D1113" s="5" t="s">
        <v>629</v>
      </c>
      <c r="G1113" s="1">
        <v>3498.75</v>
      </c>
    </row>
    <row r="1114" spans="1:7">
      <c r="A1114" s="9" t="s">
        <v>1723</v>
      </c>
      <c r="B1114" s="9" t="s">
        <v>1723</v>
      </c>
      <c r="C1114" t="s">
        <v>165</v>
      </c>
      <c r="D1114" s="5" t="s">
        <v>167</v>
      </c>
      <c r="F1114" s="1">
        <v>17125.490000000002</v>
      </c>
    </row>
    <row r="1115" spans="1:7">
      <c r="A1115" s="9" t="s">
        <v>1723</v>
      </c>
      <c r="B1115" s="9" t="s">
        <v>1723</v>
      </c>
      <c r="C1115" t="s">
        <v>57</v>
      </c>
      <c r="D1115" s="5" t="s">
        <v>59</v>
      </c>
      <c r="F1115" s="1">
        <v>1571.66</v>
      </c>
    </row>
    <row r="1116" spans="1:7">
      <c r="A1116" s="9" t="s">
        <v>1723</v>
      </c>
      <c r="B1116" s="9" t="s">
        <v>1723</v>
      </c>
      <c r="C1116" t="s">
        <v>448</v>
      </c>
      <c r="D1116" s="5" t="s">
        <v>450</v>
      </c>
      <c r="F1116" s="1">
        <v>27598.35</v>
      </c>
    </row>
    <row r="1117" spans="1:7">
      <c r="A1117" s="9" t="s">
        <v>1723</v>
      </c>
      <c r="B1117" s="9" t="s">
        <v>1723</v>
      </c>
      <c r="C1117" t="s">
        <v>657</v>
      </c>
      <c r="D1117" s="5" t="s">
        <v>659</v>
      </c>
      <c r="F1117" s="1">
        <v>145174.73000000001</v>
      </c>
      <c r="G1117" s="1">
        <v>79117.67</v>
      </c>
    </row>
    <row r="1118" spans="1:7">
      <c r="A1118" s="9" t="s">
        <v>1723</v>
      </c>
      <c r="B1118" s="9" t="s">
        <v>1723</v>
      </c>
      <c r="C1118" t="s">
        <v>765</v>
      </c>
      <c r="D1118" s="5" t="s">
        <v>767</v>
      </c>
      <c r="F1118" s="1">
        <v>1396</v>
      </c>
      <c r="G1118" s="1">
        <v>951.81</v>
      </c>
    </row>
    <row r="1119" spans="1:7">
      <c r="A1119" s="9" t="s">
        <v>1723</v>
      </c>
      <c r="B1119" s="9" t="s">
        <v>1723</v>
      </c>
      <c r="C1119" t="s">
        <v>195</v>
      </c>
      <c r="D1119" s="5" t="s">
        <v>197</v>
      </c>
      <c r="F1119" s="1">
        <v>1298</v>
      </c>
      <c r="G1119" s="1">
        <v>1042.52</v>
      </c>
    </row>
    <row r="1120" spans="1:7">
      <c r="A1120" s="9" t="s">
        <v>1723</v>
      </c>
      <c r="B1120" s="9" t="s">
        <v>1723</v>
      </c>
      <c r="C1120" t="s">
        <v>333</v>
      </c>
      <c r="D1120" s="5" t="s">
        <v>335</v>
      </c>
      <c r="F1120" s="1">
        <v>2496</v>
      </c>
      <c r="G1120" s="1">
        <v>5433.98</v>
      </c>
    </row>
    <row r="1121" spans="1:7">
      <c r="A1121" s="9" t="s">
        <v>1723</v>
      </c>
      <c r="B1121" s="9" t="s">
        <v>1723</v>
      </c>
      <c r="C1121" t="s">
        <v>303</v>
      </c>
      <c r="D1121" s="5" t="s">
        <v>305</v>
      </c>
      <c r="F1121" s="1">
        <v>85</v>
      </c>
    </row>
    <row r="1122" spans="1:7">
      <c r="A1122" s="9" t="s">
        <v>1723</v>
      </c>
      <c r="B1122" s="9" t="s">
        <v>1723</v>
      </c>
      <c r="C1122" t="s">
        <v>267</v>
      </c>
      <c r="D1122" s="5" t="s">
        <v>269</v>
      </c>
      <c r="G1122" s="1">
        <v>6498.79</v>
      </c>
    </row>
    <row r="1123" spans="1:7">
      <c r="A1123" s="9" t="s">
        <v>1723</v>
      </c>
      <c r="B1123" s="9" t="s">
        <v>1723</v>
      </c>
      <c r="C1123" t="s">
        <v>1114</v>
      </c>
      <c r="D1123" s="5" t="s">
        <v>1116</v>
      </c>
      <c r="G1123" s="1">
        <v>3410</v>
      </c>
    </row>
    <row r="1124" spans="1:7">
      <c r="A1124" s="9" t="s">
        <v>1723</v>
      </c>
      <c r="B1124" s="9" t="s">
        <v>1723</v>
      </c>
      <c r="C1124" t="s">
        <v>498</v>
      </c>
      <c r="D1124" s="5" t="s">
        <v>500</v>
      </c>
      <c r="F1124" s="1">
        <v>5335.68</v>
      </c>
    </row>
    <row r="1125" spans="1:7">
      <c r="A1125" s="9" t="s">
        <v>1723</v>
      </c>
      <c r="B1125" s="9" t="s">
        <v>1723</v>
      </c>
      <c r="C1125" t="s">
        <v>504</v>
      </c>
      <c r="D1125" s="5" t="s">
        <v>506</v>
      </c>
      <c r="F1125" s="1">
        <v>22250.99</v>
      </c>
      <c r="G1125" s="1">
        <v>21714.82</v>
      </c>
    </row>
    <row r="1126" spans="1:7">
      <c r="A1126" s="9" t="s">
        <v>1723</v>
      </c>
      <c r="B1126" s="9" t="s">
        <v>1723</v>
      </c>
      <c r="C1126" t="s">
        <v>45</v>
      </c>
      <c r="D1126" s="5" t="s">
        <v>47</v>
      </c>
      <c r="F1126" s="1">
        <v>15600</v>
      </c>
    </row>
    <row r="1127" spans="1:7">
      <c r="A1127" s="9" t="s">
        <v>1723</v>
      </c>
      <c r="B1127" s="9" t="s">
        <v>1723</v>
      </c>
      <c r="C1127" t="s">
        <v>231</v>
      </c>
      <c r="D1127" s="5" t="s">
        <v>233</v>
      </c>
      <c r="F1127" s="1">
        <v>252</v>
      </c>
      <c r="G1127" s="1">
        <v>30900</v>
      </c>
    </row>
    <row r="1128" spans="1:7">
      <c r="A1128" s="9" t="s">
        <v>1723</v>
      </c>
      <c r="B1128" s="9" t="s">
        <v>1723</v>
      </c>
      <c r="C1128" t="s">
        <v>681</v>
      </c>
      <c r="D1128" s="5" t="s">
        <v>683</v>
      </c>
      <c r="G1128" s="1">
        <v>536.4</v>
      </c>
    </row>
    <row r="1129" spans="1:7">
      <c r="A1129" s="9" t="s">
        <v>1723</v>
      </c>
      <c r="B1129" s="9" t="s">
        <v>1723</v>
      </c>
      <c r="C1129" t="s">
        <v>397</v>
      </c>
      <c r="D1129" s="5" t="s">
        <v>399</v>
      </c>
      <c r="F1129" s="1">
        <v>800</v>
      </c>
    </row>
    <row r="1130" spans="1:7">
      <c r="A1130" s="9" t="s">
        <v>1723</v>
      </c>
      <c r="B1130" s="9" t="s">
        <v>1723</v>
      </c>
      <c r="C1130" t="s">
        <v>87</v>
      </c>
      <c r="D1130" s="5" t="s">
        <v>89</v>
      </c>
      <c r="F1130" s="1">
        <v>9000</v>
      </c>
    </row>
    <row r="1131" spans="1:7">
      <c r="A1131" s="9" t="s">
        <v>1723</v>
      </c>
      <c r="B1131" s="9" t="s">
        <v>1723</v>
      </c>
      <c r="C1131" t="s">
        <v>81</v>
      </c>
      <c r="D1131" s="5" t="s">
        <v>83</v>
      </c>
      <c r="F1131" s="1">
        <v>1163.6400000000001</v>
      </c>
    </row>
    <row r="1132" spans="1:7">
      <c r="A1132" s="9" t="s">
        <v>1723</v>
      </c>
      <c r="B1132" s="9" t="s">
        <v>1723</v>
      </c>
      <c r="C1132" t="s">
        <v>225</v>
      </c>
      <c r="D1132" s="5" t="s">
        <v>227</v>
      </c>
      <c r="F1132" s="1">
        <v>12000</v>
      </c>
    </row>
    <row r="1133" spans="1:7">
      <c r="A1133" s="9" t="s">
        <v>1723</v>
      </c>
      <c r="B1133" s="9" t="s">
        <v>1723</v>
      </c>
      <c r="C1133" t="s">
        <v>1728</v>
      </c>
      <c r="D1133" s="5" t="s">
        <v>1730</v>
      </c>
      <c r="F1133" s="1">
        <v>33626.03</v>
      </c>
    </row>
    <row r="1134" spans="1:7">
      <c r="A1134" s="9" t="s">
        <v>1723</v>
      </c>
      <c r="B1134" s="9" t="s">
        <v>1723</v>
      </c>
      <c r="C1134" t="s">
        <v>388</v>
      </c>
      <c r="D1134" s="5" t="s">
        <v>390</v>
      </c>
      <c r="F1134" s="1">
        <v>1478.75</v>
      </c>
    </row>
    <row r="1135" spans="1:7">
      <c r="A1135" s="9" t="s">
        <v>1723</v>
      </c>
      <c r="B1135" s="9" t="s">
        <v>1723</v>
      </c>
      <c r="C1135" t="s">
        <v>528</v>
      </c>
      <c r="D1135" s="5" t="s">
        <v>530</v>
      </c>
      <c r="F1135" s="1">
        <v>6343.01</v>
      </c>
      <c r="G1135" s="1">
        <v>1228.57</v>
      </c>
    </row>
    <row r="1136" spans="1:7">
      <c r="A1136" s="9" t="s">
        <v>1723</v>
      </c>
      <c r="B1136" s="9" t="s">
        <v>1723</v>
      </c>
      <c r="C1136" t="s">
        <v>240</v>
      </c>
      <c r="D1136" s="5" t="s">
        <v>242</v>
      </c>
      <c r="F1136" s="1">
        <v>3000</v>
      </c>
    </row>
    <row r="1137" spans="1:9">
      <c r="A1137" s="9" t="s">
        <v>1723</v>
      </c>
      <c r="B1137" s="9" t="s">
        <v>1901</v>
      </c>
      <c r="C1137" t="s">
        <v>1731</v>
      </c>
      <c r="D1137" s="5" t="s">
        <v>1733</v>
      </c>
      <c r="F1137" s="1">
        <v>2285.67</v>
      </c>
    </row>
    <row r="1138" spans="1:9">
      <c r="A1138" s="9" t="s">
        <v>1723</v>
      </c>
      <c r="B1138" s="9" t="s">
        <v>1723</v>
      </c>
      <c r="C1138" t="s">
        <v>367</v>
      </c>
      <c r="D1138" s="5" t="s">
        <v>369</v>
      </c>
      <c r="G1138" s="1">
        <v>1965.36</v>
      </c>
    </row>
    <row r="1139" spans="1:9">
      <c r="A1139" s="9" t="s">
        <v>1723</v>
      </c>
      <c r="B1139" s="9" t="s">
        <v>1723</v>
      </c>
      <c r="C1139" t="s">
        <v>309</v>
      </c>
      <c r="D1139" s="5" t="s">
        <v>311</v>
      </c>
      <c r="G1139" s="1">
        <v>600</v>
      </c>
    </row>
    <row r="1140" spans="1:9">
      <c r="A1140" s="9" t="s">
        <v>1734</v>
      </c>
      <c r="B1140" s="9" t="s">
        <v>1734</v>
      </c>
      <c r="C1140" t="s">
        <v>1247</v>
      </c>
      <c r="D1140" s="5" t="s">
        <v>1249</v>
      </c>
      <c r="F1140" s="1">
        <v>2145.36</v>
      </c>
      <c r="G1140" s="1">
        <v>1487.84</v>
      </c>
      <c r="H1140" s="1">
        <v>3095.81</v>
      </c>
      <c r="I1140" s="1">
        <v>1096.8800000000001</v>
      </c>
    </row>
    <row r="1141" spans="1:9">
      <c r="A1141" s="9" t="s">
        <v>1734</v>
      </c>
      <c r="B1141" s="9" t="s">
        <v>1734</v>
      </c>
      <c r="C1141" t="s">
        <v>1167</v>
      </c>
      <c r="D1141" s="5" t="s">
        <v>1169</v>
      </c>
      <c r="F1141" s="1">
        <v>0</v>
      </c>
      <c r="H1141" s="1">
        <v>1778.12</v>
      </c>
    </row>
    <row r="1142" spans="1:9">
      <c r="A1142" s="9" t="s">
        <v>1734</v>
      </c>
      <c r="B1142" s="9" t="s">
        <v>1734</v>
      </c>
      <c r="C1142" t="s">
        <v>1736</v>
      </c>
      <c r="D1142" s="5" t="s">
        <v>1738</v>
      </c>
      <c r="E1142" s="1">
        <v>732</v>
      </c>
    </row>
    <row r="1143" spans="1:9">
      <c r="A1143" s="9" t="s">
        <v>1734</v>
      </c>
      <c r="B1143" s="9" t="s">
        <v>1734</v>
      </c>
      <c r="C1143" t="s">
        <v>845</v>
      </c>
      <c r="D1143" s="5" t="s">
        <v>847</v>
      </c>
      <c r="E1143" s="1">
        <v>3933.13</v>
      </c>
    </row>
    <row r="1144" spans="1:9">
      <c r="A1144" s="9" t="s">
        <v>1734</v>
      </c>
      <c r="B1144" s="9" t="s">
        <v>1734</v>
      </c>
      <c r="C1144" t="s">
        <v>1194</v>
      </c>
      <c r="D1144" s="5" t="s">
        <v>1196</v>
      </c>
      <c r="E1144" s="1">
        <v>19098.48</v>
      </c>
      <c r="G1144" s="1">
        <v>7382.41</v>
      </c>
      <c r="H1144" s="1">
        <v>1882.89</v>
      </c>
      <c r="I1144" s="1">
        <v>294.83</v>
      </c>
    </row>
    <row r="1145" spans="1:9">
      <c r="A1145" s="9" t="s">
        <v>1734</v>
      </c>
      <c r="B1145" s="9" t="s">
        <v>1734</v>
      </c>
      <c r="C1145" t="s">
        <v>1739</v>
      </c>
      <c r="D1145" s="5" t="s">
        <v>1741</v>
      </c>
      <c r="E1145" s="1">
        <v>1179.0999999999999</v>
      </c>
    </row>
    <row r="1146" spans="1:9">
      <c r="A1146" s="9" t="s">
        <v>1734</v>
      </c>
      <c r="B1146" s="9" t="s">
        <v>1734</v>
      </c>
      <c r="C1146" t="s">
        <v>1742</v>
      </c>
      <c r="D1146" s="5" t="s">
        <v>1744</v>
      </c>
      <c r="E1146" s="1">
        <v>993.36</v>
      </c>
    </row>
    <row r="1147" spans="1:9">
      <c r="A1147" s="9" t="s">
        <v>1734</v>
      </c>
      <c r="B1147" s="9" t="s">
        <v>1734</v>
      </c>
      <c r="C1147" t="s">
        <v>1742</v>
      </c>
      <c r="D1147" s="5" t="s">
        <v>1745</v>
      </c>
      <c r="E1147" s="1">
        <v>578.37</v>
      </c>
    </row>
    <row r="1148" spans="1:9">
      <c r="A1148" s="9" t="s">
        <v>1734</v>
      </c>
      <c r="B1148" s="9" t="s">
        <v>1734</v>
      </c>
      <c r="C1148" t="s">
        <v>1746</v>
      </c>
      <c r="D1148" s="5" t="s">
        <v>1748</v>
      </c>
      <c r="E1148" s="1">
        <v>772.5</v>
      </c>
    </row>
    <row r="1149" spans="1:9">
      <c r="A1149" s="9" t="s">
        <v>1734</v>
      </c>
      <c r="B1149" s="9" t="s">
        <v>1734</v>
      </c>
      <c r="C1149" t="s">
        <v>833</v>
      </c>
      <c r="D1149" s="5" t="s">
        <v>835</v>
      </c>
      <c r="E1149" s="1">
        <v>3036</v>
      </c>
      <c r="G1149" s="1">
        <v>1128.05</v>
      </c>
    </row>
    <row r="1150" spans="1:9">
      <c r="A1150" s="9" t="s">
        <v>1734</v>
      </c>
      <c r="B1150" s="9" t="s">
        <v>1734</v>
      </c>
      <c r="C1150" t="s">
        <v>1749</v>
      </c>
      <c r="D1150" s="5" t="s">
        <v>1751</v>
      </c>
      <c r="G1150" s="1">
        <v>652.57000000000005</v>
      </c>
    </row>
    <row r="1151" spans="1:9">
      <c r="A1151" s="9" t="s">
        <v>1734</v>
      </c>
      <c r="B1151" s="9" t="s">
        <v>1734</v>
      </c>
      <c r="C1151" t="s">
        <v>1752</v>
      </c>
      <c r="D1151" s="5" t="s">
        <v>1754</v>
      </c>
      <c r="G1151" s="1">
        <v>615.69000000000005</v>
      </c>
      <c r="H1151" s="1">
        <v>1320.78</v>
      </c>
    </row>
    <row r="1152" spans="1:9">
      <c r="A1152" s="9" t="s">
        <v>1734</v>
      </c>
      <c r="B1152" s="9" t="s">
        <v>1734</v>
      </c>
      <c r="C1152" t="s">
        <v>1755</v>
      </c>
      <c r="D1152" s="5" t="s">
        <v>1757</v>
      </c>
      <c r="G1152" s="1">
        <v>410</v>
      </c>
      <c r="H1152" s="1">
        <v>207.76</v>
      </c>
      <c r="I1152" s="1">
        <v>72.849999999999994</v>
      </c>
    </row>
    <row r="1153" spans="1:9">
      <c r="A1153" s="9" t="s">
        <v>1734</v>
      </c>
      <c r="B1153" s="9" t="s">
        <v>1734</v>
      </c>
      <c r="C1153" t="s">
        <v>1164</v>
      </c>
      <c r="D1153" s="5" t="s">
        <v>1166</v>
      </c>
      <c r="H1153" s="1">
        <v>23966.36</v>
      </c>
      <c r="I1153" s="1">
        <v>7046.41</v>
      </c>
    </row>
    <row r="1154" spans="1:9">
      <c r="A1154" s="9" t="s">
        <v>1734</v>
      </c>
      <c r="B1154" s="9" t="s">
        <v>1734</v>
      </c>
      <c r="C1154" t="s">
        <v>1268</v>
      </c>
      <c r="D1154" s="5" t="s">
        <v>1270</v>
      </c>
      <c r="H1154" s="1">
        <v>37220.129999999997</v>
      </c>
      <c r="I1154" s="1">
        <v>706.68</v>
      </c>
    </row>
    <row r="1155" spans="1:9">
      <c r="A1155" s="9" t="s">
        <v>1734</v>
      </c>
      <c r="B1155" s="9" t="s">
        <v>1734</v>
      </c>
      <c r="C1155" t="s">
        <v>1049</v>
      </c>
      <c r="D1155" s="5" t="s">
        <v>1051</v>
      </c>
      <c r="E1155" s="1">
        <v>377951.88</v>
      </c>
      <c r="F1155" s="1">
        <v>183903.97</v>
      </c>
      <c r="G1155" s="1">
        <v>398221.38</v>
      </c>
    </row>
    <row r="1156" spans="1:9">
      <c r="A1156" s="9" t="s">
        <v>1734</v>
      </c>
      <c r="B1156" s="9" t="s">
        <v>1734</v>
      </c>
      <c r="C1156" t="s">
        <v>1758</v>
      </c>
      <c r="D1156" s="5" t="s">
        <v>1760</v>
      </c>
      <c r="F1156" s="1">
        <v>250</v>
      </c>
    </row>
    <row r="1157" spans="1:9">
      <c r="A1157" s="9" t="s">
        <v>1734</v>
      </c>
      <c r="B1157" s="9" t="s">
        <v>1734</v>
      </c>
      <c r="C1157" t="s">
        <v>1761</v>
      </c>
      <c r="D1157" s="5" t="s">
        <v>1763</v>
      </c>
      <c r="G1157" s="1">
        <v>16</v>
      </c>
    </row>
    <row r="1158" spans="1:9">
      <c r="A1158" s="9" t="s">
        <v>1734</v>
      </c>
      <c r="B1158" s="9" t="s">
        <v>1734</v>
      </c>
      <c r="C1158" t="s">
        <v>1764</v>
      </c>
      <c r="D1158" s="5" t="s">
        <v>1766</v>
      </c>
      <c r="E1158" s="1">
        <v>350</v>
      </c>
    </row>
    <row r="1159" spans="1:9">
      <c r="A1159" s="9" t="s">
        <v>1734</v>
      </c>
      <c r="B1159" s="9" t="s">
        <v>1734</v>
      </c>
      <c r="C1159" t="s">
        <v>1767</v>
      </c>
      <c r="D1159" s="5" t="s">
        <v>1769</v>
      </c>
      <c r="E1159" s="1">
        <v>5874.87</v>
      </c>
    </row>
    <row r="1160" spans="1:9">
      <c r="A1160" s="9" t="s">
        <v>1734</v>
      </c>
      <c r="B1160" s="9" t="s">
        <v>1734</v>
      </c>
      <c r="C1160" t="s">
        <v>1770</v>
      </c>
      <c r="D1160" s="5" t="s">
        <v>1772</v>
      </c>
      <c r="E1160" s="1">
        <v>2689.08</v>
      </c>
    </row>
    <row r="1161" spans="1:9">
      <c r="A1161" s="9" t="s">
        <v>1734</v>
      </c>
      <c r="B1161" s="9" t="s">
        <v>1734</v>
      </c>
      <c r="C1161" t="s">
        <v>1773</v>
      </c>
      <c r="D1161" s="5" t="s">
        <v>1775</v>
      </c>
      <c r="E1161" s="1">
        <v>1659.33</v>
      </c>
    </row>
    <row r="1162" spans="1:9">
      <c r="A1162" s="9" t="s">
        <v>1734</v>
      </c>
      <c r="B1162" s="9" t="s">
        <v>1734</v>
      </c>
      <c r="C1162" t="s">
        <v>1776</v>
      </c>
      <c r="D1162" s="5" t="s">
        <v>1778</v>
      </c>
      <c r="E1162" s="1">
        <v>10238.36</v>
      </c>
      <c r="F1162" s="1">
        <v>5159.03</v>
      </c>
    </row>
    <row r="1163" spans="1:9">
      <c r="A1163" s="9" t="s">
        <v>1734</v>
      </c>
      <c r="B1163" s="9" t="s">
        <v>1734</v>
      </c>
      <c r="C1163" t="s">
        <v>1779</v>
      </c>
      <c r="D1163" s="5" t="s">
        <v>1781</v>
      </c>
      <c r="E1163" s="1">
        <v>1842.9</v>
      </c>
      <c r="H1163" s="1">
        <v>626.51</v>
      </c>
      <c r="I1163" s="1">
        <v>114.32</v>
      </c>
    </row>
    <row r="1164" spans="1:9">
      <c r="A1164" s="9" t="s">
        <v>1734</v>
      </c>
      <c r="B1164" s="9" t="s">
        <v>1734</v>
      </c>
      <c r="C1164" t="s">
        <v>1782</v>
      </c>
      <c r="D1164" s="5" t="s">
        <v>1784</v>
      </c>
      <c r="H1164" s="1">
        <v>1155.845</v>
      </c>
      <c r="I1164" s="1">
        <v>289.5</v>
      </c>
    </row>
    <row r="1165" spans="1:9">
      <c r="A1165" s="9" t="s">
        <v>1734</v>
      </c>
      <c r="B1165" s="9" t="s">
        <v>1734</v>
      </c>
      <c r="C1165" t="s">
        <v>1280</v>
      </c>
      <c r="D1165" s="5" t="s">
        <v>1282</v>
      </c>
      <c r="E1165" s="1">
        <v>2447</v>
      </c>
      <c r="F1165" s="1">
        <v>7988.2</v>
      </c>
    </row>
    <row r="1166" spans="1:9">
      <c r="A1166" s="9" t="s">
        <v>1734</v>
      </c>
      <c r="B1166" s="9" t="s">
        <v>1734</v>
      </c>
      <c r="C1166" t="s">
        <v>1785</v>
      </c>
      <c r="D1166" s="5" t="s">
        <v>1787</v>
      </c>
      <c r="E1166" s="1">
        <v>1871.9</v>
      </c>
      <c r="F1166" s="1">
        <v>0</v>
      </c>
    </row>
    <row r="1167" spans="1:9">
      <c r="A1167" s="9" t="s">
        <v>1734</v>
      </c>
      <c r="B1167" s="9" t="s">
        <v>1734</v>
      </c>
      <c r="C1167" t="s">
        <v>1788</v>
      </c>
      <c r="D1167" s="5" t="s">
        <v>1790</v>
      </c>
      <c r="E1167" s="1">
        <v>3290.86</v>
      </c>
    </row>
    <row r="1168" spans="1:9">
      <c r="A1168" s="9" t="s">
        <v>1734</v>
      </c>
      <c r="B1168" s="9" t="s">
        <v>1734</v>
      </c>
      <c r="C1168" t="s">
        <v>1791</v>
      </c>
      <c r="D1168" s="5" t="s">
        <v>1793</v>
      </c>
      <c r="E1168" s="1">
        <v>1197.53</v>
      </c>
    </row>
    <row r="1169" spans="1:9">
      <c r="A1169" s="9" t="s">
        <v>1734</v>
      </c>
      <c r="B1169" s="9" t="s">
        <v>1734</v>
      </c>
      <c r="C1169" t="s">
        <v>1794</v>
      </c>
      <c r="D1169" s="5" t="s">
        <v>1796</v>
      </c>
      <c r="E1169" s="1">
        <v>1461.38</v>
      </c>
    </row>
    <row r="1170" spans="1:9">
      <c r="A1170" s="9" t="s">
        <v>1734</v>
      </c>
      <c r="B1170" s="9" t="s">
        <v>1734</v>
      </c>
      <c r="C1170" t="s">
        <v>1797</v>
      </c>
      <c r="D1170" s="5" t="s">
        <v>1799</v>
      </c>
      <c r="E1170" s="1">
        <v>362.8</v>
      </c>
    </row>
    <row r="1171" spans="1:9">
      <c r="A1171" s="9" t="s">
        <v>1734</v>
      </c>
      <c r="B1171" s="9" t="s">
        <v>1734</v>
      </c>
      <c r="C1171" t="s">
        <v>1731</v>
      </c>
      <c r="D1171" s="5" t="s">
        <v>1733</v>
      </c>
      <c r="E1171" s="1">
        <v>5731.33</v>
      </c>
    </row>
    <row r="1172" spans="1:9">
      <c r="A1172" s="9" t="s">
        <v>1734</v>
      </c>
      <c r="B1172" s="9" t="s">
        <v>1734</v>
      </c>
      <c r="C1172" t="s">
        <v>1067</v>
      </c>
      <c r="D1172" s="5" t="s">
        <v>1800</v>
      </c>
      <c r="E1172" s="1">
        <v>830.2</v>
      </c>
    </row>
    <row r="1173" spans="1:9">
      <c r="A1173" s="9" t="s">
        <v>1734</v>
      </c>
      <c r="B1173" s="9" t="s">
        <v>1734</v>
      </c>
      <c r="C1173" t="s">
        <v>1801</v>
      </c>
      <c r="D1173" s="5" t="s">
        <v>1803</v>
      </c>
      <c r="E1173" s="1">
        <v>464.09</v>
      </c>
    </row>
    <row r="1174" spans="1:9">
      <c r="A1174" s="9" t="s">
        <v>1734</v>
      </c>
      <c r="B1174" s="9" t="s">
        <v>1734</v>
      </c>
      <c r="C1174" t="s">
        <v>1804</v>
      </c>
      <c r="D1174" s="5" t="s">
        <v>1806</v>
      </c>
      <c r="E1174" s="1">
        <v>1806.18</v>
      </c>
      <c r="F1174" s="1">
        <v>1615</v>
      </c>
    </row>
    <row r="1175" spans="1:9">
      <c r="A1175" s="9" t="s">
        <v>1734</v>
      </c>
      <c r="B1175" s="9" t="s">
        <v>1734</v>
      </c>
      <c r="C1175" t="s">
        <v>1807</v>
      </c>
      <c r="D1175" s="5" t="s">
        <v>1809</v>
      </c>
      <c r="G1175" s="1">
        <v>1372.18</v>
      </c>
    </row>
    <row r="1176" spans="1:9">
      <c r="A1176" s="9" t="s">
        <v>1734</v>
      </c>
      <c r="B1176" s="9" t="s">
        <v>1734</v>
      </c>
      <c r="C1176" t="s">
        <v>1810</v>
      </c>
      <c r="D1176" s="5" t="s">
        <v>1812</v>
      </c>
      <c r="E1176" s="1">
        <v>13367.17</v>
      </c>
      <c r="G1176" s="1">
        <v>5908.66</v>
      </c>
      <c r="H1176" s="1">
        <v>1264.1600000000001</v>
      </c>
      <c r="I1176" s="1">
        <v>131.72</v>
      </c>
    </row>
    <row r="1177" spans="1:9">
      <c r="A1177" s="9" t="s">
        <v>1734</v>
      </c>
      <c r="B1177" s="9" t="s">
        <v>1734</v>
      </c>
      <c r="C1177" t="s">
        <v>1813</v>
      </c>
      <c r="D1177" s="5" t="s">
        <v>1815</v>
      </c>
      <c r="F1177" s="1">
        <v>200</v>
      </c>
      <c r="H1177" s="1">
        <v>120.4</v>
      </c>
    </row>
    <row r="1178" spans="1:9">
      <c r="A1178" s="9" t="s">
        <v>1734</v>
      </c>
      <c r="B1178" s="9" t="s">
        <v>1734</v>
      </c>
      <c r="C1178" t="s">
        <v>1223</v>
      </c>
      <c r="D1178" s="5" t="s">
        <v>1225</v>
      </c>
      <c r="E1178" s="1">
        <v>355849.44</v>
      </c>
      <c r="F1178" s="1">
        <v>208730.66</v>
      </c>
    </row>
    <row r="1179" spans="1:9">
      <c r="A1179" s="9" t="s">
        <v>1734</v>
      </c>
      <c r="B1179" s="9" t="s">
        <v>1734</v>
      </c>
      <c r="C1179" t="s">
        <v>1816</v>
      </c>
      <c r="D1179" s="5" t="s">
        <v>1818</v>
      </c>
      <c r="E1179" s="1">
        <v>1886.45</v>
      </c>
    </row>
    <row r="1180" spans="1:9">
      <c r="A1180" s="9" t="s">
        <v>1734</v>
      </c>
      <c r="B1180" s="9" t="s">
        <v>1734</v>
      </c>
      <c r="C1180" t="s">
        <v>750</v>
      </c>
      <c r="D1180" s="5" t="s">
        <v>752</v>
      </c>
      <c r="E1180" s="1">
        <v>1236.8499999999999</v>
      </c>
    </row>
    <row r="1181" spans="1:9">
      <c r="A1181" s="9" t="s">
        <v>1734</v>
      </c>
      <c r="B1181" s="9" t="s">
        <v>1734</v>
      </c>
      <c r="C1181" t="s">
        <v>1819</v>
      </c>
      <c r="D1181" s="5" t="s">
        <v>1821</v>
      </c>
      <c r="E1181" s="1">
        <v>4500</v>
      </c>
    </row>
    <row r="1182" spans="1:9">
      <c r="A1182" s="9" t="s">
        <v>1734</v>
      </c>
      <c r="B1182" s="9" t="s">
        <v>1734</v>
      </c>
      <c r="C1182" t="s">
        <v>1822</v>
      </c>
      <c r="D1182" s="5" t="s">
        <v>1824</v>
      </c>
      <c r="E1182" s="1">
        <v>250</v>
      </c>
    </row>
    <row r="1183" spans="1:9">
      <c r="A1183" s="9" t="s">
        <v>1734</v>
      </c>
      <c r="B1183" s="9" t="s">
        <v>1734</v>
      </c>
      <c r="C1183" t="s">
        <v>1307</v>
      </c>
      <c r="D1183" s="5" t="s">
        <v>1309</v>
      </c>
      <c r="E1183" s="1">
        <v>7077.9</v>
      </c>
      <c r="G1183" s="1">
        <v>145.21</v>
      </c>
      <c r="H1183" s="1">
        <v>854.42</v>
      </c>
      <c r="I1183" s="1">
        <v>101.51</v>
      </c>
    </row>
    <row r="1184" spans="1:9">
      <c r="A1184" s="9" t="s">
        <v>1734</v>
      </c>
      <c r="B1184" s="9" t="s">
        <v>1734</v>
      </c>
      <c r="C1184" t="s">
        <v>1274</v>
      </c>
      <c r="D1184" s="5" t="s">
        <v>1276</v>
      </c>
      <c r="E1184" s="1">
        <v>45600</v>
      </c>
    </row>
    <row r="1185" spans="1:9">
      <c r="A1185" s="9" t="s">
        <v>1734</v>
      </c>
      <c r="B1185" s="9" t="s">
        <v>1734</v>
      </c>
      <c r="C1185" t="s">
        <v>1825</v>
      </c>
      <c r="D1185" s="5" t="s">
        <v>1827</v>
      </c>
      <c r="E1185" s="1">
        <v>766.4</v>
      </c>
    </row>
    <row r="1186" spans="1:9">
      <c r="A1186" s="9" t="s">
        <v>1734</v>
      </c>
      <c r="B1186" s="9" t="s">
        <v>1734</v>
      </c>
      <c r="C1186" t="s">
        <v>1828</v>
      </c>
      <c r="D1186" s="5" t="s">
        <v>1830</v>
      </c>
      <c r="E1186" s="1">
        <v>1000</v>
      </c>
    </row>
    <row r="1187" spans="1:9">
      <c r="A1187" s="9" t="s">
        <v>1734</v>
      </c>
      <c r="B1187" s="9" t="s">
        <v>825</v>
      </c>
      <c r="C1187" t="s">
        <v>756</v>
      </c>
      <c r="D1187" s="5" t="s">
        <v>758</v>
      </c>
      <c r="G1187" s="1">
        <v>14.41</v>
      </c>
    </row>
    <row r="1188" spans="1:9">
      <c r="A1188" s="9" t="s">
        <v>1734</v>
      </c>
      <c r="B1188" s="9" t="s">
        <v>1734</v>
      </c>
      <c r="C1188" t="s">
        <v>1161</v>
      </c>
      <c r="D1188" s="5" t="s">
        <v>1163</v>
      </c>
      <c r="E1188" s="1">
        <v>19209.39</v>
      </c>
      <c r="G1188" s="1">
        <v>10583.6</v>
      </c>
    </row>
    <row r="1189" spans="1:9">
      <c r="A1189" s="9" t="s">
        <v>1734</v>
      </c>
      <c r="B1189" s="9" t="s">
        <v>1734</v>
      </c>
      <c r="C1189" t="s">
        <v>1831</v>
      </c>
      <c r="D1189" s="5" t="s">
        <v>1833</v>
      </c>
      <c r="E1189" s="1">
        <v>12500</v>
      </c>
      <c r="G1189" s="1">
        <v>3127</v>
      </c>
    </row>
    <row r="1190" spans="1:9">
      <c r="A1190" s="9" t="s">
        <v>1734</v>
      </c>
      <c r="B1190" s="9" t="s">
        <v>1734</v>
      </c>
      <c r="C1190" t="s">
        <v>1073</v>
      </c>
      <c r="D1190" s="5" t="s">
        <v>1075</v>
      </c>
      <c r="H1190" s="1">
        <v>14559.01</v>
      </c>
    </row>
    <row r="1191" spans="1:9">
      <c r="A1191" s="9" t="s">
        <v>1734</v>
      </c>
      <c r="B1191" s="9" t="s">
        <v>1734</v>
      </c>
      <c r="C1191" t="s">
        <v>857</v>
      </c>
      <c r="D1191" s="5" t="s">
        <v>859</v>
      </c>
      <c r="H1191" s="1">
        <v>446.08</v>
      </c>
    </row>
    <row r="1192" spans="1:9">
      <c r="A1192" s="9" t="s">
        <v>1734</v>
      </c>
      <c r="B1192" s="9" t="s">
        <v>1734</v>
      </c>
      <c r="C1192" t="s">
        <v>1834</v>
      </c>
      <c r="D1192" s="5" t="s">
        <v>1836</v>
      </c>
      <c r="E1192" s="1">
        <v>2785</v>
      </c>
    </row>
    <row r="1193" spans="1:9">
      <c r="A1193" s="9" t="s">
        <v>1734</v>
      </c>
      <c r="B1193" s="9" t="s">
        <v>1734</v>
      </c>
      <c r="C1193" t="s">
        <v>1253</v>
      </c>
      <c r="D1193" s="5" t="s">
        <v>1255</v>
      </c>
      <c r="E1193" s="1">
        <v>696.52</v>
      </c>
    </row>
    <row r="1194" spans="1:9">
      <c r="A1194" s="9" t="s">
        <v>1734</v>
      </c>
      <c r="B1194" s="9" t="s">
        <v>1734</v>
      </c>
      <c r="C1194" t="s">
        <v>1837</v>
      </c>
      <c r="D1194" s="5" t="s">
        <v>1839</v>
      </c>
      <c r="E1194" s="1">
        <v>3466.56</v>
      </c>
      <c r="G1194" s="1">
        <v>1282.98</v>
      </c>
    </row>
    <row r="1195" spans="1:9">
      <c r="A1195" s="9" t="s">
        <v>1734</v>
      </c>
      <c r="B1195" s="9" t="s">
        <v>1734</v>
      </c>
      <c r="C1195" t="s">
        <v>1840</v>
      </c>
      <c r="D1195" s="5" t="s">
        <v>1842</v>
      </c>
      <c r="G1195" s="1">
        <v>464.03</v>
      </c>
    </row>
    <row r="1196" spans="1:9">
      <c r="A1196" s="9" t="s">
        <v>1734</v>
      </c>
      <c r="B1196" s="9" t="s">
        <v>1734</v>
      </c>
      <c r="C1196" t="s">
        <v>1256</v>
      </c>
      <c r="D1196" s="5" t="s">
        <v>1258</v>
      </c>
      <c r="H1196" s="1">
        <v>1715.08</v>
      </c>
      <c r="I1196" s="1">
        <v>209.56</v>
      </c>
    </row>
    <row r="1197" spans="1:9">
      <c r="A1197" s="9" t="s">
        <v>1734</v>
      </c>
      <c r="B1197" s="9" t="s">
        <v>1734</v>
      </c>
      <c r="C1197" t="s">
        <v>1843</v>
      </c>
      <c r="D1197" s="5" t="s">
        <v>1845</v>
      </c>
      <c r="F1197" s="1">
        <v>0</v>
      </c>
    </row>
    <row r="1198" spans="1:9">
      <c r="A1198" s="9" t="s">
        <v>1734</v>
      </c>
      <c r="B1198" s="9" t="s">
        <v>1734</v>
      </c>
      <c r="C1198" t="s">
        <v>1846</v>
      </c>
      <c r="D1198" s="5" t="s">
        <v>1848</v>
      </c>
      <c r="F1198" s="1">
        <v>0</v>
      </c>
    </row>
    <row r="1199" spans="1:9">
      <c r="A1199" s="9" t="s">
        <v>1734</v>
      </c>
      <c r="B1199" s="9" t="s">
        <v>1734</v>
      </c>
      <c r="C1199" t="s">
        <v>1849</v>
      </c>
      <c r="D1199" s="5" t="s">
        <v>1851</v>
      </c>
      <c r="E1199" s="1">
        <v>3536.47</v>
      </c>
    </row>
    <row r="1200" spans="1:9">
      <c r="A1200" s="9" t="s">
        <v>1734</v>
      </c>
      <c r="B1200" s="9" t="s">
        <v>1734</v>
      </c>
      <c r="C1200" t="s">
        <v>1852</v>
      </c>
      <c r="D1200" s="5" t="s">
        <v>1854</v>
      </c>
      <c r="E1200" s="1">
        <v>1612.45</v>
      </c>
    </row>
    <row r="1201" spans="1:8">
      <c r="A1201" s="9" t="s">
        <v>1734</v>
      </c>
      <c r="B1201" s="9" t="s">
        <v>825</v>
      </c>
      <c r="C1201" t="s">
        <v>1058</v>
      </c>
      <c r="D1201" s="5" t="s">
        <v>1060</v>
      </c>
      <c r="E1201" s="1">
        <v>2410.96</v>
      </c>
    </row>
    <row r="1202" spans="1:8">
      <c r="A1202" s="9" t="s">
        <v>1734</v>
      </c>
      <c r="B1202" s="9" t="s">
        <v>1734</v>
      </c>
      <c r="C1202" t="s">
        <v>1855</v>
      </c>
      <c r="D1202" s="5" t="s">
        <v>1857</v>
      </c>
      <c r="E1202" s="1">
        <v>789.87</v>
      </c>
    </row>
    <row r="1203" spans="1:8">
      <c r="A1203" s="9" t="s">
        <v>1734</v>
      </c>
      <c r="B1203" s="9" t="s">
        <v>1734</v>
      </c>
      <c r="C1203" t="s">
        <v>1858</v>
      </c>
      <c r="D1203" s="5" t="s">
        <v>1860</v>
      </c>
      <c r="E1203" s="1">
        <v>1931.63</v>
      </c>
      <c r="F1203" s="1">
        <v>1500</v>
      </c>
    </row>
    <row r="1204" spans="1:8">
      <c r="A1204" s="9" t="s">
        <v>1734</v>
      </c>
      <c r="B1204" s="9" t="s">
        <v>1734</v>
      </c>
      <c r="C1204" t="s">
        <v>1028</v>
      </c>
      <c r="D1204" s="5" t="s">
        <v>1030</v>
      </c>
      <c r="E1204" s="1">
        <v>1325.79</v>
      </c>
    </row>
    <row r="1205" spans="1:8">
      <c r="A1205" s="9" t="s">
        <v>1734</v>
      </c>
      <c r="B1205" s="9" t="s">
        <v>1734</v>
      </c>
      <c r="C1205" t="s">
        <v>1861</v>
      </c>
      <c r="D1205" s="5" t="s">
        <v>1863</v>
      </c>
      <c r="E1205" s="1">
        <v>626.74</v>
      </c>
    </row>
    <row r="1206" spans="1:8">
      <c r="A1206" s="9" t="s">
        <v>1734</v>
      </c>
      <c r="B1206" s="9" t="s">
        <v>1734</v>
      </c>
      <c r="C1206" t="s">
        <v>1301</v>
      </c>
      <c r="D1206" s="5" t="s">
        <v>1303</v>
      </c>
      <c r="G1206" s="1">
        <v>696.01</v>
      </c>
    </row>
    <row r="1207" spans="1:8">
      <c r="A1207" s="9" t="s">
        <v>1734</v>
      </c>
      <c r="B1207" s="9" t="s">
        <v>1734</v>
      </c>
      <c r="C1207" t="s">
        <v>717</v>
      </c>
      <c r="D1207" s="5" t="s">
        <v>719</v>
      </c>
      <c r="H1207" s="1">
        <v>880.4</v>
      </c>
    </row>
    <row r="1208" spans="1:8">
      <c r="A1208" s="9" t="s">
        <v>1734</v>
      </c>
      <c r="B1208" s="9" t="s">
        <v>1734</v>
      </c>
      <c r="C1208" t="s">
        <v>1250</v>
      </c>
      <c r="D1208" s="5" t="s">
        <v>1252</v>
      </c>
      <c r="F1208" s="1">
        <v>23263.93</v>
      </c>
    </row>
    <row r="1209" spans="1:8">
      <c r="A1209" s="9" t="s">
        <v>1734</v>
      </c>
      <c r="B1209" s="9" t="s">
        <v>1734</v>
      </c>
      <c r="C1209" t="s">
        <v>1215</v>
      </c>
      <c r="D1209" s="5" t="s">
        <v>1217</v>
      </c>
      <c r="G1209" s="1">
        <v>8178.76</v>
      </c>
    </row>
    <row r="1210" spans="1:8">
      <c r="A1210" s="9" t="s">
        <v>1734</v>
      </c>
      <c r="B1210" s="9" t="s">
        <v>1734</v>
      </c>
      <c r="C1210" t="s">
        <v>1864</v>
      </c>
      <c r="D1210" s="5" t="s">
        <v>1866</v>
      </c>
      <c r="E1210" s="1">
        <v>1500</v>
      </c>
    </row>
    <row r="1211" spans="1:8">
      <c r="A1211" s="9" t="s">
        <v>1734</v>
      </c>
      <c r="B1211" s="9" t="s">
        <v>1734</v>
      </c>
      <c r="C1211" t="s">
        <v>1867</v>
      </c>
      <c r="D1211" s="5" t="s">
        <v>1869</v>
      </c>
      <c r="E1211" s="1">
        <v>1230</v>
      </c>
      <c r="G1211" s="1">
        <v>397.53</v>
      </c>
    </row>
    <row r="1212" spans="1:8">
      <c r="A1212" s="9" t="s">
        <v>1734</v>
      </c>
      <c r="B1212" s="9" t="s">
        <v>1734</v>
      </c>
      <c r="C1212" t="s">
        <v>1870</v>
      </c>
      <c r="D1212" s="5" t="s">
        <v>1872</v>
      </c>
      <c r="E1212" s="1">
        <v>1179.0999999999999</v>
      </c>
    </row>
    <row r="1213" spans="1:8">
      <c r="A1213" s="9" t="s">
        <v>1734</v>
      </c>
      <c r="B1213" s="9" t="s">
        <v>1734</v>
      </c>
      <c r="C1213" t="s">
        <v>1873</v>
      </c>
      <c r="D1213" s="5" t="s">
        <v>1875</v>
      </c>
      <c r="E1213" s="1">
        <v>550</v>
      </c>
    </row>
    <row r="1214" spans="1:8">
      <c r="A1214" s="9" t="s">
        <v>1734</v>
      </c>
      <c r="B1214" s="9" t="s">
        <v>1734</v>
      </c>
      <c r="C1214" t="s">
        <v>1876</v>
      </c>
      <c r="D1214" s="5" t="s">
        <v>1878</v>
      </c>
      <c r="E1214" s="1">
        <v>3136.5</v>
      </c>
    </row>
    <row r="1215" spans="1:8">
      <c r="A1215" s="9" t="s">
        <v>1879</v>
      </c>
      <c r="B1215" s="9" t="s">
        <v>1879</v>
      </c>
      <c r="C1215" t="s">
        <v>1355</v>
      </c>
      <c r="D1215" s="5" t="s">
        <v>1355</v>
      </c>
      <c r="H1215" s="1">
        <v>3494.8</v>
      </c>
    </row>
    <row r="1216" spans="1:8">
      <c r="A1216" s="9" t="s">
        <v>1879</v>
      </c>
      <c r="B1216" s="9" t="s">
        <v>1879</v>
      </c>
      <c r="C1216" t="s">
        <v>457</v>
      </c>
      <c r="D1216" s="5" t="s">
        <v>457</v>
      </c>
      <c r="H1216" s="1">
        <v>2150.2399999999998</v>
      </c>
    </row>
    <row r="1217" spans="1:8">
      <c r="A1217" s="9" t="s">
        <v>1879</v>
      </c>
      <c r="B1217" s="9" t="s">
        <v>1879</v>
      </c>
      <c r="C1217" t="s">
        <v>353</v>
      </c>
      <c r="D1217" s="5" t="s">
        <v>353</v>
      </c>
      <c r="H1217" s="1">
        <v>20817.830000000002</v>
      </c>
    </row>
    <row r="1218" spans="1:8">
      <c r="A1218" s="9" t="s">
        <v>1879</v>
      </c>
      <c r="B1218" s="9" t="s">
        <v>1879</v>
      </c>
      <c r="C1218" t="s">
        <v>1315</v>
      </c>
      <c r="D1218" s="5" t="s">
        <v>1315</v>
      </c>
      <c r="H1218" s="1">
        <v>6732.02</v>
      </c>
    </row>
    <row r="1219" spans="1:8">
      <c r="A1219" s="9" t="s">
        <v>1879</v>
      </c>
      <c r="B1219" s="9" t="s">
        <v>1879</v>
      </c>
      <c r="C1219" t="s">
        <v>1397</v>
      </c>
      <c r="D1219" s="5" t="s">
        <v>1397</v>
      </c>
      <c r="H1219" s="1">
        <v>1728.08</v>
      </c>
    </row>
    <row r="1220" spans="1:8">
      <c r="A1220" s="9" t="s">
        <v>1879</v>
      </c>
      <c r="B1220" s="9" t="s">
        <v>1715</v>
      </c>
      <c r="C1220" t="s">
        <v>759</v>
      </c>
      <c r="D1220" s="5" t="s">
        <v>761</v>
      </c>
      <c r="H1220" s="1">
        <v>22.78</v>
      </c>
    </row>
    <row r="1221" spans="1:8">
      <c r="A1221" s="9" t="s">
        <v>1879</v>
      </c>
      <c r="B1221" s="9" t="s">
        <v>1879</v>
      </c>
      <c r="C1221" t="s">
        <v>1387</v>
      </c>
      <c r="D1221" s="5" t="s">
        <v>1387</v>
      </c>
      <c r="H1221" s="1">
        <v>247855.41500000001</v>
      </c>
    </row>
    <row r="1222" spans="1:8">
      <c r="A1222" s="9" t="s">
        <v>1879</v>
      </c>
      <c r="B1222" s="9" t="s">
        <v>1879</v>
      </c>
      <c r="C1222" t="s">
        <v>336</v>
      </c>
      <c r="D1222" s="5" t="s">
        <v>336</v>
      </c>
      <c r="H1222" s="1">
        <v>8532.92</v>
      </c>
    </row>
    <row r="1223" spans="1:8">
      <c r="A1223" s="9" t="s">
        <v>1879</v>
      </c>
      <c r="B1223" s="9" t="s">
        <v>1879</v>
      </c>
      <c r="C1223" t="s">
        <v>1372</v>
      </c>
      <c r="D1223" s="5" t="s">
        <v>1372</v>
      </c>
      <c r="H1223" s="1">
        <v>145100.375</v>
      </c>
    </row>
    <row r="1224" spans="1:8">
      <c r="A1224" s="9" t="s">
        <v>1879</v>
      </c>
      <c r="B1224" s="9" t="s">
        <v>1879</v>
      </c>
      <c r="C1224" t="s">
        <v>1395</v>
      </c>
      <c r="D1224" s="5" t="s">
        <v>1395</v>
      </c>
      <c r="H1224" s="1">
        <v>361.94</v>
      </c>
    </row>
    <row r="1225" spans="1:8">
      <c r="A1225" s="9" t="s">
        <v>1879</v>
      </c>
      <c r="B1225" s="9" t="s">
        <v>1879</v>
      </c>
      <c r="C1225" t="s">
        <v>1359</v>
      </c>
      <c r="D1225" s="5" t="s">
        <v>1359</v>
      </c>
      <c r="H1225" s="1">
        <v>11000.64</v>
      </c>
    </row>
    <row r="1226" spans="1:8">
      <c r="A1226" s="9" t="s">
        <v>1879</v>
      </c>
      <c r="B1226" s="9" t="s">
        <v>1715</v>
      </c>
      <c r="C1226" t="s">
        <v>636</v>
      </c>
      <c r="D1226" s="5" t="s">
        <v>638</v>
      </c>
      <c r="H1226" s="1">
        <v>95.44</v>
      </c>
    </row>
    <row r="1227" spans="1:8">
      <c r="A1227" s="9" t="s">
        <v>1879</v>
      </c>
      <c r="B1227" s="9" t="s">
        <v>1879</v>
      </c>
      <c r="C1227" t="s">
        <v>1357</v>
      </c>
      <c r="D1227" s="5" t="s">
        <v>1357</v>
      </c>
      <c r="H1227" s="1">
        <v>2380.96</v>
      </c>
    </row>
    <row r="1228" spans="1:8">
      <c r="A1228" s="9" t="s">
        <v>1881</v>
      </c>
      <c r="B1228" s="9" t="s">
        <v>1881</v>
      </c>
      <c r="C1228" t="s">
        <v>1470</v>
      </c>
      <c r="D1228" s="5" t="s">
        <v>1472</v>
      </c>
      <c r="H1228" s="1">
        <v>6811.83</v>
      </c>
    </row>
    <row r="1229" spans="1:8">
      <c r="A1229" s="9" t="s">
        <v>1881</v>
      </c>
      <c r="B1229" s="9" t="s">
        <v>1881</v>
      </c>
      <c r="C1229" t="s">
        <v>1616</v>
      </c>
      <c r="D1229" s="5" t="s">
        <v>1618</v>
      </c>
      <c r="F1229" s="1">
        <v>9280</v>
      </c>
    </row>
    <row r="1230" spans="1:8">
      <c r="A1230" s="9" t="s">
        <v>1881</v>
      </c>
      <c r="B1230" s="9" t="s">
        <v>1881</v>
      </c>
      <c r="C1230" t="s">
        <v>1337</v>
      </c>
      <c r="D1230" s="5" t="s">
        <v>1339</v>
      </c>
      <c r="H1230" s="1">
        <v>807.84</v>
      </c>
    </row>
    <row r="1231" spans="1:8">
      <c r="A1231" s="9" t="s">
        <v>1881</v>
      </c>
      <c r="B1231" s="9" t="s">
        <v>1881</v>
      </c>
      <c r="C1231" t="s">
        <v>1532</v>
      </c>
      <c r="D1231" s="5" t="s">
        <v>1534</v>
      </c>
      <c r="H1231" s="1">
        <v>398.72</v>
      </c>
    </row>
    <row r="1232" spans="1:8">
      <c r="A1232" s="9" t="s">
        <v>1881</v>
      </c>
      <c r="B1232" s="9" t="s">
        <v>1881</v>
      </c>
      <c r="C1232" t="s">
        <v>1577</v>
      </c>
      <c r="D1232" s="5" t="s">
        <v>1579</v>
      </c>
      <c r="H1232" s="1">
        <v>1468.22</v>
      </c>
    </row>
    <row r="1233" spans="1:9">
      <c r="A1233" s="9" t="s">
        <v>1881</v>
      </c>
      <c r="B1233" s="9" t="s">
        <v>1881</v>
      </c>
      <c r="C1233" t="s">
        <v>1361</v>
      </c>
      <c r="D1233" s="5" t="s">
        <v>1363</v>
      </c>
      <c r="H1233" s="1">
        <v>7607.5950000000003</v>
      </c>
    </row>
    <row r="1234" spans="1:9">
      <c r="A1234" s="9" t="s">
        <v>1883</v>
      </c>
      <c r="B1234" s="9" t="s">
        <v>1883</v>
      </c>
      <c r="C1234" t="s">
        <v>615</v>
      </c>
      <c r="D1234" s="5" t="s">
        <v>617</v>
      </c>
      <c r="F1234" s="1">
        <v>1850</v>
      </c>
      <c r="G1234" s="1">
        <v>39987.94</v>
      </c>
    </row>
    <row r="1235" spans="1:9">
      <c r="A1235" s="9" t="s">
        <v>1883</v>
      </c>
      <c r="B1235" s="9" t="s">
        <v>1883</v>
      </c>
      <c r="C1235" t="s">
        <v>60</v>
      </c>
      <c r="D1235" s="5" t="s">
        <v>62</v>
      </c>
      <c r="F1235" s="1">
        <v>66847.47</v>
      </c>
      <c r="G1235" s="1">
        <v>626082.14</v>
      </c>
    </row>
    <row r="1236" spans="1:9">
      <c r="A1236" s="9" t="s">
        <v>1883</v>
      </c>
      <c r="B1236" s="9" t="s">
        <v>1883</v>
      </c>
      <c r="C1236" t="s">
        <v>1123</v>
      </c>
      <c r="D1236" s="5" t="s">
        <v>1125</v>
      </c>
      <c r="F1236" s="1">
        <v>100</v>
      </c>
    </row>
    <row r="1237" spans="1:9">
      <c r="A1237" s="9" t="s">
        <v>1883</v>
      </c>
      <c r="B1237" s="9" t="s">
        <v>1883</v>
      </c>
      <c r="C1237" t="s">
        <v>477</v>
      </c>
      <c r="D1237" s="5" t="s">
        <v>479</v>
      </c>
      <c r="F1237" s="1">
        <v>725</v>
      </c>
      <c r="G1237" s="1">
        <v>98760.46</v>
      </c>
    </row>
    <row r="1238" spans="1:9">
      <c r="A1238" s="9" t="s">
        <v>1883</v>
      </c>
      <c r="B1238" s="9" t="s">
        <v>1883</v>
      </c>
      <c r="C1238" t="s">
        <v>525</v>
      </c>
      <c r="D1238" s="5" t="s">
        <v>527</v>
      </c>
      <c r="F1238" s="1">
        <v>10</v>
      </c>
      <c r="G1238" s="1">
        <v>36467.29</v>
      </c>
    </row>
    <row r="1239" spans="1:9">
      <c r="A1239" s="9" t="s">
        <v>1883</v>
      </c>
      <c r="B1239" s="9" t="s">
        <v>1883</v>
      </c>
      <c r="C1239" t="s">
        <v>1301</v>
      </c>
      <c r="D1239" s="5" t="s">
        <v>1303</v>
      </c>
      <c r="G1239" s="1">
        <v>54.3</v>
      </c>
    </row>
    <row r="1240" spans="1:9">
      <c r="A1240" s="9" t="s">
        <v>1885</v>
      </c>
      <c r="B1240" s="9" t="s">
        <v>1885</v>
      </c>
      <c r="C1240" t="s">
        <v>180</v>
      </c>
      <c r="D1240" s="5" t="s">
        <v>182</v>
      </c>
      <c r="H1240" s="1">
        <v>786.25</v>
      </c>
      <c r="I1240" s="1">
        <v>441.91</v>
      </c>
    </row>
    <row r="1241" spans="1:9">
      <c r="A1241" s="9" t="s">
        <v>1885</v>
      </c>
      <c r="B1241" s="9" t="s">
        <v>1885</v>
      </c>
      <c r="C1241" t="s">
        <v>60</v>
      </c>
      <c r="D1241" s="5" t="s">
        <v>62</v>
      </c>
      <c r="H1241" s="1">
        <v>4161.6000000000004</v>
      </c>
    </row>
    <row r="1242" spans="1:9">
      <c r="A1242" s="9" t="s">
        <v>1885</v>
      </c>
      <c r="B1242" s="9" t="s">
        <v>1885</v>
      </c>
      <c r="C1242" t="s">
        <v>759</v>
      </c>
      <c r="D1242" s="5" t="s">
        <v>761</v>
      </c>
      <c r="I1242" s="1">
        <v>217</v>
      </c>
    </row>
    <row r="1243" spans="1:9">
      <c r="A1243" s="9" t="s">
        <v>1885</v>
      </c>
      <c r="B1243" s="9" t="s">
        <v>1885</v>
      </c>
      <c r="C1243" t="s">
        <v>477</v>
      </c>
      <c r="D1243" s="5" t="s">
        <v>479</v>
      </c>
      <c r="G1243" s="1">
        <v>4190.6499999999996</v>
      </c>
    </row>
    <row r="1244" spans="1:9">
      <c r="A1244" s="9" t="s">
        <v>1887</v>
      </c>
      <c r="B1244" s="9" t="s">
        <v>1715</v>
      </c>
      <c r="C1244" t="s">
        <v>303</v>
      </c>
      <c r="D1244" s="5" t="s">
        <v>305</v>
      </c>
      <c r="G1244" s="1">
        <v>57650.86</v>
      </c>
    </row>
    <row r="1245" spans="1:9">
      <c r="A1245" s="9" t="s">
        <v>1889</v>
      </c>
      <c r="B1245" s="9" t="s">
        <v>1715</v>
      </c>
      <c r="C1245" t="s">
        <v>666</v>
      </c>
      <c r="D1245" s="5" t="s">
        <v>668</v>
      </c>
      <c r="G1245" s="1">
        <v>18197.89</v>
      </c>
    </row>
    <row r="1246" spans="1:9">
      <c r="A1246" s="9" t="s">
        <v>1891</v>
      </c>
      <c r="B1246" s="9" t="s">
        <v>1715</v>
      </c>
      <c r="C1246" t="s">
        <v>84</v>
      </c>
      <c r="D1246" s="5" t="s">
        <v>86</v>
      </c>
      <c r="H1246" s="1">
        <v>227.8</v>
      </c>
    </row>
    <row r="1247" spans="1:9">
      <c r="A1247" s="9" t="s">
        <v>1893</v>
      </c>
      <c r="B1247" s="9" t="s">
        <v>1893</v>
      </c>
      <c r="C1247" t="s">
        <v>1425</v>
      </c>
      <c r="D1247" s="5" t="s">
        <v>1427</v>
      </c>
      <c r="F1247" s="1">
        <v>800</v>
      </c>
    </row>
    <row r="1248" spans="1:9">
      <c r="A1248" s="9" t="s">
        <v>1895</v>
      </c>
      <c r="B1248" s="9" t="s">
        <v>1895</v>
      </c>
      <c r="C1248" t="s">
        <v>1337</v>
      </c>
      <c r="D1248" s="5" t="s">
        <v>1339</v>
      </c>
      <c r="G1248" s="1">
        <v>1.39</v>
      </c>
    </row>
    <row r="1249" spans="1:8">
      <c r="A1249" s="9" t="s">
        <v>1897</v>
      </c>
      <c r="B1249" s="9" t="s">
        <v>1715</v>
      </c>
      <c r="C1249" t="s">
        <v>558</v>
      </c>
      <c r="D1249" s="5" t="s">
        <v>560</v>
      </c>
      <c r="H1249" s="1">
        <v>211.92</v>
      </c>
    </row>
  </sheetData>
  <autoFilter ref="A6:J1249" xr:uid="{9FFE2416-512F-429C-8CDA-8F46C76DE3C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5CE6-8117-426E-95D2-14F9B777692E}">
  <sheetPr>
    <tabColor rgb="FF00B050"/>
  </sheetPr>
  <dimension ref="A1:W63"/>
  <sheetViews>
    <sheetView tabSelected="1" zoomScale="84" zoomScaleNormal="80" workbookViewId="0">
      <pane ySplit="5" topLeftCell="A6" activePane="bottomLeft" state="frozen"/>
      <selection activeCell="C1" sqref="C1"/>
      <selection pane="bottomLeft" activeCell="M19" sqref="M19"/>
    </sheetView>
  </sheetViews>
  <sheetFormatPr defaultRowHeight="15"/>
  <cols>
    <col min="1" max="1" width="25.42578125" customWidth="1"/>
    <col min="2" max="2" width="22.42578125" customWidth="1"/>
    <col min="3" max="3" width="75.42578125" bestFit="1" customWidth="1"/>
    <col min="4" max="4" width="14.42578125" customWidth="1"/>
    <col min="5" max="5" width="11.5703125" customWidth="1"/>
    <col min="6" max="6" width="13.5703125" customWidth="1"/>
    <col min="7" max="7" width="17.42578125" bestFit="1" customWidth="1"/>
    <col min="8" max="8" width="14.42578125" customWidth="1"/>
    <col min="9" max="9" width="15.42578125" customWidth="1"/>
    <col min="11" max="11" width="17.42578125" bestFit="1" customWidth="1"/>
    <col min="12" max="12" width="17.85546875" customWidth="1"/>
    <col min="13" max="13" width="10.5703125" customWidth="1"/>
    <col min="14" max="14" width="13.85546875" bestFit="1" customWidth="1"/>
    <col min="16" max="16" width="72.5703125" bestFit="1" customWidth="1"/>
    <col min="17" max="17" width="25.5703125" bestFit="1" customWidth="1"/>
    <col min="18" max="18" width="20.140625" bestFit="1" customWidth="1"/>
    <col min="19" max="19" width="22.140625" bestFit="1" customWidth="1"/>
    <col min="20" max="20" width="19.140625" bestFit="1" customWidth="1"/>
    <col min="21" max="21" width="24.85546875" bestFit="1" customWidth="1"/>
    <col min="22" max="22" width="38.85546875" bestFit="1" customWidth="1"/>
    <col min="23" max="23" width="23.42578125" bestFit="1" customWidth="1"/>
  </cols>
  <sheetData>
    <row r="1" spans="1:23" ht="48" customHeight="1">
      <c r="A1" s="6" t="s">
        <v>0</v>
      </c>
      <c r="K1" s="27" t="s">
        <v>1917</v>
      </c>
      <c r="L1" s="28">
        <v>0.15</v>
      </c>
    </row>
    <row r="2" spans="1:23" ht="21.75" customHeight="1">
      <c r="A2" s="7" t="s">
        <v>1</v>
      </c>
      <c r="F2">
        <v>-216144.66925000213</v>
      </c>
      <c r="N2">
        <v>1161810.9907575001</v>
      </c>
    </row>
    <row r="3" spans="1:23" ht="18">
      <c r="A3" s="8" t="s">
        <v>2</v>
      </c>
      <c r="E3" s="32">
        <f>+SUM(E4:F4)</f>
        <v>98285.494999999995</v>
      </c>
      <c r="F3" s="49">
        <f>+E3*(1+15%)</f>
        <v>113028.31924999999</v>
      </c>
      <c r="G3" s="49">
        <f>+F2+F3</f>
        <v>-103116.35000000214</v>
      </c>
    </row>
    <row r="4" spans="1:23">
      <c r="D4" s="44">
        <f>SUM(D6:D63)</f>
        <v>0</v>
      </c>
      <c r="E4" s="45">
        <f t="shared" ref="E4:H4" si="0">SUM(E6:E63)</f>
        <v>29044.030000000002</v>
      </c>
      <c r="F4" s="45">
        <f t="shared" si="0"/>
        <v>69241.464999999997</v>
      </c>
      <c r="G4" s="45">
        <f t="shared" si="0"/>
        <v>5159261.7</v>
      </c>
      <c r="H4" s="45">
        <f t="shared" si="0"/>
        <v>4416954.9000000004</v>
      </c>
      <c r="I4" s="46">
        <f>SUM(I6:I63)</f>
        <v>9674502.0949999988</v>
      </c>
      <c r="K4" s="46">
        <f t="shared" ref="K4:L4" si="1">SUM(K6:K63)</f>
        <v>9674502.0949999988</v>
      </c>
      <c r="L4" s="46">
        <f t="shared" si="1"/>
        <v>11125677.409250002</v>
      </c>
      <c r="N4" s="46">
        <f>SUM(N6:N63)</f>
        <v>1451175.3142500001</v>
      </c>
    </row>
    <row r="5" spans="1:23" ht="28.5">
      <c r="A5" s="18" t="s">
        <v>8</v>
      </c>
      <c r="B5" s="18" t="s">
        <v>9</v>
      </c>
      <c r="C5" s="18" t="s">
        <v>10</v>
      </c>
      <c r="D5" s="19" t="s">
        <v>5</v>
      </c>
      <c r="E5" s="18" t="s">
        <v>7</v>
      </c>
      <c r="F5" s="18" t="s">
        <v>6</v>
      </c>
      <c r="G5" s="18" t="s">
        <v>4</v>
      </c>
      <c r="H5" s="18" t="s">
        <v>3</v>
      </c>
      <c r="I5" s="18" t="s">
        <v>1911</v>
      </c>
      <c r="J5" s="20" t="s">
        <v>1912</v>
      </c>
      <c r="K5" s="21" t="s">
        <v>1913</v>
      </c>
      <c r="L5" s="22" t="s">
        <v>1914</v>
      </c>
      <c r="M5" s="22" t="s">
        <v>1915</v>
      </c>
      <c r="N5" s="22" t="s">
        <v>1916</v>
      </c>
      <c r="P5" s="30" t="s">
        <v>1918</v>
      </c>
      <c r="Q5" t="s">
        <v>2621</v>
      </c>
      <c r="R5" t="s">
        <v>2622</v>
      </c>
      <c r="S5" t="s">
        <v>2623</v>
      </c>
      <c r="T5" t="s">
        <v>2624</v>
      </c>
      <c r="U5" t="s">
        <v>1920</v>
      </c>
      <c r="V5" t="s">
        <v>1921</v>
      </c>
      <c r="W5" t="s">
        <v>1922</v>
      </c>
    </row>
    <row r="6" spans="1:23">
      <c r="A6" s="9" t="s">
        <v>1399</v>
      </c>
      <c r="B6" t="s">
        <v>1129</v>
      </c>
      <c r="C6" s="5" t="s">
        <v>1131</v>
      </c>
      <c r="D6" s="47"/>
      <c r="E6" s="48">
        <v>424.84</v>
      </c>
      <c r="F6" s="48">
        <v>145.755</v>
      </c>
      <c r="I6" s="11">
        <f>SUM(E6:H6)</f>
        <v>570.59500000000003</v>
      </c>
      <c r="J6" s="26">
        <v>1</v>
      </c>
      <c r="K6" s="11">
        <f>+I6*J6</f>
        <v>570.59500000000003</v>
      </c>
      <c r="L6" s="11">
        <f>+K6+(+K6*$L$1)</f>
        <v>656.18425000000002</v>
      </c>
      <c r="M6" t="s">
        <v>1</v>
      </c>
      <c r="N6" s="49">
        <f>+L6-K6</f>
        <v>85.589249999999993</v>
      </c>
      <c r="P6" s="31" t="s">
        <v>1131</v>
      </c>
      <c r="Q6" s="32">
        <v>440.16500000000002</v>
      </c>
      <c r="R6" s="32">
        <v>437271.01</v>
      </c>
      <c r="S6" s="32">
        <v>321728.98</v>
      </c>
      <c r="T6" s="32">
        <v>424.84</v>
      </c>
      <c r="U6" s="32">
        <v>759864.995</v>
      </c>
      <c r="V6" s="32">
        <v>873844.74424999999</v>
      </c>
      <c r="W6" s="32">
        <v>113979.74924999999</v>
      </c>
    </row>
    <row r="7" spans="1:23">
      <c r="A7" s="9" t="s">
        <v>1715</v>
      </c>
      <c r="B7" t="s">
        <v>1129</v>
      </c>
      <c r="C7" s="5" t="s">
        <v>1131</v>
      </c>
      <c r="D7" s="47"/>
      <c r="F7" s="48">
        <v>294.41000000000003</v>
      </c>
      <c r="G7" s="48">
        <v>32919.54</v>
      </c>
      <c r="H7" s="48">
        <v>63802.2</v>
      </c>
      <c r="I7" s="11">
        <f t="shared" ref="I7:I63" si="2">SUM(E7:H7)</f>
        <v>97016.15</v>
      </c>
      <c r="J7" s="26">
        <v>1</v>
      </c>
      <c r="K7" s="11">
        <f t="shared" ref="K7:K63" si="3">+I7*J7</f>
        <v>97016.15</v>
      </c>
      <c r="L7" s="11">
        <f t="shared" ref="L7:L63" si="4">+K7+(+K7*$L$1)</f>
        <v>111568.57249999999</v>
      </c>
      <c r="M7" t="s">
        <v>1</v>
      </c>
      <c r="N7" s="49">
        <f t="shared" ref="N7:N63" si="5">+L7-K7</f>
        <v>14552.422500000001</v>
      </c>
      <c r="P7" s="31" t="s">
        <v>290</v>
      </c>
      <c r="Q7" s="32">
        <v>16956.195</v>
      </c>
      <c r="R7" s="32">
        <v>382952.58999999997</v>
      </c>
      <c r="S7" s="32">
        <v>453451.41000000003</v>
      </c>
      <c r="T7" s="32">
        <v>6332.07</v>
      </c>
      <c r="U7" s="32">
        <v>859692.26500000001</v>
      </c>
      <c r="V7" s="32">
        <v>988646.10475000017</v>
      </c>
      <c r="W7" s="32">
        <v>128953.83975000006</v>
      </c>
    </row>
    <row r="8" spans="1:23">
      <c r="A8" s="9" t="s">
        <v>1097</v>
      </c>
      <c r="B8" t="s">
        <v>1129</v>
      </c>
      <c r="C8" s="5" t="s">
        <v>1131</v>
      </c>
      <c r="D8" s="47"/>
      <c r="G8" s="48">
        <v>288809.44</v>
      </c>
      <c r="H8" s="48">
        <v>62465.81</v>
      </c>
      <c r="I8" s="11">
        <f t="shared" si="2"/>
        <v>351275.25</v>
      </c>
      <c r="J8" s="26">
        <v>1</v>
      </c>
      <c r="K8" s="11">
        <f t="shared" si="3"/>
        <v>351275.25</v>
      </c>
      <c r="L8" s="11">
        <f t="shared" si="4"/>
        <v>403966.53749999998</v>
      </c>
      <c r="M8" t="s">
        <v>1</v>
      </c>
      <c r="N8" s="49">
        <f t="shared" si="5"/>
        <v>52691.287499999977</v>
      </c>
      <c r="P8" s="31" t="s">
        <v>1149</v>
      </c>
      <c r="Q8" s="32"/>
      <c r="R8" s="32">
        <v>49844</v>
      </c>
      <c r="S8" s="32"/>
      <c r="T8" s="32"/>
      <c r="U8" s="32">
        <v>49844</v>
      </c>
      <c r="V8" s="32">
        <v>57320.6</v>
      </c>
      <c r="W8" s="32">
        <v>7476.5999999999985</v>
      </c>
    </row>
    <row r="9" spans="1:23">
      <c r="A9" s="9" t="s">
        <v>1473</v>
      </c>
      <c r="B9" t="s">
        <v>1129</v>
      </c>
      <c r="C9" s="5" t="s">
        <v>1131</v>
      </c>
      <c r="D9" s="47"/>
      <c r="H9" s="48">
        <v>311003</v>
      </c>
      <c r="I9" s="11">
        <f t="shared" si="2"/>
        <v>311003</v>
      </c>
      <c r="J9" s="26">
        <v>1</v>
      </c>
      <c r="K9" s="11">
        <f t="shared" si="3"/>
        <v>311003</v>
      </c>
      <c r="L9" s="11">
        <f t="shared" si="4"/>
        <v>357653.45</v>
      </c>
      <c r="M9" t="s">
        <v>1</v>
      </c>
      <c r="N9" s="49">
        <f t="shared" si="5"/>
        <v>46650.450000000012</v>
      </c>
      <c r="P9" s="31" t="s">
        <v>557</v>
      </c>
      <c r="Q9" s="32">
        <v>15512.434999999999</v>
      </c>
      <c r="R9" s="32">
        <v>180570.72</v>
      </c>
      <c r="S9" s="32">
        <v>430688.57</v>
      </c>
      <c r="T9" s="32">
        <v>6195.6299999999992</v>
      </c>
      <c r="U9" s="32">
        <v>632967.3550000001</v>
      </c>
      <c r="V9" s="32">
        <v>727912.45825000014</v>
      </c>
      <c r="W9" s="32">
        <v>94945.103250000029</v>
      </c>
    </row>
    <row r="10" spans="1:23">
      <c r="A10" s="9" t="s">
        <v>1399</v>
      </c>
      <c r="B10" t="s">
        <v>288</v>
      </c>
      <c r="C10" s="5" t="s">
        <v>290</v>
      </c>
      <c r="D10" s="47"/>
      <c r="E10" s="48">
        <v>2339.73</v>
      </c>
      <c r="F10" s="48">
        <v>469.82</v>
      </c>
      <c r="I10" s="11">
        <f t="shared" si="2"/>
        <v>2809.55</v>
      </c>
      <c r="J10" s="26">
        <v>1</v>
      </c>
      <c r="K10" s="11">
        <f t="shared" si="3"/>
        <v>2809.55</v>
      </c>
      <c r="L10" s="11">
        <f t="shared" si="4"/>
        <v>3230.9825000000001</v>
      </c>
      <c r="M10" t="s">
        <v>1</v>
      </c>
      <c r="N10" s="49">
        <f t="shared" si="5"/>
        <v>421.43249999999989</v>
      </c>
      <c r="P10" s="31" t="s">
        <v>1128</v>
      </c>
      <c r="Q10" s="32">
        <v>3900.83</v>
      </c>
      <c r="R10" s="32">
        <v>385336.37</v>
      </c>
      <c r="S10" s="32">
        <v>431528.45999999996</v>
      </c>
      <c r="T10" s="32">
        <v>372.84</v>
      </c>
      <c r="U10" s="32">
        <v>821138.5</v>
      </c>
      <c r="V10" s="32">
        <v>944309.27500000014</v>
      </c>
      <c r="W10" s="32">
        <v>123170.77500000002</v>
      </c>
    </row>
    <row r="11" spans="1:23">
      <c r="A11" s="9" t="s">
        <v>1715</v>
      </c>
      <c r="B11" t="s">
        <v>288</v>
      </c>
      <c r="C11" s="5" t="s">
        <v>290</v>
      </c>
      <c r="D11" s="47"/>
      <c r="E11" s="48">
        <v>3992.34</v>
      </c>
      <c r="F11" s="48">
        <v>16486.375</v>
      </c>
      <c r="G11" s="48">
        <v>1000.14</v>
      </c>
      <c r="H11" s="48">
        <v>3031.24</v>
      </c>
      <c r="I11" s="11">
        <f t="shared" si="2"/>
        <v>24510.095000000001</v>
      </c>
      <c r="J11" s="26">
        <v>1</v>
      </c>
      <c r="K11" s="11">
        <f t="shared" si="3"/>
        <v>24510.095000000001</v>
      </c>
      <c r="L11" s="11">
        <f t="shared" si="4"/>
        <v>28186.609250000001</v>
      </c>
      <c r="M11" t="s">
        <v>1</v>
      </c>
      <c r="N11" s="49">
        <f t="shared" si="5"/>
        <v>3676.5142500000002</v>
      </c>
      <c r="P11" s="31" t="s">
        <v>1113</v>
      </c>
      <c r="Q11" s="32"/>
      <c r="R11" s="32">
        <v>234811.15</v>
      </c>
      <c r="S11" s="32"/>
      <c r="T11" s="32"/>
      <c r="U11" s="32">
        <v>234811.15</v>
      </c>
      <c r="V11" s="32">
        <v>270032.82250000001</v>
      </c>
      <c r="W11" s="32">
        <v>35221.672499999986</v>
      </c>
    </row>
    <row r="12" spans="1:23">
      <c r="A12" s="9" t="s">
        <v>1097</v>
      </c>
      <c r="B12" t="s">
        <v>288</v>
      </c>
      <c r="C12" s="5" t="s">
        <v>290</v>
      </c>
      <c r="D12" s="47"/>
      <c r="G12" s="48">
        <v>452451.27</v>
      </c>
      <c r="H12" s="48">
        <v>211753.86</v>
      </c>
      <c r="I12" s="11">
        <f t="shared" si="2"/>
        <v>664205.13</v>
      </c>
      <c r="J12" s="26">
        <v>1</v>
      </c>
      <c r="K12" s="11">
        <f t="shared" si="3"/>
        <v>664205.13</v>
      </c>
      <c r="L12" s="11">
        <f t="shared" si="4"/>
        <v>763835.89950000006</v>
      </c>
      <c r="M12" t="s">
        <v>1</v>
      </c>
      <c r="N12" s="49">
        <f t="shared" si="5"/>
        <v>99630.769500000053</v>
      </c>
      <c r="P12" s="31" t="s">
        <v>1104</v>
      </c>
      <c r="Q12" s="32">
        <v>1588.0749999999998</v>
      </c>
      <c r="R12" s="32">
        <v>184484.52000000002</v>
      </c>
      <c r="S12" s="32">
        <v>444327.37</v>
      </c>
      <c r="T12" s="32">
        <v>820.8</v>
      </c>
      <c r="U12" s="32">
        <v>631220.76500000001</v>
      </c>
      <c r="V12" s="32">
        <v>725903.87974999996</v>
      </c>
      <c r="W12" s="32">
        <v>94683.114750000008</v>
      </c>
    </row>
    <row r="13" spans="1:23">
      <c r="A13" s="9" t="s">
        <v>1473</v>
      </c>
      <c r="B13" t="s">
        <v>288</v>
      </c>
      <c r="C13" s="5" t="s">
        <v>290</v>
      </c>
      <c r="D13" s="47"/>
      <c r="H13" s="48">
        <v>168198</v>
      </c>
      <c r="I13" s="11">
        <f t="shared" si="2"/>
        <v>168198</v>
      </c>
      <c r="J13" s="26">
        <v>1</v>
      </c>
      <c r="K13" s="11">
        <f t="shared" si="3"/>
        <v>168198</v>
      </c>
      <c r="L13" s="11">
        <f t="shared" si="4"/>
        <v>193427.7</v>
      </c>
      <c r="M13" t="s">
        <v>1</v>
      </c>
      <c r="N13" s="49">
        <f t="shared" si="5"/>
        <v>25229.700000000012</v>
      </c>
      <c r="P13" s="31" t="s">
        <v>545</v>
      </c>
      <c r="Q13" s="32">
        <v>3495.5</v>
      </c>
      <c r="R13" s="32">
        <v>196339.20000000001</v>
      </c>
      <c r="S13" s="32">
        <v>454029.33999999997</v>
      </c>
      <c r="T13" s="32"/>
      <c r="U13" s="32">
        <v>653864.04</v>
      </c>
      <c r="V13" s="32">
        <v>751943.64599999995</v>
      </c>
      <c r="W13" s="32">
        <v>98079.605999999956</v>
      </c>
    </row>
    <row r="14" spans="1:23">
      <c r="A14" s="9" t="s">
        <v>13</v>
      </c>
      <c r="B14" t="s">
        <v>288</v>
      </c>
      <c r="C14" s="5" t="s">
        <v>290</v>
      </c>
      <c r="D14" s="47"/>
      <c r="H14" s="48">
        <v>14.27</v>
      </c>
      <c r="I14" s="11">
        <f t="shared" si="2"/>
        <v>14.27</v>
      </c>
      <c r="J14" s="26">
        <v>1</v>
      </c>
      <c r="K14" s="11">
        <f t="shared" si="3"/>
        <v>14.27</v>
      </c>
      <c r="L14" s="11">
        <f t="shared" si="4"/>
        <v>16.410499999999999</v>
      </c>
      <c r="M14" t="s">
        <v>1</v>
      </c>
      <c r="N14" s="49">
        <f t="shared" si="5"/>
        <v>2.1404999999999994</v>
      </c>
      <c r="P14" s="31" t="s">
        <v>1116</v>
      </c>
      <c r="Q14" s="32"/>
      <c r="R14" s="32">
        <v>259674.6</v>
      </c>
      <c r="S14" s="32">
        <v>152400.39000000001</v>
      </c>
      <c r="T14" s="32"/>
      <c r="U14" s="32">
        <v>412074.99</v>
      </c>
      <c r="V14" s="32">
        <v>473886.23849999998</v>
      </c>
      <c r="W14" s="32">
        <v>61811.248500000016</v>
      </c>
    </row>
    <row r="15" spans="1:23">
      <c r="A15" s="9" t="s">
        <v>1313</v>
      </c>
      <c r="B15" t="s">
        <v>288</v>
      </c>
      <c r="C15" s="5" t="s">
        <v>290</v>
      </c>
      <c r="D15" s="47"/>
      <c r="H15" s="48">
        <v>-44.78</v>
      </c>
      <c r="I15" s="11">
        <f t="shared" si="2"/>
        <v>-44.78</v>
      </c>
      <c r="J15" s="26">
        <v>1</v>
      </c>
      <c r="K15" s="11">
        <f t="shared" si="3"/>
        <v>-44.78</v>
      </c>
      <c r="L15" s="11">
        <f t="shared" si="4"/>
        <v>-51.497</v>
      </c>
      <c r="M15" t="s">
        <v>1</v>
      </c>
      <c r="N15" s="49">
        <f t="shared" si="5"/>
        <v>-6.7169999999999987</v>
      </c>
      <c r="P15" s="31" t="s">
        <v>1125</v>
      </c>
      <c r="Q15" s="32">
        <v>6856.0750000000007</v>
      </c>
      <c r="R15" s="32">
        <v>106168.64</v>
      </c>
      <c r="S15" s="32">
        <v>407252.75</v>
      </c>
      <c r="T15" s="32">
        <v>1986.5</v>
      </c>
      <c r="U15" s="32">
        <v>522263.96500000003</v>
      </c>
      <c r="V15" s="32">
        <v>600603.55975000001</v>
      </c>
      <c r="W15" s="32">
        <v>78339.594750000018</v>
      </c>
    </row>
    <row r="16" spans="1:23">
      <c r="A16" s="9" t="s">
        <v>1097</v>
      </c>
      <c r="B16" t="s">
        <v>1147</v>
      </c>
      <c r="C16" s="5" t="s">
        <v>1149</v>
      </c>
      <c r="D16" s="47"/>
      <c r="H16" s="48">
        <v>49844</v>
      </c>
      <c r="I16" s="11">
        <f t="shared" si="2"/>
        <v>49844</v>
      </c>
      <c r="J16" s="26">
        <v>1</v>
      </c>
      <c r="K16" s="11">
        <f t="shared" si="3"/>
        <v>49844</v>
      </c>
      <c r="L16" s="11">
        <f t="shared" si="4"/>
        <v>57320.6</v>
      </c>
      <c r="M16" t="s">
        <v>1</v>
      </c>
      <c r="N16" s="49">
        <f t="shared" si="5"/>
        <v>7476.5999999999985</v>
      </c>
      <c r="P16" s="31" t="s">
        <v>1101</v>
      </c>
      <c r="Q16" s="32">
        <v>4986.99</v>
      </c>
      <c r="R16" s="32">
        <v>235031.91</v>
      </c>
      <c r="S16" s="32">
        <v>456246.91</v>
      </c>
      <c r="T16" s="32">
        <v>4842.67</v>
      </c>
      <c r="U16" s="32">
        <v>701108.48</v>
      </c>
      <c r="V16" s="32">
        <v>806274.75199999986</v>
      </c>
      <c r="W16" s="32">
        <v>105166.27199999998</v>
      </c>
    </row>
    <row r="17" spans="1:23">
      <c r="A17" s="9" t="s">
        <v>1399</v>
      </c>
      <c r="B17" t="s">
        <v>555</v>
      </c>
      <c r="C17" s="5" t="s">
        <v>557</v>
      </c>
      <c r="D17" s="47"/>
      <c r="E17" s="48">
        <v>1321.69</v>
      </c>
      <c r="F17" s="48">
        <v>1247.635</v>
      </c>
      <c r="I17" s="11">
        <f t="shared" si="2"/>
        <v>2569.3249999999998</v>
      </c>
      <c r="J17" s="26">
        <v>1</v>
      </c>
      <c r="K17" s="11">
        <f t="shared" si="3"/>
        <v>2569.3249999999998</v>
      </c>
      <c r="L17" s="11">
        <f t="shared" si="4"/>
        <v>2954.7237499999997</v>
      </c>
      <c r="M17" t="s">
        <v>1</v>
      </c>
      <c r="N17" s="49">
        <f t="shared" si="5"/>
        <v>385.39874999999984</v>
      </c>
      <c r="P17" s="31" t="s">
        <v>1693</v>
      </c>
      <c r="Q17" s="32"/>
      <c r="R17" s="32">
        <v>26000</v>
      </c>
      <c r="S17" s="32"/>
      <c r="T17" s="32"/>
      <c r="U17" s="32">
        <v>26000</v>
      </c>
      <c r="V17" s="32">
        <v>29900</v>
      </c>
      <c r="W17" s="32">
        <v>3900</v>
      </c>
    </row>
    <row r="18" spans="1:23">
      <c r="A18" s="9" t="s">
        <v>1715</v>
      </c>
      <c r="B18" t="s">
        <v>555</v>
      </c>
      <c r="C18" s="5" t="s">
        <v>557</v>
      </c>
      <c r="D18" s="47"/>
      <c r="E18" s="48">
        <v>4873.9399999999996</v>
      </c>
      <c r="F18" s="48">
        <v>14264.8</v>
      </c>
      <c r="G18" s="48">
        <v>119.54</v>
      </c>
      <c r="I18" s="11">
        <f t="shared" si="2"/>
        <v>19258.28</v>
      </c>
      <c r="J18" s="26">
        <v>1</v>
      </c>
      <c r="K18" s="11">
        <f t="shared" si="3"/>
        <v>19258.28</v>
      </c>
      <c r="L18" s="11">
        <f t="shared" si="4"/>
        <v>22147.021999999997</v>
      </c>
      <c r="M18" t="s">
        <v>1</v>
      </c>
      <c r="N18" s="49">
        <f t="shared" si="5"/>
        <v>2888.7419999999984</v>
      </c>
      <c r="P18" s="31" t="s">
        <v>1107</v>
      </c>
      <c r="Q18" s="32">
        <v>3061.3150000000001</v>
      </c>
      <c r="R18" s="32">
        <v>268781.67999999993</v>
      </c>
      <c r="S18" s="32">
        <v>727863.96</v>
      </c>
      <c r="T18" s="32">
        <v>1719.82</v>
      </c>
      <c r="U18" s="32">
        <v>1001426.7749999999</v>
      </c>
      <c r="V18" s="32">
        <v>1151640.79125</v>
      </c>
      <c r="W18" s="32">
        <v>150214.01625000002</v>
      </c>
    </row>
    <row r="19" spans="1:23">
      <c r="A19" s="9" t="s">
        <v>1097</v>
      </c>
      <c r="B19" t="s">
        <v>555</v>
      </c>
      <c r="C19" s="5" t="s">
        <v>557</v>
      </c>
      <c r="D19" s="47"/>
      <c r="G19" s="48">
        <v>430569.03</v>
      </c>
      <c r="H19" s="48">
        <v>180526.8</v>
      </c>
      <c r="I19" s="11">
        <f t="shared" si="2"/>
        <v>611095.83000000007</v>
      </c>
      <c r="J19" s="26">
        <v>1</v>
      </c>
      <c r="K19" s="11">
        <f t="shared" si="3"/>
        <v>611095.83000000007</v>
      </c>
      <c r="L19" s="11">
        <f t="shared" si="4"/>
        <v>702760.20450000011</v>
      </c>
      <c r="M19" t="s">
        <v>1</v>
      </c>
      <c r="N19" s="49">
        <f t="shared" si="5"/>
        <v>91664.374500000034</v>
      </c>
      <c r="P19" s="31" t="s">
        <v>725</v>
      </c>
      <c r="Q19" s="32">
        <v>8080.12</v>
      </c>
      <c r="R19" s="32">
        <v>130995.39</v>
      </c>
      <c r="S19" s="32">
        <v>434496.57</v>
      </c>
      <c r="T19" s="32">
        <v>4445.37</v>
      </c>
      <c r="U19" s="32">
        <v>578017.44999999995</v>
      </c>
      <c r="V19" s="32">
        <v>664720.0675</v>
      </c>
      <c r="W19" s="32">
        <v>86702.617500000022</v>
      </c>
    </row>
    <row r="20" spans="1:23">
      <c r="A20" s="9" t="s">
        <v>13</v>
      </c>
      <c r="B20" t="s">
        <v>555</v>
      </c>
      <c r="C20" s="5" t="s">
        <v>557</v>
      </c>
      <c r="D20" s="47"/>
      <c r="H20" s="48">
        <v>15.54</v>
      </c>
      <c r="I20" s="11">
        <f t="shared" si="2"/>
        <v>15.54</v>
      </c>
      <c r="J20" s="26">
        <v>1</v>
      </c>
      <c r="K20" s="11">
        <f t="shared" si="3"/>
        <v>15.54</v>
      </c>
      <c r="L20" s="11">
        <f t="shared" si="4"/>
        <v>17.870999999999999</v>
      </c>
      <c r="M20" t="s">
        <v>1</v>
      </c>
      <c r="N20" s="49">
        <f t="shared" si="5"/>
        <v>2.3309999999999995</v>
      </c>
      <c r="P20" s="31" t="s">
        <v>1110</v>
      </c>
      <c r="Q20" s="32">
        <v>4363.7649999999994</v>
      </c>
      <c r="R20" s="32">
        <v>110887.03</v>
      </c>
      <c r="S20" s="32">
        <v>445246.99</v>
      </c>
      <c r="T20" s="32">
        <v>1903.49</v>
      </c>
      <c r="U20" s="32">
        <v>562401.27499999991</v>
      </c>
      <c r="V20" s="32">
        <v>646761.46624999994</v>
      </c>
      <c r="W20" s="32">
        <v>84360.191250000003</v>
      </c>
    </row>
    <row r="21" spans="1:23">
      <c r="A21" s="9" t="s">
        <v>1313</v>
      </c>
      <c r="B21" t="s">
        <v>555</v>
      </c>
      <c r="C21" s="5" t="s">
        <v>557</v>
      </c>
      <c r="D21" s="47"/>
      <c r="H21" s="48">
        <v>28.38</v>
      </c>
      <c r="I21" s="11">
        <f t="shared" si="2"/>
        <v>28.38</v>
      </c>
      <c r="J21" s="26">
        <v>1</v>
      </c>
      <c r="K21" s="11">
        <f t="shared" si="3"/>
        <v>28.38</v>
      </c>
      <c r="L21" s="11">
        <f t="shared" si="4"/>
        <v>32.637</v>
      </c>
      <c r="M21" t="s">
        <v>1</v>
      </c>
      <c r="N21" s="49">
        <f t="shared" si="5"/>
        <v>4.2570000000000014</v>
      </c>
      <c r="P21" s="31" t="s">
        <v>1134</v>
      </c>
      <c r="Q21" s="32"/>
      <c r="R21" s="32">
        <v>227577.2</v>
      </c>
      <c r="S21" s="32"/>
      <c r="T21" s="32"/>
      <c r="U21" s="32">
        <v>227577.2</v>
      </c>
      <c r="V21" s="32">
        <v>261713.78000000003</v>
      </c>
      <c r="W21" s="32">
        <v>34136.580000000016</v>
      </c>
    </row>
    <row r="22" spans="1:23">
      <c r="A22" s="9" t="s">
        <v>1399</v>
      </c>
      <c r="B22" t="s">
        <v>1126</v>
      </c>
      <c r="C22" s="5" t="s">
        <v>1128</v>
      </c>
      <c r="D22" s="47"/>
      <c r="E22" s="48">
        <v>372.84</v>
      </c>
      <c r="F22" s="48">
        <v>211.92</v>
      </c>
      <c r="I22" s="11">
        <f t="shared" si="2"/>
        <v>584.76</v>
      </c>
      <c r="J22" s="26">
        <v>1</v>
      </c>
      <c r="K22" s="11">
        <f t="shared" si="3"/>
        <v>584.76</v>
      </c>
      <c r="L22" s="11">
        <f t="shared" si="4"/>
        <v>672.47399999999993</v>
      </c>
      <c r="M22" t="s">
        <v>1</v>
      </c>
      <c r="N22" s="49">
        <f t="shared" si="5"/>
        <v>87.713999999999942</v>
      </c>
      <c r="P22" s="31" t="s">
        <v>1137</v>
      </c>
      <c r="Q22" s="32"/>
      <c r="R22" s="32">
        <v>287778.7</v>
      </c>
      <c r="S22" s="32"/>
      <c r="T22" s="32"/>
      <c r="U22" s="32">
        <v>287778.7</v>
      </c>
      <c r="V22" s="32">
        <v>330945.505</v>
      </c>
      <c r="W22" s="32">
        <v>43166.804999999993</v>
      </c>
    </row>
    <row r="23" spans="1:23">
      <c r="A23" s="9" t="s">
        <v>1715</v>
      </c>
      <c r="B23" t="s">
        <v>1126</v>
      </c>
      <c r="C23" s="5" t="s">
        <v>1128</v>
      </c>
      <c r="D23" s="47"/>
      <c r="F23" s="48">
        <v>3688.91</v>
      </c>
      <c r="G23" s="48">
        <v>119.54</v>
      </c>
      <c r="H23" s="48">
        <v>20443.48</v>
      </c>
      <c r="I23" s="11">
        <f t="shared" si="2"/>
        <v>24251.93</v>
      </c>
      <c r="J23" s="26">
        <v>1</v>
      </c>
      <c r="K23" s="11">
        <f t="shared" si="3"/>
        <v>24251.93</v>
      </c>
      <c r="L23" s="11">
        <f t="shared" si="4"/>
        <v>27889.719499999999</v>
      </c>
      <c r="M23" t="s">
        <v>1</v>
      </c>
      <c r="N23" s="49">
        <f t="shared" si="5"/>
        <v>3637.789499999999</v>
      </c>
      <c r="P23" s="31" t="s">
        <v>1722</v>
      </c>
      <c r="Q23" s="32"/>
      <c r="R23" s="32">
        <v>134001.07999999999</v>
      </c>
      <c r="S23" s="32"/>
      <c r="T23" s="32"/>
      <c r="U23" s="32">
        <v>134001.07999999999</v>
      </c>
      <c r="V23" s="32">
        <v>154101.24199999997</v>
      </c>
      <c r="W23" s="32">
        <v>20100.161999999982</v>
      </c>
    </row>
    <row r="24" spans="1:23">
      <c r="A24" s="9" t="s">
        <v>1097</v>
      </c>
      <c r="B24" t="s">
        <v>1126</v>
      </c>
      <c r="C24" s="5" t="s">
        <v>1128</v>
      </c>
      <c r="D24" s="47"/>
      <c r="G24" s="48">
        <v>431408.92</v>
      </c>
      <c r="H24" s="48">
        <v>364892.89</v>
      </c>
      <c r="I24" s="11">
        <f t="shared" si="2"/>
        <v>796301.81</v>
      </c>
      <c r="J24" s="26">
        <v>1</v>
      </c>
      <c r="K24" s="11">
        <f t="shared" si="3"/>
        <v>796301.81</v>
      </c>
      <c r="L24" s="11">
        <f t="shared" si="4"/>
        <v>915747.08150000009</v>
      </c>
      <c r="M24" t="s">
        <v>1</v>
      </c>
      <c r="N24" s="49">
        <f t="shared" si="5"/>
        <v>119445.27150000003</v>
      </c>
      <c r="P24" s="31" t="s">
        <v>1122</v>
      </c>
      <c r="Q24" s="32"/>
      <c r="R24" s="32">
        <v>95138.14</v>
      </c>
      <c r="S24" s="32"/>
      <c r="T24" s="32"/>
      <c r="U24" s="32">
        <v>95138.14</v>
      </c>
      <c r="V24" s="32">
        <v>109408.861</v>
      </c>
      <c r="W24" s="32">
        <v>14270.721000000005</v>
      </c>
    </row>
    <row r="25" spans="1:23">
      <c r="A25" s="9" t="s">
        <v>1715</v>
      </c>
      <c r="B25" t="s">
        <v>1111</v>
      </c>
      <c r="C25" s="5" t="s">
        <v>1113</v>
      </c>
      <c r="D25" s="47"/>
      <c r="H25" s="48">
        <v>56186.25</v>
      </c>
      <c r="I25" s="11">
        <f t="shared" si="2"/>
        <v>56186.25</v>
      </c>
      <c r="J25" s="26">
        <v>1</v>
      </c>
      <c r="K25" s="11">
        <f t="shared" si="3"/>
        <v>56186.25</v>
      </c>
      <c r="L25" s="11">
        <f t="shared" si="4"/>
        <v>64614.1875</v>
      </c>
      <c r="M25" t="s">
        <v>1</v>
      </c>
      <c r="N25" s="49">
        <f t="shared" si="5"/>
        <v>8427.9375</v>
      </c>
      <c r="P25" s="31" t="s">
        <v>1146</v>
      </c>
      <c r="Q25" s="32"/>
      <c r="R25" s="32">
        <v>357999.75</v>
      </c>
      <c r="S25" s="32"/>
      <c r="T25" s="32"/>
      <c r="U25" s="32">
        <v>357999.75</v>
      </c>
      <c r="V25" s="32">
        <v>411699.71250000002</v>
      </c>
      <c r="W25" s="32">
        <v>53699.962499999994</v>
      </c>
    </row>
    <row r="26" spans="1:23">
      <c r="A26" s="9" t="s">
        <v>1097</v>
      </c>
      <c r="B26" t="s">
        <v>1111</v>
      </c>
      <c r="C26" s="5" t="s">
        <v>1113</v>
      </c>
      <c r="D26" s="47"/>
      <c r="H26" s="48">
        <v>154624.9</v>
      </c>
      <c r="I26" s="11">
        <f t="shared" si="2"/>
        <v>154624.9</v>
      </c>
      <c r="J26" s="26">
        <v>1</v>
      </c>
      <c r="K26" s="11">
        <f t="shared" si="3"/>
        <v>154624.9</v>
      </c>
      <c r="L26" s="11">
        <f t="shared" si="4"/>
        <v>177818.63499999998</v>
      </c>
      <c r="M26" t="s">
        <v>1</v>
      </c>
      <c r="N26" s="49">
        <f t="shared" si="5"/>
        <v>23193.734999999986</v>
      </c>
      <c r="P26" s="31" t="s">
        <v>1119</v>
      </c>
      <c r="Q26" s="32"/>
      <c r="R26" s="32">
        <v>125311.22</v>
      </c>
      <c r="S26" s="32"/>
      <c r="T26" s="32"/>
      <c r="U26" s="32">
        <v>125311.22</v>
      </c>
      <c r="V26" s="32">
        <v>144107.90299999999</v>
      </c>
      <c r="W26" s="32">
        <v>18796.682999999997</v>
      </c>
    </row>
    <row r="27" spans="1:23">
      <c r="A27" s="9" t="s">
        <v>1473</v>
      </c>
      <c r="B27" t="s">
        <v>1111</v>
      </c>
      <c r="C27" s="5" t="s">
        <v>1113</v>
      </c>
      <c r="D27" s="47"/>
      <c r="H27" s="48">
        <v>24000</v>
      </c>
      <c r="I27" s="11">
        <f t="shared" si="2"/>
        <v>24000</v>
      </c>
      <c r="J27" s="26">
        <v>1</v>
      </c>
      <c r="K27" s="11">
        <f t="shared" si="3"/>
        <v>24000</v>
      </c>
      <c r="L27" s="11">
        <f t="shared" si="4"/>
        <v>27600</v>
      </c>
      <c r="M27" t="s">
        <v>1</v>
      </c>
      <c r="N27" s="49">
        <f t="shared" si="5"/>
        <v>3600</v>
      </c>
      <c r="P27" s="31" t="s">
        <v>1919</v>
      </c>
      <c r="Q27">
        <v>69241.464999999997</v>
      </c>
      <c r="R27">
        <v>4416954.8999999994</v>
      </c>
      <c r="S27">
        <v>5159261.7000000011</v>
      </c>
      <c r="T27">
        <v>29044.03</v>
      </c>
      <c r="U27" s="11">
        <v>9674502.0950000007</v>
      </c>
      <c r="V27" s="11">
        <v>11125677.409250002</v>
      </c>
      <c r="W27" s="49">
        <v>1451175.3142499998</v>
      </c>
    </row>
    <row r="28" spans="1:23">
      <c r="A28" s="9" t="s">
        <v>1399</v>
      </c>
      <c r="B28" t="s">
        <v>1102</v>
      </c>
      <c r="C28" s="5" t="s">
        <v>1104</v>
      </c>
      <c r="D28" s="47"/>
      <c r="E28" s="48">
        <v>532.79999999999995</v>
      </c>
      <c r="F28" s="48">
        <v>211.13</v>
      </c>
      <c r="I28" s="11">
        <f t="shared" si="2"/>
        <v>743.93</v>
      </c>
      <c r="J28" s="26">
        <v>1</v>
      </c>
      <c r="K28" s="11">
        <f t="shared" si="3"/>
        <v>743.93</v>
      </c>
      <c r="L28" s="11">
        <f t="shared" si="4"/>
        <v>855.51949999999988</v>
      </c>
      <c r="M28" t="s">
        <v>1</v>
      </c>
      <c r="N28" s="49">
        <f t="shared" si="5"/>
        <v>111.58949999999993</v>
      </c>
    </row>
    <row r="29" spans="1:23">
      <c r="A29" s="9" t="s">
        <v>1715</v>
      </c>
      <c r="B29" t="s">
        <v>1102</v>
      </c>
      <c r="C29" s="5" t="s">
        <v>1104</v>
      </c>
      <c r="D29" s="47"/>
      <c r="E29" s="48">
        <v>288</v>
      </c>
      <c r="F29" s="48">
        <v>1376.9449999999999</v>
      </c>
      <c r="G29" s="48">
        <v>123882.74</v>
      </c>
      <c r="H29" s="48">
        <v>38577.800000000003</v>
      </c>
      <c r="I29" s="11">
        <f t="shared" si="2"/>
        <v>164125.48500000002</v>
      </c>
      <c r="J29" s="26">
        <v>1</v>
      </c>
      <c r="K29" s="11">
        <f t="shared" si="3"/>
        <v>164125.48500000002</v>
      </c>
      <c r="L29" s="11">
        <f t="shared" si="4"/>
        <v>188744.30775000001</v>
      </c>
      <c r="M29" t="s">
        <v>1</v>
      </c>
      <c r="N29" s="49">
        <f t="shared" si="5"/>
        <v>24618.822749999992</v>
      </c>
    </row>
    <row r="30" spans="1:23">
      <c r="A30" s="9" t="s">
        <v>1097</v>
      </c>
      <c r="B30" t="s">
        <v>1102</v>
      </c>
      <c r="C30" s="5" t="s">
        <v>1104</v>
      </c>
      <c r="D30" s="47"/>
      <c r="G30" s="48">
        <v>320444.63</v>
      </c>
      <c r="H30" s="48">
        <v>145906.72</v>
      </c>
      <c r="I30" s="11">
        <f t="shared" si="2"/>
        <v>466351.35</v>
      </c>
      <c r="J30" s="26">
        <v>1</v>
      </c>
      <c r="K30" s="11">
        <f t="shared" si="3"/>
        <v>466351.35</v>
      </c>
      <c r="L30" s="11">
        <f t="shared" si="4"/>
        <v>536304.05249999999</v>
      </c>
      <c r="M30" t="s">
        <v>1</v>
      </c>
      <c r="N30" s="49">
        <f t="shared" si="5"/>
        <v>69952.702500000014</v>
      </c>
    </row>
    <row r="31" spans="1:23">
      <c r="A31" s="9" t="s">
        <v>1399</v>
      </c>
      <c r="B31" t="s">
        <v>543</v>
      </c>
      <c r="C31" s="5" t="s">
        <v>545</v>
      </c>
      <c r="D31" s="47"/>
      <c r="F31" s="48">
        <v>423.84</v>
      </c>
      <c r="I31" s="11">
        <f t="shared" si="2"/>
        <v>423.84</v>
      </c>
      <c r="J31" s="26">
        <v>1</v>
      </c>
      <c r="K31" s="11">
        <f t="shared" si="3"/>
        <v>423.84</v>
      </c>
      <c r="L31" s="11">
        <f t="shared" si="4"/>
        <v>487.41599999999994</v>
      </c>
      <c r="M31" t="s">
        <v>1</v>
      </c>
      <c r="N31" s="49">
        <f t="shared" si="5"/>
        <v>63.575999999999965</v>
      </c>
    </row>
    <row r="32" spans="1:23">
      <c r="A32" s="9" t="s">
        <v>1715</v>
      </c>
      <c r="B32" t="s">
        <v>543</v>
      </c>
      <c r="C32" s="5" t="s">
        <v>545</v>
      </c>
      <c r="D32" s="47"/>
      <c r="F32" s="48">
        <v>2839.16</v>
      </c>
      <c r="G32" s="48">
        <v>1259.54</v>
      </c>
      <c r="H32" s="48">
        <v>90636</v>
      </c>
      <c r="I32" s="11">
        <f t="shared" si="2"/>
        <v>94734.7</v>
      </c>
      <c r="J32" s="26">
        <v>1</v>
      </c>
      <c r="K32" s="11">
        <f t="shared" si="3"/>
        <v>94734.7</v>
      </c>
      <c r="L32" s="11">
        <f t="shared" si="4"/>
        <v>108944.905</v>
      </c>
      <c r="M32" t="s">
        <v>1</v>
      </c>
      <c r="N32" s="49">
        <f t="shared" si="5"/>
        <v>14210.205000000002</v>
      </c>
    </row>
    <row r="33" spans="1:14">
      <c r="A33" s="9" t="s">
        <v>1097</v>
      </c>
      <c r="B33" t="s">
        <v>543</v>
      </c>
      <c r="C33" s="5" t="s">
        <v>545</v>
      </c>
      <c r="D33" s="47"/>
      <c r="G33" s="48">
        <v>452769.8</v>
      </c>
      <c r="H33" s="48">
        <v>105703.2</v>
      </c>
      <c r="I33" s="11">
        <f t="shared" si="2"/>
        <v>558473</v>
      </c>
      <c r="J33" s="26">
        <v>1</v>
      </c>
      <c r="K33" s="11">
        <f t="shared" si="3"/>
        <v>558473</v>
      </c>
      <c r="L33" s="11">
        <f t="shared" si="4"/>
        <v>642243.94999999995</v>
      </c>
      <c r="M33" t="s">
        <v>1</v>
      </c>
      <c r="N33" s="49">
        <f t="shared" si="5"/>
        <v>83770.949999999953</v>
      </c>
    </row>
    <row r="34" spans="1:14">
      <c r="A34" s="9" t="s">
        <v>13</v>
      </c>
      <c r="B34" t="s">
        <v>543</v>
      </c>
      <c r="C34" s="5" t="s">
        <v>545</v>
      </c>
      <c r="D34" s="47"/>
      <c r="F34" s="48">
        <v>232.5</v>
      </c>
      <c r="I34" s="11">
        <f t="shared" si="2"/>
        <v>232.5</v>
      </c>
      <c r="J34" s="26">
        <v>1</v>
      </c>
      <c r="K34" s="11">
        <f t="shared" si="3"/>
        <v>232.5</v>
      </c>
      <c r="L34" s="11">
        <f t="shared" si="4"/>
        <v>267.375</v>
      </c>
      <c r="M34" t="s">
        <v>1</v>
      </c>
      <c r="N34" s="49">
        <f t="shared" si="5"/>
        <v>34.875</v>
      </c>
    </row>
    <row r="35" spans="1:14">
      <c r="A35" s="9" t="s">
        <v>1715</v>
      </c>
      <c r="B35" t="s">
        <v>1114</v>
      </c>
      <c r="C35" s="5" t="s">
        <v>1116</v>
      </c>
      <c r="D35" s="47"/>
      <c r="G35" s="48">
        <v>33219.54</v>
      </c>
      <c r="H35" s="48">
        <v>13091.6</v>
      </c>
      <c r="I35" s="11">
        <f t="shared" si="2"/>
        <v>46311.14</v>
      </c>
      <c r="J35" s="26">
        <v>1</v>
      </c>
      <c r="K35" s="11">
        <f t="shared" si="3"/>
        <v>46311.14</v>
      </c>
      <c r="L35" s="11">
        <f t="shared" si="4"/>
        <v>53257.811000000002</v>
      </c>
      <c r="M35" t="s">
        <v>1</v>
      </c>
      <c r="N35" s="49">
        <f t="shared" si="5"/>
        <v>6946.6710000000021</v>
      </c>
    </row>
    <row r="36" spans="1:14">
      <c r="A36" s="9" t="s">
        <v>1097</v>
      </c>
      <c r="B36" t="s">
        <v>1114</v>
      </c>
      <c r="C36" s="5" t="s">
        <v>1116</v>
      </c>
      <c r="D36" s="47"/>
      <c r="G36" s="48">
        <v>115770.85</v>
      </c>
      <c r="H36" s="48">
        <v>246583</v>
      </c>
      <c r="I36" s="11">
        <f t="shared" si="2"/>
        <v>362353.85</v>
      </c>
      <c r="J36" s="26">
        <v>1</v>
      </c>
      <c r="K36" s="11">
        <f t="shared" si="3"/>
        <v>362353.85</v>
      </c>
      <c r="L36" s="11">
        <f t="shared" si="4"/>
        <v>416706.92749999999</v>
      </c>
      <c r="M36" t="s">
        <v>1</v>
      </c>
      <c r="N36" s="49">
        <f t="shared" si="5"/>
        <v>54353.077500000014</v>
      </c>
    </row>
    <row r="37" spans="1:14">
      <c r="A37" s="9" t="s">
        <v>1723</v>
      </c>
      <c r="B37" t="s">
        <v>1114</v>
      </c>
      <c r="C37" s="5" t="s">
        <v>1116</v>
      </c>
      <c r="D37" s="47"/>
      <c r="G37" s="48">
        <v>3410</v>
      </c>
      <c r="I37" s="11">
        <f t="shared" si="2"/>
        <v>3410</v>
      </c>
      <c r="J37" s="26">
        <v>1</v>
      </c>
      <c r="K37" s="11">
        <f t="shared" si="3"/>
        <v>3410</v>
      </c>
      <c r="L37" s="11">
        <f t="shared" si="4"/>
        <v>3921.5</v>
      </c>
      <c r="M37" t="s">
        <v>1</v>
      </c>
      <c r="N37" s="49">
        <f t="shared" si="5"/>
        <v>511.5</v>
      </c>
    </row>
    <row r="38" spans="1:14">
      <c r="A38" s="9" t="s">
        <v>1399</v>
      </c>
      <c r="B38" t="s">
        <v>1123</v>
      </c>
      <c r="C38" s="5" t="s">
        <v>1125</v>
      </c>
      <c r="D38" s="47"/>
      <c r="E38" s="48">
        <v>1404.44</v>
      </c>
      <c r="F38" s="48">
        <v>520.02</v>
      </c>
      <c r="I38" s="11">
        <f t="shared" si="2"/>
        <v>1924.46</v>
      </c>
      <c r="J38" s="26">
        <v>1</v>
      </c>
      <c r="K38" s="11">
        <f t="shared" si="3"/>
        <v>1924.46</v>
      </c>
      <c r="L38" s="11">
        <f t="shared" si="4"/>
        <v>2213.1289999999999</v>
      </c>
      <c r="M38" t="s">
        <v>1</v>
      </c>
      <c r="N38" s="49">
        <f t="shared" si="5"/>
        <v>288.66899999999987</v>
      </c>
    </row>
    <row r="39" spans="1:14">
      <c r="A39" s="9" t="s">
        <v>1715</v>
      </c>
      <c r="B39" t="s">
        <v>1123</v>
      </c>
      <c r="C39" s="5" t="s">
        <v>1125</v>
      </c>
      <c r="D39" s="47"/>
      <c r="E39" s="48">
        <v>582.05999999999995</v>
      </c>
      <c r="F39" s="48">
        <v>6336.0550000000003</v>
      </c>
      <c r="G39" s="48">
        <v>119.54</v>
      </c>
      <c r="H39" s="48">
        <v>9040</v>
      </c>
      <c r="I39" s="11">
        <f t="shared" si="2"/>
        <v>16077.654999999999</v>
      </c>
      <c r="J39" s="26">
        <v>1</v>
      </c>
      <c r="K39" s="11">
        <f t="shared" si="3"/>
        <v>16077.654999999999</v>
      </c>
      <c r="L39" s="11">
        <f t="shared" si="4"/>
        <v>18489.303249999997</v>
      </c>
      <c r="M39" t="s">
        <v>1</v>
      </c>
      <c r="N39" s="49">
        <f t="shared" si="5"/>
        <v>2411.6482499999984</v>
      </c>
    </row>
    <row r="40" spans="1:14">
      <c r="A40" s="9" t="s">
        <v>1097</v>
      </c>
      <c r="B40" t="s">
        <v>1123</v>
      </c>
      <c r="C40" s="5" t="s">
        <v>1125</v>
      </c>
      <c r="D40" s="47"/>
      <c r="G40" s="48">
        <v>407133.21</v>
      </c>
      <c r="H40" s="48">
        <v>97028.64</v>
      </c>
      <c r="I40" s="11">
        <f t="shared" si="2"/>
        <v>504161.85000000003</v>
      </c>
      <c r="J40" s="26">
        <v>1</v>
      </c>
      <c r="K40" s="11">
        <f t="shared" si="3"/>
        <v>504161.85000000003</v>
      </c>
      <c r="L40" s="11">
        <f t="shared" si="4"/>
        <v>579786.12750000006</v>
      </c>
      <c r="M40" t="s">
        <v>1</v>
      </c>
      <c r="N40" s="49">
        <f t="shared" si="5"/>
        <v>75624.277500000026</v>
      </c>
    </row>
    <row r="41" spans="1:14">
      <c r="A41" s="9" t="s">
        <v>1883</v>
      </c>
      <c r="B41" t="s">
        <v>1123</v>
      </c>
      <c r="C41" s="5" t="s">
        <v>1125</v>
      </c>
      <c r="D41" s="47"/>
      <c r="H41" s="48">
        <v>100</v>
      </c>
      <c r="I41" s="11">
        <f t="shared" si="2"/>
        <v>100</v>
      </c>
      <c r="J41" s="26">
        <v>1</v>
      </c>
      <c r="K41" s="11">
        <f t="shared" si="3"/>
        <v>100</v>
      </c>
      <c r="L41" s="11">
        <f t="shared" si="4"/>
        <v>115</v>
      </c>
      <c r="M41" t="s">
        <v>1</v>
      </c>
      <c r="N41" s="49">
        <f t="shared" si="5"/>
        <v>15</v>
      </c>
    </row>
    <row r="42" spans="1:14">
      <c r="A42" s="9" t="s">
        <v>1399</v>
      </c>
      <c r="B42" t="s">
        <v>1099</v>
      </c>
      <c r="C42" s="5" t="s">
        <v>1101</v>
      </c>
      <c r="D42" s="47"/>
      <c r="E42" s="48">
        <v>1344.74</v>
      </c>
      <c r="I42" s="11">
        <f t="shared" si="2"/>
        <v>1344.74</v>
      </c>
      <c r="J42" s="26">
        <v>1</v>
      </c>
      <c r="K42" s="11">
        <f t="shared" si="3"/>
        <v>1344.74</v>
      </c>
      <c r="L42" s="11">
        <f t="shared" si="4"/>
        <v>1546.451</v>
      </c>
      <c r="M42" t="s">
        <v>1</v>
      </c>
      <c r="N42" s="49">
        <f t="shared" si="5"/>
        <v>201.71100000000001</v>
      </c>
    </row>
    <row r="43" spans="1:14">
      <c r="A43" s="9" t="s">
        <v>1715</v>
      </c>
      <c r="B43" t="s">
        <v>1099</v>
      </c>
      <c r="C43" s="5" t="s">
        <v>1101</v>
      </c>
      <c r="D43" s="47"/>
      <c r="E43" s="48">
        <v>3497.93</v>
      </c>
      <c r="F43" s="48">
        <v>4986.99</v>
      </c>
      <c r="G43" s="48">
        <v>974.54</v>
      </c>
      <c r="H43" s="48">
        <v>117.6</v>
      </c>
      <c r="I43" s="11">
        <f t="shared" si="2"/>
        <v>9577.06</v>
      </c>
      <c r="J43" s="26">
        <v>1</v>
      </c>
      <c r="K43" s="11">
        <f t="shared" si="3"/>
        <v>9577.06</v>
      </c>
      <c r="L43" s="11">
        <f t="shared" si="4"/>
        <v>11013.618999999999</v>
      </c>
      <c r="M43" t="s">
        <v>1</v>
      </c>
      <c r="N43" s="49">
        <f t="shared" si="5"/>
        <v>1436.5589999999993</v>
      </c>
    </row>
    <row r="44" spans="1:14">
      <c r="A44" s="9" t="s">
        <v>1097</v>
      </c>
      <c r="B44" t="s">
        <v>1099</v>
      </c>
      <c r="C44" s="5" t="s">
        <v>1101</v>
      </c>
      <c r="D44" s="47"/>
      <c r="G44" s="48">
        <v>455272.37</v>
      </c>
      <c r="H44" s="48">
        <v>234914.31</v>
      </c>
      <c r="I44" s="11">
        <f t="shared" si="2"/>
        <v>690186.67999999993</v>
      </c>
      <c r="J44" s="26">
        <v>1</v>
      </c>
      <c r="K44" s="11">
        <f t="shared" si="3"/>
        <v>690186.67999999993</v>
      </c>
      <c r="L44" s="11">
        <f t="shared" si="4"/>
        <v>793714.68199999991</v>
      </c>
      <c r="M44" t="s">
        <v>1</v>
      </c>
      <c r="N44" s="49">
        <f t="shared" si="5"/>
        <v>103528.00199999998</v>
      </c>
    </row>
    <row r="45" spans="1:14">
      <c r="A45" s="9" t="s">
        <v>1473</v>
      </c>
      <c r="B45" t="s">
        <v>1691</v>
      </c>
      <c r="C45" s="5" t="s">
        <v>1693</v>
      </c>
      <c r="D45" s="47"/>
      <c r="H45" s="48">
        <v>26000</v>
      </c>
      <c r="I45" s="11">
        <f t="shared" si="2"/>
        <v>26000</v>
      </c>
      <c r="J45" s="26">
        <v>1</v>
      </c>
      <c r="K45" s="11">
        <f t="shared" si="3"/>
        <v>26000</v>
      </c>
      <c r="L45" s="11">
        <f t="shared" si="4"/>
        <v>29900</v>
      </c>
      <c r="M45" t="s">
        <v>1</v>
      </c>
      <c r="N45" s="49">
        <f t="shared" si="5"/>
        <v>3900</v>
      </c>
    </row>
    <row r="46" spans="1:14">
      <c r="A46" s="9" t="s">
        <v>1399</v>
      </c>
      <c r="B46" t="s">
        <v>1105</v>
      </c>
      <c r="C46" s="5" t="s">
        <v>1107</v>
      </c>
      <c r="D46" s="47"/>
      <c r="E46" s="48">
        <v>1719.82</v>
      </c>
      <c r="F46" s="48">
        <v>1361.01</v>
      </c>
      <c r="I46" s="11">
        <f t="shared" si="2"/>
        <v>3080.83</v>
      </c>
      <c r="J46" s="26">
        <v>1</v>
      </c>
      <c r="K46" s="11">
        <f t="shared" si="3"/>
        <v>3080.83</v>
      </c>
      <c r="L46" s="11">
        <f t="shared" si="4"/>
        <v>3542.9544999999998</v>
      </c>
      <c r="M46" t="s">
        <v>1</v>
      </c>
      <c r="N46" s="49">
        <f t="shared" si="5"/>
        <v>462.1244999999999</v>
      </c>
    </row>
    <row r="47" spans="1:14">
      <c r="A47" s="9" t="s">
        <v>1715</v>
      </c>
      <c r="B47" t="s">
        <v>1105</v>
      </c>
      <c r="C47" s="5" t="s">
        <v>1107</v>
      </c>
      <c r="D47" s="47"/>
      <c r="F47" s="48">
        <v>1700.3050000000001</v>
      </c>
      <c r="G47" s="48">
        <v>501773.19</v>
      </c>
      <c r="H47" s="48">
        <v>-383191.14</v>
      </c>
      <c r="I47" s="11">
        <f t="shared" si="2"/>
        <v>120282.35499999998</v>
      </c>
      <c r="J47" s="26">
        <v>1</v>
      </c>
      <c r="K47" s="11">
        <f t="shared" si="3"/>
        <v>120282.35499999998</v>
      </c>
      <c r="L47" s="11">
        <f t="shared" si="4"/>
        <v>138324.70824999997</v>
      </c>
      <c r="M47" t="s">
        <v>1</v>
      </c>
      <c r="N47" s="49">
        <f t="shared" si="5"/>
        <v>18042.353249999986</v>
      </c>
    </row>
    <row r="48" spans="1:14">
      <c r="A48" s="9" t="s">
        <v>1097</v>
      </c>
      <c r="B48" t="s">
        <v>1105</v>
      </c>
      <c r="C48" s="5" t="s">
        <v>1107</v>
      </c>
      <c r="D48" s="47"/>
      <c r="G48" s="48">
        <v>226090.77</v>
      </c>
      <c r="H48" s="48">
        <v>651972.81999999995</v>
      </c>
      <c r="I48" s="11">
        <f t="shared" si="2"/>
        <v>878063.59</v>
      </c>
      <c r="J48" s="26">
        <v>1</v>
      </c>
      <c r="K48" s="11">
        <f t="shared" si="3"/>
        <v>878063.59</v>
      </c>
      <c r="L48" s="11">
        <f t="shared" si="4"/>
        <v>1009773.1285</v>
      </c>
      <c r="M48" t="s">
        <v>1</v>
      </c>
      <c r="N48" s="49">
        <f t="shared" si="5"/>
        <v>131709.53850000002</v>
      </c>
    </row>
    <row r="49" spans="1:14">
      <c r="A49" s="9" t="s">
        <v>1399</v>
      </c>
      <c r="B49" t="s">
        <v>723</v>
      </c>
      <c r="C49" s="5" t="s">
        <v>725</v>
      </c>
      <c r="D49" s="47"/>
      <c r="E49" s="48">
        <v>2702.43</v>
      </c>
      <c r="F49" s="48">
        <v>2318.5749999999998</v>
      </c>
      <c r="I49" s="11">
        <f t="shared" si="2"/>
        <v>5021.0049999999992</v>
      </c>
      <c r="J49" s="26">
        <v>1</v>
      </c>
      <c r="K49" s="11">
        <f t="shared" si="3"/>
        <v>5021.0049999999992</v>
      </c>
      <c r="L49" s="11">
        <f t="shared" si="4"/>
        <v>5774.155749999999</v>
      </c>
      <c r="M49" t="s">
        <v>1</v>
      </c>
      <c r="N49" s="49">
        <f t="shared" si="5"/>
        <v>753.15074999999979</v>
      </c>
    </row>
    <row r="50" spans="1:14">
      <c r="A50" s="9" t="s">
        <v>1715</v>
      </c>
      <c r="B50" t="s">
        <v>723</v>
      </c>
      <c r="C50" s="5" t="s">
        <v>725</v>
      </c>
      <c r="D50" s="47"/>
      <c r="E50" s="48">
        <v>1742.94</v>
      </c>
      <c r="F50" s="48">
        <v>5543.335</v>
      </c>
      <c r="G50" s="48">
        <v>119.54</v>
      </c>
      <c r="H50" s="48">
        <v>17017.13</v>
      </c>
      <c r="I50" s="11">
        <f t="shared" si="2"/>
        <v>24422.945</v>
      </c>
      <c r="J50" s="26">
        <v>1</v>
      </c>
      <c r="K50" s="11">
        <f t="shared" si="3"/>
        <v>24422.945</v>
      </c>
      <c r="L50" s="11">
        <f t="shared" si="4"/>
        <v>28086.386749999998</v>
      </c>
      <c r="M50" t="s">
        <v>1</v>
      </c>
      <c r="N50" s="49">
        <f t="shared" si="5"/>
        <v>3663.4417499999981</v>
      </c>
    </row>
    <row r="51" spans="1:14">
      <c r="A51" s="9" t="s">
        <v>1097</v>
      </c>
      <c r="B51" t="s">
        <v>723</v>
      </c>
      <c r="C51" s="5" t="s">
        <v>725</v>
      </c>
      <c r="D51" s="47"/>
      <c r="G51" s="48">
        <v>434377.03</v>
      </c>
      <c r="H51" s="48">
        <v>113978.26</v>
      </c>
      <c r="I51" s="11">
        <f t="shared" si="2"/>
        <v>548355.29</v>
      </c>
      <c r="J51" s="26">
        <v>1</v>
      </c>
      <c r="K51" s="11">
        <f t="shared" si="3"/>
        <v>548355.29</v>
      </c>
      <c r="L51" s="11">
        <f t="shared" si="4"/>
        <v>630608.58350000007</v>
      </c>
      <c r="M51" t="s">
        <v>1</v>
      </c>
      <c r="N51" s="49">
        <f t="shared" si="5"/>
        <v>82253.293500000029</v>
      </c>
    </row>
    <row r="52" spans="1:14">
      <c r="A52" s="9" t="s">
        <v>13</v>
      </c>
      <c r="B52" t="s">
        <v>723</v>
      </c>
      <c r="C52" s="5" t="s">
        <v>725</v>
      </c>
      <c r="D52" s="47"/>
      <c r="F52" s="48">
        <v>218.21</v>
      </c>
      <c r="I52" s="11">
        <f t="shared" si="2"/>
        <v>218.21</v>
      </c>
      <c r="J52" s="26">
        <v>1</v>
      </c>
      <c r="K52" s="11">
        <f t="shared" si="3"/>
        <v>218.21</v>
      </c>
      <c r="L52" s="11">
        <f t="shared" si="4"/>
        <v>250.94150000000002</v>
      </c>
      <c r="M52" t="s">
        <v>1</v>
      </c>
      <c r="N52" s="49">
        <f t="shared" si="5"/>
        <v>32.731500000000011</v>
      </c>
    </row>
    <row r="53" spans="1:14">
      <c r="A53" s="9" t="s">
        <v>1399</v>
      </c>
      <c r="B53" t="s">
        <v>1108</v>
      </c>
      <c r="C53" s="5" t="s">
        <v>1110</v>
      </c>
      <c r="D53" s="47"/>
      <c r="E53" s="48">
        <v>1501.49</v>
      </c>
      <c r="F53" s="48">
        <v>1823.79</v>
      </c>
      <c r="I53" s="11">
        <f t="shared" si="2"/>
        <v>3325.2799999999997</v>
      </c>
      <c r="J53" s="26">
        <v>1</v>
      </c>
      <c r="K53" s="11">
        <f t="shared" si="3"/>
        <v>3325.2799999999997</v>
      </c>
      <c r="L53" s="11">
        <f t="shared" si="4"/>
        <v>3824.0719999999997</v>
      </c>
      <c r="M53" t="s">
        <v>1</v>
      </c>
      <c r="N53" s="49">
        <f t="shared" si="5"/>
        <v>498.79199999999992</v>
      </c>
    </row>
    <row r="54" spans="1:14">
      <c r="A54" s="9" t="s">
        <v>1715</v>
      </c>
      <c r="B54" t="s">
        <v>1108</v>
      </c>
      <c r="C54" s="5" t="s">
        <v>1110</v>
      </c>
      <c r="D54" s="47"/>
      <c r="E54" s="48">
        <v>402</v>
      </c>
      <c r="F54" s="48">
        <v>2539.9749999999999</v>
      </c>
      <c r="G54" s="48">
        <v>445246.99</v>
      </c>
      <c r="H54" s="48">
        <v>117.6</v>
      </c>
      <c r="I54" s="11">
        <f t="shared" si="2"/>
        <v>448306.56499999994</v>
      </c>
      <c r="J54" s="26">
        <v>1</v>
      </c>
      <c r="K54" s="11">
        <f t="shared" si="3"/>
        <v>448306.56499999994</v>
      </c>
      <c r="L54" s="11">
        <f t="shared" si="4"/>
        <v>515552.54974999995</v>
      </c>
      <c r="M54" t="s">
        <v>1</v>
      </c>
      <c r="N54" s="49">
        <f t="shared" si="5"/>
        <v>67245.984750000003</v>
      </c>
    </row>
    <row r="55" spans="1:14">
      <c r="A55" s="9" t="s">
        <v>1097</v>
      </c>
      <c r="B55" t="s">
        <v>1108</v>
      </c>
      <c r="C55" s="5" t="s">
        <v>1110</v>
      </c>
      <c r="D55" s="47"/>
      <c r="H55" s="48">
        <v>110769.43</v>
      </c>
      <c r="I55" s="11">
        <f t="shared" si="2"/>
        <v>110769.43</v>
      </c>
      <c r="J55" s="26">
        <v>1</v>
      </c>
      <c r="K55" s="11">
        <f t="shared" si="3"/>
        <v>110769.43</v>
      </c>
      <c r="L55" s="11">
        <f t="shared" si="4"/>
        <v>127384.84449999999</v>
      </c>
      <c r="M55" t="s">
        <v>1</v>
      </c>
      <c r="N55" s="49">
        <f t="shared" si="5"/>
        <v>16615.414499999999</v>
      </c>
    </row>
    <row r="56" spans="1:14">
      <c r="A56" s="9" t="s">
        <v>1097</v>
      </c>
      <c r="B56" t="s">
        <v>1132</v>
      </c>
      <c r="C56" s="5" t="s">
        <v>1134</v>
      </c>
      <c r="D56" s="47"/>
      <c r="H56" s="48">
        <v>227577.2</v>
      </c>
      <c r="I56" s="11">
        <f t="shared" si="2"/>
        <v>227577.2</v>
      </c>
      <c r="J56" s="26">
        <v>1</v>
      </c>
      <c r="K56" s="11">
        <f t="shared" si="3"/>
        <v>227577.2</v>
      </c>
      <c r="L56" s="11">
        <f t="shared" si="4"/>
        <v>261713.78000000003</v>
      </c>
      <c r="M56" t="s">
        <v>1</v>
      </c>
      <c r="N56" s="49">
        <f t="shared" si="5"/>
        <v>34136.580000000016</v>
      </c>
    </row>
    <row r="57" spans="1:14">
      <c r="A57" s="9" t="s">
        <v>1097</v>
      </c>
      <c r="B57" t="s">
        <v>1135</v>
      </c>
      <c r="C57" s="5" t="s">
        <v>1137</v>
      </c>
      <c r="D57" s="47"/>
      <c r="H57" s="48">
        <v>287778.7</v>
      </c>
      <c r="I57" s="11">
        <f t="shared" si="2"/>
        <v>287778.7</v>
      </c>
      <c r="J57" s="26">
        <v>1</v>
      </c>
      <c r="K57" s="11">
        <f t="shared" si="3"/>
        <v>287778.7</v>
      </c>
      <c r="L57" s="11">
        <f t="shared" si="4"/>
        <v>330945.505</v>
      </c>
      <c r="M57" t="s">
        <v>1</v>
      </c>
      <c r="N57" s="49">
        <f t="shared" si="5"/>
        <v>43166.804999999993</v>
      </c>
    </row>
    <row r="58" spans="1:14">
      <c r="A58" s="9" t="s">
        <v>1715</v>
      </c>
      <c r="B58" t="s">
        <v>1720</v>
      </c>
      <c r="C58" s="5" t="s">
        <v>1722</v>
      </c>
      <c r="D58" s="47"/>
      <c r="H58" s="48">
        <v>134001.07999999999</v>
      </c>
      <c r="I58" s="11">
        <f t="shared" si="2"/>
        <v>134001.07999999999</v>
      </c>
      <c r="J58" s="26">
        <v>1</v>
      </c>
      <c r="K58" s="11">
        <f t="shared" si="3"/>
        <v>134001.07999999999</v>
      </c>
      <c r="L58" s="11">
        <f t="shared" si="4"/>
        <v>154101.24199999997</v>
      </c>
      <c r="M58" t="s">
        <v>1</v>
      </c>
      <c r="N58" s="49">
        <f t="shared" si="5"/>
        <v>20100.161999999982</v>
      </c>
    </row>
    <row r="59" spans="1:14">
      <c r="A59" s="9" t="s">
        <v>1097</v>
      </c>
      <c r="B59" t="s">
        <v>1120</v>
      </c>
      <c r="C59" s="5" t="s">
        <v>1122</v>
      </c>
      <c r="D59" s="47"/>
      <c r="H59" s="48">
        <v>95138.14</v>
      </c>
      <c r="I59" s="11">
        <f t="shared" si="2"/>
        <v>95138.14</v>
      </c>
      <c r="J59" s="26">
        <v>1</v>
      </c>
      <c r="K59" s="11">
        <f t="shared" si="3"/>
        <v>95138.14</v>
      </c>
      <c r="L59" s="11">
        <f t="shared" si="4"/>
        <v>109408.861</v>
      </c>
      <c r="M59" t="s">
        <v>1</v>
      </c>
      <c r="N59" s="49">
        <f t="shared" si="5"/>
        <v>14270.721000000005</v>
      </c>
    </row>
    <row r="60" spans="1:14">
      <c r="A60" s="9" t="s">
        <v>1715</v>
      </c>
      <c r="B60" t="s">
        <v>1144</v>
      </c>
      <c r="C60" s="5" t="s">
        <v>1146</v>
      </c>
      <c r="D60" s="47"/>
      <c r="H60" s="48">
        <v>145272.75</v>
      </c>
      <c r="I60" s="11">
        <f t="shared" si="2"/>
        <v>145272.75</v>
      </c>
      <c r="J60" s="26">
        <v>1</v>
      </c>
      <c r="K60" s="11">
        <f t="shared" si="3"/>
        <v>145272.75</v>
      </c>
      <c r="L60" s="11">
        <f t="shared" si="4"/>
        <v>167063.66250000001</v>
      </c>
      <c r="M60" t="s">
        <v>1</v>
      </c>
      <c r="N60" s="49">
        <f t="shared" si="5"/>
        <v>21790.912500000006</v>
      </c>
    </row>
    <row r="61" spans="1:14">
      <c r="A61" s="9" t="s">
        <v>1097</v>
      </c>
      <c r="B61" t="s">
        <v>1144</v>
      </c>
      <c r="C61" s="5" t="s">
        <v>1146</v>
      </c>
      <c r="D61" s="47"/>
      <c r="H61" s="48">
        <v>212727</v>
      </c>
      <c r="I61" s="11">
        <f t="shared" si="2"/>
        <v>212727</v>
      </c>
      <c r="J61" s="26">
        <v>1</v>
      </c>
      <c r="K61" s="11">
        <f t="shared" si="3"/>
        <v>212727</v>
      </c>
      <c r="L61" s="11">
        <f t="shared" si="4"/>
        <v>244636.05</v>
      </c>
      <c r="M61" t="s">
        <v>1</v>
      </c>
      <c r="N61" s="49">
        <f t="shared" si="5"/>
        <v>31909.049999999988</v>
      </c>
    </row>
    <row r="62" spans="1:14">
      <c r="A62" s="9" t="s">
        <v>1715</v>
      </c>
      <c r="B62" t="s">
        <v>1117</v>
      </c>
      <c r="C62" s="5" t="s">
        <v>1119</v>
      </c>
      <c r="D62" s="47"/>
      <c r="H62" s="48">
        <v>12015.13</v>
      </c>
      <c r="I62" s="11">
        <f t="shared" si="2"/>
        <v>12015.13</v>
      </c>
      <c r="J62" s="26">
        <v>1</v>
      </c>
      <c r="K62" s="11">
        <f t="shared" si="3"/>
        <v>12015.13</v>
      </c>
      <c r="L62" s="11">
        <f t="shared" si="4"/>
        <v>13817.3995</v>
      </c>
      <c r="M62" t="s">
        <v>1</v>
      </c>
      <c r="N62" s="49">
        <f t="shared" si="5"/>
        <v>1802.2695000000003</v>
      </c>
    </row>
    <row r="63" spans="1:14">
      <c r="A63" s="9" t="s">
        <v>1097</v>
      </c>
      <c r="B63" t="s">
        <v>1117</v>
      </c>
      <c r="C63" s="5" t="s">
        <v>1119</v>
      </c>
      <c r="D63" s="47"/>
      <c r="H63" s="48">
        <v>113296.09</v>
      </c>
      <c r="I63" s="11">
        <f t="shared" si="2"/>
        <v>113296.09</v>
      </c>
      <c r="J63" s="26">
        <v>1</v>
      </c>
      <c r="K63" s="11">
        <f t="shared" si="3"/>
        <v>113296.09</v>
      </c>
      <c r="L63" s="11">
        <f t="shared" si="4"/>
        <v>130290.50349999999</v>
      </c>
      <c r="M63" t="s">
        <v>1</v>
      </c>
      <c r="N63" s="49">
        <f t="shared" si="5"/>
        <v>16994.413499999995</v>
      </c>
    </row>
  </sheetData>
  <autoFilter ref="A5:H63" xr:uid="{9FFE2416-512F-429C-8CDA-8F46C76DE3C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D570-4B47-4FC9-B2C1-4B361D384278}">
  <dimension ref="A1:R271"/>
  <sheetViews>
    <sheetView zoomScale="90" zoomScaleNormal="90" workbookViewId="0">
      <pane ySplit="5" topLeftCell="A6" activePane="bottomLeft" state="frozen"/>
      <selection activeCell="C1" sqref="C1"/>
      <selection pane="bottomLeft" activeCell="C5" sqref="C5"/>
    </sheetView>
  </sheetViews>
  <sheetFormatPr defaultRowHeight="15"/>
  <cols>
    <col min="1" max="1" width="27.42578125" bestFit="1" customWidth="1"/>
    <col min="2" max="2" width="22.5703125" customWidth="1"/>
    <col min="3" max="3" width="99.5703125" customWidth="1"/>
    <col min="4" max="9" width="15.140625" customWidth="1"/>
    <col min="12" max="12" width="106.140625" bestFit="1" customWidth="1"/>
    <col min="13" max="13" width="19.5703125" bestFit="1" customWidth="1"/>
    <col min="14" max="14" width="15.42578125" bestFit="1" customWidth="1"/>
    <col min="15" max="15" width="20.140625" bestFit="1" customWidth="1"/>
    <col min="16" max="16" width="22.140625" bestFit="1" customWidth="1"/>
    <col min="17" max="17" width="25.5703125" bestFit="1" customWidth="1"/>
    <col min="18" max="18" width="19.140625" bestFit="1" customWidth="1"/>
  </cols>
  <sheetData>
    <row r="1" spans="1:18" ht="48" customHeight="1">
      <c r="A1" s="6" t="s">
        <v>0</v>
      </c>
    </row>
    <row r="2" spans="1:18" ht="21.75" customHeight="1">
      <c r="A2" s="7" t="s">
        <v>1</v>
      </c>
    </row>
    <row r="3" spans="1:18" ht="18">
      <c r="A3" s="8" t="s">
        <v>2</v>
      </c>
    </row>
    <row r="4" spans="1:18">
      <c r="D4" s="23">
        <f>SUM(D6:D271)</f>
        <v>2554144.67</v>
      </c>
      <c r="E4" s="50">
        <f>SUM(F4:I4)</f>
        <v>2058992.1149999998</v>
      </c>
      <c r="F4" s="11">
        <f>SUM(F6:F271)</f>
        <v>967580.71</v>
      </c>
      <c r="G4" s="11">
        <f>SUM(G6:G271)</f>
        <v>962552.02999999991</v>
      </c>
      <c r="H4" s="11">
        <f>SUM(H6:H271)</f>
        <v>117333.07499999997</v>
      </c>
      <c r="I4" s="11">
        <f>SUM(I6:I271)</f>
        <v>11526.300000000001</v>
      </c>
    </row>
    <row r="5" spans="1:18">
      <c r="A5" s="10" t="s">
        <v>1899</v>
      </c>
      <c r="B5" s="2" t="s">
        <v>9</v>
      </c>
      <c r="C5" s="2" t="s">
        <v>10</v>
      </c>
      <c r="D5" s="2" t="s">
        <v>5</v>
      </c>
      <c r="E5" s="51" t="s">
        <v>2626</v>
      </c>
      <c r="F5" s="2" t="s">
        <v>3</v>
      </c>
      <c r="G5" s="2" t="s">
        <v>4</v>
      </c>
      <c r="H5" s="2" t="s">
        <v>6</v>
      </c>
      <c r="I5" s="2" t="s">
        <v>7</v>
      </c>
      <c r="J5" s="2" t="s">
        <v>1910</v>
      </c>
      <c r="L5" s="30" t="s">
        <v>1918</v>
      </c>
      <c r="M5" t="s">
        <v>2627</v>
      </c>
      <c r="N5" t="s">
        <v>2628</v>
      </c>
      <c r="O5" t="s">
        <v>2622</v>
      </c>
      <c r="P5" t="s">
        <v>2623</v>
      </c>
      <c r="Q5" t="s">
        <v>2621</v>
      </c>
      <c r="R5" t="s">
        <v>2624</v>
      </c>
    </row>
    <row r="6" spans="1:18">
      <c r="A6" s="9" t="s">
        <v>1734</v>
      </c>
      <c r="B6" t="s">
        <v>1870</v>
      </c>
      <c r="C6" s="5" t="s">
        <v>1872</v>
      </c>
      <c r="D6" s="1">
        <v>1179.0999999999999</v>
      </c>
      <c r="E6" s="33">
        <f t="shared" ref="E6:E69" si="0">SUM(F6:I6)</f>
        <v>0</v>
      </c>
      <c r="L6" s="31" t="s">
        <v>1872</v>
      </c>
      <c r="M6" s="32">
        <v>1179.0999999999999</v>
      </c>
      <c r="N6" s="32">
        <v>0</v>
      </c>
      <c r="O6" s="32"/>
      <c r="P6" s="32"/>
      <c r="Q6" s="32"/>
      <c r="R6" s="32"/>
    </row>
    <row r="7" spans="1:18">
      <c r="A7" s="9" t="s">
        <v>1734</v>
      </c>
      <c r="B7" t="s">
        <v>1779</v>
      </c>
      <c r="C7" s="5" t="s">
        <v>1781</v>
      </c>
      <c r="D7" s="1">
        <v>1842.9</v>
      </c>
      <c r="E7" s="33">
        <f t="shared" si="0"/>
        <v>740.82999999999993</v>
      </c>
      <c r="H7" s="1">
        <v>626.51</v>
      </c>
      <c r="I7" s="1">
        <v>114.32</v>
      </c>
      <c r="L7" s="31" t="s">
        <v>1781</v>
      </c>
      <c r="M7" s="32">
        <v>1842.9</v>
      </c>
      <c r="N7" s="32">
        <v>740.82999999999993</v>
      </c>
      <c r="O7" s="32"/>
      <c r="P7" s="32"/>
      <c r="Q7" s="32">
        <v>626.51</v>
      </c>
      <c r="R7" s="32">
        <v>114.32</v>
      </c>
    </row>
    <row r="8" spans="1:18">
      <c r="A8" s="9" t="s">
        <v>1734</v>
      </c>
      <c r="B8" t="s">
        <v>1758</v>
      </c>
      <c r="C8" s="5" t="s">
        <v>1760</v>
      </c>
      <c r="E8" s="33">
        <f t="shared" si="0"/>
        <v>250</v>
      </c>
      <c r="F8" s="1">
        <v>250</v>
      </c>
      <c r="L8" s="31" t="s">
        <v>1760</v>
      </c>
      <c r="M8" s="32"/>
      <c r="N8" s="32">
        <v>250</v>
      </c>
      <c r="O8" s="32">
        <v>250</v>
      </c>
      <c r="P8" s="32"/>
      <c r="Q8" s="32"/>
      <c r="R8" s="32"/>
    </row>
    <row r="9" spans="1:18">
      <c r="A9" s="9" t="s">
        <v>1150</v>
      </c>
      <c r="B9" t="s">
        <v>1298</v>
      </c>
      <c r="C9" s="5" t="s">
        <v>1300</v>
      </c>
      <c r="D9" s="1">
        <v>380</v>
      </c>
      <c r="E9" s="33">
        <f t="shared" si="0"/>
        <v>0</v>
      </c>
      <c r="L9" s="31" t="s">
        <v>1300</v>
      </c>
      <c r="M9" s="32">
        <v>380</v>
      </c>
      <c r="N9" s="32">
        <v>0</v>
      </c>
      <c r="O9" s="32"/>
      <c r="P9" s="32"/>
      <c r="Q9" s="32"/>
      <c r="R9" s="32"/>
    </row>
    <row r="10" spans="1:18">
      <c r="A10" s="9" t="s">
        <v>1734</v>
      </c>
      <c r="B10" t="s">
        <v>1739</v>
      </c>
      <c r="C10" s="5" t="s">
        <v>1741</v>
      </c>
      <c r="D10" s="1">
        <v>1179.0999999999999</v>
      </c>
      <c r="E10" s="33">
        <f t="shared" si="0"/>
        <v>0</v>
      </c>
      <c r="L10" s="31" t="s">
        <v>1741</v>
      </c>
      <c r="M10" s="32">
        <v>1179.0999999999999</v>
      </c>
      <c r="N10" s="32">
        <v>0</v>
      </c>
      <c r="O10" s="32"/>
      <c r="P10" s="32"/>
      <c r="Q10" s="32"/>
      <c r="R10" s="32"/>
    </row>
    <row r="11" spans="1:18">
      <c r="A11" s="9" t="s">
        <v>825</v>
      </c>
      <c r="B11" t="s">
        <v>1076</v>
      </c>
      <c r="C11" s="5" t="s">
        <v>1078</v>
      </c>
      <c r="E11" s="33">
        <f t="shared" si="0"/>
        <v>3868</v>
      </c>
      <c r="F11" s="1">
        <v>3868</v>
      </c>
      <c r="L11" s="31" t="s">
        <v>1078</v>
      </c>
      <c r="M11" s="32">
        <v>12233.6</v>
      </c>
      <c r="N11" s="32">
        <v>3868</v>
      </c>
      <c r="O11" s="32">
        <v>3868</v>
      </c>
      <c r="P11" s="32"/>
      <c r="Q11" s="32"/>
      <c r="R11" s="32"/>
    </row>
    <row r="12" spans="1:18">
      <c r="A12" s="9" t="s">
        <v>1150</v>
      </c>
      <c r="B12" t="s">
        <v>1076</v>
      </c>
      <c r="C12" s="5" t="s">
        <v>1078</v>
      </c>
      <c r="D12" s="1">
        <v>12233.6</v>
      </c>
      <c r="E12" s="33">
        <f t="shared" si="0"/>
        <v>0</v>
      </c>
      <c r="L12" s="31" t="s">
        <v>1733</v>
      </c>
      <c r="M12" s="32">
        <v>5731.33</v>
      </c>
      <c r="N12" s="32">
        <v>2285.67</v>
      </c>
      <c r="O12" s="32">
        <v>2285.67</v>
      </c>
      <c r="P12" s="32"/>
      <c r="Q12" s="32"/>
      <c r="R12" s="32"/>
    </row>
    <row r="13" spans="1:18">
      <c r="A13" s="9" t="s">
        <v>1901</v>
      </c>
      <c r="B13" t="s">
        <v>1731</v>
      </c>
      <c r="C13" s="5" t="s">
        <v>1733</v>
      </c>
      <c r="E13" s="33">
        <f t="shared" si="0"/>
        <v>2285.67</v>
      </c>
      <c r="F13" s="1">
        <v>2285.67</v>
      </c>
      <c r="L13" s="31" t="s">
        <v>641</v>
      </c>
      <c r="M13" s="32"/>
      <c r="N13" s="32">
        <v>1229.52</v>
      </c>
      <c r="O13" s="32"/>
      <c r="P13" s="32"/>
      <c r="Q13" s="32">
        <v>1229.52</v>
      </c>
      <c r="R13" s="32"/>
    </row>
    <row r="14" spans="1:18">
      <c r="A14" s="9" t="s">
        <v>1734</v>
      </c>
      <c r="B14" t="s">
        <v>1731</v>
      </c>
      <c r="C14" s="5" t="s">
        <v>1733</v>
      </c>
      <c r="D14" s="1">
        <v>5731.33</v>
      </c>
      <c r="E14" s="33">
        <f t="shared" si="0"/>
        <v>0</v>
      </c>
      <c r="L14" s="31" t="s">
        <v>797</v>
      </c>
      <c r="M14" s="32">
        <v>40789.980000000003</v>
      </c>
      <c r="N14" s="32">
        <v>0</v>
      </c>
      <c r="O14" s="32"/>
      <c r="P14" s="32"/>
      <c r="Q14" s="32"/>
      <c r="R14" s="32"/>
    </row>
    <row r="15" spans="1:18">
      <c r="A15" s="9" t="s">
        <v>13</v>
      </c>
      <c r="B15" t="s">
        <v>639</v>
      </c>
      <c r="C15" s="5" t="s">
        <v>641</v>
      </c>
      <c r="E15" s="33">
        <f t="shared" si="0"/>
        <v>1229.52</v>
      </c>
      <c r="H15" s="1">
        <v>1229.52</v>
      </c>
      <c r="L15" s="31" t="s">
        <v>835</v>
      </c>
      <c r="M15" s="32">
        <v>3036</v>
      </c>
      <c r="N15" s="32">
        <v>313711.55</v>
      </c>
      <c r="O15" s="32">
        <v>311736.90999999997</v>
      </c>
      <c r="P15" s="32">
        <v>1974.6399999999999</v>
      </c>
      <c r="Q15" s="32"/>
      <c r="R15" s="32"/>
    </row>
    <row r="16" spans="1:18">
      <c r="A16" s="9" t="s">
        <v>13</v>
      </c>
      <c r="B16" t="s">
        <v>795</v>
      </c>
      <c r="C16" s="5" t="s">
        <v>797</v>
      </c>
      <c r="D16" s="1">
        <v>40789.980000000003</v>
      </c>
      <c r="E16" s="33">
        <f t="shared" si="0"/>
        <v>0</v>
      </c>
      <c r="L16" s="31" t="s">
        <v>1766</v>
      </c>
      <c r="M16" s="32">
        <v>350</v>
      </c>
      <c r="N16" s="32">
        <v>0</v>
      </c>
      <c r="O16" s="32"/>
      <c r="P16" s="32"/>
      <c r="Q16" s="32"/>
      <c r="R16" s="32"/>
    </row>
    <row r="17" spans="1:18">
      <c r="A17" s="9" t="s">
        <v>825</v>
      </c>
      <c r="B17" t="s">
        <v>833</v>
      </c>
      <c r="C17" s="5" t="s">
        <v>835</v>
      </c>
      <c r="E17" s="33">
        <f t="shared" si="0"/>
        <v>312583.5</v>
      </c>
      <c r="F17" s="1">
        <v>311736.90999999997</v>
      </c>
      <c r="G17" s="1">
        <v>846.59</v>
      </c>
      <c r="L17" s="31" t="s">
        <v>1285</v>
      </c>
      <c r="M17" s="32"/>
      <c r="N17" s="32">
        <v>389</v>
      </c>
      <c r="O17" s="32">
        <v>389</v>
      </c>
      <c r="P17" s="32"/>
      <c r="Q17" s="32"/>
      <c r="R17" s="32"/>
    </row>
    <row r="18" spans="1:18">
      <c r="A18" s="9" t="s">
        <v>1734</v>
      </c>
      <c r="B18" t="s">
        <v>833</v>
      </c>
      <c r="C18" s="5" t="s">
        <v>835</v>
      </c>
      <c r="D18" s="1">
        <v>3036</v>
      </c>
      <c r="E18" s="33">
        <f t="shared" si="0"/>
        <v>1128.05</v>
      </c>
      <c r="G18" s="1">
        <v>1128.05</v>
      </c>
      <c r="L18" s="31" t="s">
        <v>1214</v>
      </c>
      <c r="M18" s="32"/>
      <c r="N18" s="32">
        <v>478.26</v>
      </c>
      <c r="O18" s="32"/>
      <c r="P18" s="32">
        <v>438.96</v>
      </c>
      <c r="Q18" s="32">
        <v>39.299999999999997</v>
      </c>
      <c r="R18" s="32"/>
    </row>
    <row r="19" spans="1:18">
      <c r="A19" s="9" t="s">
        <v>1734</v>
      </c>
      <c r="B19" t="s">
        <v>1764</v>
      </c>
      <c r="C19" s="5" t="s">
        <v>1766</v>
      </c>
      <c r="D19" s="1">
        <v>350</v>
      </c>
      <c r="E19" s="33">
        <f t="shared" si="0"/>
        <v>0</v>
      </c>
      <c r="L19" s="31" t="s">
        <v>1024</v>
      </c>
      <c r="M19" s="32"/>
      <c r="N19" s="32">
        <v>1495.67</v>
      </c>
      <c r="O19" s="32">
        <v>1199</v>
      </c>
      <c r="P19" s="32"/>
      <c r="Q19" s="32">
        <v>296.67</v>
      </c>
      <c r="R19" s="32"/>
    </row>
    <row r="20" spans="1:18">
      <c r="A20" s="9" t="s">
        <v>1150</v>
      </c>
      <c r="B20" t="s">
        <v>1283</v>
      </c>
      <c r="C20" s="5" t="s">
        <v>1285</v>
      </c>
      <c r="E20" s="33">
        <f t="shared" si="0"/>
        <v>389</v>
      </c>
      <c r="F20" s="1">
        <v>389</v>
      </c>
      <c r="L20" s="31" t="s">
        <v>910</v>
      </c>
      <c r="M20" s="32">
        <v>16400</v>
      </c>
      <c r="N20" s="32">
        <v>0</v>
      </c>
      <c r="O20" s="32"/>
      <c r="P20" s="32"/>
      <c r="Q20" s="32"/>
      <c r="R20" s="32"/>
    </row>
    <row r="21" spans="1:18">
      <c r="A21" s="9" t="s">
        <v>1150</v>
      </c>
      <c r="B21" t="s">
        <v>1212</v>
      </c>
      <c r="C21" s="5" t="s">
        <v>1214</v>
      </c>
      <c r="E21" s="33">
        <f t="shared" si="0"/>
        <v>478.26</v>
      </c>
      <c r="G21" s="1">
        <v>438.96</v>
      </c>
      <c r="H21" s="1">
        <v>39.299999999999997</v>
      </c>
      <c r="L21" s="31" t="s">
        <v>1039</v>
      </c>
      <c r="M21" s="32"/>
      <c r="N21" s="32">
        <v>2404</v>
      </c>
      <c r="O21" s="32"/>
      <c r="P21" s="32">
        <v>2404</v>
      </c>
      <c r="Q21" s="32"/>
      <c r="R21" s="32"/>
    </row>
    <row r="22" spans="1:18">
      <c r="A22" s="9" t="s">
        <v>825</v>
      </c>
      <c r="B22" t="s">
        <v>1022</v>
      </c>
      <c r="C22" s="5" t="s">
        <v>1024</v>
      </c>
      <c r="E22" s="33">
        <f t="shared" si="0"/>
        <v>1495.67</v>
      </c>
      <c r="F22" s="1">
        <v>1199</v>
      </c>
      <c r="H22" s="1">
        <v>296.67</v>
      </c>
      <c r="L22" s="31" t="s">
        <v>979</v>
      </c>
      <c r="M22" s="32">
        <v>940</v>
      </c>
      <c r="N22" s="32">
        <v>0</v>
      </c>
      <c r="O22" s="32"/>
      <c r="P22" s="32"/>
      <c r="Q22" s="32"/>
      <c r="R22" s="32"/>
    </row>
    <row r="23" spans="1:18">
      <c r="A23" s="9" t="s">
        <v>825</v>
      </c>
      <c r="B23" t="s">
        <v>908</v>
      </c>
      <c r="C23" s="5" t="s">
        <v>910</v>
      </c>
      <c r="D23" s="1">
        <v>16400</v>
      </c>
      <c r="E23" s="33">
        <f t="shared" si="0"/>
        <v>0</v>
      </c>
      <c r="L23" s="31" t="s">
        <v>1160</v>
      </c>
      <c r="M23" s="32">
        <v>14320.93</v>
      </c>
      <c r="N23" s="32">
        <v>0</v>
      </c>
      <c r="O23" s="32"/>
      <c r="P23" s="32"/>
      <c r="Q23" s="32"/>
      <c r="R23" s="32"/>
    </row>
    <row r="24" spans="1:18">
      <c r="A24" s="9" t="s">
        <v>825</v>
      </c>
      <c r="B24" t="s">
        <v>1037</v>
      </c>
      <c r="C24" s="5" t="s">
        <v>1039</v>
      </c>
      <c r="E24" s="33">
        <f t="shared" si="0"/>
        <v>2404</v>
      </c>
      <c r="G24" s="1">
        <v>2404</v>
      </c>
      <c r="L24" s="31" t="s">
        <v>1778</v>
      </c>
      <c r="M24" s="32">
        <v>10238.36</v>
      </c>
      <c r="N24" s="32">
        <v>5159.03</v>
      </c>
      <c r="O24" s="32">
        <v>5159.03</v>
      </c>
      <c r="P24" s="32"/>
      <c r="Q24" s="32"/>
      <c r="R24" s="32"/>
    </row>
    <row r="25" spans="1:18">
      <c r="A25" s="9" t="s">
        <v>825</v>
      </c>
      <c r="B25" t="s">
        <v>977</v>
      </c>
      <c r="C25" s="5" t="s">
        <v>979</v>
      </c>
      <c r="D25" s="1">
        <v>940</v>
      </c>
      <c r="E25" s="33">
        <f t="shared" si="0"/>
        <v>0</v>
      </c>
      <c r="L25" s="31" t="s">
        <v>1169</v>
      </c>
      <c r="M25" s="32"/>
      <c r="N25" s="32">
        <v>2254.3199999999997</v>
      </c>
      <c r="O25" s="32">
        <v>115</v>
      </c>
      <c r="P25" s="32"/>
      <c r="Q25" s="32">
        <v>2139.3199999999997</v>
      </c>
      <c r="R25" s="32"/>
    </row>
    <row r="26" spans="1:18">
      <c r="A26" s="9" t="s">
        <v>1150</v>
      </c>
      <c r="B26" t="s">
        <v>1158</v>
      </c>
      <c r="C26" s="5" t="s">
        <v>1160</v>
      </c>
      <c r="D26" s="1">
        <v>14320.93</v>
      </c>
      <c r="E26" s="33">
        <f t="shared" si="0"/>
        <v>0</v>
      </c>
      <c r="L26" s="31" t="s">
        <v>874</v>
      </c>
      <c r="M26" s="32">
        <v>1300</v>
      </c>
      <c r="N26" s="32">
        <v>2006.7249999999999</v>
      </c>
      <c r="O26" s="32"/>
      <c r="P26" s="32">
        <v>434.45</v>
      </c>
      <c r="Q26" s="32">
        <v>1392.1149999999998</v>
      </c>
      <c r="R26" s="32">
        <v>180.16</v>
      </c>
    </row>
    <row r="27" spans="1:18">
      <c r="A27" s="9" t="s">
        <v>1734</v>
      </c>
      <c r="B27" t="s">
        <v>1776</v>
      </c>
      <c r="C27" s="5" t="s">
        <v>1778</v>
      </c>
      <c r="D27" s="1">
        <v>10238.36</v>
      </c>
      <c r="E27" s="33">
        <f t="shared" si="0"/>
        <v>5159.03</v>
      </c>
      <c r="F27" s="1">
        <v>5159.03</v>
      </c>
      <c r="L27" s="31" t="s">
        <v>973</v>
      </c>
      <c r="M27" s="32">
        <v>0</v>
      </c>
      <c r="N27" s="32">
        <v>0</v>
      </c>
      <c r="O27" s="32"/>
      <c r="P27" s="32"/>
      <c r="Q27" s="32"/>
      <c r="R27" s="32"/>
    </row>
    <row r="28" spans="1:18">
      <c r="A28" s="9" t="s">
        <v>1150</v>
      </c>
      <c r="B28" t="s">
        <v>1167</v>
      </c>
      <c r="C28" s="5" t="s">
        <v>1169</v>
      </c>
      <c r="E28" s="33">
        <f t="shared" si="0"/>
        <v>361.2</v>
      </c>
      <c r="H28" s="1">
        <v>361.2</v>
      </c>
      <c r="L28" s="31" t="s">
        <v>994</v>
      </c>
      <c r="M28" s="32"/>
      <c r="N28" s="32">
        <v>3483.6</v>
      </c>
      <c r="O28" s="32"/>
      <c r="P28" s="32">
        <v>1644.48</v>
      </c>
      <c r="Q28" s="32">
        <v>1839.1200000000001</v>
      </c>
      <c r="R28" s="32"/>
    </row>
    <row r="29" spans="1:18">
      <c r="A29" s="9" t="s">
        <v>1901</v>
      </c>
      <c r="B29" t="s">
        <v>1167</v>
      </c>
      <c r="C29" s="5" t="s">
        <v>1169</v>
      </c>
      <c r="E29" s="33">
        <f t="shared" si="0"/>
        <v>115</v>
      </c>
      <c r="F29" s="1">
        <v>115</v>
      </c>
      <c r="L29" s="31" t="s">
        <v>1000</v>
      </c>
      <c r="M29" s="32">
        <v>26558.66</v>
      </c>
      <c r="N29" s="32">
        <v>12635.6</v>
      </c>
      <c r="O29" s="32">
        <v>12635.6</v>
      </c>
      <c r="P29" s="32"/>
      <c r="Q29" s="32"/>
      <c r="R29" s="32"/>
    </row>
    <row r="30" spans="1:18">
      <c r="A30" s="9" t="s">
        <v>1734</v>
      </c>
      <c r="B30" t="s">
        <v>1167</v>
      </c>
      <c r="C30" s="5" t="s">
        <v>1169</v>
      </c>
      <c r="E30" s="33">
        <f t="shared" si="0"/>
        <v>1778.12</v>
      </c>
      <c r="F30" s="1">
        <v>0</v>
      </c>
      <c r="H30" s="1">
        <v>1778.12</v>
      </c>
      <c r="L30" s="31" t="s">
        <v>1084</v>
      </c>
      <c r="M30" s="32">
        <v>4511.68</v>
      </c>
      <c r="N30" s="32">
        <v>0</v>
      </c>
      <c r="O30" s="32"/>
      <c r="P30" s="32"/>
      <c r="Q30" s="32"/>
      <c r="R30" s="32"/>
    </row>
    <row r="31" spans="1:18">
      <c r="A31" s="9" t="s">
        <v>825</v>
      </c>
      <c r="B31" t="s">
        <v>872</v>
      </c>
      <c r="C31" s="5" t="s">
        <v>874</v>
      </c>
      <c r="D31" s="1">
        <v>1300</v>
      </c>
      <c r="E31" s="33">
        <f t="shared" si="0"/>
        <v>1867.345</v>
      </c>
      <c r="G31" s="1">
        <v>434.45</v>
      </c>
      <c r="H31" s="1">
        <v>1252.7349999999999</v>
      </c>
      <c r="I31" s="1">
        <v>180.16</v>
      </c>
      <c r="L31" s="31" t="s">
        <v>1787</v>
      </c>
      <c r="M31" s="32">
        <v>1871.9</v>
      </c>
      <c r="N31" s="32">
        <v>0</v>
      </c>
      <c r="O31" s="32">
        <v>0</v>
      </c>
      <c r="P31" s="32"/>
      <c r="Q31" s="32"/>
      <c r="R31" s="32"/>
    </row>
    <row r="32" spans="1:18">
      <c r="A32" s="9" t="s">
        <v>1150</v>
      </c>
      <c r="B32" t="s">
        <v>872</v>
      </c>
      <c r="C32" s="5" t="s">
        <v>874</v>
      </c>
      <c r="E32" s="33">
        <f t="shared" si="0"/>
        <v>139.38</v>
      </c>
      <c r="H32" s="1">
        <v>139.38</v>
      </c>
      <c r="L32" s="31" t="s">
        <v>1288</v>
      </c>
      <c r="M32" s="32">
        <v>2500</v>
      </c>
      <c r="N32" s="32">
        <v>0</v>
      </c>
      <c r="O32" s="32"/>
      <c r="P32" s="32"/>
      <c r="Q32" s="32"/>
      <c r="R32" s="32"/>
    </row>
    <row r="33" spans="1:18">
      <c r="A33" s="9" t="s">
        <v>825</v>
      </c>
      <c r="B33" t="s">
        <v>971</v>
      </c>
      <c r="C33" s="5" t="s">
        <v>973</v>
      </c>
      <c r="D33" s="1">
        <v>0</v>
      </c>
      <c r="E33" s="33">
        <f t="shared" si="0"/>
        <v>0</v>
      </c>
      <c r="L33" s="31" t="s">
        <v>1069</v>
      </c>
      <c r="M33" s="32">
        <v>3871.27</v>
      </c>
      <c r="N33" s="32">
        <v>1152.22</v>
      </c>
      <c r="O33" s="32"/>
      <c r="P33" s="32"/>
      <c r="Q33" s="32">
        <v>1152.22</v>
      </c>
      <c r="R33" s="32"/>
    </row>
    <row r="34" spans="1:18">
      <c r="A34" s="9" t="s">
        <v>825</v>
      </c>
      <c r="B34" t="s">
        <v>992</v>
      </c>
      <c r="C34" s="5" t="s">
        <v>994</v>
      </c>
      <c r="E34" s="33">
        <f t="shared" si="0"/>
        <v>3292.44</v>
      </c>
      <c r="G34" s="1">
        <v>1644.48</v>
      </c>
      <c r="H34" s="1">
        <v>1647.96</v>
      </c>
      <c r="L34" s="31" t="s">
        <v>716</v>
      </c>
      <c r="M34" s="32"/>
      <c r="N34" s="32">
        <v>2494.86</v>
      </c>
      <c r="O34" s="32"/>
      <c r="P34" s="32">
        <v>2494.86</v>
      </c>
      <c r="Q34" s="32"/>
      <c r="R34" s="32"/>
    </row>
    <row r="35" spans="1:18">
      <c r="A35" s="9" t="s">
        <v>1150</v>
      </c>
      <c r="B35" t="s">
        <v>992</v>
      </c>
      <c r="C35" s="5" t="s">
        <v>994</v>
      </c>
      <c r="E35" s="33">
        <f t="shared" si="0"/>
        <v>191.16</v>
      </c>
      <c r="H35" s="1">
        <v>191.16</v>
      </c>
      <c r="L35" s="31" t="s">
        <v>779</v>
      </c>
      <c r="M35" s="32"/>
      <c r="N35" s="32">
        <v>1088.8499999999999</v>
      </c>
      <c r="O35" s="32"/>
      <c r="P35" s="32">
        <v>1088.8499999999999</v>
      </c>
      <c r="Q35" s="32"/>
      <c r="R35" s="32"/>
    </row>
    <row r="36" spans="1:18">
      <c r="A36" s="9" t="s">
        <v>825</v>
      </c>
      <c r="B36" t="s">
        <v>998</v>
      </c>
      <c r="C36" s="5" t="s">
        <v>1000</v>
      </c>
      <c r="E36" s="33">
        <f t="shared" si="0"/>
        <v>12635.6</v>
      </c>
      <c r="F36" s="1">
        <v>12635.6</v>
      </c>
      <c r="L36" s="31" t="s">
        <v>895</v>
      </c>
      <c r="M36" s="32">
        <v>2599.87</v>
      </c>
      <c r="N36" s="32">
        <v>850</v>
      </c>
      <c r="O36" s="32">
        <v>850</v>
      </c>
      <c r="P36" s="32"/>
      <c r="Q36" s="32"/>
      <c r="R36" s="32"/>
    </row>
    <row r="37" spans="1:18">
      <c r="A37" s="9" t="s">
        <v>1150</v>
      </c>
      <c r="B37" t="s">
        <v>998</v>
      </c>
      <c r="C37" s="5" t="s">
        <v>1000</v>
      </c>
      <c r="D37" s="1">
        <v>26558.66</v>
      </c>
      <c r="E37" s="33">
        <f t="shared" si="0"/>
        <v>0</v>
      </c>
      <c r="L37" s="31" t="s">
        <v>593</v>
      </c>
      <c r="M37" s="32"/>
      <c r="N37" s="32">
        <v>588.62</v>
      </c>
      <c r="O37" s="32">
        <v>40</v>
      </c>
      <c r="P37" s="32">
        <v>98.02</v>
      </c>
      <c r="Q37" s="32">
        <v>450.6</v>
      </c>
      <c r="R37" s="32"/>
    </row>
    <row r="38" spans="1:18">
      <c r="A38" s="9" t="s">
        <v>825</v>
      </c>
      <c r="B38" t="s">
        <v>1082</v>
      </c>
      <c r="C38" s="5" t="s">
        <v>1084</v>
      </c>
      <c r="D38" s="1">
        <v>4511.68</v>
      </c>
      <c r="E38" s="33">
        <f t="shared" si="0"/>
        <v>0</v>
      </c>
      <c r="L38" s="31" t="s">
        <v>964</v>
      </c>
      <c r="M38" s="32">
        <v>13596.66</v>
      </c>
      <c r="N38" s="32">
        <v>0</v>
      </c>
      <c r="O38" s="32"/>
      <c r="P38" s="32"/>
      <c r="Q38" s="32"/>
      <c r="R38" s="32"/>
    </row>
    <row r="39" spans="1:18">
      <c r="A39" s="9" t="s">
        <v>1734</v>
      </c>
      <c r="B39" t="s">
        <v>1785</v>
      </c>
      <c r="C39" s="5" t="s">
        <v>1787</v>
      </c>
      <c r="D39" s="1">
        <v>1871.9</v>
      </c>
      <c r="E39" s="33">
        <f t="shared" si="0"/>
        <v>0</v>
      </c>
      <c r="F39" s="1">
        <v>0</v>
      </c>
      <c r="L39" s="31" t="s">
        <v>1845</v>
      </c>
      <c r="M39" s="32"/>
      <c r="N39" s="32">
        <v>0</v>
      </c>
      <c r="O39" s="32">
        <v>0</v>
      </c>
      <c r="P39" s="32"/>
      <c r="Q39" s="32"/>
      <c r="R39" s="32"/>
    </row>
    <row r="40" spans="1:18">
      <c r="A40" s="9" t="s">
        <v>1150</v>
      </c>
      <c r="B40" t="s">
        <v>1286</v>
      </c>
      <c r="C40" s="5" t="s">
        <v>1288</v>
      </c>
      <c r="D40" s="1">
        <v>2500</v>
      </c>
      <c r="E40" s="33">
        <f t="shared" si="0"/>
        <v>0</v>
      </c>
      <c r="L40" s="31" t="s">
        <v>841</v>
      </c>
      <c r="M40" s="32">
        <v>715.91</v>
      </c>
      <c r="N40" s="32">
        <v>555</v>
      </c>
      <c r="O40" s="32">
        <v>555</v>
      </c>
      <c r="P40" s="32"/>
      <c r="Q40" s="32"/>
      <c r="R40" s="32"/>
    </row>
    <row r="41" spans="1:18">
      <c r="A41" s="9" t="s">
        <v>825</v>
      </c>
      <c r="B41" t="s">
        <v>1067</v>
      </c>
      <c r="C41" s="5" t="s">
        <v>1069</v>
      </c>
      <c r="D41" s="1">
        <v>3871.27</v>
      </c>
      <c r="E41" s="33">
        <f t="shared" si="0"/>
        <v>0</v>
      </c>
      <c r="L41" s="31" t="s">
        <v>829</v>
      </c>
      <c r="M41" s="32">
        <v>1380.67</v>
      </c>
      <c r="N41" s="32">
        <v>2066</v>
      </c>
      <c r="O41" s="32">
        <v>2066</v>
      </c>
      <c r="P41" s="32"/>
      <c r="Q41" s="32"/>
      <c r="R41" s="32"/>
    </row>
    <row r="42" spans="1:18">
      <c r="A42" s="9" t="s">
        <v>1150</v>
      </c>
      <c r="B42" t="s">
        <v>1067</v>
      </c>
      <c r="C42" s="5" t="s">
        <v>1069</v>
      </c>
      <c r="E42" s="33">
        <f t="shared" si="0"/>
        <v>1152.22</v>
      </c>
      <c r="H42" s="1">
        <v>1152.22</v>
      </c>
      <c r="L42" s="31" t="s">
        <v>1279</v>
      </c>
      <c r="M42" s="32"/>
      <c r="N42" s="32">
        <v>10028.525</v>
      </c>
      <c r="O42" s="32"/>
      <c r="P42" s="32"/>
      <c r="Q42" s="32">
        <v>5887.2449999999999</v>
      </c>
      <c r="R42" s="32">
        <v>4141.28</v>
      </c>
    </row>
    <row r="43" spans="1:18">
      <c r="A43" s="9" t="s">
        <v>13</v>
      </c>
      <c r="B43" t="s">
        <v>714</v>
      </c>
      <c r="C43" s="5" t="s">
        <v>716</v>
      </c>
      <c r="E43" s="33">
        <f t="shared" si="0"/>
        <v>2494.86</v>
      </c>
      <c r="G43" s="1">
        <v>2494.86</v>
      </c>
      <c r="L43" s="31" t="s">
        <v>982</v>
      </c>
      <c r="M43" s="32">
        <v>8612.8799999999992</v>
      </c>
      <c r="N43" s="32">
        <v>703.83</v>
      </c>
      <c r="O43" s="32"/>
      <c r="P43" s="32"/>
      <c r="Q43" s="32">
        <v>201.03</v>
      </c>
      <c r="R43" s="32">
        <v>502.8</v>
      </c>
    </row>
    <row r="44" spans="1:18">
      <c r="A44" s="9" t="s">
        <v>13</v>
      </c>
      <c r="B44" t="s">
        <v>777</v>
      </c>
      <c r="C44" s="5" t="s">
        <v>779</v>
      </c>
      <c r="E44" s="33">
        <f t="shared" si="0"/>
        <v>1088.8499999999999</v>
      </c>
      <c r="G44" s="1">
        <v>1088.8499999999999</v>
      </c>
      <c r="L44" s="31" t="s">
        <v>937</v>
      </c>
      <c r="M44" s="32">
        <v>41634</v>
      </c>
      <c r="N44" s="32">
        <v>56832.66</v>
      </c>
      <c r="O44" s="32">
        <v>634</v>
      </c>
      <c r="P44" s="32">
        <v>56198.66</v>
      </c>
      <c r="Q44" s="32"/>
      <c r="R44" s="32"/>
    </row>
    <row r="45" spans="1:18">
      <c r="A45" s="9" t="s">
        <v>825</v>
      </c>
      <c r="B45" t="s">
        <v>893</v>
      </c>
      <c r="C45" s="5" t="s">
        <v>895</v>
      </c>
      <c r="D45" s="1">
        <v>2599.87</v>
      </c>
      <c r="E45" s="33">
        <f t="shared" si="0"/>
        <v>850</v>
      </c>
      <c r="F45" s="1">
        <v>850</v>
      </c>
      <c r="L45" s="31" t="s">
        <v>892</v>
      </c>
      <c r="M45" s="32"/>
      <c r="N45" s="32">
        <v>4254.92</v>
      </c>
      <c r="O45" s="32">
        <v>4254.92</v>
      </c>
      <c r="P45" s="32"/>
      <c r="Q45" s="32"/>
      <c r="R45" s="32"/>
    </row>
    <row r="46" spans="1:18">
      <c r="A46" s="9" t="s">
        <v>13</v>
      </c>
      <c r="B46" t="s">
        <v>591</v>
      </c>
      <c r="C46" s="5" t="s">
        <v>593</v>
      </c>
      <c r="E46" s="33">
        <f t="shared" si="0"/>
        <v>40</v>
      </c>
      <c r="F46" s="1">
        <v>40</v>
      </c>
      <c r="L46" s="31" t="s">
        <v>988</v>
      </c>
      <c r="M46" s="32"/>
      <c r="N46" s="32">
        <v>128</v>
      </c>
      <c r="O46" s="32"/>
      <c r="P46" s="32">
        <v>128</v>
      </c>
      <c r="Q46" s="32"/>
      <c r="R46" s="32"/>
    </row>
    <row r="47" spans="1:18">
      <c r="A47" s="9" t="s">
        <v>1150</v>
      </c>
      <c r="B47" t="s">
        <v>591</v>
      </c>
      <c r="C47" s="5" t="s">
        <v>593</v>
      </c>
      <c r="E47" s="33">
        <f t="shared" si="0"/>
        <v>548.62</v>
      </c>
      <c r="G47" s="1">
        <v>98.02</v>
      </c>
      <c r="H47" s="1">
        <v>450.6</v>
      </c>
      <c r="L47" s="31" t="s">
        <v>713</v>
      </c>
      <c r="M47" s="32"/>
      <c r="N47" s="32">
        <v>952.38000000000011</v>
      </c>
      <c r="O47" s="32"/>
      <c r="P47" s="32">
        <v>952.38000000000011</v>
      </c>
      <c r="Q47" s="32"/>
      <c r="R47" s="32"/>
    </row>
    <row r="48" spans="1:18">
      <c r="A48" s="9" t="s">
        <v>825</v>
      </c>
      <c r="B48" t="s">
        <v>962</v>
      </c>
      <c r="C48" s="5" t="s">
        <v>964</v>
      </c>
      <c r="D48" s="1">
        <v>13596.66</v>
      </c>
      <c r="E48" s="33">
        <f t="shared" si="0"/>
        <v>0</v>
      </c>
      <c r="L48" s="31" t="s">
        <v>1027</v>
      </c>
      <c r="M48" s="32"/>
      <c r="N48" s="32">
        <v>850</v>
      </c>
      <c r="O48" s="32">
        <v>850</v>
      </c>
      <c r="P48" s="32"/>
      <c r="Q48" s="32"/>
      <c r="R48" s="32"/>
    </row>
    <row r="49" spans="1:18">
      <c r="A49" s="9" t="s">
        <v>1734</v>
      </c>
      <c r="B49" t="s">
        <v>1843</v>
      </c>
      <c r="C49" s="5" t="s">
        <v>1845</v>
      </c>
      <c r="E49" s="33">
        <f t="shared" si="0"/>
        <v>0</v>
      </c>
      <c r="F49" s="1">
        <v>0</v>
      </c>
      <c r="L49" s="31" t="s">
        <v>1291</v>
      </c>
      <c r="M49" s="32"/>
      <c r="N49" s="32">
        <v>827.6</v>
      </c>
      <c r="O49" s="32"/>
      <c r="P49" s="32"/>
      <c r="Q49" s="32">
        <v>827.6</v>
      </c>
      <c r="R49" s="32"/>
    </row>
    <row r="50" spans="1:18">
      <c r="A50" s="9" t="s">
        <v>825</v>
      </c>
      <c r="B50" t="s">
        <v>839</v>
      </c>
      <c r="C50" s="5" t="s">
        <v>841</v>
      </c>
      <c r="D50" s="1">
        <v>715.91</v>
      </c>
      <c r="E50" s="33">
        <f t="shared" si="0"/>
        <v>555</v>
      </c>
      <c r="F50" s="1">
        <v>555</v>
      </c>
      <c r="L50" s="31" t="s">
        <v>710</v>
      </c>
      <c r="M50" s="32"/>
      <c r="N50" s="32">
        <v>5313.8249999999998</v>
      </c>
      <c r="O50" s="32"/>
      <c r="P50" s="32">
        <v>2410.9900000000002</v>
      </c>
      <c r="Q50" s="32">
        <v>2902.835</v>
      </c>
      <c r="R50" s="32"/>
    </row>
    <row r="51" spans="1:18">
      <c r="A51" s="9" t="s">
        <v>825</v>
      </c>
      <c r="B51" t="s">
        <v>827</v>
      </c>
      <c r="C51" s="5" t="s">
        <v>829</v>
      </c>
      <c r="D51" s="1">
        <v>1380.67</v>
      </c>
      <c r="E51" s="33">
        <f t="shared" si="0"/>
        <v>2066</v>
      </c>
      <c r="F51" s="1">
        <v>2066</v>
      </c>
      <c r="L51" s="31" t="s">
        <v>1809</v>
      </c>
      <c r="M51" s="32"/>
      <c r="N51" s="32">
        <v>1372.18</v>
      </c>
      <c r="O51" s="32"/>
      <c r="P51" s="32">
        <v>1372.18</v>
      </c>
      <c r="Q51" s="32"/>
      <c r="R51" s="32"/>
    </row>
    <row r="52" spans="1:18">
      <c r="A52" s="9" t="s">
        <v>1150</v>
      </c>
      <c r="B52" t="s">
        <v>1277</v>
      </c>
      <c r="C52" s="5" t="s">
        <v>1279</v>
      </c>
      <c r="E52" s="33">
        <f t="shared" si="0"/>
        <v>9732.8549999999996</v>
      </c>
      <c r="H52" s="1">
        <v>5732.2049999999999</v>
      </c>
      <c r="I52" s="1">
        <v>4000.65</v>
      </c>
      <c r="L52" s="31" t="s">
        <v>952</v>
      </c>
      <c r="M52" s="32"/>
      <c r="N52" s="32">
        <v>3141.67</v>
      </c>
      <c r="O52" s="32"/>
      <c r="P52" s="32">
        <v>2334.61</v>
      </c>
      <c r="Q52" s="32">
        <v>807.06</v>
      </c>
      <c r="R52" s="32"/>
    </row>
    <row r="53" spans="1:18">
      <c r="A53" s="17" t="s">
        <v>1901</v>
      </c>
      <c r="B53" t="s">
        <v>1277</v>
      </c>
      <c r="C53" s="5" t="s">
        <v>1279</v>
      </c>
      <c r="E53" s="33">
        <f t="shared" si="0"/>
        <v>295.66999999999996</v>
      </c>
      <c r="H53" s="1">
        <v>155.04</v>
      </c>
      <c r="I53" s="1">
        <v>140.63</v>
      </c>
      <c r="L53" s="31" t="s">
        <v>1012</v>
      </c>
      <c r="M53" s="32">
        <v>6390.32</v>
      </c>
      <c r="N53" s="32">
        <v>0</v>
      </c>
      <c r="O53" s="32"/>
      <c r="P53" s="32"/>
      <c r="Q53" s="32"/>
      <c r="R53" s="32"/>
    </row>
    <row r="54" spans="1:18">
      <c r="A54" s="9" t="s">
        <v>825</v>
      </c>
      <c r="B54" t="s">
        <v>980</v>
      </c>
      <c r="C54" s="5" t="s">
        <v>982</v>
      </c>
      <c r="D54" s="1">
        <v>8612.8799999999992</v>
      </c>
      <c r="E54" s="33">
        <f t="shared" si="0"/>
        <v>0</v>
      </c>
      <c r="L54" s="31" t="s">
        <v>1157</v>
      </c>
      <c r="M54" s="32">
        <v>2776.67</v>
      </c>
      <c r="N54" s="32">
        <v>0</v>
      </c>
      <c r="O54" s="32"/>
      <c r="P54" s="32"/>
      <c r="Q54" s="32"/>
      <c r="R54" s="32"/>
    </row>
    <row r="55" spans="1:18">
      <c r="A55" s="9" t="s">
        <v>1150</v>
      </c>
      <c r="B55" t="s">
        <v>980</v>
      </c>
      <c r="C55" s="5" t="s">
        <v>982</v>
      </c>
      <c r="E55" s="33">
        <f t="shared" si="0"/>
        <v>703.83</v>
      </c>
      <c r="H55" s="1">
        <v>201.03</v>
      </c>
      <c r="I55" s="1">
        <v>502.8</v>
      </c>
      <c r="L55" s="31" t="s">
        <v>1234</v>
      </c>
      <c r="M55" s="32">
        <v>1429.84</v>
      </c>
      <c r="N55" s="32">
        <v>0</v>
      </c>
      <c r="O55" s="32"/>
      <c r="P55" s="32"/>
      <c r="Q55" s="32"/>
      <c r="R55" s="32"/>
    </row>
    <row r="56" spans="1:18">
      <c r="A56" s="9" t="s">
        <v>825</v>
      </c>
      <c r="B56" t="s">
        <v>935</v>
      </c>
      <c r="C56" s="5" t="s">
        <v>937</v>
      </c>
      <c r="D56" s="1">
        <v>41634</v>
      </c>
      <c r="E56" s="33">
        <f t="shared" si="0"/>
        <v>56340.41</v>
      </c>
      <c r="F56" s="1">
        <v>634</v>
      </c>
      <c r="G56" s="1">
        <v>55706.41</v>
      </c>
      <c r="L56" s="31" t="s">
        <v>1093</v>
      </c>
      <c r="M56" s="32"/>
      <c r="N56" s="32">
        <v>211.92</v>
      </c>
      <c r="O56" s="32"/>
      <c r="P56" s="32"/>
      <c r="Q56" s="32">
        <v>211.92</v>
      </c>
      <c r="R56" s="32"/>
    </row>
    <row r="57" spans="1:18">
      <c r="A57" s="9" t="s">
        <v>1150</v>
      </c>
      <c r="B57" t="s">
        <v>935</v>
      </c>
      <c r="C57" s="5" t="s">
        <v>937</v>
      </c>
      <c r="E57" s="33">
        <f t="shared" si="0"/>
        <v>492.25</v>
      </c>
      <c r="G57" s="1">
        <v>492.25</v>
      </c>
      <c r="L57" s="31" t="s">
        <v>1751</v>
      </c>
      <c r="M57" s="32"/>
      <c r="N57" s="32">
        <v>652.57000000000005</v>
      </c>
      <c r="O57" s="32"/>
      <c r="P57" s="32">
        <v>652.57000000000005</v>
      </c>
      <c r="Q57" s="32"/>
      <c r="R57" s="32"/>
    </row>
    <row r="58" spans="1:18">
      <c r="A58" s="9" t="s">
        <v>825</v>
      </c>
      <c r="B58" t="s">
        <v>890</v>
      </c>
      <c r="C58" s="5" t="s">
        <v>892</v>
      </c>
      <c r="E58" s="33">
        <f t="shared" si="0"/>
        <v>4254.92</v>
      </c>
      <c r="F58" s="1">
        <v>4254.92</v>
      </c>
      <c r="L58" s="31" t="s">
        <v>1821</v>
      </c>
      <c r="M58" s="32">
        <v>4500</v>
      </c>
      <c r="N58" s="32">
        <v>0</v>
      </c>
      <c r="O58" s="32"/>
      <c r="P58" s="32"/>
      <c r="Q58" s="32"/>
      <c r="R58" s="32"/>
    </row>
    <row r="59" spans="1:18">
      <c r="A59" s="9" t="s">
        <v>825</v>
      </c>
      <c r="B59" t="s">
        <v>986</v>
      </c>
      <c r="C59" s="5" t="s">
        <v>988</v>
      </c>
      <c r="E59" s="33">
        <f t="shared" si="0"/>
        <v>128</v>
      </c>
      <c r="G59" s="1">
        <v>128</v>
      </c>
      <c r="L59" s="31" t="s">
        <v>1869</v>
      </c>
      <c r="M59" s="32">
        <v>1230</v>
      </c>
      <c r="N59" s="32">
        <v>397.53</v>
      </c>
      <c r="O59" s="32"/>
      <c r="P59" s="32">
        <v>397.53</v>
      </c>
      <c r="Q59" s="32"/>
      <c r="R59" s="32"/>
    </row>
    <row r="60" spans="1:18">
      <c r="A60" s="9" t="s">
        <v>13</v>
      </c>
      <c r="B60" t="s">
        <v>711</v>
      </c>
      <c r="C60" s="5" t="s">
        <v>713</v>
      </c>
      <c r="E60" s="33">
        <f t="shared" si="0"/>
        <v>567.84</v>
      </c>
      <c r="G60" s="1">
        <v>567.84</v>
      </c>
      <c r="L60" s="31" t="s">
        <v>1015</v>
      </c>
      <c r="M60" s="32">
        <v>29000</v>
      </c>
      <c r="N60" s="32">
        <v>17830.689999999999</v>
      </c>
      <c r="O60" s="32"/>
      <c r="P60" s="32">
        <v>17830.689999999999</v>
      </c>
      <c r="Q60" s="32"/>
      <c r="R60" s="32"/>
    </row>
    <row r="61" spans="1:18">
      <c r="A61" s="9" t="s">
        <v>1150</v>
      </c>
      <c r="B61" t="s">
        <v>711</v>
      </c>
      <c r="C61" s="5" t="s">
        <v>713</v>
      </c>
      <c r="E61" s="33">
        <f t="shared" si="0"/>
        <v>384.54</v>
      </c>
      <c r="G61" s="1">
        <v>384.54</v>
      </c>
      <c r="L61" s="31" t="s">
        <v>868</v>
      </c>
      <c r="M61" s="32">
        <v>120947.07</v>
      </c>
      <c r="N61" s="32">
        <v>30828.100000000002</v>
      </c>
      <c r="O61" s="32">
        <v>1539.15</v>
      </c>
      <c r="P61" s="32">
        <v>29288.95</v>
      </c>
      <c r="Q61" s="32"/>
      <c r="R61" s="32"/>
    </row>
    <row r="62" spans="1:18">
      <c r="A62" s="9" t="s">
        <v>825</v>
      </c>
      <c r="B62" t="s">
        <v>1025</v>
      </c>
      <c r="C62" s="5" t="s">
        <v>1027</v>
      </c>
      <c r="E62" s="33">
        <f t="shared" si="0"/>
        <v>850</v>
      </c>
      <c r="F62" s="1">
        <v>850</v>
      </c>
      <c r="L62" s="31" t="s">
        <v>970</v>
      </c>
      <c r="M62" s="32">
        <v>11503.63</v>
      </c>
      <c r="N62" s="32">
        <v>0</v>
      </c>
      <c r="O62" s="32"/>
      <c r="P62" s="32"/>
      <c r="Q62" s="32"/>
      <c r="R62" s="32"/>
    </row>
    <row r="63" spans="1:18">
      <c r="A63" s="9" t="s">
        <v>1150</v>
      </c>
      <c r="B63" t="s">
        <v>1289</v>
      </c>
      <c r="C63" s="5" t="s">
        <v>1291</v>
      </c>
      <c r="E63" s="33">
        <f t="shared" si="0"/>
        <v>827.6</v>
      </c>
      <c r="H63" s="1">
        <v>827.6</v>
      </c>
      <c r="L63" s="31" t="s">
        <v>898</v>
      </c>
      <c r="M63" s="32"/>
      <c r="N63" s="32">
        <v>724</v>
      </c>
      <c r="O63" s="32">
        <v>724</v>
      </c>
      <c r="P63" s="32"/>
      <c r="Q63" s="32"/>
      <c r="R63" s="32"/>
    </row>
    <row r="64" spans="1:18">
      <c r="A64" s="9" t="s">
        <v>13</v>
      </c>
      <c r="B64" t="s">
        <v>708</v>
      </c>
      <c r="C64" s="5" t="s">
        <v>710</v>
      </c>
      <c r="E64" s="33">
        <f t="shared" si="0"/>
        <v>23.36</v>
      </c>
      <c r="G64" s="1">
        <v>23.36</v>
      </c>
      <c r="L64" s="31" t="s">
        <v>1042</v>
      </c>
      <c r="M64" s="32"/>
      <c r="N64" s="32">
        <v>3565</v>
      </c>
      <c r="O64" s="32">
        <v>2517</v>
      </c>
      <c r="P64" s="32">
        <v>1048</v>
      </c>
      <c r="Q64" s="32"/>
      <c r="R64" s="32"/>
    </row>
    <row r="65" spans="1:18">
      <c r="A65" s="9" t="s">
        <v>825</v>
      </c>
      <c r="B65" t="s">
        <v>708</v>
      </c>
      <c r="C65" s="5" t="s">
        <v>710</v>
      </c>
      <c r="E65" s="33">
        <f t="shared" si="0"/>
        <v>4928.3900000000003</v>
      </c>
      <c r="G65" s="1">
        <v>2387.63</v>
      </c>
      <c r="H65" s="1">
        <v>2540.7600000000002</v>
      </c>
      <c r="L65" s="31" t="s">
        <v>1045</v>
      </c>
      <c r="M65" s="32"/>
      <c r="N65" s="32">
        <v>6943</v>
      </c>
      <c r="O65" s="32"/>
      <c r="P65" s="32">
        <v>6943</v>
      </c>
      <c r="Q65" s="32"/>
      <c r="R65" s="32"/>
    </row>
    <row r="66" spans="1:18">
      <c r="A66" s="9" t="s">
        <v>1150</v>
      </c>
      <c r="B66" t="s">
        <v>708</v>
      </c>
      <c r="C66" s="5" t="s">
        <v>710</v>
      </c>
      <c r="E66" s="33">
        <f t="shared" si="0"/>
        <v>362.07499999999999</v>
      </c>
      <c r="H66" s="1">
        <v>362.07499999999999</v>
      </c>
      <c r="L66" s="31" t="s">
        <v>997</v>
      </c>
      <c r="M66" s="32">
        <v>3947.56</v>
      </c>
      <c r="N66" s="32">
        <v>1623.89</v>
      </c>
      <c r="O66" s="32"/>
      <c r="P66" s="32"/>
      <c r="Q66" s="32">
        <v>1323.67</v>
      </c>
      <c r="R66" s="32">
        <v>300.22000000000003</v>
      </c>
    </row>
    <row r="67" spans="1:18">
      <c r="A67" s="9" t="s">
        <v>1734</v>
      </c>
      <c r="B67" t="s">
        <v>1807</v>
      </c>
      <c r="C67" s="5" t="s">
        <v>1809</v>
      </c>
      <c r="E67" s="33">
        <f t="shared" si="0"/>
        <v>1372.18</v>
      </c>
      <c r="G67" s="1">
        <v>1372.18</v>
      </c>
      <c r="L67" s="31" t="s">
        <v>1763</v>
      </c>
      <c r="M67" s="32"/>
      <c r="N67" s="32">
        <v>16</v>
      </c>
      <c r="O67" s="32"/>
      <c r="P67" s="32">
        <v>16</v>
      </c>
      <c r="Q67" s="32"/>
      <c r="R67" s="32"/>
    </row>
    <row r="68" spans="1:18">
      <c r="A68" s="9" t="s">
        <v>825</v>
      </c>
      <c r="B68" t="s">
        <v>950</v>
      </c>
      <c r="C68" s="5" t="s">
        <v>952</v>
      </c>
      <c r="E68" s="33">
        <f t="shared" si="0"/>
        <v>3141.67</v>
      </c>
      <c r="G68" s="1">
        <v>2334.61</v>
      </c>
      <c r="H68" s="1">
        <v>807.06</v>
      </c>
      <c r="L68" s="31" t="s">
        <v>883</v>
      </c>
      <c r="M68" s="32"/>
      <c r="N68" s="32">
        <v>811.64</v>
      </c>
      <c r="O68" s="32"/>
      <c r="P68" s="32"/>
      <c r="Q68" s="32">
        <v>463.15</v>
      </c>
      <c r="R68" s="32">
        <v>348.49</v>
      </c>
    </row>
    <row r="69" spans="1:18">
      <c r="A69" s="9" t="s">
        <v>825</v>
      </c>
      <c r="B69" t="s">
        <v>1010</v>
      </c>
      <c r="C69" s="5" t="s">
        <v>1012</v>
      </c>
      <c r="D69" s="1">
        <v>3195.16</v>
      </c>
      <c r="E69" s="33">
        <f t="shared" si="0"/>
        <v>0</v>
      </c>
      <c r="L69" s="31" t="s">
        <v>1303</v>
      </c>
      <c r="M69" s="32"/>
      <c r="N69" s="32">
        <v>1637.83</v>
      </c>
      <c r="O69" s="32"/>
      <c r="P69" s="32">
        <v>1637.83</v>
      </c>
      <c r="Q69" s="32"/>
      <c r="R69" s="32"/>
    </row>
    <row r="70" spans="1:18">
      <c r="A70" s="9" t="s">
        <v>1150</v>
      </c>
      <c r="B70" t="s">
        <v>1010</v>
      </c>
      <c r="C70" s="5" t="s">
        <v>1012</v>
      </c>
      <c r="D70" s="1">
        <v>3195.16</v>
      </c>
      <c r="E70" s="33">
        <f t="shared" ref="E70:E133" si="1">SUM(F70:I70)</f>
        <v>0</v>
      </c>
      <c r="L70" s="31" t="s">
        <v>961</v>
      </c>
      <c r="M70" s="32"/>
      <c r="N70" s="32">
        <v>41.3</v>
      </c>
      <c r="O70" s="32"/>
      <c r="P70" s="32"/>
      <c r="Q70" s="32">
        <v>41.3</v>
      </c>
      <c r="R70" s="32"/>
    </row>
    <row r="71" spans="1:18">
      <c r="A71" s="9" t="s">
        <v>1150</v>
      </c>
      <c r="B71" t="s">
        <v>1155</v>
      </c>
      <c r="C71" s="5" t="s">
        <v>1157</v>
      </c>
      <c r="D71" s="1">
        <v>2776.67</v>
      </c>
      <c r="E71" s="33">
        <f t="shared" si="1"/>
        <v>0</v>
      </c>
      <c r="L71" s="31" t="s">
        <v>958</v>
      </c>
      <c r="M71" s="32"/>
      <c r="N71" s="32">
        <v>72.275000000000006</v>
      </c>
      <c r="O71" s="32"/>
      <c r="P71" s="32"/>
      <c r="Q71" s="32">
        <v>72.275000000000006</v>
      </c>
      <c r="R71" s="32"/>
    </row>
    <row r="72" spans="1:18">
      <c r="A72" s="9" t="s">
        <v>1150</v>
      </c>
      <c r="B72" t="s">
        <v>1232</v>
      </c>
      <c r="C72" s="5" t="s">
        <v>1234</v>
      </c>
      <c r="D72" s="1">
        <v>1429.84</v>
      </c>
      <c r="E72" s="33">
        <f t="shared" si="1"/>
        <v>0</v>
      </c>
      <c r="L72" s="31" t="s">
        <v>916</v>
      </c>
      <c r="M72" s="32">
        <v>12295.08</v>
      </c>
      <c r="N72" s="32">
        <v>6540</v>
      </c>
      <c r="O72" s="32">
        <v>6540</v>
      </c>
      <c r="P72" s="32"/>
      <c r="Q72" s="32"/>
      <c r="R72" s="32"/>
    </row>
    <row r="73" spans="1:18">
      <c r="A73" s="9" t="s">
        <v>825</v>
      </c>
      <c r="B73" t="s">
        <v>1091</v>
      </c>
      <c r="C73" s="5" t="s">
        <v>1093</v>
      </c>
      <c r="E73" s="33">
        <f t="shared" si="1"/>
        <v>211.92</v>
      </c>
      <c r="H73" s="1">
        <v>211.92</v>
      </c>
      <c r="L73" s="31" t="s">
        <v>1060</v>
      </c>
      <c r="M73" s="32">
        <v>2410.96</v>
      </c>
      <c r="N73" s="32">
        <v>530</v>
      </c>
      <c r="O73" s="32">
        <v>530</v>
      </c>
      <c r="P73" s="32"/>
      <c r="Q73" s="32"/>
      <c r="R73" s="32"/>
    </row>
    <row r="74" spans="1:18">
      <c r="A74" s="9" t="s">
        <v>1734</v>
      </c>
      <c r="B74" t="s">
        <v>1749</v>
      </c>
      <c r="C74" s="5" t="s">
        <v>1751</v>
      </c>
      <c r="E74" s="33">
        <f t="shared" si="1"/>
        <v>652.57000000000005</v>
      </c>
      <c r="G74" s="1">
        <v>652.57000000000005</v>
      </c>
      <c r="L74" s="31" t="s">
        <v>880</v>
      </c>
      <c r="M74" s="32"/>
      <c r="N74" s="32">
        <v>2883.42</v>
      </c>
      <c r="O74" s="32">
        <v>0</v>
      </c>
      <c r="P74" s="32">
        <v>1843</v>
      </c>
      <c r="Q74" s="32">
        <v>1040.42</v>
      </c>
      <c r="R74" s="32"/>
    </row>
    <row r="75" spans="1:18">
      <c r="A75" s="9" t="s">
        <v>1734</v>
      </c>
      <c r="B75" t="s">
        <v>1819</v>
      </c>
      <c r="C75" s="5" t="s">
        <v>1821</v>
      </c>
      <c r="D75" s="1">
        <v>4500</v>
      </c>
      <c r="E75" s="33">
        <f t="shared" si="1"/>
        <v>0</v>
      </c>
      <c r="L75" s="31" t="s">
        <v>408</v>
      </c>
      <c r="M75" s="32"/>
      <c r="N75" s="32">
        <v>14040.82</v>
      </c>
      <c r="O75" s="32">
        <v>10724</v>
      </c>
      <c r="P75" s="32">
        <v>3225.72</v>
      </c>
      <c r="Q75" s="32">
        <v>91.1</v>
      </c>
      <c r="R75" s="32"/>
    </row>
    <row r="76" spans="1:18">
      <c r="A76" s="9" t="s">
        <v>1734</v>
      </c>
      <c r="B76" t="s">
        <v>1867</v>
      </c>
      <c r="C76" s="5" t="s">
        <v>1869</v>
      </c>
      <c r="D76" s="1">
        <v>1230</v>
      </c>
      <c r="E76" s="33">
        <f t="shared" si="1"/>
        <v>397.53</v>
      </c>
      <c r="G76" s="1">
        <v>397.53</v>
      </c>
      <c r="L76" s="31" t="s">
        <v>1842</v>
      </c>
      <c r="M76" s="32"/>
      <c r="N76" s="32">
        <v>464.03</v>
      </c>
      <c r="O76" s="32"/>
      <c r="P76" s="32">
        <v>464.03</v>
      </c>
      <c r="Q76" s="32"/>
      <c r="R76" s="32"/>
    </row>
    <row r="77" spans="1:18">
      <c r="A77" s="9" t="s">
        <v>825</v>
      </c>
      <c r="B77" t="s">
        <v>1013</v>
      </c>
      <c r="C77" s="5" t="s">
        <v>1015</v>
      </c>
      <c r="E77" s="33">
        <f t="shared" si="1"/>
        <v>17830.689999999999</v>
      </c>
      <c r="G77" s="1">
        <v>17830.689999999999</v>
      </c>
      <c r="L77" s="31" t="s">
        <v>1175</v>
      </c>
      <c r="M77" s="32">
        <v>1457.07</v>
      </c>
      <c r="N77" s="32">
        <v>313.44</v>
      </c>
      <c r="O77" s="32"/>
      <c r="P77" s="32">
        <v>313.44</v>
      </c>
      <c r="Q77" s="32"/>
      <c r="R77" s="32"/>
    </row>
    <row r="78" spans="1:18">
      <c r="A78" s="9" t="s">
        <v>1150</v>
      </c>
      <c r="B78" t="s">
        <v>1013</v>
      </c>
      <c r="C78" s="5" t="s">
        <v>1015</v>
      </c>
      <c r="D78" s="1">
        <v>29000</v>
      </c>
      <c r="E78" s="33">
        <f t="shared" si="1"/>
        <v>0</v>
      </c>
      <c r="L78" s="31" t="s">
        <v>1075</v>
      </c>
      <c r="M78" s="32"/>
      <c r="N78" s="32">
        <v>19659</v>
      </c>
      <c r="O78" s="32">
        <v>300</v>
      </c>
      <c r="P78" s="32"/>
      <c r="Q78" s="32">
        <v>19359</v>
      </c>
      <c r="R78" s="32"/>
    </row>
    <row r="79" spans="1:18">
      <c r="A79" s="9" t="s">
        <v>825</v>
      </c>
      <c r="B79" t="s">
        <v>866</v>
      </c>
      <c r="C79" s="5" t="s">
        <v>868</v>
      </c>
      <c r="D79" s="1">
        <v>83319.03</v>
      </c>
      <c r="E79" s="33">
        <f t="shared" si="1"/>
        <v>30828.100000000002</v>
      </c>
      <c r="F79" s="1">
        <v>1539.15</v>
      </c>
      <c r="G79" s="1">
        <v>29288.95</v>
      </c>
      <c r="L79" s="31" t="s">
        <v>850</v>
      </c>
      <c r="M79" s="32">
        <v>7529.99</v>
      </c>
      <c r="N79" s="32">
        <v>4217.0200000000004</v>
      </c>
      <c r="O79" s="32"/>
      <c r="P79" s="32">
        <v>330.62</v>
      </c>
      <c r="Q79" s="32">
        <v>2076.86</v>
      </c>
      <c r="R79" s="32">
        <v>1809.54</v>
      </c>
    </row>
    <row r="80" spans="1:18">
      <c r="A80" s="9" t="s">
        <v>1150</v>
      </c>
      <c r="B80" t="s">
        <v>866</v>
      </c>
      <c r="C80" s="5" t="s">
        <v>868</v>
      </c>
      <c r="D80" s="1">
        <v>37628.04</v>
      </c>
      <c r="E80" s="33">
        <f t="shared" si="1"/>
        <v>0</v>
      </c>
      <c r="L80" s="31" t="s">
        <v>931</v>
      </c>
      <c r="M80" s="32"/>
      <c r="N80" s="32">
        <v>73.92</v>
      </c>
      <c r="O80" s="32"/>
      <c r="P80" s="32"/>
      <c r="Q80" s="32">
        <v>73.92</v>
      </c>
      <c r="R80" s="32"/>
    </row>
    <row r="81" spans="1:18">
      <c r="A81" s="9" t="s">
        <v>825</v>
      </c>
      <c r="B81" t="s">
        <v>968</v>
      </c>
      <c r="C81" s="5" t="s">
        <v>970</v>
      </c>
      <c r="D81" s="1">
        <v>11503.63</v>
      </c>
      <c r="E81" s="33">
        <f t="shared" si="1"/>
        <v>0</v>
      </c>
      <c r="L81" s="31" t="s">
        <v>862</v>
      </c>
      <c r="M81" s="32">
        <v>2796.51</v>
      </c>
      <c r="N81" s="32">
        <v>0</v>
      </c>
      <c r="O81" s="32"/>
      <c r="P81" s="32"/>
      <c r="Q81" s="32"/>
      <c r="R81" s="32"/>
    </row>
    <row r="82" spans="1:18">
      <c r="A82" s="9" t="s">
        <v>825</v>
      </c>
      <c r="B82" t="s">
        <v>896</v>
      </c>
      <c r="C82" s="5" t="s">
        <v>898</v>
      </c>
      <c r="E82" s="33">
        <f t="shared" si="1"/>
        <v>724</v>
      </c>
      <c r="F82" s="1">
        <v>724</v>
      </c>
      <c r="L82" s="31" t="s">
        <v>1202</v>
      </c>
      <c r="M82" s="32">
        <v>32670</v>
      </c>
      <c r="N82" s="32">
        <v>0</v>
      </c>
      <c r="O82" s="32"/>
      <c r="P82" s="32"/>
      <c r="Q82" s="32"/>
      <c r="R82" s="32"/>
    </row>
    <row r="83" spans="1:18">
      <c r="A83" s="9" t="s">
        <v>825</v>
      </c>
      <c r="B83" t="s">
        <v>1040</v>
      </c>
      <c r="C83" s="5" t="s">
        <v>1042</v>
      </c>
      <c r="E83" s="33">
        <f t="shared" si="1"/>
        <v>1048</v>
      </c>
      <c r="G83" s="1">
        <v>1048</v>
      </c>
      <c r="L83" s="31" t="s">
        <v>1003</v>
      </c>
      <c r="M83" s="32"/>
      <c r="N83" s="32">
        <v>40</v>
      </c>
      <c r="O83" s="32">
        <v>40</v>
      </c>
      <c r="P83" s="32"/>
      <c r="Q83" s="32"/>
      <c r="R83" s="32"/>
    </row>
    <row r="84" spans="1:18">
      <c r="A84" s="9" t="s">
        <v>1150</v>
      </c>
      <c r="B84" t="s">
        <v>1040</v>
      </c>
      <c r="C84" s="5" t="s">
        <v>1042</v>
      </c>
      <c r="E84" s="33">
        <f t="shared" si="1"/>
        <v>2517</v>
      </c>
      <c r="F84" s="1">
        <v>2517</v>
      </c>
      <c r="L84" s="31" t="s">
        <v>904</v>
      </c>
      <c r="M84" s="32">
        <v>16679.53</v>
      </c>
      <c r="N84" s="32">
        <v>73292.490000000005</v>
      </c>
      <c r="O84" s="32">
        <v>390</v>
      </c>
      <c r="P84" s="32">
        <v>72902.490000000005</v>
      </c>
      <c r="Q84" s="32"/>
      <c r="R84" s="32"/>
    </row>
    <row r="85" spans="1:18">
      <c r="A85" s="9" t="s">
        <v>825</v>
      </c>
      <c r="B85" t="s">
        <v>1043</v>
      </c>
      <c r="C85" s="5" t="s">
        <v>1045</v>
      </c>
      <c r="E85" s="33">
        <f t="shared" si="1"/>
        <v>6943</v>
      </c>
      <c r="G85" s="1">
        <v>6943</v>
      </c>
      <c r="L85" s="31" t="s">
        <v>1036</v>
      </c>
      <c r="M85" s="32">
        <v>14314.23</v>
      </c>
      <c r="N85" s="32">
        <v>3926.5</v>
      </c>
      <c r="O85" s="32"/>
      <c r="P85" s="32">
        <v>3926.5</v>
      </c>
      <c r="Q85" s="32"/>
      <c r="R85" s="32"/>
    </row>
    <row r="86" spans="1:18">
      <c r="A86" s="9" t="s">
        <v>825</v>
      </c>
      <c r="B86" t="s">
        <v>995</v>
      </c>
      <c r="C86" s="5" t="s">
        <v>997</v>
      </c>
      <c r="D86" s="1">
        <v>3947.56</v>
      </c>
      <c r="E86" s="33">
        <f t="shared" si="1"/>
        <v>1623.89</v>
      </c>
      <c r="H86" s="1">
        <v>1323.67</v>
      </c>
      <c r="I86" s="1">
        <v>300.22000000000003</v>
      </c>
      <c r="L86" s="31" t="s">
        <v>1063</v>
      </c>
      <c r="M86" s="32"/>
      <c r="N86" s="32">
        <v>0</v>
      </c>
      <c r="O86" s="32">
        <v>0</v>
      </c>
      <c r="P86" s="32"/>
      <c r="Q86" s="32"/>
      <c r="R86" s="32"/>
    </row>
    <row r="87" spans="1:18">
      <c r="A87" s="9" t="s">
        <v>1734</v>
      </c>
      <c r="B87" t="s">
        <v>1761</v>
      </c>
      <c r="C87" s="5" t="s">
        <v>1763</v>
      </c>
      <c r="E87" s="33">
        <f t="shared" si="1"/>
        <v>16</v>
      </c>
      <c r="G87" s="1">
        <v>16</v>
      </c>
      <c r="L87" s="31" t="s">
        <v>1030</v>
      </c>
      <c r="M87" s="32">
        <v>6314.24</v>
      </c>
      <c r="N87" s="32">
        <v>0</v>
      </c>
      <c r="O87" s="32"/>
      <c r="P87" s="32"/>
      <c r="Q87" s="32"/>
      <c r="R87" s="32"/>
    </row>
    <row r="88" spans="1:18">
      <c r="A88" s="9" t="s">
        <v>825</v>
      </c>
      <c r="B88" t="s">
        <v>881</v>
      </c>
      <c r="C88" s="5" t="s">
        <v>883</v>
      </c>
      <c r="E88" s="33">
        <f t="shared" si="1"/>
        <v>811.64</v>
      </c>
      <c r="H88" s="1">
        <v>463.15</v>
      </c>
      <c r="I88" s="1">
        <v>348.49</v>
      </c>
      <c r="L88" s="31" t="s">
        <v>1196</v>
      </c>
      <c r="M88" s="32">
        <v>19098.48</v>
      </c>
      <c r="N88" s="32">
        <v>13072.414999999999</v>
      </c>
      <c r="O88" s="32"/>
      <c r="P88" s="32">
        <v>9440.51</v>
      </c>
      <c r="Q88" s="32">
        <v>3170.5749999999998</v>
      </c>
      <c r="R88" s="32">
        <v>461.33</v>
      </c>
    </row>
    <row r="89" spans="1:18">
      <c r="A89" s="9" t="s">
        <v>1150</v>
      </c>
      <c r="B89" t="s">
        <v>1301</v>
      </c>
      <c r="C89" s="5" t="s">
        <v>1303</v>
      </c>
      <c r="E89" s="33">
        <f t="shared" si="1"/>
        <v>887.52</v>
      </c>
      <c r="G89" s="1">
        <v>887.52</v>
      </c>
      <c r="L89" s="31" t="s">
        <v>922</v>
      </c>
      <c r="M89" s="32"/>
      <c r="N89" s="32">
        <v>774.11</v>
      </c>
      <c r="O89" s="32">
        <v>0</v>
      </c>
      <c r="P89" s="32">
        <v>352.37</v>
      </c>
      <c r="Q89" s="32">
        <v>285.91000000000003</v>
      </c>
      <c r="R89" s="32">
        <v>135.83000000000001</v>
      </c>
    </row>
    <row r="90" spans="1:18">
      <c r="A90" s="9" t="s">
        <v>1734</v>
      </c>
      <c r="B90" t="s">
        <v>1301</v>
      </c>
      <c r="C90" s="5" t="s">
        <v>1303</v>
      </c>
      <c r="E90" s="33">
        <f t="shared" si="1"/>
        <v>696.01</v>
      </c>
      <c r="G90" s="1">
        <v>696.01</v>
      </c>
      <c r="L90" s="31" t="s">
        <v>1018</v>
      </c>
      <c r="M90" s="32"/>
      <c r="N90" s="32">
        <v>3317</v>
      </c>
      <c r="O90" s="32">
        <v>1005</v>
      </c>
      <c r="P90" s="32">
        <v>1820</v>
      </c>
      <c r="Q90" s="32">
        <v>492</v>
      </c>
      <c r="R90" s="32"/>
    </row>
    <row r="91" spans="1:18">
      <c r="A91" s="9" t="s">
        <v>1883</v>
      </c>
      <c r="B91" t="s">
        <v>1301</v>
      </c>
      <c r="C91" s="5" t="s">
        <v>1303</v>
      </c>
      <c r="E91" s="33">
        <f t="shared" si="1"/>
        <v>54.3</v>
      </c>
      <c r="G91" s="1">
        <v>54.3</v>
      </c>
      <c r="L91" s="31" t="s">
        <v>967</v>
      </c>
      <c r="M91" s="32"/>
      <c r="N91" s="32">
        <v>2010</v>
      </c>
      <c r="O91" s="32">
        <v>2010</v>
      </c>
      <c r="P91" s="32"/>
      <c r="Q91" s="32"/>
      <c r="R91" s="32"/>
    </row>
    <row r="92" spans="1:18">
      <c r="A92" s="9" t="s">
        <v>825</v>
      </c>
      <c r="B92" t="s">
        <v>959</v>
      </c>
      <c r="C92" s="5" t="s">
        <v>961</v>
      </c>
      <c r="E92" s="33">
        <f t="shared" si="1"/>
        <v>41.3</v>
      </c>
      <c r="H92" s="1">
        <v>41.3</v>
      </c>
      <c r="L92" s="31" t="s">
        <v>913</v>
      </c>
      <c r="M92" s="32">
        <v>951.89</v>
      </c>
      <c r="N92" s="32">
        <v>293.755</v>
      </c>
      <c r="O92" s="32"/>
      <c r="P92" s="32"/>
      <c r="Q92" s="32">
        <v>248.42500000000001</v>
      </c>
      <c r="R92" s="32">
        <v>45.33</v>
      </c>
    </row>
    <row r="93" spans="1:18">
      <c r="A93" s="9" t="s">
        <v>825</v>
      </c>
      <c r="B93" t="s">
        <v>956</v>
      </c>
      <c r="C93" s="5" t="s">
        <v>958</v>
      </c>
      <c r="E93" s="33">
        <f t="shared" si="1"/>
        <v>72.275000000000006</v>
      </c>
      <c r="H93" s="1">
        <v>72.275000000000006</v>
      </c>
      <c r="L93" s="31" t="s">
        <v>1249</v>
      </c>
      <c r="M93" s="32"/>
      <c r="N93" s="32">
        <v>8658.6149999999998</v>
      </c>
      <c r="O93" s="32">
        <v>2145.36</v>
      </c>
      <c r="P93" s="32">
        <v>2137.4299999999998</v>
      </c>
      <c r="Q93" s="32">
        <v>3186.875</v>
      </c>
      <c r="R93" s="32">
        <v>1188.95</v>
      </c>
    </row>
    <row r="94" spans="1:18">
      <c r="A94" s="9" t="s">
        <v>825</v>
      </c>
      <c r="B94" t="s">
        <v>914</v>
      </c>
      <c r="C94" s="5" t="s">
        <v>916</v>
      </c>
      <c r="D94" s="1">
        <v>12295.08</v>
      </c>
      <c r="E94" s="33">
        <f t="shared" si="1"/>
        <v>6540</v>
      </c>
      <c r="F94" s="1">
        <v>6540</v>
      </c>
      <c r="L94" s="31" t="s">
        <v>847</v>
      </c>
      <c r="M94" s="32">
        <v>4988.51</v>
      </c>
      <c r="N94" s="32">
        <v>0</v>
      </c>
      <c r="O94" s="32"/>
      <c r="P94" s="32"/>
      <c r="Q94" s="32"/>
      <c r="R94" s="32"/>
    </row>
    <row r="95" spans="1:18">
      <c r="A95" s="9" t="s">
        <v>825</v>
      </c>
      <c r="B95" t="s">
        <v>1058</v>
      </c>
      <c r="C95" s="5" t="s">
        <v>1060</v>
      </c>
      <c r="E95" s="33">
        <f t="shared" si="1"/>
        <v>530</v>
      </c>
      <c r="F95" s="1">
        <v>530</v>
      </c>
      <c r="L95" s="31" t="s">
        <v>1057</v>
      </c>
      <c r="M95" s="32">
        <v>680</v>
      </c>
      <c r="N95" s="32">
        <v>3635.63</v>
      </c>
      <c r="O95" s="32"/>
      <c r="P95" s="32">
        <v>3635.63</v>
      </c>
      <c r="Q95" s="32"/>
      <c r="R95" s="32"/>
    </row>
    <row r="96" spans="1:18">
      <c r="A96" s="9" t="s">
        <v>825</v>
      </c>
      <c r="B96" t="s">
        <v>1058</v>
      </c>
      <c r="C96" s="5" t="s">
        <v>1060</v>
      </c>
      <c r="D96" s="1">
        <v>2410.96</v>
      </c>
      <c r="E96" s="33">
        <f t="shared" si="1"/>
        <v>0</v>
      </c>
      <c r="L96" s="31" t="s">
        <v>838</v>
      </c>
      <c r="M96" s="32"/>
      <c r="N96" s="32">
        <v>540.55000000000007</v>
      </c>
      <c r="O96" s="32">
        <v>191.08</v>
      </c>
      <c r="P96" s="32"/>
      <c r="Q96" s="32">
        <v>349.47</v>
      </c>
      <c r="R96" s="32"/>
    </row>
    <row r="97" spans="1:18">
      <c r="A97" s="9" t="s">
        <v>825</v>
      </c>
      <c r="B97" t="s">
        <v>878</v>
      </c>
      <c r="C97" s="5" t="s">
        <v>880</v>
      </c>
      <c r="E97" s="33">
        <f t="shared" si="1"/>
        <v>2824.4700000000003</v>
      </c>
      <c r="F97" s="1">
        <v>0</v>
      </c>
      <c r="G97" s="1">
        <v>1843</v>
      </c>
      <c r="H97" s="1">
        <v>981.47</v>
      </c>
      <c r="L97" s="31" t="s">
        <v>776</v>
      </c>
      <c r="M97" s="32">
        <v>6190</v>
      </c>
      <c r="N97" s="32">
        <v>0</v>
      </c>
      <c r="O97" s="32"/>
      <c r="P97" s="32"/>
      <c r="Q97" s="32"/>
      <c r="R97" s="32"/>
    </row>
    <row r="98" spans="1:18">
      <c r="A98" s="9" t="s">
        <v>1150</v>
      </c>
      <c r="B98" t="s">
        <v>878</v>
      </c>
      <c r="C98" s="5" t="s">
        <v>880</v>
      </c>
      <c r="E98" s="33">
        <f t="shared" si="1"/>
        <v>58.95</v>
      </c>
      <c r="H98" s="1">
        <v>58.95</v>
      </c>
      <c r="L98" s="31" t="s">
        <v>976</v>
      </c>
      <c r="M98" s="32">
        <v>1053.57</v>
      </c>
      <c r="N98" s="32">
        <v>4346.2700000000004</v>
      </c>
      <c r="O98" s="32">
        <v>4346.2700000000004</v>
      </c>
      <c r="P98" s="32"/>
      <c r="Q98" s="32"/>
      <c r="R98" s="32"/>
    </row>
    <row r="99" spans="1:18">
      <c r="A99" s="9" t="s">
        <v>13</v>
      </c>
      <c r="B99" t="s">
        <v>406</v>
      </c>
      <c r="C99" s="5" t="s">
        <v>408</v>
      </c>
      <c r="E99" s="33">
        <f t="shared" si="1"/>
        <v>3225.72</v>
      </c>
      <c r="G99" s="1">
        <v>3225.72</v>
      </c>
      <c r="L99" s="31" t="s">
        <v>824</v>
      </c>
      <c r="M99" s="32">
        <v>2667.5</v>
      </c>
      <c r="N99" s="32">
        <v>5704.62</v>
      </c>
      <c r="O99" s="32">
        <v>5704.62</v>
      </c>
      <c r="P99" s="32"/>
      <c r="Q99" s="32"/>
      <c r="R99" s="32"/>
    </row>
    <row r="100" spans="1:18">
      <c r="A100" s="9" t="s">
        <v>825</v>
      </c>
      <c r="B100" t="s">
        <v>406</v>
      </c>
      <c r="C100" s="5" t="s">
        <v>408</v>
      </c>
      <c r="E100" s="33">
        <f t="shared" si="1"/>
        <v>10815.1</v>
      </c>
      <c r="F100" s="1">
        <v>10724</v>
      </c>
      <c r="H100" s="1">
        <v>91.1</v>
      </c>
      <c r="L100" s="31" t="s">
        <v>901</v>
      </c>
      <c r="M100" s="32"/>
      <c r="N100" s="32">
        <v>8900</v>
      </c>
      <c r="O100" s="32">
        <v>8900</v>
      </c>
      <c r="P100" s="32"/>
      <c r="Q100" s="32"/>
      <c r="R100" s="32"/>
    </row>
    <row r="101" spans="1:18">
      <c r="A101" s="9" t="s">
        <v>1734</v>
      </c>
      <c r="B101" t="s">
        <v>1840</v>
      </c>
      <c r="C101" s="5" t="s">
        <v>1842</v>
      </c>
      <c r="E101" s="33">
        <f t="shared" si="1"/>
        <v>464.03</v>
      </c>
      <c r="G101" s="1">
        <v>464.03</v>
      </c>
      <c r="L101" s="31" t="s">
        <v>946</v>
      </c>
      <c r="M101" s="32">
        <v>8196.7099999999991</v>
      </c>
      <c r="N101" s="32">
        <v>72.275000000000006</v>
      </c>
      <c r="O101" s="32"/>
      <c r="P101" s="32"/>
      <c r="Q101" s="32">
        <v>72.275000000000006</v>
      </c>
      <c r="R101" s="32"/>
    </row>
    <row r="102" spans="1:18">
      <c r="A102" s="9" t="s">
        <v>1150</v>
      </c>
      <c r="B102" t="s">
        <v>1173</v>
      </c>
      <c r="C102" s="5" t="s">
        <v>1175</v>
      </c>
      <c r="D102" s="1">
        <v>1457.07</v>
      </c>
      <c r="E102" s="33">
        <f t="shared" si="1"/>
        <v>313.44</v>
      </c>
      <c r="G102" s="1">
        <v>313.44</v>
      </c>
      <c r="L102" s="31" t="s">
        <v>1270</v>
      </c>
      <c r="M102" s="32"/>
      <c r="N102" s="32">
        <v>39125.229999999996</v>
      </c>
      <c r="O102" s="32"/>
      <c r="P102" s="32"/>
      <c r="Q102" s="32">
        <v>38418.549999999996</v>
      </c>
      <c r="R102" s="32">
        <v>706.68</v>
      </c>
    </row>
    <row r="103" spans="1:18">
      <c r="A103" s="9" t="s">
        <v>825</v>
      </c>
      <c r="B103" t="s">
        <v>1073</v>
      </c>
      <c r="C103" s="5" t="s">
        <v>1075</v>
      </c>
      <c r="E103" s="33">
        <f t="shared" si="1"/>
        <v>300</v>
      </c>
      <c r="F103" s="1">
        <v>300</v>
      </c>
      <c r="L103" s="31" t="s">
        <v>1087</v>
      </c>
      <c r="M103" s="32">
        <v>5713.14</v>
      </c>
      <c r="N103" s="32">
        <v>0</v>
      </c>
      <c r="O103" s="32"/>
      <c r="P103" s="32"/>
      <c r="Q103" s="32"/>
      <c r="R103" s="32"/>
    </row>
    <row r="104" spans="1:18">
      <c r="A104" s="9" t="s">
        <v>1150</v>
      </c>
      <c r="B104" t="s">
        <v>1073</v>
      </c>
      <c r="C104" s="5" t="s">
        <v>1075</v>
      </c>
      <c r="E104" s="33">
        <f t="shared" si="1"/>
        <v>4799.99</v>
      </c>
      <c r="H104" s="1">
        <v>4799.99</v>
      </c>
      <c r="L104" s="31" t="s">
        <v>719</v>
      </c>
      <c r="M104" s="32"/>
      <c r="N104" s="32">
        <v>4246.32</v>
      </c>
      <c r="O104" s="32"/>
      <c r="P104" s="32"/>
      <c r="Q104" s="32">
        <v>4246.32</v>
      </c>
      <c r="R104" s="32"/>
    </row>
    <row r="105" spans="1:18">
      <c r="A105" s="9" t="s">
        <v>1734</v>
      </c>
      <c r="B105" t="s">
        <v>1073</v>
      </c>
      <c r="C105" s="5" t="s">
        <v>1075</v>
      </c>
      <c r="E105" s="33">
        <f t="shared" si="1"/>
        <v>14559.01</v>
      </c>
      <c r="H105" s="1">
        <v>14559.01</v>
      </c>
      <c r="L105" s="31" t="s">
        <v>782</v>
      </c>
      <c r="M105" s="32"/>
      <c r="N105" s="32">
        <v>19334.03</v>
      </c>
      <c r="O105" s="32"/>
      <c r="P105" s="32">
        <v>19334.03</v>
      </c>
      <c r="Q105" s="32"/>
      <c r="R105" s="32"/>
    </row>
    <row r="106" spans="1:18">
      <c r="A106" s="9" t="s">
        <v>825</v>
      </c>
      <c r="B106" t="s">
        <v>848</v>
      </c>
      <c r="C106" s="5" t="s">
        <v>850</v>
      </c>
      <c r="D106" s="1">
        <v>7529.99</v>
      </c>
      <c r="E106" s="33">
        <f t="shared" si="1"/>
        <v>2693.5550000000003</v>
      </c>
      <c r="G106" s="1">
        <v>330.62</v>
      </c>
      <c r="H106" s="1">
        <v>1182.5350000000001</v>
      </c>
      <c r="I106" s="1">
        <v>1180.4000000000001</v>
      </c>
      <c r="L106" s="31" t="s">
        <v>1199</v>
      </c>
      <c r="M106" s="32"/>
      <c r="N106" s="32">
        <v>3435.8149999999996</v>
      </c>
      <c r="O106" s="32"/>
      <c r="P106" s="32"/>
      <c r="Q106" s="32">
        <v>2748.5549999999998</v>
      </c>
      <c r="R106" s="32">
        <v>687.26</v>
      </c>
    </row>
    <row r="107" spans="1:18">
      <c r="A107" s="9" t="s">
        <v>1150</v>
      </c>
      <c r="B107" t="s">
        <v>848</v>
      </c>
      <c r="C107" s="5" t="s">
        <v>850</v>
      </c>
      <c r="E107" s="33">
        <f t="shared" si="1"/>
        <v>1523.4650000000001</v>
      </c>
      <c r="H107" s="1">
        <v>894.32500000000005</v>
      </c>
      <c r="I107" s="1">
        <v>629.14</v>
      </c>
      <c r="L107" s="31" t="s">
        <v>907</v>
      </c>
      <c r="M107" s="32">
        <v>16038.98</v>
      </c>
      <c r="N107" s="32">
        <v>8788</v>
      </c>
      <c r="O107" s="32">
        <v>6300</v>
      </c>
      <c r="P107" s="32">
        <v>2488</v>
      </c>
      <c r="Q107" s="32"/>
      <c r="R107" s="32"/>
    </row>
    <row r="108" spans="1:18">
      <c r="A108" s="9" t="s">
        <v>825</v>
      </c>
      <c r="B108" t="s">
        <v>929</v>
      </c>
      <c r="C108" s="5" t="s">
        <v>931</v>
      </c>
      <c r="E108" s="33">
        <f t="shared" si="1"/>
        <v>73.92</v>
      </c>
      <c r="H108" s="1">
        <v>73.92</v>
      </c>
      <c r="L108" s="31" t="s">
        <v>925</v>
      </c>
      <c r="M108" s="32">
        <v>31294.5</v>
      </c>
      <c r="N108" s="32">
        <v>3360</v>
      </c>
      <c r="O108" s="32"/>
      <c r="P108" s="32">
        <v>3360</v>
      </c>
      <c r="Q108" s="32"/>
      <c r="R108" s="32"/>
    </row>
    <row r="109" spans="1:18">
      <c r="A109" s="9" t="s">
        <v>825</v>
      </c>
      <c r="B109" t="s">
        <v>860</v>
      </c>
      <c r="C109" s="5" t="s">
        <v>862</v>
      </c>
      <c r="D109" s="1">
        <v>2796.51</v>
      </c>
      <c r="E109" s="33">
        <f t="shared" si="1"/>
        <v>0</v>
      </c>
      <c r="L109" s="31" t="s">
        <v>928</v>
      </c>
      <c r="M109" s="32"/>
      <c r="N109" s="32">
        <v>2642.49</v>
      </c>
      <c r="O109" s="32"/>
      <c r="P109" s="32">
        <v>2554.4499999999998</v>
      </c>
      <c r="Q109" s="32">
        <v>88.04</v>
      </c>
      <c r="R109" s="32"/>
    </row>
    <row r="110" spans="1:18">
      <c r="A110" s="9" t="s">
        <v>1150</v>
      </c>
      <c r="B110" t="s">
        <v>1200</v>
      </c>
      <c r="C110" s="5" t="s">
        <v>1202</v>
      </c>
      <c r="D110" s="1">
        <v>32670</v>
      </c>
      <c r="E110" s="33">
        <f t="shared" si="1"/>
        <v>0</v>
      </c>
      <c r="L110" s="31" t="s">
        <v>853</v>
      </c>
      <c r="M110" s="32">
        <v>7332.06</v>
      </c>
      <c r="N110" s="32">
        <v>0</v>
      </c>
      <c r="O110" s="32"/>
      <c r="P110" s="32"/>
      <c r="Q110" s="32"/>
      <c r="R110" s="32"/>
    </row>
    <row r="111" spans="1:18">
      <c r="A111" s="9" t="s">
        <v>825</v>
      </c>
      <c r="B111" t="s">
        <v>1001</v>
      </c>
      <c r="C111" s="5" t="s">
        <v>1003</v>
      </c>
      <c r="E111" s="33">
        <f t="shared" si="1"/>
        <v>40</v>
      </c>
      <c r="F111" s="1">
        <v>40</v>
      </c>
      <c r="L111" s="31" t="s">
        <v>949</v>
      </c>
      <c r="M111" s="32">
        <v>2530.3200000000002</v>
      </c>
      <c r="N111" s="32">
        <v>0</v>
      </c>
      <c r="O111" s="32"/>
      <c r="P111" s="32"/>
      <c r="Q111" s="32"/>
      <c r="R111" s="32"/>
    </row>
    <row r="112" spans="1:18">
      <c r="A112" s="9" t="s">
        <v>825</v>
      </c>
      <c r="B112" t="s">
        <v>902</v>
      </c>
      <c r="C112" s="5" t="s">
        <v>904</v>
      </c>
      <c r="D112" s="1">
        <v>16679.53</v>
      </c>
      <c r="E112" s="33">
        <f t="shared" si="1"/>
        <v>73292.490000000005</v>
      </c>
      <c r="F112" s="1">
        <v>390</v>
      </c>
      <c r="G112" s="1">
        <v>72902.490000000005</v>
      </c>
      <c r="L112" s="31" t="s">
        <v>1009</v>
      </c>
      <c r="M112" s="32">
        <v>20240.71</v>
      </c>
      <c r="N112" s="32">
        <v>0</v>
      </c>
      <c r="O112" s="32"/>
      <c r="P112" s="32"/>
      <c r="Q112" s="32"/>
      <c r="R112" s="32"/>
    </row>
    <row r="113" spans="1:18">
      <c r="A113" s="9" t="s">
        <v>825</v>
      </c>
      <c r="B113" t="s">
        <v>1034</v>
      </c>
      <c r="C113" s="5" t="s">
        <v>1036</v>
      </c>
      <c r="D113" s="1">
        <v>14314.23</v>
      </c>
      <c r="E113" s="33">
        <f t="shared" si="1"/>
        <v>3926.5</v>
      </c>
      <c r="G113" s="1">
        <v>3926.5</v>
      </c>
      <c r="L113" s="31" t="s">
        <v>1190</v>
      </c>
      <c r="M113" s="32">
        <v>4230.96</v>
      </c>
      <c r="N113" s="32">
        <v>0</v>
      </c>
      <c r="O113" s="32"/>
      <c r="P113" s="32"/>
      <c r="Q113" s="32"/>
      <c r="R113" s="32"/>
    </row>
    <row r="114" spans="1:18">
      <c r="A114" s="9" t="s">
        <v>825</v>
      </c>
      <c r="B114" t="s">
        <v>1061</v>
      </c>
      <c r="C114" s="5" t="s">
        <v>1063</v>
      </c>
      <c r="E114" s="33">
        <f t="shared" si="1"/>
        <v>0</v>
      </c>
      <c r="F114" s="1">
        <v>0</v>
      </c>
      <c r="L114" s="31" t="s">
        <v>1072</v>
      </c>
      <c r="M114" s="32">
        <v>29807.95</v>
      </c>
      <c r="N114" s="32">
        <v>5715.46</v>
      </c>
      <c r="O114" s="32"/>
      <c r="P114" s="32">
        <v>5715.46</v>
      </c>
      <c r="Q114" s="32"/>
      <c r="R114" s="32"/>
    </row>
    <row r="115" spans="1:18">
      <c r="A115" s="9" t="s">
        <v>825</v>
      </c>
      <c r="B115" t="s">
        <v>1028</v>
      </c>
      <c r="C115" s="5" t="s">
        <v>1030</v>
      </c>
      <c r="D115" s="1">
        <v>4988.45</v>
      </c>
      <c r="E115" s="33">
        <f t="shared" si="1"/>
        <v>0</v>
      </c>
      <c r="L115" s="31" t="s">
        <v>1184</v>
      </c>
      <c r="M115" s="32">
        <v>1269.03</v>
      </c>
      <c r="N115" s="32">
        <v>0</v>
      </c>
      <c r="O115" s="32"/>
      <c r="P115" s="32"/>
      <c r="Q115" s="32"/>
      <c r="R115" s="32"/>
    </row>
    <row r="116" spans="1:18">
      <c r="A116" s="9" t="s">
        <v>1734</v>
      </c>
      <c r="B116" t="s">
        <v>1028</v>
      </c>
      <c r="C116" s="5" t="s">
        <v>1030</v>
      </c>
      <c r="D116" s="1">
        <v>1325.79</v>
      </c>
      <c r="E116" s="33">
        <f t="shared" si="1"/>
        <v>0</v>
      </c>
      <c r="L116" s="31" t="s">
        <v>1193</v>
      </c>
      <c r="M116" s="32"/>
      <c r="N116" s="32">
        <v>429.87</v>
      </c>
      <c r="O116" s="32"/>
      <c r="P116" s="32">
        <v>429.87</v>
      </c>
      <c r="Q116" s="32"/>
      <c r="R116" s="32"/>
    </row>
    <row r="117" spans="1:18">
      <c r="A117" s="9" t="s">
        <v>1150</v>
      </c>
      <c r="B117" t="s">
        <v>1194</v>
      </c>
      <c r="C117" s="5" t="s">
        <v>1196</v>
      </c>
      <c r="E117" s="33">
        <f t="shared" si="1"/>
        <v>3512.2849999999999</v>
      </c>
      <c r="G117" s="1">
        <v>2058.1</v>
      </c>
      <c r="H117" s="1">
        <v>1287.6849999999999</v>
      </c>
      <c r="I117" s="1">
        <v>166.5</v>
      </c>
      <c r="L117" s="31" t="s">
        <v>1208</v>
      </c>
      <c r="M117" s="32">
        <v>1142.05</v>
      </c>
      <c r="N117" s="32">
        <v>0</v>
      </c>
      <c r="O117" s="32"/>
      <c r="P117" s="32"/>
      <c r="Q117" s="32"/>
      <c r="R117" s="32"/>
    </row>
    <row r="118" spans="1:18">
      <c r="A118" s="9" t="s">
        <v>1734</v>
      </c>
      <c r="B118" t="s">
        <v>1194</v>
      </c>
      <c r="C118" s="5" t="s">
        <v>1196</v>
      </c>
      <c r="D118" s="1">
        <v>19098.48</v>
      </c>
      <c r="E118" s="33">
        <f t="shared" si="1"/>
        <v>9560.1299999999992</v>
      </c>
      <c r="G118" s="1">
        <v>7382.41</v>
      </c>
      <c r="H118" s="1">
        <v>1882.89</v>
      </c>
      <c r="I118" s="1">
        <v>294.83</v>
      </c>
      <c r="L118" s="31" t="s">
        <v>1181</v>
      </c>
      <c r="M118" s="32">
        <v>297.44</v>
      </c>
      <c r="N118" s="32">
        <v>0</v>
      </c>
      <c r="O118" s="32"/>
      <c r="P118" s="32"/>
      <c r="Q118" s="32"/>
      <c r="R118" s="32"/>
    </row>
    <row r="119" spans="1:18">
      <c r="A119" s="9" t="s">
        <v>825</v>
      </c>
      <c r="B119" t="s">
        <v>920</v>
      </c>
      <c r="C119" s="5" t="s">
        <v>922</v>
      </c>
      <c r="E119" s="33">
        <f t="shared" si="1"/>
        <v>774.11</v>
      </c>
      <c r="F119" s="1">
        <v>0</v>
      </c>
      <c r="G119" s="1">
        <v>352.37</v>
      </c>
      <c r="H119" s="1">
        <v>285.91000000000003</v>
      </c>
      <c r="I119" s="1">
        <v>135.83000000000001</v>
      </c>
      <c r="L119" s="31" t="s">
        <v>1772</v>
      </c>
      <c r="M119" s="32">
        <v>2689.08</v>
      </c>
      <c r="N119" s="32">
        <v>0</v>
      </c>
      <c r="O119" s="32"/>
      <c r="P119" s="32"/>
      <c r="Q119" s="32"/>
      <c r="R119" s="32"/>
    </row>
    <row r="120" spans="1:18">
      <c r="A120" s="9" t="s">
        <v>825</v>
      </c>
      <c r="B120" t="s">
        <v>1016</v>
      </c>
      <c r="C120" s="5" t="s">
        <v>1018</v>
      </c>
      <c r="E120" s="33">
        <f t="shared" si="1"/>
        <v>3317</v>
      </c>
      <c r="F120" s="1">
        <v>1005</v>
      </c>
      <c r="G120" s="1">
        <v>1820</v>
      </c>
      <c r="H120" s="1">
        <v>492</v>
      </c>
      <c r="L120" s="31" t="s">
        <v>889</v>
      </c>
      <c r="M120" s="32">
        <v>414842.68000000005</v>
      </c>
      <c r="N120" s="32">
        <v>68879.05</v>
      </c>
      <c r="O120" s="32">
        <v>2340</v>
      </c>
      <c r="P120" s="32">
        <v>60035.9</v>
      </c>
      <c r="Q120" s="32">
        <v>6503.15</v>
      </c>
      <c r="R120" s="32"/>
    </row>
    <row r="121" spans="1:18">
      <c r="A121" s="9" t="s">
        <v>825</v>
      </c>
      <c r="B121" t="s">
        <v>965</v>
      </c>
      <c r="C121" s="5" t="s">
        <v>967</v>
      </c>
      <c r="E121" s="33">
        <f t="shared" si="1"/>
        <v>2010</v>
      </c>
      <c r="F121" s="1">
        <v>2010</v>
      </c>
      <c r="L121" s="31" t="s">
        <v>1333</v>
      </c>
      <c r="M121" s="32"/>
      <c r="N121" s="32">
        <v>70.89</v>
      </c>
      <c r="O121" s="32"/>
      <c r="P121" s="32"/>
      <c r="Q121" s="32">
        <v>31.56</v>
      </c>
      <c r="R121" s="32">
        <v>39.33</v>
      </c>
    </row>
    <row r="122" spans="1:18">
      <c r="A122" s="9" t="s">
        <v>825</v>
      </c>
      <c r="B122" t="s">
        <v>911</v>
      </c>
      <c r="C122" s="5" t="s">
        <v>913</v>
      </c>
      <c r="D122" s="1">
        <v>951.89</v>
      </c>
      <c r="E122" s="33">
        <f t="shared" si="1"/>
        <v>293.755</v>
      </c>
      <c r="H122" s="1">
        <v>248.42500000000001</v>
      </c>
      <c r="I122" s="1">
        <v>45.33</v>
      </c>
      <c r="L122" s="31" t="s">
        <v>991</v>
      </c>
      <c r="M122" s="32">
        <v>19621.060000000001</v>
      </c>
      <c r="N122" s="32">
        <v>3691.6</v>
      </c>
      <c r="O122" s="32"/>
      <c r="P122" s="32">
        <v>3691.6</v>
      </c>
      <c r="Q122" s="32"/>
      <c r="R122" s="32"/>
    </row>
    <row r="123" spans="1:18">
      <c r="A123" s="9" t="s">
        <v>1150</v>
      </c>
      <c r="B123" t="s">
        <v>1247</v>
      </c>
      <c r="C123" s="5" t="s">
        <v>1249</v>
      </c>
      <c r="E123" s="33">
        <f t="shared" si="1"/>
        <v>832.72499999999991</v>
      </c>
      <c r="G123" s="1">
        <v>649.59</v>
      </c>
      <c r="H123" s="1">
        <v>91.064999999999998</v>
      </c>
      <c r="I123" s="1">
        <v>92.07</v>
      </c>
      <c r="L123" s="31" t="s">
        <v>1066</v>
      </c>
      <c r="M123" s="32">
        <v>2415.38</v>
      </c>
      <c r="N123" s="32">
        <v>903.8</v>
      </c>
      <c r="O123" s="32"/>
      <c r="P123" s="32"/>
      <c r="Q123" s="32">
        <v>697.3</v>
      </c>
      <c r="R123" s="32">
        <v>206.5</v>
      </c>
    </row>
    <row r="124" spans="1:18">
      <c r="A124" s="9" t="s">
        <v>1734</v>
      </c>
      <c r="B124" t="s">
        <v>1247</v>
      </c>
      <c r="C124" s="5" t="s">
        <v>1249</v>
      </c>
      <c r="E124" s="33">
        <f t="shared" si="1"/>
        <v>7825.89</v>
      </c>
      <c r="F124" s="1">
        <v>2145.36</v>
      </c>
      <c r="G124" s="1">
        <v>1487.84</v>
      </c>
      <c r="H124" s="1">
        <v>3095.81</v>
      </c>
      <c r="I124" s="1">
        <v>1096.8800000000001</v>
      </c>
      <c r="L124" s="31" t="s">
        <v>1848</v>
      </c>
      <c r="M124" s="32"/>
      <c r="N124" s="32">
        <v>0</v>
      </c>
      <c r="O124" s="32">
        <v>0</v>
      </c>
      <c r="P124" s="32"/>
      <c r="Q124" s="32"/>
      <c r="R124" s="32"/>
    </row>
    <row r="125" spans="1:18">
      <c r="A125" s="9" t="s">
        <v>825</v>
      </c>
      <c r="B125" t="s">
        <v>845</v>
      </c>
      <c r="C125" s="5" t="s">
        <v>847</v>
      </c>
      <c r="D125" s="1">
        <v>1055.3800000000001</v>
      </c>
      <c r="E125" s="33">
        <f t="shared" si="1"/>
        <v>0</v>
      </c>
      <c r="L125" s="31" t="s">
        <v>1054</v>
      </c>
      <c r="M125" s="32"/>
      <c r="N125" s="32">
        <v>396</v>
      </c>
      <c r="O125" s="32"/>
      <c r="P125" s="32">
        <v>396</v>
      </c>
      <c r="Q125" s="32"/>
      <c r="R125" s="32"/>
    </row>
    <row r="126" spans="1:18">
      <c r="A126" s="9" t="s">
        <v>1734</v>
      </c>
      <c r="B126" t="s">
        <v>845</v>
      </c>
      <c r="C126" s="5" t="s">
        <v>847</v>
      </c>
      <c r="D126" s="1">
        <v>3933.13</v>
      </c>
      <c r="E126" s="33">
        <f t="shared" si="1"/>
        <v>0</v>
      </c>
      <c r="L126" s="31" t="s">
        <v>1096</v>
      </c>
      <c r="M126" s="32"/>
      <c r="N126" s="32">
        <v>154.875</v>
      </c>
      <c r="O126" s="32"/>
      <c r="P126" s="32"/>
      <c r="Q126" s="32">
        <v>154.875</v>
      </c>
      <c r="R126" s="32"/>
    </row>
    <row r="127" spans="1:18">
      <c r="A127" s="9" t="s">
        <v>825</v>
      </c>
      <c r="B127" t="s">
        <v>1055</v>
      </c>
      <c r="C127" s="5" t="s">
        <v>1057</v>
      </c>
      <c r="E127" s="33">
        <f t="shared" si="1"/>
        <v>3635.63</v>
      </c>
      <c r="G127" s="1">
        <v>3635.63</v>
      </c>
      <c r="L127" s="31" t="s">
        <v>1240</v>
      </c>
      <c r="M127" s="32">
        <v>-1319.51</v>
      </c>
      <c r="N127" s="32">
        <v>0</v>
      </c>
      <c r="O127" s="32"/>
      <c r="P127" s="32"/>
      <c r="Q127" s="32"/>
      <c r="R127" s="32"/>
    </row>
    <row r="128" spans="1:18">
      <c r="A128" s="9" t="s">
        <v>1150</v>
      </c>
      <c r="B128" t="s">
        <v>1055</v>
      </c>
      <c r="C128" s="5" t="s">
        <v>1057</v>
      </c>
      <c r="D128" s="1">
        <v>680</v>
      </c>
      <c r="E128" s="33">
        <f t="shared" si="1"/>
        <v>0</v>
      </c>
      <c r="L128" s="31" t="s">
        <v>1033</v>
      </c>
      <c r="M128" s="32">
        <v>1644.63</v>
      </c>
      <c r="N128" s="32">
        <v>919</v>
      </c>
      <c r="O128" s="32">
        <v>919</v>
      </c>
      <c r="P128" s="32"/>
      <c r="Q128" s="32"/>
      <c r="R128" s="32"/>
    </row>
    <row r="129" spans="1:18">
      <c r="A129" s="9" t="s">
        <v>825</v>
      </c>
      <c r="B129" t="s">
        <v>836</v>
      </c>
      <c r="C129" s="5" t="s">
        <v>838</v>
      </c>
      <c r="E129" s="33">
        <f t="shared" si="1"/>
        <v>540.55000000000007</v>
      </c>
      <c r="F129" s="1">
        <v>191.08</v>
      </c>
      <c r="H129" s="1">
        <v>349.47</v>
      </c>
      <c r="L129" s="31" t="s">
        <v>1243</v>
      </c>
      <c r="M129" s="32">
        <v>2389.29</v>
      </c>
      <c r="N129" s="32">
        <v>0</v>
      </c>
      <c r="O129" s="32"/>
      <c r="P129" s="32"/>
      <c r="Q129" s="32"/>
      <c r="R129" s="32"/>
    </row>
    <row r="130" spans="1:18">
      <c r="A130" s="9" t="s">
        <v>13</v>
      </c>
      <c r="B130" t="s">
        <v>774</v>
      </c>
      <c r="C130" s="5" t="s">
        <v>776</v>
      </c>
      <c r="D130" s="1">
        <v>6190</v>
      </c>
      <c r="E130" s="33">
        <f t="shared" si="1"/>
        <v>0</v>
      </c>
      <c r="L130" s="31" t="s">
        <v>1264</v>
      </c>
      <c r="M130" s="32">
        <v>1050.71</v>
      </c>
      <c r="N130" s="32">
        <v>0</v>
      </c>
      <c r="O130" s="32"/>
      <c r="P130" s="32"/>
      <c r="Q130" s="32"/>
      <c r="R130" s="32"/>
    </row>
    <row r="131" spans="1:18">
      <c r="A131" s="9" t="s">
        <v>825</v>
      </c>
      <c r="B131" t="s">
        <v>974</v>
      </c>
      <c r="C131" s="5" t="s">
        <v>976</v>
      </c>
      <c r="D131" s="1">
        <v>1053.57</v>
      </c>
      <c r="E131" s="33">
        <f t="shared" si="1"/>
        <v>4346.2700000000004</v>
      </c>
      <c r="F131" s="1">
        <v>4346.2700000000004</v>
      </c>
      <c r="L131" s="31" t="s">
        <v>1021</v>
      </c>
      <c r="M131" s="32"/>
      <c r="N131" s="32">
        <v>4878.7</v>
      </c>
      <c r="O131" s="32">
        <v>2546</v>
      </c>
      <c r="P131" s="32"/>
      <c r="Q131" s="32">
        <v>2332.6999999999998</v>
      </c>
      <c r="R131" s="32"/>
    </row>
    <row r="132" spans="1:18">
      <c r="A132" s="9" t="s">
        <v>13</v>
      </c>
      <c r="B132" t="s">
        <v>822</v>
      </c>
      <c r="C132" s="5" t="s">
        <v>824</v>
      </c>
      <c r="D132" s="1">
        <v>2667.5</v>
      </c>
      <c r="E132" s="33">
        <f t="shared" si="1"/>
        <v>0</v>
      </c>
      <c r="L132" s="31" t="s">
        <v>877</v>
      </c>
      <c r="M132" s="32"/>
      <c r="N132" s="32">
        <v>2178.96</v>
      </c>
      <c r="O132" s="32"/>
      <c r="P132" s="32">
        <v>1636.52</v>
      </c>
      <c r="Q132" s="32">
        <v>542.44000000000005</v>
      </c>
      <c r="R132" s="32"/>
    </row>
    <row r="133" spans="1:18">
      <c r="A133" s="9" t="s">
        <v>825</v>
      </c>
      <c r="B133" t="s">
        <v>822</v>
      </c>
      <c r="C133" s="5" t="s">
        <v>824</v>
      </c>
      <c r="E133" s="33">
        <f t="shared" si="1"/>
        <v>5704.62</v>
      </c>
      <c r="F133" s="1">
        <v>5704.62</v>
      </c>
      <c r="L133" s="31" t="s">
        <v>1154</v>
      </c>
      <c r="M133" s="32"/>
      <c r="N133" s="32">
        <v>1600</v>
      </c>
      <c r="O133" s="32">
        <v>1600</v>
      </c>
      <c r="P133" s="32"/>
      <c r="Q133" s="32"/>
      <c r="R133" s="32"/>
    </row>
    <row r="134" spans="1:18">
      <c r="A134" s="9" t="s">
        <v>825</v>
      </c>
      <c r="B134" t="s">
        <v>899</v>
      </c>
      <c r="C134" s="5" t="s">
        <v>901</v>
      </c>
      <c r="E134" s="33">
        <f t="shared" ref="E134:E197" si="2">SUM(F134:I134)</f>
        <v>8900</v>
      </c>
      <c r="F134" s="1">
        <v>8900</v>
      </c>
      <c r="L134" s="31" t="s">
        <v>1273</v>
      </c>
      <c r="M134" s="32"/>
      <c r="N134" s="32">
        <v>240.96</v>
      </c>
      <c r="O134" s="32"/>
      <c r="P134" s="32"/>
      <c r="Q134" s="32">
        <v>240.96</v>
      </c>
      <c r="R134" s="32"/>
    </row>
    <row r="135" spans="1:18">
      <c r="A135" s="9" t="s">
        <v>825</v>
      </c>
      <c r="B135" t="s">
        <v>944</v>
      </c>
      <c r="C135" s="5" t="s">
        <v>946</v>
      </c>
      <c r="D135" s="1">
        <v>8196.7099999999991</v>
      </c>
      <c r="E135" s="33">
        <f t="shared" si="2"/>
        <v>72.275000000000006</v>
      </c>
      <c r="H135" s="1">
        <v>72.275000000000006</v>
      </c>
      <c r="L135" s="31" t="s">
        <v>832</v>
      </c>
      <c r="M135" s="32"/>
      <c r="N135" s="32">
        <v>405.43</v>
      </c>
      <c r="O135" s="32">
        <v>50</v>
      </c>
      <c r="P135" s="32">
        <v>355.43</v>
      </c>
      <c r="Q135" s="32"/>
      <c r="R135" s="32"/>
    </row>
    <row r="136" spans="1:18">
      <c r="A136" s="9" t="s">
        <v>1150</v>
      </c>
      <c r="B136" t="s">
        <v>1268</v>
      </c>
      <c r="C136" s="5" t="s">
        <v>1270</v>
      </c>
      <c r="E136" s="33">
        <f t="shared" si="2"/>
        <v>847.68</v>
      </c>
      <c r="H136" s="1">
        <v>847.68</v>
      </c>
      <c r="L136" s="31" t="s">
        <v>800</v>
      </c>
      <c r="M136" s="32"/>
      <c r="N136" s="32">
        <v>1759.96</v>
      </c>
      <c r="O136" s="32"/>
      <c r="P136" s="32">
        <v>1188.76</v>
      </c>
      <c r="Q136" s="32">
        <v>571.20000000000005</v>
      </c>
      <c r="R136" s="32"/>
    </row>
    <row r="137" spans="1:18">
      <c r="A137" s="9" t="s">
        <v>1473</v>
      </c>
      <c r="B137" t="s">
        <v>1268</v>
      </c>
      <c r="C137" s="5" t="s">
        <v>1270</v>
      </c>
      <c r="E137" s="33">
        <f t="shared" si="2"/>
        <v>350.74</v>
      </c>
      <c r="H137" s="1">
        <v>350.74</v>
      </c>
      <c r="L137" s="31" t="s">
        <v>1252</v>
      </c>
      <c r="M137" s="32">
        <v>30000</v>
      </c>
      <c r="N137" s="32">
        <v>28629.62</v>
      </c>
      <c r="O137" s="32">
        <v>28629.62</v>
      </c>
      <c r="P137" s="32"/>
      <c r="Q137" s="32"/>
      <c r="R137" s="32"/>
    </row>
    <row r="138" spans="1:18">
      <c r="A138" s="9" t="s">
        <v>1734</v>
      </c>
      <c r="B138" t="s">
        <v>1268</v>
      </c>
      <c r="C138" s="5" t="s">
        <v>1270</v>
      </c>
      <c r="E138" s="33">
        <f t="shared" si="2"/>
        <v>37926.81</v>
      </c>
      <c r="H138" s="1">
        <v>37220.129999999997</v>
      </c>
      <c r="I138" s="1">
        <v>706.68</v>
      </c>
      <c r="L138" s="31" t="s">
        <v>1309</v>
      </c>
      <c r="M138" s="32">
        <v>7077.9</v>
      </c>
      <c r="N138" s="32">
        <v>1568.5400000000002</v>
      </c>
      <c r="O138" s="32"/>
      <c r="P138" s="32">
        <v>145.21</v>
      </c>
      <c r="Q138" s="32">
        <v>1259.1199999999999</v>
      </c>
      <c r="R138" s="32">
        <v>164.21</v>
      </c>
    </row>
    <row r="139" spans="1:18">
      <c r="A139" s="9" t="s">
        <v>825</v>
      </c>
      <c r="B139" t="s">
        <v>1085</v>
      </c>
      <c r="C139" s="5" t="s">
        <v>1087</v>
      </c>
      <c r="D139" s="1">
        <v>5713.14</v>
      </c>
      <c r="E139" s="33">
        <f t="shared" si="2"/>
        <v>0</v>
      </c>
      <c r="L139" s="31" t="s">
        <v>1237</v>
      </c>
      <c r="M139" s="32">
        <v>932.36</v>
      </c>
      <c r="N139" s="32">
        <v>0</v>
      </c>
      <c r="O139" s="32"/>
      <c r="P139" s="32"/>
      <c r="Q139" s="32"/>
      <c r="R139" s="32"/>
    </row>
    <row r="140" spans="1:18">
      <c r="A140" s="9" t="s">
        <v>13</v>
      </c>
      <c r="B140" t="s">
        <v>717</v>
      </c>
      <c r="C140" s="5" t="s">
        <v>719</v>
      </c>
      <c r="E140" s="33">
        <f t="shared" si="2"/>
        <v>2642.72</v>
      </c>
      <c r="H140" s="1">
        <v>2642.72</v>
      </c>
      <c r="L140" s="31" t="s">
        <v>856</v>
      </c>
      <c r="M140" s="32">
        <v>19108.61</v>
      </c>
      <c r="N140" s="32">
        <v>6516</v>
      </c>
      <c r="O140" s="32">
        <v>5416</v>
      </c>
      <c r="P140" s="32">
        <v>1100</v>
      </c>
      <c r="Q140" s="32"/>
      <c r="R140" s="32"/>
    </row>
    <row r="141" spans="1:18">
      <c r="A141" s="9" t="s">
        <v>1150</v>
      </c>
      <c r="B141" t="s">
        <v>717</v>
      </c>
      <c r="C141" s="5" t="s">
        <v>719</v>
      </c>
      <c r="E141" s="33">
        <f t="shared" si="2"/>
        <v>211.92</v>
      </c>
      <c r="H141" s="1">
        <v>211.92</v>
      </c>
      <c r="L141" s="31" t="s">
        <v>809</v>
      </c>
      <c r="M141" s="32">
        <v>1923.41</v>
      </c>
      <c r="N141" s="32">
        <v>10737.8</v>
      </c>
      <c r="O141" s="32">
        <v>10737.8</v>
      </c>
      <c r="P141" s="32"/>
      <c r="Q141" s="32"/>
      <c r="R141" s="32"/>
    </row>
    <row r="142" spans="1:18">
      <c r="A142" s="9" t="s">
        <v>1715</v>
      </c>
      <c r="B142" t="s">
        <v>717</v>
      </c>
      <c r="C142" s="5" t="s">
        <v>719</v>
      </c>
      <c r="E142" s="33">
        <f t="shared" si="2"/>
        <v>511.28</v>
      </c>
      <c r="H142" s="1">
        <v>511.28</v>
      </c>
      <c r="L142" s="31" t="s">
        <v>329</v>
      </c>
      <c r="M142" s="32">
        <v>3661.92</v>
      </c>
      <c r="N142" s="32">
        <v>2540.5</v>
      </c>
      <c r="O142" s="32">
        <v>2540.5</v>
      </c>
      <c r="P142" s="32"/>
      <c r="Q142" s="32"/>
      <c r="R142" s="32"/>
    </row>
    <row r="143" spans="1:18">
      <c r="A143" s="9" t="s">
        <v>1734</v>
      </c>
      <c r="B143" t="s">
        <v>717</v>
      </c>
      <c r="C143" s="5" t="s">
        <v>719</v>
      </c>
      <c r="E143" s="33">
        <f t="shared" si="2"/>
        <v>880.4</v>
      </c>
      <c r="H143" s="1">
        <v>880.4</v>
      </c>
      <c r="L143" s="31" t="s">
        <v>919</v>
      </c>
      <c r="M143" s="32">
        <v>32447.08</v>
      </c>
      <c r="N143" s="32">
        <v>6200</v>
      </c>
      <c r="O143" s="32">
        <v>6200</v>
      </c>
      <c r="P143" s="32"/>
      <c r="Q143" s="32"/>
      <c r="R143" s="32"/>
    </row>
    <row r="144" spans="1:18">
      <c r="A144" s="9" t="s">
        <v>13</v>
      </c>
      <c r="B144" t="s">
        <v>780</v>
      </c>
      <c r="C144" s="5" t="s">
        <v>782</v>
      </c>
      <c r="E144" s="33">
        <f t="shared" si="2"/>
        <v>19334.03</v>
      </c>
      <c r="G144" s="1">
        <v>19334.03</v>
      </c>
      <c r="L144" s="31" t="s">
        <v>1090</v>
      </c>
      <c r="M144" s="32">
        <v>2610.7399999999998</v>
      </c>
      <c r="N144" s="32">
        <v>0</v>
      </c>
      <c r="O144" s="32"/>
      <c r="P144" s="32"/>
      <c r="Q144" s="32"/>
      <c r="R144" s="32"/>
    </row>
    <row r="145" spans="1:18">
      <c r="A145" s="9" t="s">
        <v>1150</v>
      </c>
      <c r="B145" t="s">
        <v>1197</v>
      </c>
      <c r="C145" s="5" t="s">
        <v>1199</v>
      </c>
      <c r="E145" s="33">
        <f t="shared" si="2"/>
        <v>3435.8149999999996</v>
      </c>
      <c r="H145" s="1">
        <v>2748.5549999999998</v>
      </c>
      <c r="I145" s="1">
        <v>687.26</v>
      </c>
      <c r="L145" s="31" t="s">
        <v>985</v>
      </c>
      <c r="M145" s="32">
        <v>8010</v>
      </c>
      <c r="N145" s="32">
        <v>0</v>
      </c>
      <c r="O145" s="32"/>
      <c r="P145" s="32"/>
      <c r="Q145" s="32"/>
      <c r="R145" s="32"/>
    </row>
    <row r="146" spans="1:18">
      <c r="A146" s="9" t="s">
        <v>825</v>
      </c>
      <c r="B146" t="s">
        <v>905</v>
      </c>
      <c r="C146" s="5" t="s">
        <v>907</v>
      </c>
      <c r="D146" s="1">
        <v>16038.98</v>
      </c>
      <c r="E146" s="33">
        <f t="shared" si="2"/>
        <v>8788</v>
      </c>
      <c r="F146" s="1">
        <v>6300</v>
      </c>
      <c r="G146" s="1">
        <v>2488</v>
      </c>
      <c r="L146" s="31" t="s">
        <v>865</v>
      </c>
      <c r="M146" s="32">
        <v>-180</v>
      </c>
      <c r="N146" s="32">
        <v>1477.34</v>
      </c>
      <c r="O146" s="32"/>
      <c r="P146" s="32"/>
      <c r="Q146" s="32">
        <v>1477.34</v>
      </c>
      <c r="R146" s="32"/>
    </row>
    <row r="147" spans="1:18">
      <c r="A147" s="9" t="s">
        <v>825</v>
      </c>
      <c r="B147" t="s">
        <v>923</v>
      </c>
      <c r="C147" s="5" t="s">
        <v>925</v>
      </c>
      <c r="D147" s="1">
        <v>31855.919999999998</v>
      </c>
      <c r="E147" s="33">
        <f t="shared" si="2"/>
        <v>3360</v>
      </c>
      <c r="G147" s="1">
        <v>3360</v>
      </c>
      <c r="L147" s="31" t="s">
        <v>955</v>
      </c>
      <c r="M147" s="32"/>
      <c r="N147" s="32">
        <v>8099</v>
      </c>
      <c r="O147" s="32"/>
      <c r="P147" s="32">
        <v>8099</v>
      </c>
      <c r="Q147" s="32"/>
      <c r="R147" s="32"/>
    </row>
    <row r="148" spans="1:18">
      <c r="A148" s="9" t="s">
        <v>1150</v>
      </c>
      <c r="B148" t="s">
        <v>923</v>
      </c>
      <c r="C148" s="5" t="s">
        <v>925</v>
      </c>
      <c r="D148" s="1">
        <v>-561.41999999999996</v>
      </c>
      <c r="E148" s="33">
        <f t="shared" si="2"/>
        <v>0</v>
      </c>
      <c r="L148" s="31" t="s">
        <v>1006</v>
      </c>
      <c r="M148" s="32">
        <v>83333.36</v>
      </c>
      <c r="N148" s="32">
        <v>0</v>
      </c>
      <c r="O148" s="32"/>
      <c r="P148" s="32"/>
      <c r="Q148" s="32"/>
      <c r="R148" s="32"/>
    </row>
    <row r="149" spans="1:18">
      <c r="A149" s="9" t="s">
        <v>825</v>
      </c>
      <c r="B149" t="s">
        <v>926</v>
      </c>
      <c r="C149" s="5" t="s">
        <v>928</v>
      </c>
      <c r="E149" s="33">
        <f t="shared" si="2"/>
        <v>2642.49</v>
      </c>
      <c r="G149" s="1">
        <v>2554.4499999999998</v>
      </c>
      <c r="H149" s="1">
        <v>88.04</v>
      </c>
      <c r="L149" s="31" t="s">
        <v>1211</v>
      </c>
      <c r="M149" s="32"/>
      <c r="N149" s="32">
        <v>15.98</v>
      </c>
      <c r="O149" s="32"/>
      <c r="P149" s="32"/>
      <c r="Q149" s="32">
        <v>15.98</v>
      </c>
      <c r="R149" s="32"/>
    </row>
    <row r="150" spans="1:18">
      <c r="A150" s="9" t="s">
        <v>825</v>
      </c>
      <c r="B150" t="s">
        <v>851</v>
      </c>
      <c r="C150" s="5" t="s">
        <v>853</v>
      </c>
      <c r="D150" s="1">
        <v>7332.06</v>
      </c>
      <c r="E150" s="33">
        <f t="shared" si="2"/>
        <v>0</v>
      </c>
      <c r="L150" s="31" t="s">
        <v>1081</v>
      </c>
      <c r="M150" s="32"/>
      <c r="N150" s="32">
        <v>33</v>
      </c>
      <c r="O150" s="32">
        <v>33</v>
      </c>
      <c r="P150" s="32"/>
      <c r="Q150" s="32"/>
      <c r="R150" s="32"/>
    </row>
    <row r="151" spans="1:18">
      <c r="A151" s="9" t="s">
        <v>825</v>
      </c>
      <c r="B151" t="s">
        <v>947</v>
      </c>
      <c r="C151" s="5" t="s">
        <v>949</v>
      </c>
      <c r="D151" s="1">
        <v>2530.3200000000002</v>
      </c>
      <c r="E151" s="33">
        <f t="shared" si="2"/>
        <v>0</v>
      </c>
      <c r="L151" s="31" t="s">
        <v>758</v>
      </c>
      <c r="M151" s="32">
        <v>340595.31</v>
      </c>
      <c r="N151" s="32">
        <v>12040.59</v>
      </c>
      <c r="O151" s="32"/>
      <c r="P151" s="32">
        <v>12040.59</v>
      </c>
      <c r="Q151" s="32"/>
      <c r="R151" s="32"/>
    </row>
    <row r="152" spans="1:18">
      <c r="A152" s="9" t="s">
        <v>825</v>
      </c>
      <c r="B152" t="s">
        <v>1007</v>
      </c>
      <c r="C152" s="5" t="s">
        <v>1009</v>
      </c>
      <c r="D152" s="1">
        <v>20240.71</v>
      </c>
      <c r="E152" s="33">
        <f t="shared" si="2"/>
        <v>0</v>
      </c>
      <c r="L152" s="31" t="s">
        <v>871</v>
      </c>
      <c r="M152" s="32">
        <v>1620.48</v>
      </c>
      <c r="N152" s="32">
        <v>856.43</v>
      </c>
      <c r="O152" s="32"/>
      <c r="P152" s="32">
        <v>856.43</v>
      </c>
      <c r="Q152" s="32"/>
      <c r="R152" s="32"/>
    </row>
    <row r="153" spans="1:18">
      <c r="A153" s="9" t="s">
        <v>1150</v>
      </c>
      <c r="B153" t="s">
        <v>1188</v>
      </c>
      <c r="C153" s="5" t="s">
        <v>1190</v>
      </c>
      <c r="D153" s="1">
        <v>4230.96</v>
      </c>
      <c r="E153" s="33">
        <f t="shared" si="2"/>
        <v>0</v>
      </c>
      <c r="L153" s="31" t="s">
        <v>1297</v>
      </c>
      <c r="M153" s="32">
        <v>5721.76</v>
      </c>
      <c r="N153" s="32">
        <v>0</v>
      </c>
      <c r="O153" s="32"/>
      <c r="P153" s="32"/>
      <c r="Q153" s="32"/>
      <c r="R153" s="32"/>
    </row>
    <row r="154" spans="1:18">
      <c r="A154" s="9" t="s">
        <v>825</v>
      </c>
      <c r="B154" t="s">
        <v>1070</v>
      </c>
      <c r="C154" s="5" t="s">
        <v>1072</v>
      </c>
      <c r="E154" s="33">
        <f t="shared" si="2"/>
        <v>5333.67</v>
      </c>
      <c r="G154" s="1">
        <v>5333.67</v>
      </c>
      <c r="L154" s="31" t="s">
        <v>1827</v>
      </c>
      <c r="M154" s="32">
        <v>766.4</v>
      </c>
      <c r="N154" s="32">
        <v>0</v>
      </c>
      <c r="O154" s="32"/>
      <c r="P154" s="32"/>
      <c r="Q154" s="32"/>
      <c r="R154" s="32"/>
    </row>
    <row r="155" spans="1:18">
      <c r="A155" s="9" t="s">
        <v>1150</v>
      </c>
      <c r="B155" t="s">
        <v>1070</v>
      </c>
      <c r="C155" s="5" t="s">
        <v>1072</v>
      </c>
      <c r="D155" s="1">
        <v>29807.95</v>
      </c>
      <c r="E155" s="33">
        <f t="shared" si="2"/>
        <v>381.79</v>
      </c>
      <c r="G155" s="1">
        <v>381.79</v>
      </c>
      <c r="L155" s="31" t="s">
        <v>1784</v>
      </c>
      <c r="M155" s="32"/>
      <c r="N155" s="32">
        <v>1445.345</v>
      </c>
      <c r="O155" s="32"/>
      <c r="P155" s="32"/>
      <c r="Q155" s="32">
        <v>1155.845</v>
      </c>
      <c r="R155" s="32">
        <v>289.5</v>
      </c>
    </row>
    <row r="156" spans="1:18">
      <c r="A156" s="9" t="s">
        <v>1150</v>
      </c>
      <c r="B156" t="s">
        <v>1182</v>
      </c>
      <c r="C156" s="5" t="s">
        <v>1184</v>
      </c>
      <c r="D156" s="1">
        <v>1269.03</v>
      </c>
      <c r="E156" s="33">
        <f t="shared" si="2"/>
        <v>0</v>
      </c>
      <c r="L156" s="31" t="s">
        <v>221</v>
      </c>
      <c r="M156" s="32">
        <v>17200.370000000003</v>
      </c>
      <c r="N156" s="32">
        <v>5141.92</v>
      </c>
      <c r="O156" s="32"/>
      <c r="P156" s="32">
        <v>5141.92</v>
      </c>
      <c r="Q156" s="32"/>
      <c r="R156" s="32"/>
    </row>
    <row r="157" spans="1:18">
      <c r="A157" s="9" t="s">
        <v>1150</v>
      </c>
      <c r="B157" t="s">
        <v>1191</v>
      </c>
      <c r="C157" s="5" t="s">
        <v>1193</v>
      </c>
      <c r="E157" s="33">
        <f t="shared" si="2"/>
        <v>429.87</v>
      </c>
      <c r="G157" s="1">
        <v>429.87</v>
      </c>
      <c r="L157" s="31" t="s">
        <v>1836</v>
      </c>
      <c r="M157" s="32">
        <v>2785</v>
      </c>
      <c r="N157" s="32">
        <v>0</v>
      </c>
      <c r="O157" s="32"/>
      <c r="P157" s="32"/>
      <c r="Q157" s="32"/>
      <c r="R157" s="32"/>
    </row>
    <row r="158" spans="1:18">
      <c r="A158" s="9" t="s">
        <v>1150</v>
      </c>
      <c r="B158" t="s">
        <v>1206</v>
      </c>
      <c r="C158" s="5" t="s">
        <v>1208</v>
      </c>
      <c r="D158" s="1">
        <v>1142.05</v>
      </c>
      <c r="E158" s="33">
        <f t="shared" si="2"/>
        <v>0</v>
      </c>
      <c r="L158" s="31" t="s">
        <v>1818</v>
      </c>
      <c r="M158" s="32">
        <v>1886.45</v>
      </c>
      <c r="N158" s="32">
        <v>0</v>
      </c>
      <c r="O158" s="32"/>
      <c r="P158" s="32"/>
      <c r="Q158" s="32"/>
      <c r="R158" s="32"/>
    </row>
    <row r="159" spans="1:18">
      <c r="A159" s="9" t="s">
        <v>1150</v>
      </c>
      <c r="B159" t="s">
        <v>1179</v>
      </c>
      <c r="C159" s="5" t="s">
        <v>1181</v>
      </c>
      <c r="D159" s="1">
        <v>297.44</v>
      </c>
      <c r="E159" s="33">
        <f t="shared" si="2"/>
        <v>0</v>
      </c>
      <c r="L159" s="31" t="s">
        <v>1857</v>
      </c>
      <c r="M159" s="32">
        <v>789.87</v>
      </c>
      <c r="N159" s="32">
        <v>0</v>
      </c>
      <c r="O159" s="32"/>
      <c r="P159" s="32"/>
      <c r="Q159" s="32"/>
      <c r="R159" s="32"/>
    </row>
    <row r="160" spans="1:18">
      <c r="A160" s="9" t="s">
        <v>1734</v>
      </c>
      <c r="B160" t="s">
        <v>1770</v>
      </c>
      <c r="C160" s="5" t="s">
        <v>1772</v>
      </c>
      <c r="D160" s="1">
        <v>2689.08</v>
      </c>
      <c r="E160" s="33">
        <f t="shared" si="2"/>
        <v>0</v>
      </c>
      <c r="L160" s="31" t="s">
        <v>1793</v>
      </c>
      <c r="M160" s="32">
        <v>1197.53</v>
      </c>
      <c r="N160" s="32">
        <v>0</v>
      </c>
      <c r="O160" s="32"/>
      <c r="P160" s="32"/>
      <c r="Q160" s="32"/>
      <c r="R160" s="32"/>
    </row>
    <row r="161" spans="1:18">
      <c r="A161" s="9" t="s">
        <v>825</v>
      </c>
      <c r="B161" t="s">
        <v>887</v>
      </c>
      <c r="C161" s="5" t="s">
        <v>889</v>
      </c>
      <c r="D161" s="1">
        <v>414231.28</v>
      </c>
      <c r="E161" s="33">
        <f t="shared" si="2"/>
        <v>68879.05</v>
      </c>
      <c r="F161" s="1">
        <v>2340</v>
      </c>
      <c r="G161" s="1">
        <v>60035.9</v>
      </c>
      <c r="H161" s="1">
        <v>6503.15</v>
      </c>
      <c r="L161" s="31" t="s">
        <v>1860</v>
      </c>
      <c r="M161" s="32">
        <v>1931.63</v>
      </c>
      <c r="N161" s="32">
        <v>1500</v>
      </c>
      <c r="O161" s="32">
        <v>1500</v>
      </c>
      <c r="P161" s="32"/>
      <c r="Q161" s="32"/>
      <c r="R161" s="32"/>
    </row>
    <row r="162" spans="1:18">
      <c r="A162" s="9" t="s">
        <v>1150</v>
      </c>
      <c r="B162" t="s">
        <v>887</v>
      </c>
      <c r="C162" s="5" t="s">
        <v>889</v>
      </c>
      <c r="D162" s="1">
        <v>611.4</v>
      </c>
      <c r="E162" s="33">
        <f t="shared" si="2"/>
        <v>0</v>
      </c>
      <c r="L162" s="31" t="s">
        <v>1775</v>
      </c>
      <c r="M162" s="32">
        <v>1659.33</v>
      </c>
      <c r="N162" s="32">
        <v>0</v>
      </c>
      <c r="O162" s="32"/>
      <c r="P162" s="32"/>
      <c r="Q162" s="32"/>
      <c r="R162" s="32"/>
    </row>
    <row r="163" spans="1:18">
      <c r="A163" s="17" t="s">
        <v>1901</v>
      </c>
      <c r="B163" t="s">
        <v>1331</v>
      </c>
      <c r="C163" s="5" t="s">
        <v>1333</v>
      </c>
      <c r="E163" s="33">
        <f t="shared" si="2"/>
        <v>70.89</v>
      </c>
      <c r="H163" s="1">
        <v>31.56</v>
      </c>
      <c r="I163" s="1">
        <v>39.33</v>
      </c>
      <c r="L163" s="31" t="s">
        <v>1163</v>
      </c>
      <c r="M163" s="32">
        <v>19209.39</v>
      </c>
      <c r="N163" s="32">
        <v>12573.6</v>
      </c>
      <c r="O163" s="32"/>
      <c r="P163" s="32">
        <v>12573.6</v>
      </c>
      <c r="Q163" s="32"/>
      <c r="R163" s="32"/>
    </row>
    <row r="164" spans="1:18">
      <c r="A164" s="9" t="s">
        <v>825</v>
      </c>
      <c r="B164" t="s">
        <v>989</v>
      </c>
      <c r="C164" s="5" t="s">
        <v>991</v>
      </c>
      <c r="D164" s="1">
        <v>19621.060000000001</v>
      </c>
      <c r="E164" s="33">
        <f t="shared" si="2"/>
        <v>3691.6</v>
      </c>
      <c r="G164" s="1">
        <v>3691.6</v>
      </c>
      <c r="L164" s="31" t="s">
        <v>1048</v>
      </c>
      <c r="M164" s="32"/>
      <c r="N164" s="32">
        <v>1998.12</v>
      </c>
      <c r="O164" s="32"/>
      <c r="P164" s="32">
        <v>1998.12</v>
      </c>
      <c r="Q164" s="32"/>
      <c r="R164" s="32"/>
    </row>
    <row r="165" spans="1:18">
      <c r="A165" s="9" t="s">
        <v>825</v>
      </c>
      <c r="B165" t="s">
        <v>1064</v>
      </c>
      <c r="C165" s="5" t="s">
        <v>1066</v>
      </c>
      <c r="D165" s="1">
        <v>2415.38</v>
      </c>
      <c r="E165" s="33">
        <f t="shared" si="2"/>
        <v>0</v>
      </c>
      <c r="L165" s="31" t="s">
        <v>1839</v>
      </c>
      <c r="M165" s="32">
        <v>3466.56</v>
      </c>
      <c r="N165" s="32">
        <v>1282.98</v>
      </c>
      <c r="O165" s="32"/>
      <c r="P165" s="32">
        <v>1282.98</v>
      </c>
      <c r="Q165" s="32"/>
      <c r="R165" s="32"/>
    </row>
    <row r="166" spans="1:18">
      <c r="A166" s="9" t="s">
        <v>1150</v>
      </c>
      <c r="B166" t="s">
        <v>1064</v>
      </c>
      <c r="C166" s="5" t="s">
        <v>1066</v>
      </c>
      <c r="E166" s="33">
        <f t="shared" si="2"/>
        <v>903.8</v>
      </c>
      <c r="H166" s="1">
        <v>697.3</v>
      </c>
      <c r="I166" s="1">
        <v>206.5</v>
      </c>
      <c r="L166" s="31" t="s">
        <v>1803</v>
      </c>
      <c r="M166" s="32">
        <v>464.09</v>
      </c>
      <c r="N166" s="32">
        <v>0</v>
      </c>
      <c r="O166" s="32"/>
      <c r="P166" s="32"/>
      <c r="Q166" s="32"/>
      <c r="R166" s="32"/>
    </row>
    <row r="167" spans="1:18">
      <c r="A167" s="9" t="s">
        <v>1734</v>
      </c>
      <c r="B167" t="s">
        <v>1846</v>
      </c>
      <c r="C167" s="5" t="s">
        <v>1848</v>
      </c>
      <c r="E167" s="33">
        <f t="shared" si="2"/>
        <v>0</v>
      </c>
      <c r="F167" s="1">
        <v>0</v>
      </c>
      <c r="L167" s="31" t="s">
        <v>1833</v>
      </c>
      <c r="M167" s="32">
        <v>12500</v>
      </c>
      <c r="N167" s="32">
        <v>3127</v>
      </c>
      <c r="O167" s="32"/>
      <c r="P167" s="32">
        <v>3127</v>
      </c>
      <c r="Q167" s="32"/>
      <c r="R167" s="32"/>
    </row>
    <row r="168" spans="1:18">
      <c r="A168" s="9" t="s">
        <v>825</v>
      </c>
      <c r="B168" t="s">
        <v>1052</v>
      </c>
      <c r="C168" s="5" t="s">
        <v>1054</v>
      </c>
      <c r="E168" s="33">
        <f t="shared" si="2"/>
        <v>396</v>
      </c>
      <c r="G168" s="1">
        <v>396</v>
      </c>
      <c r="L168" s="31" t="s">
        <v>1854</v>
      </c>
      <c r="M168" s="32">
        <v>1612.45</v>
      </c>
      <c r="N168" s="32">
        <v>0</v>
      </c>
      <c r="O168" s="32"/>
      <c r="P168" s="32"/>
      <c r="Q168" s="32"/>
      <c r="R168" s="32"/>
    </row>
    <row r="169" spans="1:18">
      <c r="A169" s="9" t="s">
        <v>825</v>
      </c>
      <c r="B169" t="s">
        <v>1094</v>
      </c>
      <c r="C169" s="5" t="s">
        <v>1096</v>
      </c>
      <c r="E169" s="33">
        <f t="shared" si="2"/>
        <v>154.875</v>
      </c>
      <c r="H169" s="1">
        <v>154.875</v>
      </c>
      <c r="L169" s="31" t="s">
        <v>1745</v>
      </c>
      <c r="M169" s="32">
        <v>578.37</v>
      </c>
      <c r="N169" s="32">
        <v>0</v>
      </c>
      <c r="O169" s="32"/>
      <c r="P169" s="32"/>
      <c r="Q169" s="32"/>
      <c r="R169" s="32"/>
    </row>
    <row r="170" spans="1:18">
      <c r="A170" s="9" t="s">
        <v>1150</v>
      </c>
      <c r="B170" t="s">
        <v>1238</v>
      </c>
      <c r="C170" s="5" t="s">
        <v>1240</v>
      </c>
      <c r="D170" s="1">
        <v>-1319.51</v>
      </c>
      <c r="E170" s="33">
        <f t="shared" si="2"/>
        <v>0</v>
      </c>
      <c r="L170" s="31" t="s">
        <v>1863</v>
      </c>
      <c r="M170" s="32">
        <v>626.74</v>
      </c>
      <c r="N170" s="32">
        <v>0</v>
      </c>
      <c r="O170" s="32"/>
      <c r="P170" s="32"/>
      <c r="Q170" s="32"/>
      <c r="R170" s="32"/>
    </row>
    <row r="171" spans="1:18">
      <c r="A171" s="9" t="s">
        <v>825</v>
      </c>
      <c r="B171" t="s">
        <v>1031</v>
      </c>
      <c r="C171" s="5" t="s">
        <v>1033</v>
      </c>
      <c r="D171" s="1">
        <v>1644.63</v>
      </c>
      <c r="E171" s="33">
        <f t="shared" si="2"/>
        <v>0</v>
      </c>
      <c r="L171" s="31" t="s">
        <v>1276</v>
      </c>
      <c r="M171" s="32">
        <v>45600</v>
      </c>
      <c r="N171" s="32">
        <v>36226.329999999994</v>
      </c>
      <c r="O171" s="32"/>
      <c r="P171" s="32">
        <v>35809.06</v>
      </c>
      <c r="Q171" s="32">
        <v>417.27</v>
      </c>
      <c r="R171" s="32"/>
    </row>
    <row r="172" spans="1:18">
      <c r="A172" s="9" t="s">
        <v>1150</v>
      </c>
      <c r="B172" t="s">
        <v>1031</v>
      </c>
      <c r="C172" s="5" t="s">
        <v>1033</v>
      </c>
      <c r="E172" s="33">
        <f t="shared" si="2"/>
        <v>919</v>
      </c>
      <c r="F172" s="1">
        <v>919</v>
      </c>
      <c r="L172" s="31" t="s">
        <v>1306</v>
      </c>
      <c r="M172" s="32"/>
      <c r="N172" s="32">
        <v>860</v>
      </c>
      <c r="O172" s="32"/>
      <c r="P172" s="32">
        <v>860</v>
      </c>
      <c r="Q172" s="32"/>
      <c r="R172" s="32"/>
    </row>
    <row r="173" spans="1:18">
      <c r="A173" s="9" t="s">
        <v>1150</v>
      </c>
      <c r="B173" t="s">
        <v>1241</v>
      </c>
      <c r="C173" s="5" t="s">
        <v>1243</v>
      </c>
      <c r="D173" s="1">
        <v>2389.29</v>
      </c>
      <c r="E173" s="33">
        <f t="shared" si="2"/>
        <v>0</v>
      </c>
      <c r="L173" s="31" t="s">
        <v>1806</v>
      </c>
      <c r="M173" s="32">
        <v>1806.18</v>
      </c>
      <c r="N173" s="32">
        <v>1615</v>
      </c>
      <c r="O173" s="32">
        <v>1615</v>
      </c>
      <c r="P173" s="32"/>
      <c r="Q173" s="32"/>
      <c r="R173" s="32"/>
    </row>
    <row r="174" spans="1:18">
      <c r="A174" s="9" t="s">
        <v>1150</v>
      </c>
      <c r="B174" t="s">
        <v>1262</v>
      </c>
      <c r="C174" s="5" t="s">
        <v>1264</v>
      </c>
      <c r="D174" s="1">
        <v>1050.71</v>
      </c>
      <c r="E174" s="33">
        <f t="shared" si="2"/>
        <v>0</v>
      </c>
      <c r="L174" s="31" t="s">
        <v>1812</v>
      </c>
      <c r="M174" s="32">
        <v>13367.17</v>
      </c>
      <c r="N174" s="32">
        <v>7304.54</v>
      </c>
      <c r="O174" s="32"/>
      <c r="P174" s="32">
        <v>5908.66</v>
      </c>
      <c r="Q174" s="32">
        <v>1264.1600000000001</v>
      </c>
      <c r="R174" s="32">
        <v>131.72</v>
      </c>
    </row>
    <row r="175" spans="1:18">
      <c r="A175" s="9" t="s">
        <v>825</v>
      </c>
      <c r="B175" t="s">
        <v>1019</v>
      </c>
      <c r="C175" s="5" t="s">
        <v>1021</v>
      </c>
      <c r="E175" s="33">
        <f t="shared" si="2"/>
        <v>1854.8</v>
      </c>
      <c r="H175" s="1">
        <v>1854.8</v>
      </c>
      <c r="L175" s="31" t="s">
        <v>1851</v>
      </c>
      <c r="M175" s="32">
        <v>3536.47</v>
      </c>
      <c r="N175" s="32">
        <v>0</v>
      </c>
      <c r="O175" s="32"/>
      <c r="P175" s="32"/>
      <c r="Q175" s="32"/>
      <c r="R175" s="32"/>
    </row>
    <row r="176" spans="1:18">
      <c r="A176" s="9" t="s">
        <v>1150</v>
      </c>
      <c r="B176" t="s">
        <v>1019</v>
      </c>
      <c r="C176" s="5" t="s">
        <v>1021</v>
      </c>
      <c r="E176" s="33">
        <f t="shared" si="2"/>
        <v>3023.9</v>
      </c>
      <c r="F176" s="1">
        <v>2546</v>
      </c>
      <c r="H176" s="1">
        <v>477.9</v>
      </c>
      <c r="L176" s="31" t="s">
        <v>1790</v>
      </c>
      <c r="M176" s="32">
        <v>3290.86</v>
      </c>
      <c r="N176" s="32">
        <v>0</v>
      </c>
      <c r="O176" s="32"/>
      <c r="P176" s="32"/>
      <c r="Q176" s="32"/>
      <c r="R176" s="32"/>
    </row>
    <row r="177" spans="1:18">
      <c r="A177" s="9" t="s">
        <v>825</v>
      </c>
      <c r="B177" t="s">
        <v>875</v>
      </c>
      <c r="C177" s="5" t="s">
        <v>877</v>
      </c>
      <c r="E177" s="33">
        <f t="shared" si="2"/>
        <v>2178.96</v>
      </c>
      <c r="G177" s="1">
        <v>1636.52</v>
      </c>
      <c r="H177" s="1">
        <v>542.44000000000005</v>
      </c>
      <c r="L177" s="31" t="s">
        <v>1796</v>
      </c>
      <c r="M177" s="32">
        <v>1461.38</v>
      </c>
      <c r="N177" s="32">
        <v>0</v>
      </c>
      <c r="O177" s="32"/>
      <c r="P177" s="32"/>
      <c r="Q177" s="32"/>
      <c r="R177" s="32"/>
    </row>
    <row r="178" spans="1:18">
      <c r="A178" s="9" t="s">
        <v>1150</v>
      </c>
      <c r="B178" t="s">
        <v>1152</v>
      </c>
      <c r="C178" s="5" t="s">
        <v>1154</v>
      </c>
      <c r="E178" s="33">
        <f t="shared" si="2"/>
        <v>1600</v>
      </c>
      <c r="F178" s="1">
        <v>1600</v>
      </c>
      <c r="L178" s="31" t="s">
        <v>1312</v>
      </c>
      <c r="M178" s="32">
        <v>555</v>
      </c>
      <c r="N178" s="32">
        <v>0</v>
      </c>
      <c r="O178" s="32"/>
      <c r="P178" s="32"/>
      <c r="Q178" s="32"/>
      <c r="R178" s="32"/>
    </row>
    <row r="179" spans="1:18">
      <c r="A179" s="9" t="s">
        <v>1150</v>
      </c>
      <c r="B179" t="s">
        <v>1271</v>
      </c>
      <c r="C179" s="5" t="s">
        <v>1273</v>
      </c>
      <c r="E179" s="33">
        <f t="shared" si="2"/>
        <v>240.96</v>
      </c>
      <c r="H179" s="1">
        <v>240.96</v>
      </c>
      <c r="L179" s="31" t="s">
        <v>1748</v>
      </c>
      <c r="M179" s="32">
        <v>772.5</v>
      </c>
      <c r="N179" s="32">
        <v>0</v>
      </c>
      <c r="O179" s="32"/>
      <c r="P179" s="32"/>
      <c r="Q179" s="32"/>
      <c r="R179" s="32"/>
    </row>
    <row r="180" spans="1:18">
      <c r="A180" s="9" t="s">
        <v>825</v>
      </c>
      <c r="B180" t="s">
        <v>830</v>
      </c>
      <c r="C180" s="5" t="s">
        <v>832</v>
      </c>
      <c r="E180" s="33">
        <f t="shared" si="2"/>
        <v>405.43</v>
      </c>
      <c r="F180" s="1">
        <v>50</v>
      </c>
      <c r="G180" s="1">
        <v>355.43</v>
      </c>
      <c r="L180" s="31" t="s">
        <v>1738</v>
      </c>
      <c r="M180" s="32">
        <v>732</v>
      </c>
      <c r="N180" s="32">
        <v>0</v>
      </c>
      <c r="O180" s="32"/>
      <c r="P180" s="32"/>
      <c r="Q180" s="32"/>
      <c r="R180" s="32"/>
    </row>
    <row r="181" spans="1:18">
      <c r="A181" s="9" t="s">
        <v>13</v>
      </c>
      <c r="B181" t="s">
        <v>798</v>
      </c>
      <c r="C181" s="5" t="s">
        <v>800</v>
      </c>
      <c r="E181" s="33">
        <f t="shared" si="2"/>
        <v>1015.2</v>
      </c>
      <c r="G181" s="1">
        <v>1015.2</v>
      </c>
      <c r="L181" s="31" t="s">
        <v>1799</v>
      </c>
      <c r="M181" s="32">
        <v>362.8</v>
      </c>
      <c r="N181" s="32">
        <v>0</v>
      </c>
      <c r="O181" s="32"/>
      <c r="P181" s="32"/>
      <c r="Q181" s="32"/>
      <c r="R181" s="32"/>
    </row>
    <row r="182" spans="1:18">
      <c r="A182" s="9" t="s">
        <v>825</v>
      </c>
      <c r="B182" t="s">
        <v>798</v>
      </c>
      <c r="C182" s="5" t="s">
        <v>800</v>
      </c>
      <c r="E182" s="33">
        <f t="shared" si="2"/>
        <v>744.76</v>
      </c>
      <c r="G182" s="1">
        <v>173.56</v>
      </c>
      <c r="H182" s="1">
        <v>571.20000000000005</v>
      </c>
      <c r="L182" s="31" t="s">
        <v>1800</v>
      </c>
      <c r="M182" s="32">
        <v>830.2</v>
      </c>
      <c r="N182" s="32">
        <v>0</v>
      </c>
      <c r="O182" s="32"/>
      <c r="P182" s="32"/>
      <c r="Q182" s="32"/>
      <c r="R182" s="32"/>
    </row>
    <row r="183" spans="1:18">
      <c r="A183" s="9" t="s">
        <v>1150</v>
      </c>
      <c r="B183" t="s">
        <v>1250</v>
      </c>
      <c r="C183" s="5" t="s">
        <v>1252</v>
      </c>
      <c r="D183" s="1">
        <v>30000</v>
      </c>
      <c r="E183" s="33">
        <f t="shared" si="2"/>
        <v>5365.69</v>
      </c>
      <c r="F183" s="1">
        <v>5365.69</v>
      </c>
      <c r="L183" s="31" t="s">
        <v>1757</v>
      </c>
      <c r="M183" s="32"/>
      <c r="N183" s="32">
        <v>690.61</v>
      </c>
      <c r="O183" s="32"/>
      <c r="P183" s="32">
        <v>410</v>
      </c>
      <c r="Q183" s="32">
        <v>207.76</v>
      </c>
      <c r="R183" s="32">
        <v>72.849999999999994</v>
      </c>
    </row>
    <row r="184" spans="1:18">
      <c r="A184" s="9" t="s">
        <v>1734</v>
      </c>
      <c r="B184" t="s">
        <v>1250</v>
      </c>
      <c r="C184" s="5" t="s">
        <v>1252</v>
      </c>
      <c r="E184" s="33">
        <f t="shared" si="2"/>
        <v>23263.93</v>
      </c>
      <c r="F184" s="1">
        <v>23263.93</v>
      </c>
      <c r="L184" s="31" t="s">
        <v>1878</v>
      </c>
      <c r="M184" s="32">
        <v>3136.5</v>
      </c>
      <c r="N184" s="32">
        <v>0</v>
      </c>
      <c r="O184" s="32"/>
      <c r="P184" s="32"/>
      <c r="Q184" s="32"/>
      <c r="R184" s="32"/>
    </row>
    <row r="185" spans="1:18">
      <c r="A185" s="9" t="s">
        <v>1150</v>
      </c>
      <c r="B185" t="s">
        <v>1307</v>
      </c>
      <c r="C185" s="5" t="s">
        <v>1309</v>
      </c>
      <c r="E185" s="33">
        <f t="shared" si="2"/>
        <v>460.55</v>
      </c>
      <c r="H185" s="1">
        <v>397.85</v>
      </c>
      <c r="I185" s="1">
        <v>62.7</v>
      </c>
      <c r="L185" s="31" t="s">
        <v>1187</v>
      </c>
      <c r="M185" s="32">
        <v>3488.7</v>
      </c>
      <c r="N185" s="32">
        <v>0</v>
      </c>
      <c r="O185" s="32"/>
      <c r="P185" s="32"/>
      <c r="Q185" s="32"/>
      <c r="R185" s="32"/>
    </row>
    <row r="186" spans="1:18">
      <c r="A186" s="9" t="s">
        <v>1901</v>
      </c>
      <c r="B186" t="s">
        <v>1307</v>
      </c>
      <c r="C186" s="5" t="s">
        <v>1309</v>
      </c>
      <c r="E186" s="33">
        <f t="shared" si="2"/>
        <v>6.85</v>
      </c>
      <c r="H186" s="1">
        <v>6.85</v>
      </c>
      <c r="L186" s="31" t="s">
        <v>1815</v>
      </c>
      <c r="M186" s="32"/>
      <c r="N186" s="32">
        <v>320.39999999999998</v>
      </c>
      <c r="O186" s="32">
        <v>200</v>
      </c>
      <c r="P186" s="32"/>
      <c r="Q186" s="32">
        <v>120.4</v>
      </c>
      <c r="R186" s="32"/>
    </row>
    <row r="187" spans="1:18">
      <c r="A187" s="9" t="s">
        <v>1734</v>
      </c>
      <c r="B187" t="s">
        <v>1307</v>
      </c>
      <c r="C187" s="5" t="s">
        <v>1309</v>
      </c>
      <c r="D187" s="1">
        <v>7077.9</v>
      </c>
      <c r="E187" s="33">
        <f t="shared" si="2"/>
        <v>1101.1400000000001</v>
      </c>
      <c r="G187" s="1">
        <v>145.21</v>
      </c>
      <c r="H187" s="1">
        <v>854.42</v>
      </c>
      <c r="I187" s="1">
        <v>101.51</v>
      </c>
      <c r="L187" s="31" t="s">
        <v>859</v>
      </c>
      <c r="M187" s="32">
        <v>1484.7</v>
      </c>
      <c r="N187" s="32">
        <v>1168.48</v>
      </c>
      <c r="O187" s="32"/>
      <c r="P187" s="32"/>
      <c r="Q187" s="32">
        <v>1168.48</v>
      </c>
      <c r="R187" s="32"/>
    </row>
    <row r="188" spans="1:18">
      <c r="A188" s="9" t="s">
        <v>1150</v>
      </c>
      <c r="B188" t="s">
        <v>1235</v>
      </c>
      <c r="C188" s="5" t="s">
        <v>1237</v>
      </c>
      <c r="D188" s="1">
        <v>932.36</v>
      </c>
      <c r="E188" s="33">
        <f t="shared" si="2"/>
        <v>0</v>
      </c>
      <c r="L188" s="31" t="s">
        <v>934</v>
      </c>
      <c r="M188" s="32"/>
      <c r="N188" s="32">
        <v>919</v>
      </c>
      <c r="O188" s="32">
        <v>919</v>
      </c>
      <c r="P188" s="32"/>
      <c r="Q188" s="32"/>
      <c r="R188" s="32"/>
    </row>
    <row r="189" spans="1:18">
      <c r="A189" s="9" t="s">
        <v>825</v>
      </c>
      <c r="B189" t="s">
        <v>854</v>
      </c>
      <c r="C189" s="5" t="s">
        <v>856</v>
      </c>
      <c r="D189" s="1">
        <v>19108.61</v>
      </c>
      <c r="E189" s="33">
        <f t="shared" si="2"/>
        <v>6516</v>
      </c>
      <c r="F189" s="1">
        <v>5416</v>
      </c>
      <c r="G189" s="1">
        <v>1100</v>
      </c>
      <c r="L189" s="31" t="s">
        <v>940</v>
      </c>
      <c r="M189" s="32"/>
      <c r="N189" s="32">
        <v>40</v>
      </c>
      <c r="O189" s="32">
        <v>40</v>
      </c>
      <c r="P189" s="32"/>
      <c r="Q189" s="32"/>
      <c r="R189" s="32"/>
    </row>
    <row r="190" spans="1:18">
      <c r="A190" s="9" t="s">
        <v>13</v>
      </c>
      <c r="B190" t="s">
        <v>807</v>
      </c>
      <c r="C190" s="5" t="s">
        <v>809</v>
      </c>
      <c r="E190" s="33">
        <f t="shared" si="2"/>
        <v>1262</v>
      </c>
      <c r="F190" s="1">
        <v>1262</v>
      </c>
      <c r="L190" s="31" t="s">
        <v>1744</v>
      </c>
      <c r="M190" s="32">
        <v>993.36</v>
      </c>
      <c r="N190" s="32">
        <v>0</v>
      </c>
      <c r="O190" s="32"/>
      <c r="P190" s="32"/>
      <c r="Q190" s="32"/>
      <c r="R190" s="32"/>
    </row>
    <row r="191" spans="1:18">
      <c r="A191" s="9" t="s">
        <v>825</v>
      </c>
      <c r="B191" t="s">
        <v>807</v>
      </c>
      <c r="C191" s="5" t="s">
        <v>809</v>
      </c>
      <c r="D191" s="1">
        <v>1923.41</v>
      </c>
      <c r="E191" s="33">
        <f t="shared" si="2"/>
        <v>9475.7999999999993</v>
      </c>
      <c r="F191" s="1">
        <v>9475.7999999999993</v>
      </c>
      <c r="L191" s="31" t="s">
        <v>886</v>
      </c>
      <c r="M191" s="32">
        <v>13670.49</v>
      </c>
      <c r="N191" s="32">
        <v>5910</v>
      </c>
      <c r="O191" s="32">
        <v>5910</v>
      </c>
      <c r="P191" s="32"/>
      <c r="Q191" s="32"/>
      <c r="R191" s="32"/>
    </row>
    <row r="192" spans="1:18">
      <c r="A192" s="9" t="s">
        <v>13</v>
      </c>
      <c r="B192" t="s">
        <v>327</v>
      </c>
      <c r="C192" s="5" t="s">
        <v>329</v>
      </c>
      <c r="E192" s="33">
        <f t="shared" si="2"/>
        <v>2540.5</v>
      </c>
      <c r="F192" s="1">
        <v>2540.5</v>
      </c>
      <c r="L192" s="31" t="s">
        <v>1824</v>
      </c>
      <c r="M192" s="32">
        <v>250</v>
      </c>
      <c r="N192" s="32">
        <v>0</v>
      </c>
      <c r="O192" s="32"/>
      <c r="P192" s="32"/>
      <c r="Q192" s="32"/>
      <c r="R192" s="32"/>
    </row>
    <row r="193" spans="1:18">
      <c r="A193" s="9" t="s">
        <v>825</v>
      </c>
      <c r="B193" t="s">
        <v>327</v>
      </c>
      <c r="C193" s="5" t="s">
        <v>329</v>
      </c>
      <c r="D193" s="1">
        <v>3661.92</v>
      </c>
      <c r="E193" s="33">
        <f t="shared" si="2"/>
        <v>0</v>
      </c>
      <c r="L193" s="31" t="s">
        <v>1282</v>
      </c>
      <c r="M193" s="32">
        <v>2447</v>
      </c>
      <c r="N193" s="32">
        <v>8388.2000000000007</v>
      </c>
      <c r="O193" s="32">
        <v>8388.2000000000007</v>
      </c>
      <c r="P193" s="32"/>
      <c r="Q193" s="32"/>
      <c r="R193" s="32"/>
    </row>
    <row r="194" spans="1:18">
      <c r="A194" s="9" t="s">
        <v>825</v>
      </c>
      <c r="B194" t="s">
        <v>917</v>
      </c>
      <c r="C194" s="5" t="s">
        <v>919</v>
      </c>
      <c r="D194" s="1">
        <v>32447.08</v>
      </c>
      <c r="E194" s="33">
        <f t="shared" si="2"/>
        <v>0</v>
      </c>
      <c r="L194" s="31" t="s">
        <v>1875</v>
      </c>
      <c r="M194" s="32">
        <v>550</v>
      </c>
      <c r="N194" s="32">
        <v>0</v>
      </c>
      <c r="O194" s="32"/>
      <c r="P194" s="32"/>
      <c r="Q194" s="32"/>
      <c r="R194" s="32"/>
    </row>
    <row r="195" spans="1:18">
      <c r="A195" s="9" t="s">
        <v>1150</v>
      </c>
      <c r="B195" t="s">
        <v>917</v>
      </c>
      <c r="C195" s="5" t="s">
        <v>919</v>
      </c>
      <c r="E195" s="33">
        <f t="shared" si="2"/>
        <v>6200</v>
      </c>
      <c r="F195" s="1">
        <v>6200</v>
      </c>
      <c r="L195" s="31" t="s">
        <v>943</v>
      </c>
      <c r="M195" s="32">
        <v>499.86</v>
      </c>
      <c r="N195" s="32">
        <v>0</v>
      </c>
      <c r="O195" s="32"/>
      <c r="P195" s="32"/>
      <c r="Q195" s="32"/>
      <c r="R195" s="32"/>
    </row>
    <row r="196" spans="1:18">
      <c r="A196" s="9" t="s">
        <v>825</v>
      </c>
      <c r="B196" t="s">
        <v>1088</v>
      </c>
      <c r="C196" s="5" t="s">
        <v>1090</v>
      </c>
      <c r="D196" s="1">
        <v>2610.7399999999998</v>
      </c>
      <c r="E196" s="33">
        <f t="shared" si="2"/>
        <v>0</v>
      </c>
      <c r="L196" s="31" t="s">
        <v>1769</v>
      </c>
      <c r="M196" s="32">
        <v>5874.87</v>
      </c>
      <c r="N196" s="32">
        <v>0</v>
      </c>
      <c r="O196" s="32"/>
      <c r="P196" s="32"/>
      <c r="Q196" s="32"/>
      <c r="R196" s="32"/>
    </row>
    <row r="197" spans="1:18">
      <c r="A197" s="9" t="s">
        <v>825</v>
      </c>
      <c r="B197" t="s">
        <v>983</v>
      </c>
      <c r="C197" s="5" t="s">
        <v>985</v>
      </c>
      <c r="D197" s="1">
        <v>8010</v>
      </c>
      <c r="E197" s="33">
        <f t="shared" si="2"/>
        <v>0</v>
      </c>
      <c r="L197" s="31" t="s">
        <v>1830</v>
      </c>
      <c r="M197" s="32">
        <v>1000</v>
      </c>
      <c r="N197" s="32">
        <v>0</v>
      </c>
      <c r="O197" s="32"/>
      <c r="P197" s="32"/>
      <c r="Q197" s="32"/>
      <c r="R197" s="32"/>
    </row>
    <row r="198" spans="1:18">
      <c r="A198" s="9" t="s">
        <v>825</v>
      </c>
      <c r="B198" t="s">
        <v>863</v>
      </c>
      <c r="C198" s="5" t="s">
        <v>865</v>
      </c>
      <c r="D198" s="1">
        <v>-180</v>
      </c>
      <c r="E198" s="33">
        <f t="shared" ref="E198:E261" si="3">SUM(F198:I198)</f>
        <v>1477.34</v>
      </c>
      <c r="H198" s="1">
        <v>1477.34</v>
      </c>
      <c r="L198" s="31" t="s">
        <v>1866</v>
      </c>
      <c r="M198" s="32">
        <v>1500</v>
      </c>
      <c r="N198" s="32">
        <v>0</v>
      </c>
      <c r="O198" s="32"/>
      <c r="P198" s="32"/>
      <c r="Q198" s="32"/>
      <c r="R198" s="32"/>
    </row>
    <row r="199" spans="1:18">
      <c r="A199" s="9" t="s">
        <v>825</v>
      </c>
      <c r="B199" t="s">
        <v>953</v>
      </c>
      <c r="C199" s="5" t="s">
        <v>955</v>
      </c>
      <c r="E199" s="33">
        <f t="shared" si="3"/>
        <v>8099</v>
      </c>
      <c r="G199" s="1">
        <v>8099</v>
      </c>
      <c r="L199" s="31" t="s">
        <v>844</v>
      </c>
      <c r="M199" s="32">
        <v>6571.58</v>
      </c>
      <c r="N199" s="32">
        <v>0</v>
      </c>
      <c r="O199" s="32"/>
      <c r="P199" s="32"/>
      <c r="Q199" s="32"/>
      <c r="R199" s="32"/>
    </row>
    <row r="200" spans="1:18">
      <c r="A200" s="9" t="s">
        <v>825</v>
      </c>
      <c r="B200" t="s">
        <v>1004</v>
      </c>
      <c r="C200" s="5" t="s">
        <v>1006</v>
      </c>
      <c r="D200" s="1">
        <v>83333.36</v>
      </c>
      <c r="E200" s="33">
        <f t="shared" si="3"/>
        <v>0</v>
      </c>
      <c r="L200" s="31" t="s">
        <v>1051</v>
      </c>
      <c r="M200" s="32">
        <v>377951.88</v>
      </c>
      <c r="N200" s="32">
        <v>805238.91999999993</v>
      </c>
      <c r="O200" s="32">
        <v>274201.32</v>
      </c>
      <c r="P200" s="32">
        <v>531037.6</v>
      </c>
      <c r="Q200" s="32"/>
      <c r="R200" s="32"/>
    </row>
    <row r="201" spans="1:18">
      <c r="A201" s="9" t="s">
        <v>1150</v>
      </c>
      <c r="B201" t="s">
        <v>1209</v>
      </c>
      <c r="C201" s="5" t="s">
        <v>1211</v>
      </c>
      <c r="E201" s="33">
        <f t="shared" si="3"/>
        <v>15.98</v>
      </c>
      <c r="H201" s="1">
        <v>15.98</v>
      </c>
      <c r="L201" s="31" t="s">
        <v>1217</v>
      </c>
      <c r="M201" s="32"/>
      <c r="N201" s="32">
        <v>11378.76</v>
      </c>
      <c r="O201" s="32">
        <v>3200</v>
      </c>
      <c r="P201" s="32">
        <v>8178.76</v>
      </c>
      <c r="Q201" s="32"/>
      <c r="R201" s="32"/>
    </row>
    <row r="202" spans="1:18">
      <c r="A202" s="9" t="s">
        <v>825</v>
      </c>
      <c r="B202" t="s">
        <v>1079</v>
      </c>
      <c r="C202" s="5" t="s">
        <v>1081</v>
      </c>
      <c r="E202" s="33">
        <f t="shared" si="3"/>
        <v>33</v>
      </c>
      <c r="F202" s="1">
        <v>33</v>
      </c>
      <c r="L202" s="31" t="s">
        <v>1225</v>
      </c>
      <c r="M202" s="32">
        <v>355849.44</v>
      </c>
      <c r="N202" s="32">
        <v>209800.66</v>
      </c>
      <c r="O202" s="32">
        <v>209800.66</v>
      </c>
      <c r="P202" s="32"/>
      <c r="Q202" s="32"/>
      <c r="R202" s="32"/>
    </row>
    <row r="203" spans="1:18">
      <c r="A203" s="9" t="s">
        <v>13</v>
      </c>
      <c r="B203" t="s">
        <v>756</v>
      </c>
      <c r="C203" s="5" t="s">
        <v>758</v>
      </c>
      <c r="D203" s="1">
        <v>146000</v>
      </c>
      <c r="E203" s="33">
        <f t="shared" si="3"/>
        <v>0</v>
      </c>
      <c r="L203" s="31" t="s">
        <v>1754</v>
      </c>
      <c r="M203" s="32"/>
      <c r="N203" s="32">
        <v>1936.47</v>
      </c>
      <c r="O203" s="32"/>
      <c r="P203" s="32">
        <v>615.69000000000005</v>
      </c>
      <c r="Q203" s="32">
        <v>1320.78</v>
      </c>
      <c r="R203" s="32"/>
    </row>
    <row r="204" spans="1:18">
      <c r="A204" s="9" t="s">
        <v>825</v>
      </c>
      <c r="B204" t="s">
        <v>756</v>
      </c>
      <c r="C204" s="5" t="s">
        <v>758</v>
      </c>
      <c r="D204" s="1">
        <v>194595.31</v>
      </c>
      <c r="E204" s="33">
        <f t="shared" si="3"/>
        <v>8548.39</v>
      </c>
      <c r="G204" s="1">
        <v>8548.39</v>
      </c>
      <c r="L204" s="31" t="s">
        <v>1919</v>
      </c>
      <c r="M204">
        <v>2554144.67</v>
      </c>
      <c r="N204" s="11">
        <v>2058992.1149999995</v>
      </c>
      <c r="O204">
        <v>967580.71000000008</v>
      </c>
      <c r="P204">
        <v>962552.02999999991</v>
      </c>
      <c r="Q204">
        <v>117333.07499999997</v>
      </c>
      <c r="R204">
        <v>11526.3</v>
      </c>
    </row>
    <row r="205" spans="1:18">
      <c r="A205" s="9" t="s">
        <v>1150</v>
      </c>
      <c r="B205" t="s">
        <v>756</v>
      </c>
      <c r="C205" s="5" t="s">
        <v>758</v>
      </c>
      <c r="E205" s="33">
        <f t="shared" si="3"/>
        <v>3477.79</v>
      </c>
      <c r="G205" s="1">
        <v>3477.79</v>
      </c>
    </row>
    <row r="206" spans="1:18">
      <c r="A206" s="9" t="s">
        <v>825</v>
      </c>
      <c r="B206" t="s">
        <v>756</v>
      </c>
      <c r="C206" s="5" t="s">
        <v>758</v>
      </c>
      <c r="E206" s="33">
        <f t="shared" si="3"/>
        <v>14.41</v>
      </c>
      <c r="G206" s="1">
        <v>14.41</v>
      </c>
    </row>
    <row r="207" spans="1:18">
      <c r="A207" s="9" t="s">
        <v>825</v>
      </c>
      <c r="B207" t="s">
        <v>869</v>
      </c>
      <c r="C207" s="5" t="s">
        <v>871</v>
      </c>
      <c r="D207" s="1">
        <v>1620.48</v>
      </c>
      <c r="E207" s="33">
        <f t="shared" si="3"/>
        <v>856.43</v>
      </c>
      <c r="G207" s="1">
        <v>856.43</v>
      </c>
    </row>
    <row r="208" spans="1:18">
      <c r="A208" s="9" t="s">
        <v>1150</v>
      </c>
      <c r="B208" t="s">
        <v>1295</v>
      </c>
      <c r="C208" s="5" t="s">
        <v>1297</v>
      </c>
      <c r="D208" s="1">
        <v>5721.76</v>
      </c>
      <c r="E208" s="33">
        <f t="shared" si="3"/>
        <v>0</v>
      </c>
    </row>
    <row r="209" spans="1:9">
      <c r="A209" s="9" t="s">
        <v>1734</v>
      </c>
      <c r="B209" t="s">
        <v>1825</v>
      </c>
      <c r="C209" s="5" t="s">
        <v>1827</v>
      </c>
      <c r="D209" s="1">
        <v>766.4</v>
      </c>
      <c r="E209" s="33">
        <f t="shared" si="3"/>
        <v>0</v>
      </c>
    </row>
    <row r="210" spans="1:9">
      <c r="A210" s="9" t="s">
        <v>1734</v>
      </c>
      <c r="B210" t="s">
        <v>1782</v>
      </c>
      <c r="C210" s="5" t="s">
        <v>1784</v>
      </c>
      <c r="E210" s="33">
        <f t="shared" si="3"/>
        <v>1445.345</v>
      </c>
      <c r="H210" s="1">
        <v>1155.845</v>
      </c>
      <c r="I210" s="1">
        <v>289.5</v>
      </c>
    </row>
    <row r="211" spans="1:9">
      <c r="A211" s="9" t="s">
        <v>13</v>
      </c>
      <c r="B211" t="s">
        <v>219</v>
      </c>
      <c r="C211" s="5" t="s">
        <v>221</v>
      </c>
      <c r="D211" s="1">
        <v>7570.5</v>
      </c>
      <c r="E211" s="33">
        <f t="shared" si="3"/>
        <v>0</v>
      </c>
    </row>
    <row r="212" spans="1:9">
      <c r="A212" s="9" t="s">
        <v>825</v>
      </c>
      <c r="B212" t="s">
        <v>219</v>
      </c>
      <c r="C212" s="5" t="s">
        <v>221</v>
      </c>
      <c r="D212" s="1">
        <v>9629.8700000000008</v>
      </c>
      <c r="E212" s="33">
        <f t="shared" si="3"/>
        <v>4957.8</v>
      </c>
      <c r="G212" s="1">
        <v>4957.8</v>
      </c>
    </row>
    <row r="213" spans="1:9">
      <c r="A213" s="9" t="s">
        <v>1150</v>
      </c>
      <c r="B213" t="s">
        <v>219</v>
      </c>
      <c r="C213" s="5" t="s">
        <v>221</v>
      </c>
      <c r="E213" s="33">
        <f t="shared" si="3"/>
        <v>184.12</v>
      </c>
      <c r="G213" s="1">
        <v>184.12</v>
      </c>
    </row>
    <row r="214" spans="1:9">
      <c r="A214" s="9" t="s">
        <v>1734</v>
      </c>
      <c r="B214" t="s">
        <v>1834</v>
      </c>
      <c r="C214" s="5" t="s">
        <v>1836</v>
      </c>
      <c r="D214" s="1">
        <v>2785</v>
      </c>
      <c r="E214" s="33">
        <f t="shared" si="3"/>
        <v>0</v>
      </c>
    </row>
    <row r="215" spans="1:9">
      <c r="A215" s="9" t="s">
        <v>1734</v>
      </c>
      <c r="B215" t="s">
        <v>1816</v>
      </c>
      <c r="C215" s="5" t="s">
        <v>1818</v>
      </c>
      <c r="D215" s="1">
        <v>1886.45</v>
      </c>
      <c r="E215" s="33">
        <f t="shared" si="3"/>
        <v>0</v>
      </c>
    </row>
    <row r="216" spans="1:9">
      <c r="A216" s="9" t="s">
        <v>1734</v>
      </c>
      <c r="B216" t="s">
        <v>1855</v>
      </c>
      <c r="C216" s="5" t="s">
        <v>1857</v>
      </c>
      <c r="D216" s="1">
        <v>789.87</v>
      </c>
      <c r="E216" s="33">
        <f t="shared" si="3"/>
        <v>0</v>
      </c>
    </row>
    <row r="217" spans="1:9">
      <c r="A217" s="9" t="s">
        <v>1734</v>
      </c>
      <c r="B217" t="s">
        <v>1791</v>
      </c>
      <c r="C217" s="5" t="s">
        <v>1793</v>
      </c>
      <c r="D217" s="1">
        <v>1197.53</v>
      </c>
      <c r="E217" s="33">
        <f t="shared" si="3"/>
        <v>0</v>
      </c>
    </row>
    <row r="218" spans="1:9">
      <c r="A218" s="9" t="s">
        <v>1734</v>
      </c>
      <c r="B218" t="s">
        <v>1858</v>
      </c>
      <c r="C218" s="5" t="s">
        <v>1860</v>
      </c>
      <c r="D218" s="1">
        <v>1931.63</v>
      </c>
      <c r="E218" s="33">
        <f t="shared" si="3"/>
        <v>1500</v>
      </c>
      <c r="F218" s="1">
        <v>1500</v>
      </c>
    </row>
    <row r="219" spans="1:9">
      <c r="A219" s="9" t="s">
        <v>1734</v>
      </c>
      <c r="B219" t="s">
        <v>1773</v>
      </c>
      <c r="C219" s="5" t="s">
        <v>1775</v>
      </c>
      <c r="D219" s="1">
        <v>1659.33</v>
      </c>
      <c r="E219" s="33">
        <f t="shared" si="3"/>
        <v>0</v>
      </c>
    </row>
    <row r="220" spans="1:9">
      <c r="A220" s="9" t="s">
        <v>1150</v>
      </c>
      <c r="B220" t="s">
        <v>1161</v>
      </c>
      <c r="C220" s="5" t="s">
        <v>1163</v>
      </c>
      <c r="E220" s="33">
        <f t="shared" si="3"/>
        <v>1990</v>
      </c>
      <c r="G220" s="1">
        <v>1990</v>
      </c>
    </row>
    <row r="221" spans="1:9">
      <c r="A221" s="9" t="s">
        <v>1734</v>
      </c>
      <c r="B221" t="s">
        <v>1161</v>
      </c>
      <c r="C221" s="5" t="s">
        <v>1163</v>
      </c>
      <c r="D221" s="1">
        <v>19209.39</v>
      </c>
      <c r="E221" s="33">
        <f t="shared" si="3"/>
        <v>10583.6</v>
      </c>
      <c r="G221" s="1">
        <v>10583.6</v>
      </c>
    </row>
    <row r="222" spans="1:9">
      <c r="A222" s="9" t="s">
        <v>825</v>
      </c>
      <c r="B222" t="s">
        <v>1046</v>
      </c>
      <c r="C222" s="5" t="s">
        <v>1048</v>
      </c>
      <c r="E222" s="33">
        <f t="shared" si="3"/>
        <v>516</v>
      </c>
      <c r="G222" s="1">
        <v>516</v>
      </c>
    </row>
    <row r="223" spans="1:9">
      <c r="A223" s="9" t="s">
        <v>1150</v>
      </c>
      <c r="B223" t="s">
        <v>1046</v>
      </c>
      <c r="C223" s="5" t="s">
        <v>1048</v>
      </c>
      <c r="E223" s="33">
        <f t="shared" si="3"/>
        <v>1482.12</v>
      </c>
      <c r="G223" s="1">
        <v>1482.12</v>
      </c>
    </row>
    <row r="224" spans="1:9">
      <c r="A224" s="9" t="s">
        <v>1734</v>
      </c>
      <c r="B224" t="s">
        <v>1837</v>
      </c>
      <c r="C224" s="5" t="s">
        <v>1839</v>
      </c>
      <c r="D224" s="1">
        <v>3466.56</v>
      </c>
      <c r="E224" s="33">
        <f t="shared" si="3"/>
        <v>1282.98</v>
      </c>
      <c r="G224" s="1">
        <v>1282.98</v>
      </c>
    </row>
    <row r="225" spans="1:9">
      <c r="A225" s="9" t="s">
        <v>1734</v>
      </c>
      <c r="B225" t="s">
        <v>1801</v>
      </c>
      <c r="C225" s="5" t="s">
        <v>1803</v>
      </c>
      <c r="D225" s="1">
        <v>464.09</v>
      </c>
      <c r="E225" s="33">
        <f t="shared" si="3"/>
        <v>0</v>
      </c>
    </row>
    <row r="226" spans="1:9">
      <c r="A226" s="9" t="s">
        <v>1734</v>
      </c>
      <c r="B226" t="s">
        <v>1831</v>
      </c>
      <c r="C226" s="5" t="s">
        <v>1833</v>
      </c>
      <c r="D226" s="1">
        <v>12500</v>
      </c>
      <c r="E226" s="33">
        <f t="shared" si="3"/>
        <v>3127</v>
      </c>
      <c r="G226" s="1">
        <v>3127</v>
      </c>
    </row>
    <row r="227" spans="1:9">
      <c r="A227" s="9" t="s">
        <v>1734</v>
      </c>
      <c r="B227" t="s">
        <v>1852</v>
      </c>
      <c r="C227" s="5" t="s">
        <v>1854</v>
      </c>
      <c r="D227" s="1">
        <v>1612.45</v>
      </c>
      <c r="E227" s="33">
        <f t="shared" si="3"/>
        <v>0</v>
      </c>
    </row>
    <row r="228" spans="1:9">
      <c r="A228" s="9" t="s">
        <v>1734</v>
      </c>
      <c r="B228" t="s">
        <v>1742</v>
      </c>
      <c r="C228" s="5" t="s">
        <v>1745</v>
      </c>
      <c r="D228" s="1">
        <v>578.37</v>
      </c>
      <c r="E228" s="33">
        <f t="shared" si="3"/>
        <v>0</v>
      </c>
    </row>
    <row r="229" spans="1:9">
      <c r="A229" s="9" t="s">
        <v>1734</v>
      </c>
      <c r="B229" t="s">
        <v>1861</v>
      </c>
      <c r="C229" s="5" t="s">
        <v>1863</v>
      </c>
      <c r="D229" s="1">
        <v>626.74</v>
      </c>
      <c r="E229" s="33">
        <f t="shared" si="3"/>
        <v>0</v>
      </c>
    </row>
    <row r="230" spans="1:9">
      <c r="A230" s="9" t="s">
        <v>1150</v>
      </c>
      <c r="B230" t="s">
        <v>1274</v>
      </c>
      <c r="C230" s="5" t="s">
        <v>1276</v>
      </c>
      <c r="E230" s="33">
        <f t="shared" si="3"/>
        <v>36157.339999999997</v>
      </c>
      <c r="G230" s="1">
        <v>35740.07</v>
      </c>
      <c r="H230" s="1">
        <v>417.27</v>
      </c>
    </row>
    <row r="231" spans="1:9">
      <c r="A231" s="9" t="s">
        <v>1715</v>
      </c>
      <c r="B231" t="s">
        <v>1274</v>
      </c>
      <c r="C231" s="5" t="s">
        <v>1276</v>
      </c>
      <c r="E231" s="33">
        <f t="shared" si="3"/>
        <v>68.989999999999995</v>
      </c>
      <c r="G231" s="1">
        <v>68.989999999999995</v>
      </c>
    </row>
    <row r="232" spans="1:9">
      <c r="A232" s="9" t="s">
        <v>1734</v>
      </c>
      <c r="B232" t="s">
        <v>1274</v>
      </c>
      <c r="C232" s="5" t="s">
        <v>1276</v>
      </c>
      <c r="D232" s="1">
        <v>45600</v>
      </c>
      <c r="E232" s="33">
        <f t="shared" si="3"/>
        <v>0</v>
      </c>
    </row>
    <row r="233" spans="1:9">
      <c r="A233" s="9" t="s">
        <v>1150</v>
      </c>
      <c r="B233" t="s">
        <v>1304</v>
      </c>
      <c r="C233" s="5" t="s">
        <v>1306</v>
      </c>
      <c r="E233" s="33">
        <f t="shared" si="3"/>
        <v>860</v>
      </c>
      <c r="G233" s="1">
        <v>860</v>
      </c>
    </row>
    <row r="234" spans="1:9">
      <c r="A234" s="9" t="s">
        <v>1734</v>
      </c>
      <c r="B234" t="s">
        <v>1804</v>
      </c>
      <c r="C234" s="5" t="s">
        <v>1806</v>
      </c>
      <c r="D234" s="1">
        <v>1806.18</v>
      </c>
      <c r="E234" s="33">
        <f t="shared" si="3"/>
        <v>1615</v>
      </c>
      <c r="F234" s="1">
        <v>1615</v>
      </c>
    </row>
    <row r="235" spans="1:9">
      <c r="A235" s="9" t="s">
        <v>1734</v>
      </c>
      <c r="B235" t="s">
        <v>1810</v>
      </c>
      <c r="C235" s="5" t="s">
        <v>1812</v>
      </c>
      <c r="D235" s="1">
        <v>13367.17</v>
      </c>
      <c r="E235" s="33">
        <f t="shared" si="3"/>
        <v>7304.54</v>
      </c>
      <c r="G235" s="1">
        <v>5908.66</v>
      </c>
      <c r="H235" s="1">
        <v>1264.1600000000001</v>
      </c>
      <c r="I235" s="1">
        <v>131.72</v>
      </c>
    </row>
    <row r="236" spans="1:9">
      <c r="A236" s="9" t="s">
        <v>1734</v>
      </c>
      <c r="B236" t="s">
        <v>1849</v>
      </c>
      <c r="C236" s="5" t="s">
        <v>1851</v>
      </c>
      <c r="D236" s="1">
        <v>3536.47</v>
      </c>
      <c r="E236" s="33">
        <f t="shared" si="3"/>
        <v>0</v>
      </c>
    </row>
    <row r="237" spans="1:9">
      <c r="A237" s="9" t="s">
        <v>1734</v>
      </c>
      <c r="B237" t="s">
        <v>1788</v>
      </c>
      <c r="C237" s="5" t="s">
        <v>1790</v>
      </c>
      <c r="D237" s="1">
        <v>3290.86</v>
      </c>
      <c r="E237" s="33">
        <f t="shared" si="3"/>
        <v>0</v>
      </c>
    </row>
    <row r="238" spans="1:9">
      <c r="A238" s="9" t="s">
        <v>1734</v>
      </c>
      <c r="B238" t="s">
        <v>1794</v>
      </c>
      <c r="C238" s="5" t="s">
        <v>1796</v>
      </c>
      <c r="D238" s="1">
        <v>1461.38</v>
      </c>
      <c r="E238" s="33">
        <f t="shared" si="3"/>
        <v>0</v>
      </c>
    </row>
    <row r="239" spans="1:9">
      <c r="A239" s="9" t="s">
        <v>1150</v>
      </c>
      <c r="B239" t="s">
        <v>1310</v>
      </c>
      <c r="C239" s="5" t="s">
        <v>1312</v>
      </c>
      <c r="D239" s="1">
        <v>555</v>
      </c>
      <c r="E239" s="33">
        <f t="shared" si="3"/>
        <v>0</v>
      </c>
    </row>
    <row r="240" spans="1:9">
      <c r="A240" s="9" t="s">
        <v>1734</v>
      </c>
      <c r="B240" t="s">
        <v>1746</v>
      </c>
      <c r="C240" s="5" t="s">
        <v>1748</v>
      </c>
      <c r="D240" s="1">
        <v>772.5</v>
      </c>
      <c r="E240" s="33">
        <f t="shared" si="3"/>
        <v>0</v>
      </c>
    </row>
    <row r="241" spans="1:9">
      <c r="A241" s="9" t="s">
        <v>1734</v>
      </c>
      <c r="B241" t="s">
        <v>1736</v>
      </c>
      <c r="C241" s="5" t="s">
        <v>1738</v>
      </c>
      <c r="D241" s="1">
        <v>732</v>
      </c>
      <c r="E241" s="33">
        <f t="shared" si="3"/>
        <v>0</v>
      </c>
    </row>
    <row r="242" spans="1:9">
      <c r="A242" s="9" t="s">
        <v>1734</v>
      </c>
      <c r="B242" t="s">
        <v>1797</v>
      </c>
      <c r="C242" s="5" t="s">
        <v>1799</v>
      </c>
      <c r="D242" s="1">
        <v>362.8</v>
      </c>
      <c r="E242" s="33">
        <f t="shared" si="3"/>
        <v>0</v>
      </c>
    </row>
    <row r="243" spans="1:9">
      <c r="A243" s="9" t="s">
        <v>1734</v>
      </c>
      <c r="B243" t="s">
        <v>1067</v>
      </c>
      <c r="C243" s="5" t="s">
        <v>1800</v>
      </c>
      <c r="D243" s="1">
        <v>830.2</v>
      </c>
      <c r="E243" s="33">
        <f t="shared" si="3"/>
        <v>0</v>
      </c>
    </row>
    <row r="244" spans="1:9">
      <c r="A244" s="9" t="s">
        <v>1734</v>
      </c>
      <c r="B244" t="s">
        <v>1755</v>
      </c>
      <c r="C244" s="5" t="s">
        <v>1757</v>
      </c>
      <c r="E244" s="33">
        <f t="shared" si="3"/>
        <v>690.61</v>
      </c>
      <c r="G244" s="1">
        <v>410</v>
      </c>
      <c r="H244" s="1">
        <v>207.76</v>
      </c>
      <c r="I244" s="1">
        <v>72.849999999999994</v>
      </c>
    </row>
    <row r="245" spans="1:9">
      <c r="A245" s="9" t="s">
        <v>1734</v>
      </c>
      <c r="B245" t="s">
        <v>1876</v>
      </c>
      <c r="C245" s="5" t="s">
        <v>1878</v>
      </c>
      <c r="D245" s="1">
        <v>3136.5</v>
      </c>
      <c r="E245" s="33">
        <f t="shared" si="3"/>
        <v>0</v>
      </c>
    </row>
    <row r="246" spans="1:9">
      <c r="A246" s="9" t="s">
        <v>1150</v>
      </c>
      <c r="B246" t="s">
        <v>1185</v>
      </c>
      <c r="C246" s="5" t="s">
        <v>1187</v>
      </c>
      <c r="D246" s="1">
        <v>3488.7</v>
      </c>
      <c r="E246" s="33">
        <f t="shared" si="3"/>
        <v>0</v>
      </c>
    </row>
    <row r="247" spans="1:9">
      <c r="A247" s="9" t="s">
        <v>1734</v>
      </c>
      <c r="B247" t="s">
        <v>1813</v>
      </c>
      <c r="C247" s="5" t="s">
        <v>1815</v>
      </c>
      <c r="E247" s="33">
        <f t="shared" si="3"/>
        <v>320.39999999999998</v>
      </c>
      <c r="F247" s="1">
        <v>200</v>
      </c>
      <c r="H247" s="1">
        <v>120.4</v>
      </c>
    </row>
    <row r="248" spans="1:9">
      <c r="A248" s="9" t="s">
        <v>825</v>
      </c>
      <c r="B248" t="s">
        <v>857</v>
      </c>
      <c r="C248" s="5" t="s">
        <v>859</v>
      </c>
      <c r="D248" s="1">
        <v>1484.7</v>
      </c>
      <c r="E248" s="33">
        <f t="shared" si="3"/>
        <v>0</v>
      </c>
    </row>
    <row r="249" spans="1:9">
      <c r="A249" s="9" t="s">
        <v>1150</v>
      </c>
      <c r="B249" t="s">
        <v>857</v>
      </c>
      <c r="C249" s="5" t="s">
        <v>859</v>
      </c>
      <c r="E249" s="33">
        <f t="shared" si="3"/>
        <v>722.4</v>
      </c>
      <c r="H249" s="1">
        <v>722.4</v>
      </c>
    </row>
    <row r="250" spans="1:9">
      <c r="A250" s="9" t="s">
        <v>1734</v>
      </c>
      <c r="B250" t="s">
        <v>857</v>
      </c>
      <c r="C250" s="5" t="s">
        <v>859</v>
      </c>
      <c r="E250" s="33">
        <f t="shared" si="3"/>
        <v>446.08</v>
      </c>
      <c r="H250" s="1">
        <v>446.08</v>
      </c>
    </row>
    <row r="251" spans="1:9">
      <c r="A251" s="9" t="s">
        <v>825</v>
      </c>
      <c r="B251" t="s">
        <v>932</v>
      </c>
      <c r="C251" s="5" t="s">
        <v>934</v>
      </c>
      <c r="E251" s="33">
        <f t="shared" si="3"/>
        <v>919</v>
      </c>
      <c r="F251" s="1">
        <v>919</v>
      </c>
    </row>
    <row r="252" spans="1:9">
      <c r="A252" s="9" t="s">
        <v>825</v>
      </c>
      <c r="B252" t="s">
        <v>938</v>
      </c>
      <c r="C252" s="5" t="s">
        <v>940</v>
      </c>
      <c r="E252" s="33">
        <f t="shared" si="3"/>
        <v>40</v>
      </c>
      <c r="F252" s="1">
        <v>40</v>
      </c>
    </row>
    <row r="253" spans="1:9">
      <c r="A253" s="9" t="s">
        <v>1734</v>
      </c>
      <c r="B253" t="s">
        <v>1742</v>
      </c>
      <c r="C253" s="5" t="s">
        <v>1744</v>
      </c>
      <c r="D253" s="1">
        <v>993.36</v>
      </c>
      <c r="E253" s="33">
        <f t="shared" si="3"/>
        <v>0</v>
      </c>
    </row>
    <row r="254" spans="1:9">
      <c r="A254" s="9" t="s">
        <v>825</v>
      </c>
      <c r="B254" t="s">
        <v>884</v>
      </c>
      <c r="C254" s="5" t="s">
        <v>886</v>
      </c>
      <c r="D254" s="1">
        <v>13670.49</v>
      </c>
      <c r="E254" s="33">
        <f t="shared" si="3"/>
        <v>5910</v>
      </c>
      <c r="F254" s="1">
        <v>5910</v>
      </c>
    </row>
    <row r="255" spans="1:9">
      <c r="A255" s="9" t="s">
        <v>1734</v>
      </c>
      <c r="B255" t="s">
        <v>1822</v>
      </c>
      <c r="C255" s="5" t="s">
        <v>1824</v>
      </c>
      <c r="D255" s="1">
        <v>250</v>
      </c>
      <c r="E255" s="33">
        <f t="shared" si="3"/>
        <v>0</v>
      </c>
    </row>
    <row r="256" spans="1:9">
      <c r="A256" s="9" t="s">
        <v>1150</v>
      </c>
      <c r="B256" t="s">
        <v>1280</v>
      </c>
      <c r="C256" s="5" t="s">
        <v>1282</v>
      </c>
      <c r="E256" s="33">
        <f t="shared" si="3"/>
        <v>400</v>
      </c>
      <c r="F256" s="1">
        <v>400</v>
      </c>
    </row>
    <row r="257" spans="1:8">
      <c r="A257" s="9" t="s">
        <v>1734</v>
      </c>
      <c r="B257" t="s">
        <v>1280</v>
      </c>
      <c r="C257" s="5" t="s">
        <v>1282</v>
      </c>
      <c r="D257" s="1">
        <v>2447</v>
      </c>
      <c r="E257" s="33">
        <f t="shared" si="3"/>
        <v>7988.2</v>
      </c>
      <c r="F257" s="1">
        <v>7988.2</v>
      </c>
    </row>
    <row r="258" spans="1:8">
      <c r="A258" s="9" t="s">
        <v>1734</v>
      </c>
      <c r="B258" t="s">
        <v>1873</v>
      </c>
      <c r="C258" s="5" t="s">
        <v>1875</v>
      </c>
      <c r="D258" s="1">
        <v>550</v>
      </c>
      <c r="E258" s="33">
        <f t="shared" si="3"/>
        <v>0</v>
      </c>
    </row>
    <row r="259" spans="1:8">
      <c r="A259" s="9" t="s">
        <v>1901</v>
      </c>
      <c r="B259" t="s">
        <v>941</v>
      </c>
      <c r="C259" s="5" t="s">
        <v>943</v>
      </c>
      <c r="D259" s="1">
        <v>499.86</v>
      </c>
      <c r="E259" s="33">
        <f t="shared" si="3"/>
        <v>0</v>
      </c>
    </row>
    <row r="260" spans="1:8">
      <c r="A260" s="9" t="s">
        <v>1734</v>
      </c>
      <c r="B260" t="s">
        <v>1767</v>
      </c>
      <c r="C260" s="5" t="s">
        <v>1769</v>
      </c>
      <c r="D260" s="1">
        <v>5874.87</v>
      </c>
      <c r="E260" s="33">
        <f t="shared" si="3"/>
        <v>0</v>
      </c>
    </row>
    <row r="261" spans="1:8">
      <c r="A261" s="9" t="s">
        <v>1734</v>
      </c>
      <c r="B261" t="s">
        <v>1828</v>
      </c>
      <c r="C261" s="5" t="s">
        <v>1830</v>
      </c>
      <c r="D261" s="1">
        <v>1000</v>
      </c>
      <c r="E261" s="33">
        <f t="shared" si="3"/>
        <v>0</v>
      </c>
    </row>
    <row r="262" spans="1:8">
      <c r="A262" s="9" t="s">
        <v>1734</v>
      </c>
      <c r="B262" t="s">
        <v>1864</v>
      </c>
      <c r="C262" s="5" t="s">
        <v>1866</v>
      </c>
      <c r="D262" s="1">
        <v>1500</v>
      </c>
      <c r="E262" s="33">
        <f t="shared" ref="E262:E271" si="4">SUM(F262:I262)</f>
        <v>0</v>
      </c>
    </row>
    <row r="263" spans="1:8">
      <c r="A263" s="9" t="s">
        <v>825</v>
      </c>
      <c r="B263" t="s">
        <v>842</v>
      </c>
      <c r="C263" s="5" t="s">
        <v>844</v>
      </c>
      <c r="D263" s="1">
        <v>6571.58</v>
      </c>
      <c r="E263" s="33">
        <f t="shared" si="4"/>
        <v>0</v>
      </c>
    </row>
    <row r="264" spans="1:8">
      <c r="A264" s="9" t="s">
        <v>825</v>
      </c>
      <c r="B264" t="s">
        <v>1049</v>
      </c>
      <c r="C264" s="5" t="s">
        <v>1051</v>
      </c>
      <c r="E264" s="33">
        <f t="shared" si="4"/>
        <v>48468.85</v>
      </c>
      <c r="G264" s="1">
        <v>48468.85</v>
      </c>
    </row>
    <row r="265" spans="1:8">
      <c r="A265" s="9" t="s">
        <v>1150</v>
      </c>
      <c r="B265" t="s">
        <v>1049</v>
      </c>
      <c r="C265" s="5" t="s">
        <v>1051</v>
      </c>
      <c r="E265" s="33">
        <f t="shared" si="4"/>
        <v>174644.72</v>
      </c>
      <c r="F265" s="1">
        <v>90297.35</v>
      </c>
      <c r="G265" s="1">
        <v>84347.37</v>
      </c>
    </row>
    <row r="266" spans="1:8">
      <c r="A266" s="9" t="s">
        <v>1734</v>
      </c>
      <c r="B266" t="s">
        <v>1049</v>
      </c>
      <c r="C266" s="5" t="s">
        <v>1051</v>
      </c>
      <c r="D266" s="1">
        <v>377951.88</v>
      </c>
      <c r="E266" s="33">
        <f t="shared" si="4"/>
        <v>582125.35</v>
      </c>
      <c r="F266" s="1">
        <v>183903.97</v>
      </c>
      <c r="G266" s="1">
        <v>398221.38</v>
      </c>
    </row>
    <row r="267" spans="1:8">
      <c r="A267" s="9" t="s">
        <v>1150</v>
      </c>
      <c r="B267" t="s">
        <v>1215</v>
      </c>
      <c r="C267" s="5" t="s">
        <v>1217</v>
      </c>
      <c r="E267" s="33">
        <f t="shared" si="4"/>
        <v>3200</v>
      </c>
      <c r="F267" s="1">
        <v>3200</v>
      </c>
    </row>
    <row r="268" spans="1:8">
      <c r="A268" s="9" t="s">
        <v>1734</v>
      </c>
      <c r="B268" t="s">
        <v>1215</v>
      </c>
      <c r="C268" s="5" t="s">
        <v>1217</v>
      </c>
      <c r="E268" s="33">
        <f t="shared" si="4"/>
        <v>8178.76</v>
      </c>
      <c r="G268" s="1">
        <v>8178.76</v>
      </c>
    </row>
    <row r="269" spans="1:8">
      <c r="A269" s="9" t="s">
        <v>1150</v>
      </c>
      <c r="B269" t="s">
        <v>1223</v>
      </c>
      <c r="C269" s="5" t="s">
        <v>1225</v>
      </c>
      <c r="E269" s="33">
        <f t="shared" si="4"/>
        <v>1070</v>
      </c>
      <c r="F269" s="1">
        <v>1070</v>
      </c>
    </row>
    <row r="270" spans="1:8">
      <c r="A270" s="9" t="s">
        <v>1734</v>
      </c>
      <c r="B270" t="s">
        <v>1223</v>
      </c>
      <c r="C270" s="5" t="s">
        <v>1225</v>
      </c>
      <c r="D270" s="1">
        <v>355849.44</v>
      </c>
      <c r="E270" s="33">
        <f t="shared" si="4"/>
        <v>208730.66</v>
      </c>
      <c r="F270" s="1">
        <v>208730.66</v>
      </c>
    </row>
    <row r="271" spans="1:8">
      <c r="A271" s="9" t="s">
        <v>1734</v>
      </c>
      <c r="B271" t="s">
        <v>1752</v>
      </c>
      <c r="C271" s="5" t="s">
        <v>1754</v>
      </c>
      <c r="E271" s="33">
        <f t="shared" si="4"/>
        <v>1936.47</v>
      </c>
      <c r="G271" s="1">
        <v>615.69000000000005</v>
      </c>
      <c r="H271" s="1">
        <v>1320.78</v>
      </c>
    </row>
  </sheetData>
  <autoFilter ref="A5:J271" xr:uid="{9FFE2416-512F-429C-8CDA-8F46C76DE3C0}">
    <sortState xmlns:xlrd2="http://schemas.microsoft.com/office/spreadsheetml/2017/richdata2" ref="A6:J271">
      <sortCondition ref="C5:C271"/>
    </sortState>
  </autoFilter>
  <pageMargins left="0.7" right="0.7" top="0.75" bottom="0.75" header="0.3" footer="0.3"/>
  <pageSetup paperSize="9"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CB8F-0DC8-4C61-BC5E-8E9CEF2275E8}">
  <sheetPr>
    <tabColor rgb="FF00B050"/>
  </sheetPr>
  <dimension ref="A1:K215"/>
  <sheetViews>
    <sheetView topLeftCell="G1" zoomScale="80" zoomScaleNormal="80" workbookViewId="0">
      <selection activeCell="G3" sqref="G3"/>
    </sheetView>
  </sheetViews>
  <sheetFormatPr defaultRowHeight="15"/>
  <cols>
    <col min="1" max="1" width="59.5703125" bestFit="1" customWidth="1"/>
    <col min="2" max="2" width="14.5703125" bestFit="1" customWidth="1"/>
    <col min="3" max="3" width="15.42578125" bestFit="1" customWidth="1"/>
    <col min="7" max="7" width="56.5703125" bestFit="1" customWidth="1"/>
    <col min="8" max="8" width="75.85546875" bestFit="1" customWidth="1"/>
    <col min="9" max="9" width="17.42578125" customWidth="1"/>
    <col min="10" max="10" width="10.5703125" customWidth="1"/>
    <col min="11" max="11" width="26.5703125" bestFit="1" customWidth="1"/>
  </cols>
  <sheetData>
    <row r="1" spans="1:11">
      <c r="I1" s="32">
        <f>+I2-'capitalizzazioni CVS'!N4</f>
        <v>0</v>
      </c>
    </row>
    <row r="2" spans="1:11">
      <c r="G2" t="s">
        <v>2389</v>
      </c>
      <c r="H2">
        <v>2026</v>
      </c>
      <c r="I2" s="38">
        <f>SUM(I4:I214)</f>
        <v>8907217.5958075039</v>
      </c>
    </row>
    <row r="3" spans="1:11" ht="45">
      <c r="A3" s="30" t="s">
        <v>1918</v>
      </c>
      <c r="B3" s="34" t="s">
        <v>1920</v>
      </c>
      <c r="C3" s="34" t="s">
        <v>1921</v>
      </c>
      <c r="G3" s="36" t="s">
        <v>1918</v>
      </c>
      <c r="H3" s="36" t="s">
        <v>2385</v>
      </c>
      <c r="I3" s="37" t="s">
        <v>1921</v>
      </c>
      <c r="J3" s="37" t="s">
        <v>2386</v>
      </c>
      <c r="K3" s="37" t="s">
        <v>2387</v>
      </c>
    </row>
    <row r="4" spans="1:11">
      <c r="A4" s="35" t="s">
        <v>2030</v>
      </c>
      <c r="B4" s="32">
        <v>23158.924999999999</v>
      </c>
      <c r="C4" s="32">
        <v>26632.763749999998</v>
      </c>
      <c r="D4" t="s">
        <v>2386</v>
      </c>
      <c r="G4" t="s">
        <v>2030</v>
      </c>
      <c r="H4" t="s">
        <v>2390</v>
      </c>
      <c r="I4" s="27">
        <f>+VLOOKUP(G4,$A$3:$C$214,3,FALSE)</f>
        <v>26632.763749999998</v>
      </c>
      <c r="J4" t="s">
        <v>2386</v>
      </c>
    </row>
    <row r="5" spans="1:11">
      <c r="A5" s="35" t="s">
        <v>2059</v>
      </c>
      <c r="B5" s="32">
        <v>8387.5500000000011</v>
      </c>
      <c r="C5" s="32">
        <v>9645.6825000000008</v>
      </c>
      <c r="D5" t="s">
        <v>2386</v>
      </c>
      <c r="G5" t="s">
        <v>2059</v>
      </c>
      <c r="H5" t="s">
        <v>2391</v>
      </c>
      <c r="I5" s="27">
        <f t="shared" ref="I5:I68" si="0">+VLOOKUP(G5,$A$3:$C$214,3,FALSE)</f>
        <v>9645.6825000000008</v>
      </c>
      <c r="J5" t="s">
        <v>2386</v>
      </c>
    </row>
    <row r="6" spans="1:11">
      <c r="A6" s="31" t="s">
        <v>2292</v>
      </c>
      <c r="B6" s="32">
        <v>19838.75</v>
      </c>
      <c r="C6" s="32">
        <v>22814.5625</v>
      </c>
      <c r="G6" t="s">
        <v>2292</v>
      </c>
      <c r="H6" t="s">
        <v>2392</v>
      </c>
      <c r="I6" s="27">
        <f t="shared" si="0"/>
        <v>22814.5625</v>
      </c>
    </row>
    <row r="7" spans="1:11">
      <c r="A7" s="31" t="s">
        <v>2262</v>
      </c>
      <c r="B7" s="32">
        <v>16870.86</v>
      </c>
      <c r="C7" s="32">
        <v>19401.489000000001</v>
      </c>
      <c r="G7" t="s">
        <v>2262</v>
      </c>
      <c r="H7" t="s">
        <v>2393</v>
      </c>
      <c r="I7" s="27">
        <f t="shared" si="0"/>
        <v>19401.489000000001</v>
      </c>
    </row>
    <row r="8" spans="1:11">
      <c r="A8" s="35" t="s">
        <v>2075</v>
      </c>
      <c r="B8" s="32">
        <v>3424.5</v>
      </c>
      <c r="C8" s="32">
        <v>3938.1750000000002</v>
      </c>
      <c r="D8" t="s">
        <v>2386</v>
      </c>
      <c r="G8" t="s">
        <v>2075</v>
      </c>
      <c r="H8" t="s">
        <v>2394</v>
      </c>
      <c r="I8" s="27">
        <f t="shared" si="0"/>
        <v>3938.1750000000002</v>
      </c>
      <c r="J8" t="s">
        <v>2386</v>
      </c>
    </row>
    <row r="9" spans="1:11">
      <c r="A9" s="31" t="s">
        <v>2310</v>
      </c>
      <c r="B9" s="32">
        <v>211.92</v>
      </c>
      <c r="C9" s="32">
        <v>243.70799999999997</v>
      </c>
      <c r="G9" t="s">
        <v>2310</v>
      </c>
      <c r="H9" t="s">
        <v>2395</v>
      </c>
      <c r="I9" s="27">
        <f t="shared" si="0"/>
        <v>243.70799999999997</v>
      </c>
    </row>
    <row r="10" spans="1:11">
      <c r="A10" s="35" t="s">
        <v>2016</v>
      </c>
      <c r="B10" s="32">
        <v>5113.75</v>
      </c>
      <c r="C10" s="32">
        <v>5880.8125</v>
      </c>
      <c r="D10" t="s">
        <v>2386</v>
      </c>
      <c r="G10" t="s">
        <v>2016</v>
      </c>
      <c r="H10" t="s">
        <v>2396</v>
      </c>
      <c r="I10" s="27">
        <f t="shared" si="0"/>
        <v>5880.8125</v>
      </c>
      <c r="J10" t="s">
        <v>2386</v>
      </c>
    </row>
    <row r="11" spans="1:11">
      <c r="A11" s="31" t="s">
        <v>2329</v>
      </c>
      <c r="B11" s="32">
        <v>2951.75</v>
      </c>
      <c r="C11" s="32">
        <v>3394.5124999999998</v>
      </c>
      <c r="G11" t="s">
        <v>2329</v>
      </c>
      <c r="H11" t="s">
        <v>2570</v>
      </c>
      <c r="I11" s="27">
        <f t="shared" si="0"/>
        <v>3394.5124999999998</v>
      </c>
      <c r="K11" t="s">
        <v>2388</v>
      </c>
    </row>
    <row r="12" spans="1:11">
      <c r="A12" s="31" t="s">
        <v>2155</v>
      </c>
      <c r="B12" s="32">
        <v>47657.235000000001</v>
      </c>
      <c r="C12" s="32">
        <v>54805.820250000004</v>
      </c>
      <c r="G12" t="s">
        <v>2155</v>
      </c>
      <c r="H12" t="s">
        <v>2397</v>
      </c>
      <c r="I12" s="27">
        <f t="shared" si="0"/>
        <v>54805.820250000004</v>
      </c>
    </row>
    <row r="13" spans="1:11">
      <c r="A13" s="31" t="s">
        <v>2258</v>
      </c>
      <c r="B13" s="32">
        <v>59255.665000000008</v>
      </c>
      <c r="C13" s="32">
        <v>68144.014750000002</v>
      </c>
      <c r="G13" t="s">
        <v>2258</v>
      </c>
      <c r="H13" t="s">
        <v>2398</v>
      </c>
      <c r="I13" s="27">
        <f t="shared" si="0"/>
        <v>68144.014750000002</v>
      </c>
    </row>
    <row r="14" spans="1:11">
      <c r="A14" s="31" t="s">
        <v>2320</v>
      </c>
      <c r="B14" s="32">
        <v>18497.359999999997</v>
      </c>
      <c r="C14" s="32">
        <v>21271.964</v>
      </c>
      <c r="G14" t="s">
        <v>2320</v>
      </c>
      <c r="H14" t="s">
        <v>2399</v>
      </c>
      <c r="I14" s="27">
        <f t="shared" si="0"/>
        <v>21271.964</v>
      </c>
    </row>
    <row r="15" spans="1:11">
      <c r="A15" s="31" t="s">
        <v>2327</v>
      </c>
      <c r="B15" s="32">
        <v>41330.070000000007</v>
      </c>
      <c r="C15" s="32">
        <v>47529.580500000004</v>
      </c>
      <c r="G15" t="s">
        <v>2327</v>
      </c>
      <c r="H15" t="s">
        <v>2400</v>
      </c>
      <c r="I15" s="27">
        <f t="shared" si="0"/>
        <v>47529.580500000004</v>
      </c>
    </row>
    <row r="16" spans="1:11">
      <c r="A16" s="31" t="s">
        <v>2239</v>
      </c>
      <c r="B16" s="32">
        <v>8018.3600000000006</v>
      </c>
      <c r="C16" s="32">
        <v>9221.1139999999996</v>
      </c>
      <c r="G16" t="s">
        <v>2239</v>
      </c>
      <c r="H16" t="s">
        <v>2401</v>
      </c>
      <c r="I16" s="27">
        <f t="shared" si="0"/>
        <v>9221.1139999999996</v>
      </c>
    </row>
    <row r="17" spans="1:11">
      <c r="A17" s="31" t="s">
        <v>2231</v>
      </c>
      <c r="B17" s="32">
        <v>11455.130000000001</v>
      </c>
      <c r="C17" s="32">
        <v>13173.399500000001</v>
      </c>
      <c r="G17" t="s">
        <v>2231</v>
      </c>
      <c r="H17" t="s">
        <v>2571</v>
      </c>
      <c r="I17" s="27">
        <f t="shared" si="0"/>
        <v>13173.399500000001</v>
      </c>
      <c r="K17" t="s">
        <v>2388</v>
      </c>
    </row>
    <row r="18" spans="1:11">
      <c r="A18" s="35" t="s">
        <v>2055</v>
      </c>
      <c r="B18" s="32">
        <v>14482.504999999999</v>
      </c>
      <c r="C18" s="32">
        <v>16654.88075</v>
      </c>
      <c r="D18" t="s">
        <v>2386</v>
      </c>
      <c r="G18" t="s">
        <v>2055</v>
      </c>
      <c r="H18" t="s">
        <v>2402</v>
      </c>
      <c r="I18" s="27">
        <f t="shared" si="0"/>
        <v>16654.88075</v>
      </c>
      <c r="J18" t="s">
        <v>2386</v>
      </c>
    </row>
    <row r="19" spans="1:11">
      <c r="A19" s="35" t="s">
        <v>2020</v>
      </c>
      <c r="B19" s="32">
        <v>290.27999999999997</v>
      </c>
      <c r="C19" s="32">
        <v>333.82199999999995</v>
      </c>
      <c r="D19" t="s">
        <v>2386</v>
      </c>
      <c r="G19" t="s">
        <v>2020</v>
      </c>
      <c r="H19" t="s">
        <v>2572</v>
      </c>
      <c r="I19" s="27">
        <f t="shared" si="0"/>
        <v>333.82199999999995</v>
      </c>
      <c r="J19" t="s">
        <v>2386</v>
      </c>
      <c r="K19" t="s">
        <v>2388</v>
      </c>
    </row>
    <row r="20" spans="1:11">
      <c r="A20" s="35" t="s">
        <v>2133</v>
      </c>
      <c r="B20" s="32">
        <v>530.16</v>
      </c>
      <c r="C20" s="32">
        <v>609.68399999999997</v>
      </c>
      <c r="D20" t="s">
        <v>2386</v>
      </c>
      <c r="G20" t="s">
        <v>2133</v>
      </c>
      <c r="H20" t="s">
        <v>2403</v>
      </c>
      <c r="I20" s="27">
        <f t="shared" si="0"/>
        <v>609.68399999999997</v>
      </c>
      <c r="J20" t="s">
        <v>2386</v>
      </c>
    </row>
    <row r="21" spans="1:11">
      <c r="A21" s="35" t="s">
        <v>2145</v>
      </c>
      <c r="B21" s="32">
        <v>1485</v>
      </c>
      <c r="C21" s="32">
        <v>1707.75</v>
      </c>
      <c r="D21" t="s">
        <v>2386</v>
      </c>
      <c r="G21" t="s">
        <v>2145</v>
      </c>
      <c r="H21" t="s">
        <v>2573</v>
      </c>
      <c r="I21" s="27">
        <f t="shared" si="0"/>
        <v>1707.75</v>
      </c>
      <c r="J21" t="s">
        <v>2386</v>
      </c>
      <c r="K21" t="s">
        <v>2388</v>
      </c>
    </row>
    <row r="22" spans="1:11">
      <c r="A22" s="35" t="s">
        <v>2143</v>
      </c>
      <c r="B22" s="32">
        <v>2421.46</v>
      </c>
      <c r="C22" s="32">
        <v>2784.6790000000001</v>
      </c>
      <c r="D22" t="s">
        <v>2386</v>
      </c>
      <c r="G22" t="s">
        <v>2143</v>
      </c>
      <c r="H22" t="s">
        <v>2404</v>
      </c>
      <c r="I22" s="27">
        <f t="shared" si="0"/>
        <v>2784.6790000000001</v>
      </c>
      <c r="J22" t="s">
        <v>2386</v>
      </c>
    </row>
    <row r="23" spans="1:11">
      <c r="A23" s="35" t="s">
        <v>2063</v>
      </c>
      <c r="B23" s="32">
        <v>9582.6299999999992</v>
      </c>
      <c r="C23" s="32">
        <v>11020.0245</v>
      </c>
      <c r="D23" t="s">
        <v>2386</v>
      </c>
      <c r="G23" t="s">
        <v>2063</v>
      </c>
      <c r="H23" t="s">
        <v>2405</v>
      </c>
      <c r="I23" s="27">
        <f t="shared" si="0"/>
        <v>11020.0245</v>
      </c>
      <c r="J23" t="s">
        <v>2386</v>
      </c>
    </row>
    <row r="24" spans="1:11">
      <c r="A24" s="31" t="s">
        <v>2359</v>
      </c>
      <c r="B24" s="32">
        <v>800</v>
      </c>
      <c r="C24" s="32">
        <v>920</v>
      </c>
      <c r="G24" t="s">
        <v>2359</v>
      </c>
      <c r="H24" t="s">
        <v>2406</v>
      </c>
      <c r="I24" s="27">
        <f t="shared" si="0"/>
        <v>920</v>
      </c>
    </row>
    <row r="25" spans="1:11">
      <c r="A25" s="35" t="s">
        <v>2071</v>
      </c>
      <c r="B25" s="32">
        <v>1768.4749999999999</v>
      </c>
      <c r="C25" s="32">
        <v>2033.7462499999999</v>
      </c>
      <c r="D25" t="s">
        <v>2386</v>
      </c>
      <c r="G25" t="s">
        <v>2071</v>
      </c>
      <c r="H25" t="s">
        <v>2407</v>
      </c>
      <c r="I25" s="27">
        <f t="shared" si="0"/>
        <v>2033.7462499999999</v>
      </c>
      <c r="J25" t="s">
        <v>2386</v>
      </c>
    </row>
    <row r="26" spans="1:11">
      <c r="A26" s="31" t="s">
        <v>2287</v>
      </c>
      <c r="B26" s="32">
        <v>13801.77</v>
      </c>
      <c r="C26" s="32">
        <v>15872.0355</v>
      </c>
      <c r="G26" t="s">
        <v>2287</v>
      </c>
      <c r="H26" t="s">
        <v>2408</v>
      </c>
      <c r="I26" s="27">
        <f t="shared" si="0"/>
        <v>15872.0355</v>
      </c>
    </row>
    <row r="27" spans="1:11">
      <c r="A27" s="35" t="s">
        <v>2210</v>
      </c>
      <c r="B27" s="32">
        <v>10400</v>
      </c>
      <c r="C27" s="32">
        <v>11960</v>
      </c>
      <c r="D27" t="s">
        <v>2386</v>
      </c>
      <c r="G27" t="s">
        <v>2210</v>
      </c>
      <c r="H27" t="s">
        <v>2409</v>
      </c>
      <c r="I27" s="27">
        <f t="shared" si="0"/>
        <v>11960</v>
      </c>
      <c r="J27" t="s">
        <v>2386</v>
      </c>
    </row>
    <row r="28" spans="1:11">
      <c r="A28" s="35" t="s">
        <v>2109</v>
      </c>
      <c r="B28" s="32">
        <v>66542.649999999994</v>
      </c>
      <c r="C28" s="32">
        <v>76524.047500000001</v>
      </c>
      <c r="D28" t="s">
        <v>2386</v>
      </c>
      <c r="G28" t="s">
        <v>2109</v>
      </c>
      <c r="H28" t="s">
        <v>2410</v>
      </c>
      <c r="I28" s="27">
        <f t="shared" si="0"/>
        <v>76524.047500000001</v>
      </c>
      <c r="J28" t="s">
        <v>2386</v>
      </c>
    </row>
    <row r="29" spans="1:11">
      <c r="A29" s="31" t="s">
        <v>2294</v>
      </c>
      <c r="B29" s="32">
        <v>3804.8049999999998</v>
      </c>
      <c r="C29" s="32">
        <v>4375.5257499999998</v>
      </c>
      <c r="G29" t="s">
        <v>2294</v>
      </c>
      <c r="H29" t="s">
        <v>2411</v>
      </c>
      <c r="I29" s="27">
        <f t="shared" si="0"/>
        <v>4375.5257499999998</v>
      </c>
    </row>
    <row r="30" spans="1:11">
      <c r="A30" s="35" t="s">
        <v>1928</v>
      </c>
      <c r="B30" s="32">
        <v>86316.36</v>
      </c>
      <c r="C30" s="32">
        <v>99263.813999999984</v>
      </c>
      <c r="D30" t="s">
        <v>2386</v>
      </c>
      <c r="G30" t="s">
        <v>1928</v>
      </c>
      <c r="H30" t="s">
        <v>2412</v>
      </c>
      <c r="I30" s="27">
        <f t="shared" si="0"/>
        <v>99263.813999999984</v>
      </c>
      <c r="J30" t="s">
        <v>2386</v>
      </c>
    </row>
    <row r="31" spans="1:11">
      <c r="A31" s="35" t="s">
        <v>1982</v>
      </c>
      <c r="B31" s="32">
        <v>973.83</v>
      </c>
      <c r="C31" s="32">
        <v>1119.9045000000001</v>
      </c>
      <c r="D31" t="s">
        <v>2386</v>
      </c>
      <c r="G31" t="s">
        <v>1982</v>
      </c>
      <c r="H31" t="s">
        <v>2574</v>
      </c>
      <c r="I31" s="27">
        <f t="shared" si="0"/>
        <v>1119.9045000000001</v>
      </c>
      <c r="J31" t="s">
        <v>2386</v>
      </c>
      <c r="K31" t="s">
        <v>2388</v>
      </c>
    </row>
    <row r="32" spans="1:11">
      <c r="A32" s="35" t="s">
        <v>2166</v>
      </c>
      <c r="B32" s="32">
        <v>6702.915</v>
      </c>
      <c r="C32" s="32">
        <v>7708.3522499999999</v>
      </c>
      <c r="D32" t="s">
        <v>2386</v>
      </c>
      <c r="G32" t="s">
        <v>2166</v>
      </c>
      <c r="H32" t="s">
        <v>2413</v>
      </c>
      <c r="I32" s="27">
        <f t="shared" si="0"/>
        <v>7708.3522499999999</v>
      </c>
      <c r="J32" t="s">
        <v>2386</v>
      </c>
    </row>
    <row r="33" spans="1:11">
      <c r="A33" s="35" t="s">
        <v>2067</v>
      </c>
      <c r="B33" s="32">
        <v>16800</v>
      </c>
      <c r="C33" s="32">
        <v>19320</v>
      </c>
      <c r="D33" t="s">
        <v>2386</v>
      </c>
      <c r="G33" t="s">
        <v>2067</v>
      </c>
      <c r="H33" t="s">
        <v>2414</v>
      </c>
      <c r="I33" s="27">
        <f t="shared" si="0"/>
        <v>19320</v>
      </c>
      <c r="J33" t="s">
        <v>2386</v>
      </c>
    </row>
    <row r="34" spans="1:11">
      <c r="A34" s="35" t="s">
        <v>2073</v>
      </c>
      <c r="B34" s="32">
        <v>46046.264999999999</v>
      </c>
      <c r="C34" s="32">
        <v>52953.204749999997</v>
      </c>
      <c r="D34" t="s">
        <v>2386</v>
      </c>
      <c r="G34" t="s">
        <v>2073</v>
      </c>
      <c r="H34" t="s">
        <v>2415</v>
      </c>
      <c r="I34" s="27">
        <f t="shared" si="0"/>
        <v>52953.204749999997</v>
      </c>
      <c r="J34" t="s">
        <v>2386</v>
      </c>
    </row>
    <row r="35" spans="1:11">
      <c r="A35" s="35" t="s">
        <v>2049</v>
      </c>
      <c r="B35" s="32">
        <v>1777.4549999999999</v>
      </c>
      <c r="C35" s="32">
        <v>2044.0732499999999</v>
      </c>
      <c r="D35" t="s">
        <v>2386</v>
      </c>
      <c r="G35" t="s">
        <v>2049</v>
      </c>
      <c r="H35" t="s">
        <v>2575</v>
      </c>
      <c r="I35" s="27">
        <f t="shared" si="0"/>
        <v>2044.0732499999999</v>
      </c>
      <c r="J35" t="s">
        <v>2386</v>
      </c>
      <c r="K35" t="s">
        <v>2388</v>
      </c>
    </row>
    <row r="36" spans="1:11">
      <c r="A36" s="31" t="s">
        <v>1958</v>
      </c>
      <c r="B36" s="32">
        <v>35116.195</v>
      </c>
      <c r="C36" s="32">
        <v>40383.624250000001</v>
      </c>
      <c r="G36" t="s">
        <v>1958</v>
      </c>
      <c r="H36" t="s">
        <v>2416</v>
      </c>
      <c r="I36" s="27">
        <f t="shared" si="0"/>
        <v>40383.624250000001</v>
      </c>
    </row>
    <row r="37" spans="1:11">
      <c r="A37" s="35" t="s">
        <v>2093</v>
      </c>
      <c r="B37" s="32">
        <v>500</v>
      </c>
      <c r="C37" s="32">
        <v>575</v>
      </c>
      <c r="D37" t="s">
        <v>2386</v>
      </c>
      <c r="G37" t="s">
        <v>2093</v>
      </c>
      <c r="H37" t="s">
        <v>2417</v>
      </c>
      <c r="I37" s="27">
        <f t="shared" si="0"/>
        <v>575</v>
      </c>
      <c r="J37" t="s">
        <v>2386</v>
      </c>
    </row>
    <row r="38" spans="1:11">
      <c r="A38" s="31" t="s">
        <v>2335</v>
      </c>
      <c r="B38" s="32">
        <v>1500</v>
      </c>
      <c r="C38" s="32">
        <v>1725</v>
      </c>
      <c r="G38" t="s">
        <v>2335</v>
      </c>
      <c r="H38" t="s">
        <v>2418</v>
      </c>
      <c r="I38" s="27">
        <f t="shared" si="0"/>
        <v>1725</v>
      </c>
    </row>
    <row r="39" spans="1:11">
      <c r="A39" s="35" t="s">
        <v>1940</v>
      </c>
      <c r="B39" s="32">
        <v>16055.575000000001</v>
      </c>
      <c r="C39" s="32">
        <v>18463.911250000005</v>
      </c>
      <c r="D39" t="s">
        <v>2386</v>
      </c>
      <c r="G39" t="s">
        <v>1940</v>
      </c>
      <c r="H39" t="s">
        <v>2419</v>
      </c>
      <c r="I39" s="27">
        <f t="shared" si="0"/>
        <v>18463.911250000005</v>
      </c>
      <c r="J39" t="s">
        <v>2386</v>
      </c>
    </row>
    <row r="40" spans="1:11">
      <c r="A40" s="35" t="s">
        <v>1946</v>
      </c>
      <c r="B40" s="32">
        <v>51607.125</v>
      </c>
      <c r="C40" s="32">
        <v>59348.193750000006</v>
      </c>
      <c r="D40" t="s">
        <v>2386</v>
      </c>
      <c r="G40" t="s">
        <v>1946</v>
      </c>
      <c r="H40" t="s">
        <v>2420</v>
      </c>
      <c r="I40" s="27">
        <f t="shared" si="0"/>
        <v>59348.193750000006</v>
      </c>
      <c r="J40" t="s">
        <v>2386</v>
      </c>
    </row>
    <row r="41" spans="1:11">
      <c r="A41" s="31" t="s">
        <v>2252</v>
      </c>
      <c r="B41" s="32">
        <v>28032.75</v>
      </c>
      <c r="C41" s="32">
        <v>32237.662499999999</v>
      </c>
      <c r="G41" t="s">
        <v>2252</v>
      </c>
      <c r="H41" t="s">
        <v>2421</v>
      </c>
      <c r="I41" s="27">
        <f t="shared" si="0"/>
        <v>32237.662499999999</v>
      </c>
    </row>
    <row r="42" spans="1:11">
      <c r="A42" s="35" t="s">
        <v>2137</v>
      </c>
      <c r="B42" s="32">
        <v>2777.04</v>
      </c>
      <c r="C42" s="32">
        <v>3193.596</v>
      </c>
      <c r="D42" t="s">
        <v>2386</v>
      </c>
      <c r="G42" t="s">
        <v>2137</v>
      </c>
      <c r="H42" t="s">
        <v>2422</v>
      </c>
      <c r="I42" s="27">
        <f t="shared" si="0"/>
        <v>3193.596</v>
      </c>
      <c r="J42" t="s">
        <v>2386</v>
      </c>
    </row>
    <row r="43" spans="1:11">
      <c r="A43" s="35" t="s">
        <v>1992</v>
      </c>
      <c r="B43" s="32">
        <v>951.86</v>
      </c>
      <c r="C43" s="32">
        <v>1094.6390000000001</v>
      </c>
      <c r="D43" t="s">
        <v>2386</v>
      </c>
      <c r="G43" t="s">
        <v>1992</v>
      </c>
      <c r="H43" t="s">
        <v>2576</v>
      </c>
      <c r="I43" s="27">
        <f t="shared" si="0"/>
        <v>1094.6390000000001</v>
      </c>
      <c r="J43" t="s">
        <v>2386</v>
      </c>
      <c r="K43" t="s">
        <v>2388</v>
      </c>
    </row>
    <row r="44" spans="1:11">
      <c r="A44" s="35" t="s">
        <v>1988</v>
      </c>
      <c r="B44" s="32">
        <v>2500</v>
      </c>
      <c r="C44" s="32">
        <v>2875</v>
      </c>
      <c r="D44" t="s">
        <v>2386</v>
      </c>
      <c r="G44" t="s">
        <v>1988</v>
      </c>
      <c r="H44" t="s">
        <v>2577</v>
      </c>
      <c r="I44" s="27">
        <f t="shared" si="0"/>
        <v>2875</v>
      </c>
      <c r="J44" t="s">
        <v>2386</v>
      </c>
      <c r="K44" t="s">
        <v>2388</v>
      </c>
    </row>
    <row r="45" spans="1:11">
      <c r="A45" s="31" t="s">
        <v>1969</v>
      </c>
      <c r="B45" s="32">
        <v>670</v>
      </c>
      <c r="C45" s="32">
        <v>770.5</v>
      </c>
      <c r="G45" t="s">
        <v>1969</v>
      </c>
      <c r="H45" t="s">
        <v>2423</v>
      </c>
      <c r="I45" s="27">
        <f t="shared" si="0"/>
        <v>770.5</v>
      </c>
    </row>
    <row r="46" spans="1:11">
      <c r="A46" s="31" t="s">
        <v>2235</v>
      </c>
      <c r="B46" s="32">
        <v>8173.4500000000007</v>
      </c>
      <c r="C46" s="32">
        <v>9399.4675000000007</v>
      </c>
      <c r="G46" t="s">
        <v>2235</v>
      </c>
      <c r="H46" t="s">
        <v>2424</v>
      </c>
      <c r="I46" s="27">
        <f t="shared" si="0"/>
        <v>9399.4675000000007</v>
      </c>
    </row>
    <row r="47" spans="1:11">
      <c r="A47" s="31" t="s">
        <v>2302</v>
      </c>
      <c r="B47" s="32">
        <v>750.72500000000002</v>
      </c>
      <c r="C47" s="32">
        <v>863.33375000000001</v>
      </c>
      <c r="G47" t="s">
        <v>2302</v>
      </c>
      <c r="H47" t="s">
        <v>2578</v>
      </c>
      <c r="I47" s="27">
        <f t="shared" si="0"/>
        <v>863.33375000000001</v>
      </c>
      <c r="K47" t="s">
        <v>2388</v>
      </c>
    </row>
    <row r="48" spans="1:11">
      <c r="A48" s="35" t="s">
        <v>2180</v>
      </c>
      <c r="B48" s="32">
        <v>1300</v>
      </c>
      <c r="C48" s="32">
        <v>1495</v>
      </c>
      <c r="D48" t="s">
        <v>2386</v>
      </c>
      <c r="G48" t="s">
        <v>2180</v>
      </c>
      <c r="H48" t="s">
        <v>2425</v>
      </c>
      <c r="I48" s="27">
        <f t="shared" si="0"/>
        <v>1495</v>
      </c>
      <c r="J48" t="s">
        <v>2386</v>
      </c>
    </row>
    <row r="49" spans="1:11">
      <c r="A49" s="31" t="s">
        <v>2324</v>
      </c>
      <c r="B49" s="32">
        <v>57541.21</v>
      </c>
      <c r="C49" s="32">
        <v>66172.391499999998</v>
      </c>
      <c r="G49" t="s">
        <v>2324</v>
      </c>
      <c r="H49" t="s">
        <v>2426</v>
      </c>
      <c r="I49" s="27">
        <f t="shared" si="0"/>
        <v>66172.391499999998</v>
      </c>
    </row>
    <row r="50" spans="1:11">
      <c r="A50" s="35" t="s">
        <v>2113</v>
      </c>
      <c r="B50" s="32">
        <v>3411.9</v>
      </c>
      <c r="C50" s="32">
        <v>3923.6849999999999</v>
      </c>
      <c r="D50" t="s">
        <v>2386</v>
      </c>
      <c r="G50" t="s">
        <v>2113</v>
      </c>
      <c r="H50" t="s">
        <v>2427</v>
      </c>
      <c r="I50" s="27">
        <f t="shared" si="0"/>
        <v>3923.6849999999999</v>
      </c>
      <c r="J50" t="s">
        <v>2386</v>
      </c>
    </row>
    <row r="51" spans="1:11">
      <c r="A51" s="31" t="s">
        <v>2250</v>
      </c>
      <c r="B51" s="32">
        <v>2000</v>
      </c>
      <c r="C51" s="32">
        <v>2300</v>
      </c>
      <c r="G51" t="s">
        <v>2250</v>
      </c>
      <c r="H51" t="s">
        <v>2428</v>
      </c>
      <c r="I51" s="27">
        <f t="shared" si="0"/>
        <v>2300</v>
      </c>
    </row>
    <row r="52" spans="1:11">
      <c r="A52" s="35" t="s">
        <v>2010</v>
      </c>
      <c r="B52" s="32">
        <v>105648.16</v>
      </c>
      <c r="C52" s="32">
        <v>121495.38400000001</v>
      </c>
      <c r="D52" t="s">
        <v>2386</v>
      </c>
      <c r="G52" t="s">
        <v>2010</v>
      </c>
      <c r="H52" t="s">
        <v>2429</v>
      </c>
      <c r="I52" s="27">
        <f t="shared" si="0"/>
        <v>121495.38400000001</v>
      </c>
      <c r="J52" t="s">
        <v>2386</v>
      </c>
    </row>
    <row r="53" spans="1:11">
      <c r="A53" s="31" t="s">
        <v>2347</v>
      </c>
      <c r="B53" s="32">
        <v>19500</v>
      </c>
      <c r="C53" s="32">
        <v>22425</v>
      </c>
      <c r="G53" t="s">
        <v>2347</v>
      </c>
      <c r="H53" t="s">
        <v>2579</v>
      </c>
      <c r="I53" s="27">
        <f t="shared" si="0"/>
        <v>22425</v>
      </c>
      <c r="K53" t="s">
        <v>2388</v>
      </c>
    </row>
    <row r="54" spans="1:11">
      <c r="A54" s="31" t="s">
        <v>2229</v>
      </c>
      <c r="B54" s="32">
        <v>9446.91</v>
      </c>
      <c r="C54" s="32">
        <v>10863.9465</v>
      </c>
      <c r="G54" t="s">
        <v>2229</v>
      </c>
      <c r="H54" t="s">
        <v>2430</v>
      </c>
      <c r="I54" s="27">
        <f t="shared" si="0"/>
        <v>10863.9465</v>
      </c>
    </row>
    <row r="55" spans="1:11">
      <c r="A55" s="35" t="s">
        <v>2043</v>
      </c>
      <c r="B55" s="32">
        <v>9050.7049999999999</v>
      </c>
      <c r="C55" s="32">
        <v>10408.310750000001</v>
      </c>
      <c r="D55" t="s">
        <v>2386</v>
      </c>
      <c r="G55" t="s">
        <v>2043</v>
      </c>
      <c r="H55" t="s">
        <v>2431</v>
      </c>
      <c r="I55" s="27">
        <f t="shared" si="0"/>
        <v>10408.310750000001</v>
      </c>
      <c r="J55" t="s">
        <v>2386</v>
      </c>
    </row>
    <row r="56" spans="1:11">
      <c r="A56" s="35" t="s">
        <v>2065</v>
      </c>
      <c r="B56" s="32">
        <v>800</v>
      </c>
      <c r="C56" s="32">
        <v>920</v>
      </c>
      <c r="D56" t="s">
        <v>2386</v>
      </c>
      <c r="G56" t="s">
        <v>2065</v>
      </c>
      <c r="H56" t="s">
        <v>2432</v>
      </c>
      <c r="I56" s="27">
        <f t="shared" si="0"/>
        <v>920</v>
      </c>
      <c r="J56" t="s">
        <v>2386</v>
      </c>
    </row>
    <row r="57" spans="1:11">
      <c r="A57" s="35" t="s">
        <v>2077</v>
      </c>
      <c r="B57" s="32">
        <v>4800</v>
      </c>
      <c r="C57" s="32">
        <v>5520</v>
      </c>
      <c r="D57" t="s">
        <v>2386</v>
      </c>
      <c r="G57" t="s">
        <v>2077</v>
      </c>
      <c r="H57" t="s">
        <v>2433</v>
      </c>
      <c r="I57" s="27">
        <f t="shared" si="0"/>
        <v>5520</v>
      </c>
      <c r="J57" t="s">
        <v>2386</v>
      </c>
    </row>
    <row r="58" spans="1:11">
      <c r="A58" s="35" t="s">
        <v>1972</v>
      </c>
      <c r="B58" s="32">
        <v>231696.82</v>
      </c>
      <c r="C58" s="32">
        <v>266451.34299999999</v>
      </c>
      <c r="D58" t="s">
        <v>2386</v>
      </c>
      <c r="G58" t="s">
        <v>1972</v>
      </c>
      <c r="H58" t="s">
        <v>2434</v>
      </c>
      <c r="I58" s="27">
        <f t="shared" si="0"/>
        <v>266451.34299999999</v>
      </c>
      <c r="J58" t="s">
        <v>2386</v>
      </c>
    </row>
    <row r="59" spans="1:11">
      <c r="A59" s="35" t="s">
        <v>1959</v>
      </c>
      <c r="B59" s="32">
        <v>205501.81</v>
      </c>
      <c r="C59" s="32">
        <v>236327.0815</v>
      </c>
      <c r="D59" t="s">
        <v>2386</v>
      </c>
      <c r="G59" t="s">
        <v>1959</v>
      </c>
      <c r="H59" t="s">
        <v>2435</v>
      </c>
      <c r="I59" s="27">
        <f t="shared" si="0"/>
        <v>236327.0815</v>
      </c>
      <c r="J59" t="s">
        <v>2386</v>
      </c>
    </row>
    <row r="60" spans="1:11">
      <c r="A60" s="35" t="s">
        <v>1960</v>
      </c>
      <c r="B60" s="32">
        <v>166791.60999999999</v>
      </c>
      <c r="C60" s="32">
        <v>191810.35149999999</v>
      </c>
      <c r="D60" t="s">
        <v>2386</v>
      </c>
      <c r="G60" t="s">
        <v>1960</v>
      </c>
      <c r="H60" t="s">
        <v>2436</v>
      </c>
      <c r="I60" s="27">
        <f t="shared" si="0"/>
        <v>191810.35149999999</v>
      </c>
      <c r="J60" t="s">
        <v>2386</v>
      </c>
    </row>
    <row r="61" spans="1:11">
      <c r="A61" s="35" t="s">
        <v>1941</v>
      </c>
      <c r="B61" s="32">
        <v>109209.91</v>
      </c>
      <c r="C61" s="32">
        <v>125591.3965</v>
      </c>
      <c r="D61" t="s">
        <v>2386</v>
      </c>
      <c r="G61" t="s">
        <v>1941</v>
      </c>
      <c r="H61" t="s">
        <v>2437</v>
      </c>
      <c r="I61" s="27">
        <f t="shared" si="0"/>
        <v>125591.3965</v>
      </c>
      <c r="J61" t="s">
        <v>2386</v>
      </c>
    </row>
    <row r="62" spans="1:11">
      <c r="A62" s="35" t="s">
        <v>2006</v>
      </c>
      <c r="B62" s="32">
        <v>10280</v>
      </c>
      <c r="C62" s="32">
        <v>11822</v>
      </c>
      <c r="D62" t="s">
        <v>2386</v>
      </c>
      <c r="G62" t="s">
        <v>2006</v>
      </c>
      <c r="H62" t="s">
        <v>2438</v>
      </c>
      <c r="I62" s="27">
        <f t="shared" si="0"/>
        <v>11822</v>
      </c>
      <c r="J62" t="s">
        <v>2386</v>
      </c>
    </row>
    <row r="63" spans="1:11">
      <c r="A63" s="35" t="s">
        <v>2170</v>
      </c>
      <c r="B63" s="32">
        <v>15000</v>
      </c>
      <c r="C63" s="32">
        <v>17250</v>
      </c>
      <c r="D63" t="s">
        <v>2386</v>
      </c>
      <c r="G63" t="s">
        <v>2170</v>
      </c>
      <c r="H63" t="s">
        <v>2439</v>
      </c>
      <c r="I63" s="27">
        <f t="shared" si="0"/>
        <v>17250</v>
      </c>
      <c r="J63" t="s">
        <v>2386</v>
      </c>
    </row>
    <row r="64" spans="1:11">
      <c r="A64" s="35" t="s">
        <v>2192</v>
      </c>
      <c r="B64" s="32">
        <v>4173.84</v>
      </c>
      <c r="C64" s="32">
        <v>4799.9160000000002</v>
      </c>
      <c r="D64" t="s">
        <v>2386</v>
      </c>
      <c r="G64" t="s">
        <v>2192</v>
      </c>
      <c r="H64" t="s">
        <v>2580</v>
      </c>
      <c r="I64" s="27">
        <f t="shared" si="0"/>
        <v>4799.9160000000002</v>
      </c>
      <c r="J64" t="s">
        <v>2386</v>
      </c>
      <c r="K64" t="s">
        <v>2388</v>
      </c>
    </row>
    <row r="65" spans="1:11">
      <c r="A65" s="35" t="s">
        <v>2107</v>
      </c>
      <c r="B65" s="32">
        <v>20200.690000000002</v>
      </c>
      <c r="C65" s="32">
        <v>23230.793500000003</v>
      </c>
      <c r="D65" t="s">
        <v>2386</v>
      </c>
      <c r="G65" t="s">
        <v>2107</v>
      </c>
      <c r="H65" t="s">
        <v>2440</v>
      </c>
      <c r="I65" s="27">
        <f t="shared" si="0"/>
        <v>23230.793500000003</v>
      </c>
      <c r="J65" t="s">
        <v>2386</v>
      </c>
    </row>
    <row r="66" spans="1:11">
      <c r="A66" s="31" t="s">
        <v>2131</v>
      </c>
      <c r="B66" s="32">
        <v>10294.61</v>
      </c>
      <c r="C66" s="32">
        <v>11838.8015</v>
      </c>
      <c r="G66" t="s">
        <v>2131</v>
      </c>
      <c r="H66" t="s">
        <v>2625</v>
      </c>
      <c r="I66" s="27">
        <f t="shared" si="0"/>
        <v>11838.8015</v>
      </c>
    </row>
    <row r="67" spans="1:11">
      <c r="A67" s="31" t="s">
        <v>2360</v>
      </c>
      <c r="B67" s="32">
        <v>9000</v>
      </c>
      <c r="C67" s="32">
        <v>10350</v>
      </c>
      <c r="G67" t="s">
        <v>2360</v>
      </c>
      <c r="H67" t="s">
        <v>2581</v>
      </c>
      <c r="I67" s="27">
        <f t="shared" si="0"/>
        <v>10350</v>
      </c>
      <c r="K67" t="s">
        <v>2388</v>
      </c>
    </row>
    <row r="68" spans="1:11">
      <c r="A68" s="35" t="s">
        <v>2281</v>
      </c>
      <c r="B68" s="32">
        <v>60.96</v>
      </c>
      <c r="C68" s="32">
        <v>70.103999999999999</v>
      </c>
      <c r="D68" t="s">
        <v>2386</v>
      </c>
      <c r="G68" t="s">
        <v>2281</v>
      </c>
      <c r="H68" t="s">
        <v>2441</v>
      </c>
      <c r="I68" s="27">
        <f t="shared" si="0"/>
        <v>70.103999999999999</v>
      </c>
      <c r="J68" t="s">
        <v>2386</v>
      </c>
    </row>
    <row r="69" spans="1:11">
      <c r="A69" s="35" t="s">
        <v>2000</v>
      </c>
      <c r="B69" s="32">
        <v>18975.995000000003</v>
      </c>
      <c r="C69" s="32">
        <v>21822.394250000001</v>
      </c>
      <c r="D69" t="s">
        <v>2386</v>
      </c>
      <c r="G69" t="s">
        <v>2000</v>
      </c>
      <c r="H69" t="s">
        <v>2442</v>
      </c>
      <c r="I69" s="27">
        <f t="shared" ref="I69:I132" si="1">+VLOOKUP(G69,$A$3:$C$214,3,FALSE)</f>
        <v>21822.394250000001</v>
      </c>
      <c r="J69" t="s">
        <v>2386</v>
      </c>
    </row>
    <row r="70" spans="1:11">
      <c r="A70" s="35" t="s">
        <v>2069</v>
      </c>
      <c r="B70" s="32">
        <v>500</v>
      </c>
      <c r="C70" s="32">
        <v>575</v>
      </c>
      <c r="D70" t="s">
        <v>2386</v>
      </c>
      <c r="G70" t="s">
        <v>2069</v>
      </c>
      <c r="H70" t="s">
        <v>2443</v>
      </c>
      <c r="I70" s="27">
        <f t="shared" si="1"/>
        <v>575</v>
      </c>
      <c r="J70" t="s">
        <v>2386</v>
      </c>
    </row>
    <row r="71" spans="1:11">
      <c r="A71" s="35" t="s">
        <v>1952</v>
      </c>
      <c r="B71" s="32">
        <v>109649.345</v>
      </c>
      <c r="C71" s="32">
        <v>126096.74674999999</v>
      </c>
      <c r="D71" t="s">
        <v>2386</v>
      </c>
      <c r="G71" t="s">
        <v>1952</v>
      </c>
      <c r="H71" t="s">
        <v>2444</v>
      </c>
      <c r="I71" s="27">
        <f t="shared" si="1"/>
        <v>126096.74674999999</v>
      </c>
      <c r="J71" t="s">
        <v>2386</v>
      </c>
    </row>
    <row r="72" spans="1:11">
      <c r="A72" s="31" t="s">
        <v>2318</v>
      </c>
      <c r="B72" s="32">
        <v>14432.74</v>
      </c>
      <c r="C72" s="32">
        <v>16597.650999999998</v>
      </c>
      <c r="G72" t="s">
        <v>2318</v>
      </c>
      <c r="H72" t="s">
        <v>2445</v>
      </c>
      <c r="I72" s="27">
        <f t="shared" si="1"/>
        <v>16597.650999999998</v>
      </c>
    </row>
    <row r="73" spans="1:11">
      <c r="A73" s="31" t="s">
        <v>2032</v>
      </c>
      <c r="B73" s="32">
        <v>38274.11</v>
      </c>
      <c r="C73" s="32">
        <v>44015.226499999997</v>
      </c>
      <c r="G73" t="s">
        <v>2032</v>
      </c>
      <c r="H73" t="s">
        <v>2446</v>
      </c>
      <c r="I73" s="27">
        <f t="shared" si="1"/>
        <v>44015.226499999997</v>
      </c>
    </row>
    <row r="74" spans="1:11">
      <c r="A74" s="31" t="s">
        <v>2057</v>
      </c>
      <c r="B74" s="32">
        <v>294.05</v>
      </c>
      <c r="C74" s="32">
        <v>338.15750000000003</v>
      </c>
      <c r="G74" t="s">
        <v>2057</v>
      </c>
      <c r="H74" t="s">
        <v>2447</v>
      </c>
      <c r="I74" s="27">
        <f t="shared" si="1"/>
        <v>338.15750000000003</v>
      </c>
    </row>
    <row r="75" spans="1:11">
      <c r="A75" s="31" t="s">
        <v>2241</v>
      </c>
      <c r="B75" s="32">
        <v>3210.52</v>
      </c>
      <c r="C75" s="32">
        <v>3692.098</v>
      </c>
      <c r="G75" t="s">
        <v>2241</v>
      </c>
      <c r="H75" t="s">
        <v>2582</v>
      </c>
      <c r="I75" s="27">
        <f t="shared" si="1"/>
        <v>3692.098</v>
      </c>
      <c r="K75" t="s">
        <v>2388</v>
      </c>
    </row>
    <row r="76" spans="1:11">
      <c r="A76" s="35" t="s">
        <v>2212</v>
      </c>
      <c r="B76" s="32">
        <v>18241.3</v>
      </c>
      <c r="C76" s="32">
        <v>20977.494999999999</v>
      </c>
      <c r="D76" t="s">
        <v>2386</v>
      </c>
      <c r="G76" t="s">
        <v>2212</v>
      </c>
      <c r="H76" t="s">
        <v>2448</v>
      </c>
      <c r="I76" s="27">
        <f t="shared" si="1"/>
        <v>20977.494999999999</v>
      </c>
      <c r="J76" t="s">
        <v>2386</v>
      </c>
    </row>
    <row r="77" spans="1:11">
      <c r="A77" s="35" t="s">
        <v>2153</v>
      </c>
      <c r="B77" s="32">
        <v>2126.25</v>
      </c>
      <c r="C77" s="32">
        <v>2445.1875</v>
      </c>
      <c r="D77" t="s">
        <v>2386</v>
      </c>
      <c r="G77" t="s">
        <v>2153</v>
      </c>
      <c r="H77" t="s">
        <v>2449</v>
      </c>
      <c r="I77" s="27">
        <f t="shared" si="1"/>
        <v>2445.1875</v>
      </c>
      <c r="J77" t="s">
        <v>2386</v>
      </c>
    </row>
    <row r="78" spans="1:11">
      <c r="A78" s="31" t="s">
        <v>1944</v>
      </c>
      <c r="B78" s="32">
        <v>19414.629999999997</v>
      </c>
      <c r="C78" s="32">
        <v>22326.824499999999</v>
      </c>
      <c r="G78" t="s">
        <v>1944</v>
      </c>
      <c r="H78" t="s">
        <v>2450</v>
      </c>
      <c r="I78" s="27">
        <f t="shared" si="1"/>
        <v>22326.824499999999</v>
      </c>
    </row>
    <row r="79" spans="1:11">
      <c r="A79" s="35" t="s">
        <v>2028</v>
      </c>
      <c r="B79" s="32">
        <v>2643.9</v>
      </c>
      <c r="C79" s="32">
        <v>3040.4850000000001</v>
      </c>
      <c r="D79" t="s">
        <v>2386</v>
      </c>
      <c r="G79" t="s">
        <v>2028</v>
      </c>
      <c r="H79" t="s">
        <v>2583</v>
      </c>
      <c r="I79" s="27">
        <f t="shared" si="1"/>
        <v>3040.4850000000001</v>
      </c>
      <c r="J79" t="s">
        <v>2386</v>
      </c>
      <c r="K79" t="s">
        <v>2388</v>
      </c>
    </row>
    <row r="80" spans="1:11">
      <c r="A80" s="35" t="s">
        <v>2160</v>
      </c>
      <c r="B80" s="32">
        <v>1208.0550000000001</v>
      </c>
      <c r="C80" s="32">
        <v>1389.26325</v>
      </c>
      <c r="D80" t="s">
        <v>2386</v>
      </c>
      <c r="G80" t="s">
        <v>2160</v>
      </c>
      <c r="H80" t="s">
        <v>2451</v>
      </c>
      <c r="I80" s="27">
        <f t="shared" si="1"/>
        <v>1389.26325</v>
      </c>
      <c r="J80" t="s">
        <v>2386</v>
      </c>
    </row>
    <row r="81" spans="1:10">
      <c r="A81" s="35" t="s">
        <v>1996</v>
      </c>
      <c r="B81" s="32">
        <v>5567.96</v>
      </c>
      <c r="C81" s="32">
        <v>6403.1539999999995</v>
      </c>
      <c r="D81" t="s">
        <v>2386</v>
      </c>
      <c r="G81" t="s">
        <v>1996</v>
      </c>
      <c r="H81" t="s">
        <v>2452</v>
      </c>
      <c r="I81" s="27">
        <f t="shared" si="1"/>
        <v>6403.1539999999995</v>
      </c>
      <c r="J81" t="s">
        <v>2386</v>
      </c>
    </row>
    <row r="82" spans="1:10">
      <c r="A82" s="35" t="s">
        <v>2103</v>
      </c>
      <c r="B82" s="32">
        <v>431.04</v>
      </c>
      <c r="C82" s="32">
        <v>495.69600000000003</v>
      </c>
      <c r="D82" t="s">
        <v>2386</v>
      </c>
      <c r="G82" t="s">
        <v>2103</v>
      </c>
      <c r="H82" t="s">
        <v>2453</v>
      </c>
      <c r="I82" s="27">
        <f t="shared" si="1"/>
        <v>495.69600000000003</v>
      </c>
      <c r="J82" t="s">
        <v>2386</v>
      </c>
    </row>
    <row r="83" spans="1:10">
      <c r="A83" s="35" t="s">
        <v>2101</v>
      </c>
      <c r="B83" s="32">
        <v>4939.2</v>
      </c>
      <c r="C83" s="32">
        <v>5680.08</v>
      </c>
      <c r="D83" t="s">
        <v>2386</v>
      </c>
      <c r="G83" t="s">
        <v>2101</v>
      </c>
      <c r="H83" t="s">
        <v>2454</v>
      </c>
      <c r="I83" s="27">
        <f t="shared" si="1"/>
        <v>5680.08</v>
      </c>
      <c r="J83" t="s">
        <v>2386</v>
      </c>
    </row>
    <row r="84" spans="1:10">
      <c r="A84" s="35" t="s">
        <v>2147</v>
      </c>
      <c r="B84" s="32">
        <v>20000</v>
      </c>
      <c r="C84" s="32">
        <v>23000</v>
      </c>
      <c r="D84" t="s">
        <v>2386</v>
      </c>
      <c r="G84" t="s">
        <v>2147</v>
      </c>
      <c r="H84" t="s">
        <v>2455</v>
      </c>
      <c r="I84" s="27">
        <f t="shared" si="1"/>
        <v>23000</v>
      </c>
      <c r="J84" t="s">
        <v>2386</v>
      </c>
    </row>
    <row r="85" spans="1:10">
      <c r="A85" s="31" t="s">
        <v>2337</v>
      </c>
      <c r="B85" s="32">
        <v>600</v>
      </c>
      <c r="C85" s="32">
        <v>690</v>
      </c>
      <c r="G85" t="s">
        <v>2337</v>
      </c>
      <c r="H85" t="s">
        <v>2456</v>
      </c>
      <c r="I85" s="27">
        <f t="shared" si="1"/>
        <v>690</v>
      </c>
    </row>
    <row r="86" spans="1:10">
      <c r="A86" s="31" t="s">
        <v>2358</v>
      </c>
      <c r="B86" s="32">
        <v>2347.81</v>
      </c>
      <c r="C86" s="32">
        <v>2699.9814999999999</v>
      </c>
      <c r="G86" t="s">
        <v>2358</v>
      </c>
      <c r="H86" t="s">
        <v>2457</v>
      </c>
      <c r="I86" s="27">
        <f t="shared" si="1"/>
        <v>2699.9814999999999</v>
      </c>
    </row>
    <row r="87" spans="1:10">
      <c r="A87" s="31" t="s">
        <v>1934</v>
      </c>
      <c r="B87" s="32">
        <v>2154491.0449999999</v>
      </c>
      <c r="C87" s="32">
        <v>2477664.70175</v>
      </c>
      <c r="G87" t="s">
        <v>1934</v>
      </c>
      <c r="H87" t="s">
        <v>2458</v>
      </c>
      <c r="I87" s="27">
        <f t="shared" si="1"/>
        <v>2477664.70175</v>
      </c>
    </row>
    <row r="88" spans="1:10">
      <c r="A88" s="35" t="s">
        <v>2123</v>
      </c>
      <c r="B88" s="32">
        <v>495.55</v>
      </c>
      <c r="C88" s="32">
        <v>569.88250000000005</v>
      </c>
      <c r="D88" t="s">
        <v>2386</v>
      </c>
      <c r="G88" t="s">
        <v>2123</v>
      </c>
      <c r="H88" t="s">
        <v>2459</v>
      </c>
      <c r="I88" s="27">
        <f t="shared" si="1"/>
        <v>569.88250000000005</v>
      </c>
      <c r="J88" t="s">
        <v>2386</v>
      </c>
    </row>
    <row r="89" spans="1:10">
      <c r="A89" s="31" t="s">
        <v>2279</v>
      </c>
      <c r="B89" s="32">
        <v>9172.3094999999994</v>
      </c>
      <c r="C89" s="32">
        <v>10548.155924999999</v>
      </c>
      <c r="G89" t="s">
        <v>2279</v>
      </c>
      <c r="H89" t="s">
        <v>2460</v>
      </c>
      <c r="I89" s="27">
        <f t="shared" si="1"/>
        <v>10548.155924999999</v>
      </c>
    </row>
    <row r="90" spans="1:10">
      <c r="A90" s="31" t="s">
        <v>2226</v>
      </c>
      <c r="B90" s="32">
        <v>35970.025500000003</v>
      </c>
      <c r="C90" s="32">
        <v>41365.529325000003</v>
      </c>
      <c r="G90" t="s">
        <v>2226</v>
      </c>
      <c r="H90" t="s">
        <v>2461</v>
      </c>
      <c r="I90" s="27">
        <f t="shared" si="1"/>
        <v>41365.529325000003</v>
      </c>
    </row>
    <row r="91" spans="1:10">
      <c r="A91" s="31" t="s">
        <v>2233</v>
      </c>
      <c r="B91" s="32">
        <v>10186.317749999998</v>
      </c>
      <c r="C91" s="32">
        <v>11714.265412499999</v>
      </c>
      <c r="G91" t="s">
        <v>2233</v>
      </c>
      <c r="H91" t="s">
        <v>2462</v>
      </c>
      <c r="I91" s="27">
        <f t="shared" si="1"/>
        <v>11714.265412499999</v>
      </c>
    </row>
    <row r="92" spans="1:10">
      <c r="A92" s="31" t="s">
        <v>2331</v>
      </c>
      <c r="B92" s="32">
        <v>2038.6988999999999</v>
      </c>
      <c r="C92" s="32">
        <v>2344.5037350000002</v>
      </c>
      <c r="G92" t="s">
        <v>2331</v>
      </c>
      <c r="H92" t="s">
        <v>2463</v>
      </c>
      <c r="I92" s="27">
        <f t="shared" si="1"/>
        <v>2344.5037350000002</v>
      </c>
    </row>
    <row r="93" spans="1:10">
      <c r="A93" s="31" t="s">
        <v>2260</v>
      </c>
      <c r="B93" s="32">
        <v>476375.57999999996</v>
      </c>
      <c r="C93" s="32">
        <v>547831.9169999999</v>
      </c>
      <c r="G93" t="s">
        <v>2260</v>
      </c>
      <c r="H93" t="s">
        <v>2464</v>
      </c>
      <c r="I93" s="27">
        <f t="shared" si="1"/>
        <v>547831.9169999999</v>
      </c>
    </row>
    <row r="94" spans="1:10">
      <c r="A94" s="31" t="s">
        <v>2289</v>
      </c>
      <c r="B94" s="32">
        <v>23938.083000000002</v>
      </c>
      <c r="C94" s="32">
        <v>27528.795449999998</v>
      </c>
      <c r="G94" t="s">
        <v>2289</v>
      </c>
      <c r="H94" t="s">
        <v>2465</v>
      </c>
      <c r="I94" s="27">
        <f t="shared" si="1"/>
        <v>27528.795449999998</v>
      </c>
    </row>
    <row r="95" spans="1:10">
      <c r="A95" s="35" t="s">
        <v>2095</v>
      </c>
      <c r="B95" s="32">
        <v>684.81999999999994</v>
      </c>
      <c r="C95" s="32">
        <v>787.54299999999989</v>
      </c>
      <c r="D95" t="s">
        <v>2386</v>
      </c>
      <c r="G95" t="s">
        <v>2095</v>
      </c>
      <c r="H95" t="s">
        <v>2466</v>
      </c>
      <c r="I95" s="27">
        <f t="shared" si="1"/>
        <v>787.54299999999989</v>
      </c>
      <c r="J95" t="s">
        <v>2386</v>
      </c>
    </row>
    <row r="96" spans="1:10">
      <c r="A96" s="31" t="s">
        <v>2314</v>
      </c>
      <c r="B96" s="32">
        <v>130.14540000000002</v>
      </c>
      <c r="C96" s="32">
        <v>149.66721000000001</v>
      </c>
      <c r="G96" t="s">
        <v>2314</v>
      </c>
      <c r="H96" t="s">
        <v>2467</v>
      </c>
      <c r="I96" s="27">
        <f t="shared" si="1"/>
        <v>149.66721000000001</v>
      </c>
    </row>
    <row r="97" spans="1:11">
      <c r="A97" s="35" t="s">
        <v>2202</v>
      </c>
      <c r="B97" s="32">
        <v>38199.699999999997</v>
      </c>
      <c r="C97" s="32">
        <v>43929.654999999999</v>
      </c>
      <c r="D97" t="s">
        <v>2386</v>
      </c>
      <c r="G97" t="s">
        <v>2202</v>
      </c>
      <c r="H97" t="s">
        <v>2468</v>
      </c>
      <c r="I97" s="27">
        <f t="shared" si="1"/>
        <v>43929.654999999999</v>
      </c>
      <c r="J97" t="s">
        <v>2386</v>
      </c>
    </row>
    <row r="98" spans="1:11">
      <c r="A98" s="35" t="s">
        <v>2099</v>
      </c>
      <c r="B98" s="32">
        <v>6916.665</v>
      </c>
      <c r="C98" s="32">
        <v>7954.1647499999999</v>
      </c>
      <c r="D98" t="s">
        <v>2386</v>
      </c>
      <c r="G98" t="s">
        <v>2099</v>
      </c>
      <c r="H98" t="s">
        <v>2469</v>
      </c>
      <c r="I98" s="27">
        <f t="shared" si="1"/>
        <v>7954.1647499999999</v>
      </c>
      <c r="J98" t="s">
        <v>2386</v>
      </c>
    </row>
    <row r="99" spans="1:11">
      <c r="A99" s="35" t="s">
        <v>2024</v>
      </c>
      <c r="B99" s="32">
        <v>119.92</v>
      </c>
      <c r="C99" s="32">
        <v>137.90800000000002</v>
      </c>
      <c r="D99" t="s">
        <v>2386</v>
      </c>
      <c r="G99" t="s">
        <v>2024</v>
      </c>
      <c r="H99" t="s">
        <v>2584</v>
      </c>
      <c r="I99" s="27">
        <f t="shared" si="1"/>
        <v>137.90800000000002</v>
      </c>
      <c r="J99" t="s">
        <v>2386</v>
      </c>
      <c r="K99" t="s">
        <v>2388</v>
      </c>
    </row>
    <row r="100" spans="1:11">
      <c r="A100" s="35" t="s">
        <v>2119</v>
      </c>
      <c r="B100" s="32">
        <v>2301.2200000000003</v>
      </c>
      <c r="C100" s="32">
        <v>2646.4030000000002</v>
      </c>
      <c r="D100" t="s">
        <v>2386</v>
      </c>
      <c r="G100" t="s">
        <v>2119</v>
      </c>
      <c r="H100" t="s">
        <v>2585</v>
      </c>
      <c r="I100" s="27">
        <f t="shared" si="1"/>
        <v>2646.4030000000002</v>
      </c>
      <c r="J100" t="s">
        <v>2386</v>
      </c>
      <c r="K100" t="s">
        <v>2388</v>
      </c>
    </row>
    <row r="101" spans="1:11">
      <c r="A101" s="31" t="s">
        <v>2356</v>
      </c>
      <c r="B101" s="32">
        <v>17125.490000000002</v>
      </c>
      <c r="C101" s="32">
        <v>19694.3135</v>
      </c>
      <c r="G101" t="s">
        <v>2356</v>
      </c>
      <c r="H101" t="s">
        <v>2470</v>
      </c>
      <c r="I101" s="27">
        <f t="shared" si="1"/>
        <v>19694.3135</v>
      </c>
    </row>
    <row r="102" spans="1:11">
      <c r="A102" s="35" t="s">
        <v>2081</v>
      </c>
      <c r="B102" s="32">
        <v>701.65000000000009</v>
      </c>
      <c r="C102" s="32">
        <v>806.89750000000004</v>
      </c>
      <c r="D102" t="s">
        <v>2386</v>
      </c>
      <c r="G102" t="s">
        <v>2081</v>
      </c>
      <c r="H102" t="s">
        <v>2471</v>
      </c>
      <c r="I102" s="27">
        <f t="shared" si="1"/>
        <v>806.89750000000004</v>
      </c>
      <c r="J102" t="s">
        <v>2386</v>
      </c>
    </row>
    <row r="103" spans="1:11">
      <c r="A103" s="31" t="s">
        <v>2345</v>
      </c>
      <c r="B103" s="32">
        <v>3172.12</v>
      </c>
      <c r="C103" s="32">
        <v>3647.9380000000001</v>
      </c>
      <c r="G103" t="s">
        <v>2345</v>
      </c>
      <c r="H103" t="s">
        <v>2472</v>
      </c>
      <c r="I103" s="27">
        <f t="shared" si="1"/>
        <v>3647.9380000000001</v>
      </c>
    </row>
    <row r="104" spans="1:11">
      <c r="A104" s="31" t="s">
        <v>2306</v>
      </c>
      <c r="B104" s="32">
        <v>1700</v>
      </c>
      <c r="C104" s="32">
        <v>1955</v>
      </c>
      <c r="G104" t="s">
        <v>2306</v>
      </c>
      <c r="H104" t="s">
        <v>2586</v>
      </c>
      <c r="I104" s="27">
        <f t="shared" si="1"/>
        <v>1955</v>
      </c>
      <c r="K104" t="s">
        <v>2388</v>
      </c>
    </row>
    <row r="105" spans="1:11">
      <c r="A105" s="31" t="s">
        <v>2265</v>
      </c>
      <c r="B105" s="32">
        <v>70184.544999999998</v>
      </c>
      <c r="C105" s="32">
        <v>80712.226749999987</v>
      </c>
      <c r="G105" t="s">
        <v>2265</v>
      </c>
      <c r="H105" t="s">
        <v>2473</v>
      </c>
      <c r="I105" s="27">
        <f t="shared" si="1"/>
        <v>80712.226749999987</v>
      </c>
    </row>
    <row r="106" spans="1:11">
      <c r="A106" s="35" t="s">
        <v>2139</v>
      </c>
      <c r="B106" s="32">
        <v>18811.099999999999</v>
      </c>
      <c r="C106" s="32">
        <v>21632.764999999999</v>
      </c>
      <c r="D106" t="s">
        <v>2386</v>
      </c>
      <c r="G106" t="s">
        <v>2139</v>
      </c>
      <c r="H106" t="s">
        <v>2474</v>
      </c>
      <c r="I106" s="27">
        <f t="shared" si="1"/>
        <v>21632.764999999999</v>
      </c>
      <c r="J106" t="s">
        <v>2386</v>
      </c>
    </row>
    <row r="107" spans="1:11">
      <c r="A107" s="35" t="s">
        <v>1932</v>
      </c>
      <c r="B107" s="32">
        <v>137930.5</v>
      </c>
      <c r="C107" s="32">
        <v>158620.07500000001</v>
      </c>
      <c r="D107" t="s">
        <v>2386</v>
      </c>
      <c r="G107" t="s">
        <v>1932</v>
      </c>
      <c r="H107" t="s">
        <v>2475</v>
      </c>
      <c r="I107" s="27">
        <f t="shared" si="1"/>
        <v>158620.07500000001</v>
      </c>
      <c r="J107" t="s">
        <v>2386</v>
      </c>
    </row>
    <row r="108" spans="1:11">
      <c r="A108" s="31" t="s">
        <v>2283</v>
      </c>
      <c r="B108" s="32">
        <v>9560.59</v>
      </c>
      <c r="C108" s="32">
        <v>10994.6785</v>
      </c>
      <c r="G108" t="s">
        <v>2283</v>
      </c>
      <c r="H108" t="s">
        <v>2476</v>
      </c>
      <c r="I108" s="27">
        <f t="shared" si="1"/>
        <v>10994.6785</v>
      </c>
    </row>
    <row r="109" spans="1:11">
      <c r="A109" s="35" t="s">
        <v>2041</v>
      </c>
      <c r="B109" s="32">
        <v>11940</v>
      </c>
      <c r="C109" s="32">
        <v>13731</v>
      </c>
      <c r="D109" t="s">
        <v>2386</v>
      </c>
      <c r="G109" t="s">
        <v>2041</v>
      </c>
      <c r="H109" t="s">
        <v>2477</v>
      </c>
      <c r="I109" s="27">
        <f t="shared" si="1"/>
        <v>13731</v>
      </c>
      <c r="J109" t="s">
        <v>2386</v>
      </c>
    </row>
    <row r="110" spans="1:11">
      <c r="A110" s="35" t="s">
        <v>2206</v>
      </c>
      <c r="B110" s="32">
        <v>7029.38</v>
      </c>
      <c r="C110" s="32">
        <v>8083.7870000000003</v>
      </c>
      <c r="D110" t="s">
        <v>2386</v>
      </c>
      <c r="G110" t="s">
        <v>2206</v>
      </c>
      <c r="H110" t="s">
        <v>2478</v>
      </c>
      <c r="I110" s="27">
        <f t="shared" si="1"/>
        <v>8083.7870000000003</v>
      </c>
      <c r="J110" t="s">
        <v>2386</v>
      </c>
    </row>
    <row r="111" spans="1:11">
      <c r="A111" s="35" t="s">
        <v>2194</v>
      </c>
      <c r="B111" s="32">
        <v>500</v>
      </c>
      <c r="C111" s="32">
        <v>575</v>
      </c>
      <c r="D111" t="s">
        <v>2386</v>
      </c>
      <c r="G111" t="s">
        <v>2194</v>
      </c>
      <c r="H111" t="s">
        <v>2479</v>
      </c>
      <c r="I111" s="27">
        <f t="shared" si="1"/>
        <v>575</v>
      </c>
      <c r="J111" t="s">
        <v>2386</v>
      </c>
    </row>
    <row r="112" spans="1:11">
      <c r="A112" s="35" t="s">
        <v>2158</v>
      </c>
      <c r="B112" s="32">
        <v>1581.38</v>
      </c>
      <c r="C112" s="32">
        <v>1818.587</v>
      </c>
      <c r="D112" t="s">
        <v>2386</v>
      </c>
      <c r="G112" t="s">
        <v>2158</v>
      </c>
      <c r="H112" t="s">
        <v>2480</v>
      </c>
      <c r="I112" s="27">
        <f t="shared" si="1"/>
        <v>1818.587</v>
      </c>
      <c r="J112" t="s">
        <v>2386</v>
      </c>
    </row>
    <row r="113" spans="1:11">
      <c r="A113" s="35" t="s">
        <v>1963</v>
      </c>
      <c r="B113" s="32">
        <v>227292.61</v>
      </c>
      <c r="C113" s="32">
        <v>261386.50149999998</v>
      </c>
      <c r="D113" t="s">
        <v>2386</v>
      </c>
      <c r="G113" t="s">
        <v>1963</v>
      </c>
      <c r="H113" t="s">
        <v>2481</v>
      </c>
      <c r="I113" s="27">
        <f t="shared" si="1"/>
        <v>261386.50149999998</v>
      </c>
      <c r="J113" t="s">
        <v>2386</v>
      </c>
    </row>
    <row r="114" spans="1:11">
      <c r="A114" s="35" t="s">
        <v>2184</v>
      </c>
      <c r="B114" s="32">
        <v>1014.095</v>
      </c>
      <c r="C114" s="32">
        <v>1166.2092500000001</v>
      </c>
      <c r="D114" t="s">
        <v>2386</v>
      </c>
      <c r="G114" t="s">
        <v>2184</v>
      </c>
      <c r="H114" t="s">
        <v>2482</v>
      </c>
      <c r="I114" s="27">
        <f t="shared" si="1"/>
        <v>1166.2092500000001</v>
      </c>
      <c r="J114" t="s">
        <v>2386</v>
      </c>
    </row>
    <row r="115" spans="1:11">
      <c r="A115" s="35" t="s">
        <v>2168</v>
      </c>
      <c r="B115" s="32">
        <v>17581.46</v>
      </c>
      <c r="C115" s="32">
        <v>20218.679</v>
      </c>
      <c r="D115" t="s">
        <v>2386</v>
      </c>
      <c r="G115" t="s">
        <v>2168</v>
      </c>
      <c r="H115" t="s">
        <v>2587</v>
      </c>
      <c r="I115" s="27">
        <f t="shared" si="1"/>
        <v>20218.679</v>
      </c>
      <c r="J115" t="s">
        <v>2386</v>
      </c>
      <c r="K115" t="s">
        <v>2388</v>
      </c>
    </row>
    <row r="116" spans="1:11">
      <c r="A116" s="35" t="s">
        <v>2200</v>
      </c>
      <c r="B116" s="32">
        <v>1280.675</v>
      </c>
      <c r="C116" s="32">
        <v>1472.7762499999999</v>
      </c>
      <c r="D116" t="s">
        <v>2386</v>
      </c>
      <c r="G116" t="s">
        <v>2200</v>
      </c>
      <c r="H116" t="s">
        <v>2483</v>
      </c>
      <c r="I116" s="27">
        <f t="shared" si="1"/>
        <v>1472.7762499999999</v>
      </c>
      <c r="J116" t="s">
        <v>2386</v>
      </c>
    </row>
    <row r="117" spans="1:11">
      <c r="A117" s="31" t="s">
        <v>2271</v>
      </c>
      <c r="B117" s="32">
        <v>41873.920000000006</v>
      </c>
      <c r="C117" s="32">
        <v>48155.008000000002</v>
      </c>
      <c r="G117" t="s">
        <v>2271</v>
      </c>
      <c r="H117" t="s">
        <v>2484</v>
      </c>
      <c r="I117" s="27">
        <f t="shared" si="1"/>
        <v>48155.008000000002</v>
      </c>
    </row>
    <row r="118" spans="1:11">
      <c r="A118" s="35" t="s">
        <v>2178</v>
      </c>
      <c r="B118" s="32">
        <v>34463.360000000001</v>
      </c>
      <c r="C118" s="32">
        <v>39632.864000000001</v>
      </c>
      <c r="D118" t="s">
        <v>2386</v>
      </c>
      <c r="G118" t="s">
        <v>2178</v>
      </c>
      <c r="H118" t="s">
        <v>2485</v>
      </c>
      <c r="I118" s="27">
        <f t="shared" si="1"/>
        <v>39632.864000000001</v>
      </c>
      <c r="J118" t="s">
        <v>2386</v>
      </c>
    </row>
    <row r="119" spans="1:11">
      <c r="A119" s="35" t="s">
        <v>2188</v>
      </c>
      <c r="B119" s="32">
        <v>2183.64</v>
      </c>
      <c r="C119" s="32">
        <v>2511.1859999999997</v>
      </c>
      <c r="D119" t="s">
        <v>2386</v>
      </c>
      <c r="G119" t="s">
        <v>2188</v>
      </c>
      <c r="H119" t="s">
        <v>2588</v>
      </c>
      <c r="I119" s="27">
        <f t="shared" si="1"/>
        <v>2511.1859999999997</v>
      </c>
      <c r="J119" t="s">
        <v>2386</v>
      </c>
      <c r="K119" t="s">
        <v>2388</v>
      </c>
    </row>
    <row r="120" spans="1:11">
      <c r="A120" s="31" t="s">
        <v>2208</v>
      </c>
      <c r="B120" s="32">
        <v>74709.834999999992</v>
      </c>
      <c r="C120" s="32">
        <v>85916.31025000001</v>
      </c>
      <c r="G120" t="s">
        <v>2208</v>
      </c>
      <c r="H120" t="s">
        <v>2486</v>
      </c>
      <c r="I120" s="27">
        <f t="shared" si="1"/>
        <v>85916.31025000001</v>
      </c>
    </row>
    <row r="121" spans="1:11">
      <c r="A121" s="35" t="s">
        <v>2026</v>
      </c>
      <c r="B121" s="32">
        <v>1551</v>
      </c>
      <c r="C121" s="32">
        <v>1783.65</v>
      </c>
      <c r="D121" t="s">
        <v>2386</v>
      </c>
      <c r="G121" t="s">
        <v>2026</v>
      </c>
      <c r="H121" t="s">
        <v>2487</v>
      </c>
      <c r="I121" s="27">
        <f t="shared" si="1"/>
        <v>1783.65</v>
      </c>
      <c r="J121" t="s">
        <v>2386</v>
      </c>
    </row>
    <row r="122" spans="1:11">
      <c r="A122" s="31" t="s">
        <v>2224</v>
      </c>
      <c r="B122" s="32">
        <v>14261.34</v>
      </c>
      <c r="C122" s="32">
        <v>16400.541000000001</v>
      </c>
      <c r="G122" t="s">
        <v>2224</v>
      </c>
      <c r="H122" t="s">
        <v>2488</v>
      </c>
      <c r="I122" s="27">
        <f t="shared" si="1"/>
        <v>16400.541000000001</v>
      </c>
    </row>
    <row r="123" spans="1:11">
      <c r="A123" s="31" t="s">
        <v>2035</v>
      </c>
      <c r="B123" s="32">
        <v>30748.739999999998</v>
      </c>
      <c r="C123" s="32">
        <v>35361.050999999999</v>
      </c>
      <c r="G123" t="s">
        <v>2035</v>
      </c>
      <c r="H123" t="s">
        <v>2489</v>
      </c>
      <c r="I123" s="27">
        <f t="shared" si="1"/>
        <v>35361.050999999999</v>
      </c>
    </row>
    <row r="124" spans="1:11">
      <c r="A124" s="35" t="s">
        <v>2149</v>
      </c>
      <c r="B124" s="32">
        <v>19108</v>
      </c>
      <c r="C124" s="32">
        <v>21974.2</v>
      </c>
      <c r="D124" t="s">
        <v>2386</v>
      </c>
      <c r="G124" t="s">
        <v>2149</v>
      </c>
      <c r="H124" t="s">
        <v>2490</v>
      </c>
      <c r="I124" s="27">
        <f t="shared" si="1"/>
        <v>21974.2</v>
      </c>
      <c r="J124" t="s">
        <v>2386</v>
      </c>
    </row>
    <row r="125" spans="1:11">
      <c r="A125" s="35" t="s">
        <v>2216</v>
      </c>
      <c r="B125" s="32">
        <v>27495.58</v>
      </c>
      <c r="C125" s="32">
        <v>31619.917000000001</v>
      </c>
      <c r="D125" t="s">
        <v>2386</v>
      </c>
      <c r="G125" t="s">
        <v>2216</v>
      </c>
      <c r="H125" t="s">
        <v>2491</v>
      </c>
      <c r="I125" s="27">
        <f t="shared" si="1"/>
        <v>31619.917000000001</v>
      </c>
      <c r="J125" t="s">
        <v>2386</v>
      </c>
    </row>
    <row r="126" spans="1:11">
      <c r="A126" s="31" t="s">
        <v>1938</v>
      </c>
      <c r="B126" s="32">
        <v>41969.569999999992</v>
      </c>
      <c r="C126" s="32">
        <v>48265.005499999999</v>
      </c>
      <c r="G126" t="s">
        <v>1938</v>
      </c>
      <c r="H126" t="s">
        <v>2492</v>
      </c>
      <c r="I126" s="27">
        <f t="shared" si="1"/>
        <v>48265.005499999999</v>
      </c>
    </row>
    <row r="127" spans="1:11">
      <c r="A127" s="31" t="s">
        <v>2275</v>
      </c>
      <c r="B127" s="32">
        <v>111893.33</v>
      </c>
      <c r="C127" s="32">
        <v>128677.32949999999</v>
      </c>
      <c r="G127" t="s">
        <v>2275</v>
      </c>
      <c r="H127" t="s">
        <v>2493</v>
      </c>
      <c r="I127" s="27">
        <f t="shared" si="1"/>
        <v>128677.32949999999</v>
      </c>
    </row>
    <row r="128" spans="1:11">
      <c r="A128" s="35" t="s">
        <v>1986</v>
      </c>
      <c r="B128" s="32">
        <v>9413.7999999999993</v>
      </c>
      <c r="C128" s="32">
        <v>10825.869999999999</v>
      </c>
      <c r="D128" t="s">
        <v>2386</v>
      </c>
      <c r="G128" t="s">
        <v>1986</v>
      </c>
      <c r="H128" t="s">
        <v>2589</v>
      </c>
      <c r="I128" s="27">
        <f t="shared" si="1"/>
        <v>10825.869999999999</v>
      </c>
      <c r="J128" t="s">
        <v>2386</v>
      </c>
      <c r="K128" t="s">
        <v>2388</v>
      </c>
    </row>
    <row r="129" spans="1:11">
      <c r="A129" s="31" t="s">
        <v>2354</v>
      </c>
      <c r="B129" s="32">
        <v>620.20000000000005</v>
      </c>
      <c r="C129" s="32">
        <v>713.23</v>
      </c>
      <c r="G129" t="s">
        <v>2354</v>
      </c>
      <c r="H129" t="s">
        <v>2494</v>
      </c>
      <c r="I129" s="27">
        <f t="shared" si="1"/>
        <v>713.23</v>
      </c>
    </row>
    <row r="130" spans="1:11">
      <c r="A130" s="31" t="s">
        <v>2012</v>
      </c>
      <c r="B130" s="32">
        <v>30299.17</v>
      </c>
      <c r="C130" s="32">
        <v>34844.0455</v>
      </c>
      <c r="G130" t="s">
        <v>2012</v>
      </c>
      <c r="H130" t="s">
        <v>2495</v>
      </c>
      <c r="I130" s="27">
        <f t="shared" si="1"/>
        <v>34844.0455</v>
      </c>
    </row>
    <row r="131" spans="1:11">
      <c r="A131" s="31" t="s">
        <v>2300</v>
      </c>
      <c r="B131" s="32">
        <v>95703.98</v>
      </c>
      <c r="C131" s="32">
        <v>110059.577</v>
      </c>
      <c r="G131" t="s">
        <v>2300</v>
      </c>
      <c r="H131" t="s">
        <v>2496</v>
      </c>
      <c r="I131" s="27">
        <f t="shared" si="1"/>
        <v>110059.577</v>
      </c>
    </row>
    <row r="132" spans="1:11">
      <c r="A132" s="31" t="s">
        <v>2312</v>
      </c>
      <c r="B132" s="32">
        <v>6165.12</v>
      </c>
      <c r="C132" s="32">
        <v>7089.8879999999999</v>
      </c>
      <c r="G132" t="s">
        <v>2312</v>
      </c>
      <c r="H132" t="s">
        <v>2497</v>
      </c>
      <c r="I132" s="27">
        <f t="shared" si="1"/>
        <v>7089.8879999999999</v>
      </c>
    </row>
    <row r="133" spans="1:11">
      <c r="A133" s="35" t="s">
        <v>2196</v>
      </c>
      <c r="B133" s="32">
        <v>500</v>
      </c>
      <c r="C133" s="32">
        <v>575</v>
      </c>
      <c r="D133" t="s">
        <v>2386</v>
      </c>
      <c r="G133" t="s">
        <v>2196</v>
      </c>
      <c r="H133" t="s">
        <v>2498</v>
      </c>
      <c r="I133" s="27">
        <f t="shared" ref="I133:I196" si="2">+VLOOKUP(G133,$A$3:$C$214,3,FALSE)</f>
        <v>575</v>
      </c>
      <c r="J133" t="s">
        <v>2386</v>
      </c>
    </row>
    <row r="134" spans="1:11">
      <c r="A134" s="31" t="s">
        <v>2227</v>
      </c>
      <c r="B134" s="32">
        <v>5554.23</v>
      </c>
      <c r="C134" s="32">
        <v>6387.3644999999997</v>
      </c>
      <c r="G134" t="s">
        <v>2227</v>
      </c>
      <c r="H134" t="s">
        <v>2590</v>
      </c>
      <c r="I134" s="27">
        <f t="shared" si="2"/>
        <v>6387.3644999999997</v>
      </c>
      <c r="K134" t="s">
        <v>2388</v>
      </c>
    </row>
    <row r="135" spans="1:11">
      <c r="A135" s="35" t="s">
        <v>2051</v>
      </c>
      <c r="B135" s="32">
        <v>7622.89</v>
      </c>
      <c r="C135" s="32">
        <v>8766.3235000000004</v>
      </c>
      <c r="D135" t="s">
        <v>2386</v>
      </c>
      <c r="G135" t="s">
        <v>2051</v>
      </c>
      <c r="H135" t="s">
        <v>2499</v>
      </c>
      <c r="I135" s="27">
        <f t="shared" si="2"/>
        <v>8766.3235000000004</v>
      </c>
      <c r="J135" t="s">
        <v>2386</v>
      </c>
    </row>
    <row r="136" spans="1:11">
      <c r="A136" s="35" t="s">
        <v>2117</v>
      </c>
      <c r="B136" s="32">
        <v>19333.64</v>
      </c>
      <c r="C136" s="32">
        <v>22233.685999999998</v>
      </c>
      <c r="D136" t="s">
        <v>2386</v>
      </c>
      <c r="G136" t="s">
        <v>2117</v>
      </c>
      <c r="H136" t="s">
        <v>2500</v>
      </c>
      <c r="I136" s="27">
        <f t="shared" si="2"/>
        <v>22233.685999999998</v>
      </c>
      <c r="J136" t="s">
        <v>2386</v>
      </c>
    </row>
    <row r="137" spans="1:11">
      <c r="A137" s="35" t="s">
        <v>2127</v>
      </c>
      <c r="B137" s="32">
        <v>911.81999999999994</v>
      </c>
      <c r="C137" s="32">
        <v>1048.5929999999998</v>
      </c>
      <c r="D137" t="s">
        <v>2386</v>
      </c>
      <c r="G137" t="s">
        <v>2127</v>
      </c>
      <c r="H137" t="s">
        <v>2501</v>
      </c>
      <c r="I137" s="27">
        <f t="shared" si="2"/>
        <v>1048.5929999999998</v>
      </c>
      <c r="J137" t="s">
        <v>2386</v>
      </c>
    </row>
    <row r="138" spans="1:11">
      <c r="A138" s="35" t="s">
        <v>2237</v>
      </c>
      <c r="B138" s="32">
        <v>963.2</v>
      </c>
      <c r="C138" s="32">
        <v>1107.68</v>
      </c>
      <c r="D138" t="s">
        <v>2386</v>
      </c>
      <c r="G138" t="s">
        <v>2237</v>
      </c>
      <c r="H138" t="s">
        <v>2591</v>
      </c>
      <c r="I138" s="27">
        <f t="shared" si="2"/>
        <v>1107.68</v>
      </c>
      <c r="J138" t="s">
        <v>2386</v>
      </c>
      <c r="K138" t="s">
        <v>2388</v>
      </c>
    </row>
    <row r="139" spans="1:11">
      <c r="A139" s="35" t="s">
        <v>2105</v>
      </c>
      <c r="B139" s="32">
        <v>2272.1950000000002</v>
      </c>
      <c r="C139" s="32">
        <v>2613.0242500000004</v>
      </c>
      <c r="D139" t="s">
        <v>2386</v>
      </c>
      <c r="G139" t="s">
        <v>2105</v>
      </c>
      <c r="H139" t="s">
        <v>2502</v>
      </c>
      <c r="I139" s="27">
        <f t="shared" si="2"/>
        <v>2613.0242500000004</v>
      </c>
      <c r="J139" t="s">
        <v>2386</v>
      </c>
    </row>
    <row r="140" spans="1:11">
      <c r="A140" s="31" t="s">
        <v>1930</v>
      </c>
      <c r="B140" s="32">
        <v>3949.12</v>
      </c>
      <c r="C140" s="32">
        <v>4541.4879999999994</v>
      </c>
      <c r="G140" t="s">
        <v>1930</v>
      </c>
      <c r="H140" t="s">
        <v>2503</v>
      </c>
      <c r="I140" s="27">
        <f t="shared" si="2"/>
        <v>4541.4879999999994</v>
      </c>
    </row>
    <row r="141" spans="1:11">
      <c r="A141" s="31" t="s">
        <v>2350</v>
      </c>
      <c r="B141" s="32">
        <v>5389.73</v>
      </c>
      <c r="C141" s="32">
        <v>6198.1894999999995</v>
      </c>
      <c r="G141" t="s">
        <v>2350</v>
      </c>
      <c r="H141" t="s">
        <v>2504</v>
      </c>
      <c r="I141" s="27">
        <f t="shared" si="2"/>
        <v>6198.1894999999995</v>
      </c>
    </row>
    <row r="142" spans="1:11">
      <c r="A142" s="35" t="s">
        <v>2047</v>
      </c>
      <c r="B142" s="32">
        <v>2600</v>
      </c>
      <c r="C142" s="32">
        <v>2990</v>
      </c>
      <c r="D142" t="s">
        <v>2386</v>
      </c>
      <c r="G142" t="s">
        <v>2047</v>
      </c>
      <c r="H142" t="s">
        <v>2505</v>
      </c>
      <c r="I142" s="27">
        <f t="shared" si="2"/>
        <v>2990</v>
      </c>
      <c r="J142" t="s">
        <v>2386</v>
      </c>
    </row>
    <row r="143" spans="1:11">
      <c r="A143" s="35" t="s">
        <v>2156</v>
      </c>
      <c r="B143" s="32">
        <v>1234.585</v>
      </c>
      <c r="C143" s="32">
        <v>1419.7727500000001</v>
      </c>
      <c r="D143" t="s">
        <v>2386</v>
      </c>
      <c r="G143" t="s">
        <v>2156</v>
      </c>
      <c r="H143" t="s">
        <v>2506</v>
      </c>
      <c r="I143" s="27">
        <f t="shared" si="2"/>
        <v>1419.7727500000001</v>
      </c>
      <c r="J143" t="s">
        <v>2386</v>
      </c>
    </row>
    <row r="144" spans="1:11">
      <c r="A144" s="35" t="s">
        <v>1990</v>
      </c>
      <c r="B144" s="32">
        <v>10987.355000000001</v>
      </c>
      <c r="C144" s="32">
        <v>12635.458250000001</v>
      </c>
      <c r="D144" t="s">
        <v>2386</v>
      </c>
      <c r="G144" t="s">
        <v>1990</v>
      </c>
      <c r="H144" t="s">
        <v>2507</v>
      </c>
      <c r="I144" s="27">
        <f t="shared" si="2"/>
        <v>12635.458250000001</v>
      </c>
      <c r="J144" t="s">
        <v>2386</v>
      </c>
    </row>
    <row r="145" spans="1:11">
      <c r="A145" s="31" t="s">
        <v>2125</v>
      </c>
      <c r="B145" s="32">
        <v>27811.145</v>
      </c>
      <c r="C145" s="32">
        <v>31982.816749999998</v>
      </c>
      <c r="G145" t="s">
        <v>2125</v>
      </c>
      <c r="H145" t="s">
        <v>2508</v>
      </c>
      <c r="I145" s="27">
        <f t="shared" si="2"/>
        <v>31982.816749999998</v>
      </c>
    </row>
    <row r="146" spans="1:11">
      <c r="A146" s="35" t="s">
        <v>2121</v>
      </c>
      <c r="B146" s="32">
        <v>655.42</v>
      </c>
      <c r="C146" s="32">
        <v>753.73299999999995</v>
      </c>
      <c r="D146" t="s">
        <v>2386</v>
      </c>
      <c r="G146" t="s">
        <v>2121</v>
      </c>
      <c r="H146" t="s">
        <v>2509</v>
      </c>
      <c r="I146" s="27">
        <f t="shared" si="2"/>
        <v>753.73299999999995</v>
      </c>
      <c r="J146" t="s">
        <v>2386</v>
      </c>
    </row>
    <row r="147" spans="1:11">
      <c r="A147" s="35" t="s">
        <v>1980</v>
      </c>
      <c r="B147" s="32">
        <v>564.36</v>
      </c>
      <c r="C147" s="32">
        <v>649.01400000000001</v>
      </c>
      <c r="D147" t="s">
        <v>2386</v>
      </c>
      <c r="G147" t="s">
        <v>1980</v>
      </c>
      <c r="H147" t="s">
        <v>2592</v>
      </c>
      <c r="I147" s="27">
        <f t="shared" si="2"/>
        <v>649.01400000000001</v>
      </c>
      <c r="J147" t="s">
        <v>2386</v>
      </c>
      <c r="K147" t="s">
        <v>2388</v>
      </c>
    </row>
    <row r="148" spans="1:11">
      <c r="A148" s="35" t="s">
        <v>2022</v>
      </c>
      <c r="B148" s="32">
        <v>777.24</v>
      </c>
      <c r="C148" s="32">
        <v>893.82600000000002</v>
      </c>
      <c r="D148" t="s">
        <v>2386</v>
      </c>
      <c r="G148" t="s">
        <v>2022</v>
      </c>
      <c r="H148" t="s">
        <v>2593</v>
      </c>
      <c r="I148" s="27">
        <f t="shared" si="2"/>
        <v>893.82600000000002</v>
      </c>
      <c r="J148" t="s">
        <v>2386</v>
      </c>
      <c r="K148" t="s">
        <v>2388</v>
      </c>
    </row>
    <row r="149" spans="1:11">
      <c r="A149" s="31" t="s">
        <v>2267</v>
      </c>
      <c r="B149" s="32">
        <v>661.92</v>
      </c>
      <c r="C149" s="32">
        <v>761.20799999999997</v>
      </c>
      <c r="G149" t="s">
        <v>2267</v>
      </c>
      <c r="H149" t="s">
        <v>2594</v>
      </c>
      <c r="I149" s="27">
        <f t="shared" si="2"/>
        <v>761.20799999999997</v>
      </c>
      <c r="K149" t="s">
        <v>2388</v>
      </c>
    </row>
    <row r="150" spans="1:11">
      <c r="A150" s="35" t="s">
        <v>2008</v>
      </c>
      <c r="B150" s="32">
        <v>33280</v>
      </c>
      <c r="C150" s="32">
        <v>38272</v>
      </c>
      <c r="D150" t="s">
        <v>2386</v>
      </c>
      <c r="G150" t="s">
        <v>2008</v>
      </c>
      <c r="H150" t="s">
        <v>2510</v>
      </c>
      <c r="I150" s="27">
        <f t="shared" si="2"/>
        <v>38272</v>
      </c>
      <c r="J150" t="s">
        <v>2386</v>
      </c>
    </row>
    <row r="151" spans="1:11">
      <c r="A151" s="35" t="s">
        <v>2045</v>
      </c>
      <c r="B151" s="32">
        <v>20406.66</v>
      </c>
      <c r="C151" s="32">
        <v>23467.659</v>
      </c>
      <c r="D151" t="s">
        <v>2386</v>
      </c>
      <c r="G151" t="s">
        <v>2045</v>
      </c>
      <c r="H151" t="s">
        <v>2511</v>
      </c>
      <c r="I151" s="27">
        <f t="shared" si="2"/>
        <v>23467.659</v>
      </c>
      <c r="J151" t="s">
        <v>2386</v>
      </c>
    </row>
    <row r="152" spans="1:11">
      <c r="A152" s="31" t="s">
        <v>1965</v>
      </c>
      <c r="B152" s="32">
        <v>161165.16999999998</v>
      </c>
      <c r="C152" s="32">
        <v>185339.9455</v>
      </c>
      <c r="G152" t="s">
        <v>1965</v>
      </c>
      <c r="H152" t="s">
        <v>2512</v>
      </c>
      <c r="I152" s="27">
        <f t="shared" si="2"/>
        <v>185339.9455</v>
      </c>
    </row>
    <row r="153" spans="1:11">
      <c r="A153" s="31" t="s">
        <v>2333</v>
      </c>
      <c r="B153" s="32">
        <v>31775.599999999999</v>
      </c>
      <c r="C153" s="32">
        <v>36541.939999999995</v>
      </c>
      <c r="G153" t="s">
        <v>2333</v>
      </c>
      <c r="H153" t="s">
        <v>2513</v>
      </c>
      <c r="I153" s="27">
        <f t="shared" si="2"/>
        <v>36541.939999999995</v>
      </c>
    </row>
    <row r="154" spans="1:11">
      <c r="A154" s="31" t="s">
        <v>2245</v>
      </c>
      <c r="B154" s="32">
        <v>4371.66</v>
      </c>
      <c r="C154" s="32">
        <v>5027.4089999999997</v>
      </c>
      <c r="G154" t="s">
        <v>2245</v>
      </c>
      <c r="H154" t="s">
        <v>2514</v>
      </c>
      <c r="I154" s="27">
        <f t="shared" si="2"/>
        <v>5027.4089999999997</v>
      </c>
    </row>
    <row r="155" spans="1:11">
      <c r="A155" s="35" t="s">
        <v>2162</v>
      </c>
      <c r="B155" s="32">
        <v>5179.67</v>
      </c>
      <c r="C155" s="32">
        <v>5956.6205</v>
      </c>
      <c r="D155" t="s">
        <v>2386</v>
      </c>
      <c r="G155" t="s">
        <v>2162</v>
      </c>
      <c r="H155" t="s">
        <v>2515</v>
      </c>
      <c r="I155" s="27">
        <f t="shared" si="2"/>
        <v>5956.6205</v>
      </c>
      <c r="J155" t="s">
        <v>2386</v>
      </c>
    </row>
    <row r="156" spans="1:11">
      <c r="A156" s="35" t="s">
        <v>2198</v>
      </c>
      <c r="B156" s="32">
        <v>1144</v>
      </c>
      <c r="C156" s="32">
        <v>1315.6</v>
      </c>
      <c r="D156" t="s">
        <v>2386</v>
      </c>
      <c r="G156" t="s">
        <v>2198</v>
      </c>
      <c r="H156" t="s">
        <v>2516</v>
      </c>
      <c r="I156" s="27">
        <f t="shared" si="2"/>
        <v>1315.6</v>
      </c>
      <c r="J156" t="s">
        <v>2386</v>
      </c>
    </row>
    <row r="157" spans="1:11">
      <c r="A157" s="31" t="s">
        <v>2256</v>
      </c>
      <c r="B157" s="32">
        <v>30392.909999999996</v>
      </c>
      <c r="C157" s="32">
        <v>34951.846499999992</v>
      </c>
      <c r="G157" t="s">
        <v>2256</v>
      </c>
      <c r="H157" t="s">
        <v>2517</v>
      </c>
      <c r="I157" s="27">
        <f t="shared" si="2"/>
        <v>34951.846499999992</v>
      </c>
    </row>
    <row r="158" spans="1:11">
      <c r="A158" s="35" t="s">
        <v>2115</v>
      </c>
      <c r="B158" s="32">
        <v>62623.66</v>
      </c>
      <c r="C158" s="32">
        <v>72017.209000000003</v>
      </c>
      <c r="D158" t="s">
        <v>2386</v>
      </c>
      <c r="G158" t="s">
        <v>2115</v>
      </c>
      <c r="H158" t="s">
        <v>2518</v>
      </c>
      <c r="I158" s="27">
        <f t="shared" si="2"/>
        <v>72017.209000000003</v>
      </c>
      <c r="J158" t="s">
        <v>2386</v>
      </c>
    </row>
    <row r="159" spans="1:11">
      <c r="A159" s="35" t="s">
        <v>2002</v>
      </c>
      <c r="B159" s="32">
        <v>14078.86</v>
      </c>
      <c r="C159" s="32">
        <v>16190.689</v>
      </c>
      <c r="D159" t="s">
        <v>2386</v>
      </c>
      <c r="G159" t="s">
        <v>2002</v>
      </c>
      <c r="H159" t="s">
        <v>2519</v>
      </c>
      <c r="I159" s="27">
        <f t="shared" si="2"/>
        <v>16190.689</v>
      </c>
      <c r="J159" t="s">
        <v>2386</v>
      </c>
    </row>
    <row r="160" spans="1:11">
      <c r="A160" s="35" t="s">
        <v>2097</v>
      </c>
      <c r="B160" s="32">
        <v>15955.240000000002</v>
      </c>
      <c r="C160" s="32">
        <v>18348.526000000002</v>
      </c>
      <c r="D160" t="s">
        <v>2386</v>
      </c>
      <c r="G160" t="s">
        <v>2097</v>
      </c>
      <c r="H160" t="s">
        <v>2520</v>
      </c>
      <c r="I160" s="27">
        <f t="shared" si="2"/>
        <v>18348.526000000002</v>
      </c>
      <c r="J160" t="s">
        <v>2386</v>
      </c>
    </row>
    <row r="161" spans="1:10">
      <c r="A161" s="31" t="s">
        <v>2352</v>
      </c>
      <c r="B161" s="32">
        <v>10184.11</v>
      </c>
      <c r="C161" s="32">
        <v>11711.726500000001</v>
      </c>
      <c r="G161" t="s">
        <v>2352</v>
      </c>
      <c r="H161" t="s">
        <v>2521</v>
      </c>
      <c r="I161" s="27">
        <f t="shared" si="2"/>
        <v>11711.726500000001</v>
      </c>
    </row>
    <row r="162" spans="1:10">
      <c r="A162" s="31" t="s">
        <v>2304</v>
      </c>
      <c r="B162" s="32">
        <v>8487.5950000000012</v>
      </c>
      <c r="C162" s="32">
        <v>9760.7342500000013</v>
      </c>
      <c r="G162" t="s">
        <v>2304</v>
      </c>
      <c r="H162" t="s">
        <v>2522</v>
      </c>
      <c r="I162" s="27">
        <f t="shared" si="2"/>
        <v>9760.7342500000013</v>
      </c>
    </row>
    <row r="163" spans="1:10">
      <c r="A163" s="35" t="s">
        <v>2135</v>
      </c>
      <c r="B163" s="32">
        <v>35067.120000000003</v>
      </c>
      <c r="C163" s="32">
        <v>40327.188000000002</v>
      </c>
      <c r="D163" t="s">
        <v>2386</v>
      </c>
      <c r="G163" t="s">
        <v>2135</v>
      </c>
      <c r="H163" t="s">
        <v>2523</v>
      </c>
      <c r="I163" s="27">
        <f t="shared" si="2"/>
        <v>40327.188000000002</v>
      </c>
      <c r="J163" t="s">
        <v>2386</v>
      </c>
    </row>
    <row r="164" spans="1:10">
      <c r="A164" s="35" t="s">
        <v>2176</v>
      </c>
      <c r="B164" s="32">
        <v>10337.119999999999</v>
      </c>
      <c r="C164" s="32">
        <v>11887.687999999998</v>
      </c>
      <c r="D164" t="s">
        <v>2386</v>
      </c>
      <c r="G164" t="s">
        <v>2176</v>
      </c>
      <c r="H164" t="s">
        <v>2524</v>
      </c>
      <c r="I164" s="27">
        <f t="shared" si="2"/>
        <v>11887.687999999998</v>
      </c>
      <c r="J164" t="s">
        <v>2386</v>
      </c>
    </row>
    <row r="165" spans="1:10">
      <c r="A165" s="35" t="s">
        <v>1974</v>
      </c>
      <c r="B165" s="32">
        <v>52890.679999999993</v>
      </c>
      <c r="C165" s="32">
        <v>60824.281999999992</v>
      </c>
      <c r="D165" t="s">
        <v>2386</v>
      </c>
      <c r="G165" t="s">
        <v>1974</v>
      </c>
      <c r="H165" t="s">
        <v>2525</v>
      </c>
      <c r="I165" s="27">
        <f t="shared" si="2"/>
        <v>60824.281999999992</v>
      </c>
      <c r="J165" t="s">
        <v>2386</v>
      </c>
    </row>
    <row r="166" spans="1:10">
      <c r="A166" s="35" t="s">
        <v>2174</v>
      </c>
      <c r="B166" s="32">
        <v>4407.8999999999996</v>
      </c>
      <c r="C166" s="32">
        <v>5069.0849999999991</v>
      </c>
      <c r="D166" t="s">
        <v>2386</v>
      </c>
      <c r="G166" t="s">
        <v>2174</v>
      </c>
      <c r="H166" t="s">
        <v>2526</v>
      </c>
      <c r="I166" s="27">
        <f t="shared" si="2"/>
        <v>5069.0849999999991</v>
      </c>
      <c r="J166" t="s">
        <v>2386</v>
      </c>
    </row>
    <row r="167" spans="1:10">
      <c r="A167" s="35" t="s">
        <v>2182</v>
      </c>
      <c r="B167" s="32">
        <v>2739.5699999999997</v>
      </c>
      <c r="C167" s="32">
        <v>3150.5054999999998</v>
      </c>
      <c r="D167" t="s">
        <v>2386</v>
      </c>
      <c r="G167" t="s">
        <v>2182</v>
      </c>
      <c r="H167" t="s">
        <v>2527</v>
      </c>
      <c r="I167" s="27">
        <f t="shared" si="2"/>
        <v>3150.5054999999998</v>
      </c>
      <c r="J167" t="s">
        <v>2386</v>
      </c>
    </row>
    <row r="168" spans="1:10">
      <c r="A168" s="35" t="s">
        <v>1984</v>
      </c>
      <c r="B168" s="32">
        <v>13980.47</v>
      </c>
      <c r="C168" s="32">
        <v>16077.540499999999</v>
      </c>
      <c r="D168" t="s">
        <v>2386</v>
      </c>
      <c r="G168" t="s">
        <v>1984</v>
      </c>
      <c r="H168" t="s">
        <v>2528</v>
      </c>
      <c r="I168" s="27">
        <f t="shared" si="2"/>
        <v>16077.540499999999</v>
      </c>
      <c r="J168" t="s">
        <v>2386</v>
      </c>
    </row>
    <row r="169" spans="1:10">
      <c r="A169" s="35" t="s">
        <v>2037</v>
      </c>
      <c r="B169" s="32">
        <v>1815.8</v>
      </c>
      <c r="C169" s="32">
        <v>2088.17</v>
      </c>
      <c r="D169" t="s">
        <v>2386</v>
      </c>
      <c r="G169" t="s">
        <v>2037</v>
      </c>
      <c r="H169" t="s">
        <v>2529</v>
      </c>
      <c r="I169" s="27">
        <f t="shared" si="2"/>
        <v>2088.17</v>
      </c>
      <c r="J169" t="s">
        <v>2386</v>
      </c>
    </row>
    <row r="170" spans="1:10">
      <c r="A170" s="35" t="s">
        <v>1998</v>
      </c>
      <c r="B170" s="32">
        <v>4071.83</v>
      </c>
      <c r="C170" s="32">
        <v>4682.6045000000004</v>
      </c>
      <c r="D170" t="s">
        <v>2386</v>
      </c>
      <c r="G170" t="s">
        <v>1998</v>
      </c>
      <c r="H170" t="s">
        <v>2530</v>
      </c>
      <c r="I170" s="27">
        <f t="shared" si="2"/>
        <v>4682.6045000000004</v>
      </c>
      <c r="J170" t="s">
        <v>2386</v>
      </c>
    </row>
    <row r="171" spans="1:10">
      <c r="A171" s="35" t="s">
        <v>2111</v>
      </c>
      <c r="B171" s="32">
        <v>936</v>
      </c>
      <c r="C171" s="32">
        <v>1076.4000000000001</v>
      </c>
      <c r="D171" t="s">
        <v>2386</v>
      </c>
      <c r="G171" t="s">
        <v>2111</v>
      </c>
      <c r="H171" t="s">
        <v>2531</v>
      </c>
      <c r="I171" s="27">
        <f t="shared" si="2"/>
        <v>1076.4000000000001</v>
      </c>
      <c r="J171" t="s">
        <v>2386</v>
      </c>
    </row>
    <row r="172" spans="1:10">
      <c r="A172" s="35" t="s">
        <v>2083</v>
      </c>
      <c r="B172" s="32">
        <v>659.46</v>
      </c>
      <c r="C172" s="32">
        <v>758.37900000000002</v>
      </c>
      <c r="D172" t="s">
        <v>2386</v>
      </c>
      <c r="G172" t="s">
        <v>2083</v>
      </c>
      <c r="H172" t="s">
        <v>2532</v>
      </c>
      <c r="I172" s="27">
        <f t="shared" si="2"/>
        <v>758.37900000000002</v>
      </c>
      <c r="J172" t="s">
        <v>2386</v>
      </c>
    </row>
    <row r="173" spans="1:10">
      <c r="A173" s="31" t="s">
        <v>2273</v>
      </c>
      <c r="B173" s="32">
        <v>23178.240000000002</v>
      </c>
      <c r="C173" s="32">
        <v>26654.976000000002</v>
      </c>
      <c r="G173" t="s">
        <v>2273</v>
      </c>
      <c r="H173" t="s">
        <v>2533</v>
      </c>
      <c r="I173" s="27">
        <f t="shared" si="2"/>
        <v>26654.976000000002</v>
      </c>
    </row>
    <row r="174" spans="1:10">
      <c r="A174" s="35" t="s">
        <v>2141</v>
      </c>
      <c r="B174" s="32">
        <v>36771.019999999997</v>
      </c>
      <c r="C174" s="32">
        <v>42286.672999999995</v>
      </c>
      <c r="D174" t="s">
        <v>2386</v>
      </c>
      <c r="G174" t="s">
        <v>2141</v>
      </c>
      <c r="H174" t="s">
        <v>2534</v>
      </c>
      <c r="I174" s="27">
        <f t="shared" si="2"/>
        <v>42286.672999999995</v>
      </c>
      <c r="J174" t="s">
        <v>2386</v>
      </c>
    </row>
    <row r="175" spans="1:10">
      <c r="A175" s="31" t="s">
        <v>2222</v>
      </c>
      <c r="B175" s="32">
        <v>31552</v>
      </c>
      <c r="C175" s="32">
        <v>36284.800000000003</v>
      </c>
      <c r="G175" t="s">
        <v>2222</v>
      </c>
      <c r="H175" t="s">
        <v>2535</v>
      </c>
      <c r="I175" s="27">
        <f t="shared" si="2"/>
        <v>36284.800000000003</v>
      </c>
    </row>
    <row r="176" spans="1:10">
      <c r="A176" s="35" t="s">
        <v>2061</v>
      </c>
      <c r="B176" s="32">
        <v>14304.745000000001</v>
      </c>
      <c r="C176" s="32">
        <v>16450.456750000001</v>
      </c>
      <c r="D176" t="s">
        <v>2386</v>
      </c>
      <c r="G176" t="s">
        <v>2061</v>
      </c>
      <c r="H176" t="s">
        <v>2536</v>
      </c>
      <c r="I176" s="27">
        <f t="shared" si="2"/>
        <v>16450.456750000001</v>
      </c>
      <c r="J176" t="s">
        <v>2386</v>
      </c>
    </row>
    <row r="177" spans="1:11">
      <c r="A177" s="31" t="s">
        <v>2322</v>
      </c>
      <c r="B177" s="32">
        <v>7499.46</v>
      </c>
      <c r="C177" s="32">
        <v>8624.3790000000008</v>
      </c>
      <c r="G177" t="s">
        <v>2322</v>
      </c>
      <c r="H177" t="s">
        <v>2537</v>
      </c>
      <c r="I177" s="27">
        <f t="shared" si="2"/>
        <v>8624.3790000000008</v>
      </c>
    </row>
    <row r="178" spans="1:11">
      <c r="A178" s="35" t="s">
        <v>2204</v>
      </c>
      <c r="B178" s="32">
        <v>8407.36</v>
      </c>
      <c r="C178" s="32">
        <v>9668.4639999999999</v>
      </c>
      <c r="D178" t="s">
        <v>2386</v>
      </c>
      <c r="G178" t="s">
        <v>2204</v>
      </c>
      <c r="H178" t="s">
        <v>2595</v>
      </c>
      <c r="I178" s="27">
        <f t="shared" si="2"/>
        <v>9668.4639999999999</v>
      </c>
      <c r="J178" t="s">
        <v>2386</v>
      </c>
      <c r="K178" t="s">
        <v>2388</v>
      </c>
    </row>
    <row r="179" spans="1:11">
      <c r="A179" s="35" t="s">
        <v>2091</v>
      </c>
      <c r="B179" s="32">
        <v>1227.095</v>
      </c>
      <c r="C179" s="32">
        <v>1411.1592499999999</v>
      </c>
      <c r="D179" t="s">
        <v>2386</v>
      </c>
      <c r="G179" t="s">
        <v>2091</v>
      </c>
      <c r="H179" t="s">
        <v>2538</v>
      </c>
      <c r="I179" s="27">
        <f t="shared" si="2"/>
        <v>1411.1592499999999</v>
      </c>
      <c r="J179" t="s">
        <v>2386</v>
      </c>
    </row>
    <row r="180" spans="1:11">
      <c r="A180" s="35" t="s">
        <v>2218</v>
      </c>
      <c r="B180" s="32">
        <v>27583.439999999999</v>
      </c>
      <c r="C180" s="32">
        <v>31720.955999999998</v>
      </c>
      <c r="D180" t="s">
        <v>2386</v>
      </c>
      <c r="G180" t="s">
        <v>2218</v>
      </c>
      <c r="H180" t="s">
        <v>2596</v>
      </c>
      <c r="I180" s="27">
        <f t="shared" si="2"/>
        <v>31720.955999999998</v>
      </c>
      <c r="J180" t="s">
        <v>2386</v>
      </c>
      <c r="K180" t="s">
        <v>2388</v>
      </c>
    </row>
    <row r="181" spans="1:11">
      <c r="A181" s="31" t="s">
        <v>2053</v>
      </c>
      <c r="B181" s="32">
        <v>7091.2950000000001</v>
      </c>
      <c r="C181" s="32">
        <v>8154.9892499999996</v>
      </c>
      <c r="G181" t="s">
        <v>2053</v>
      </c>
      <c r="H181" t="s">
        <v>2539</v>
      </c>
      <c r="I181" s="27">
        <f t="shared" si="2"/>
        <v>8154.9892499999996</v>
      </c>
    </row>
    <row r="182" spans="1:11">
      <c r="A182" s="31" t="s">
        <v>2366</v>
      </c>
      <c r="B182" s="32">
        <v>600</v>
      </c>
      <c r="C182" s="32">
        <v>690</v>
      </c>
      <c r="G182" t="s">
        <v>2366</v>
      </c>
      <c r="H182" t="s">
        <v>2540</v>
      </c>
      <c r="I182" s="27">
        <f t="shared" si="2"/>
        <v>690</v>
      </c>
    </row>
    <row r="183" spans="1:11">
      <c r="A183" s="35" t="s">
        <v>2214</v>
      </c>
      <c r="B183" s="32">
        <v>3150</v>
      </c>
      <c r="C183" s="32">
        <v>3622.5</v>
      </c>
      <c r="D183" t="s">
        <v>2386</v>
      </c>
      <c r="G183" t="s">
        <v>2214</v>
      </c>
      <c r="H183" t="s">
        <v>2541</v>
      </c>
      <c r="I183" s="27">
        <f t="shared" si="2"/>
        <v>3622.5</v>
      </c>
      <c r="J183" t="s">
        <v>2386</v>
      </c>
    </row>
    <row r="184" spans="1:11">
      <c r="A184" s="31" t="s">
        <v>2296</v>
      </c>
      <c r="B184" s="32">
        <v>1472.6200000000001</v>
      </c>
      <c r="C184" s="32">
        <v>1693.5130000000001</v>
      </c>
      <c r="G184" t="s">
        <v>2296</v>
      </c>
      <c r="H184" t="s">
        <v>2542</v>
      </c>
      <c r="I184" s="27">
        <f t="shared" si="2"/>
        <v>1693.5130000000001</v>
      </c>
    </row>
    <row r="185" spans="1:11">
      <c r="A185" s="35" t="s">
        <v>2129</v>
      </c>
      <c r="B185" s="32">
        <v>556.79999999999995</v>
      </c>
      <c r="C185" s="32">
        <v>640.31999999999994</v>
      </c>
      <c r="D185" t="s">
        <v>2386</v>
      </c>
      <c r="G185" t="s">
        <v>2129</v>
      </c>
      <c r="H185" t="s">
        <v>2543</v>
      </c>
      <c r="I185" s="27">
        <f t="shared" si="2"/>
        <v>640.31999999999994</v>
      </c>
      <c r="J185" t="s">
        <v>2386</v>
      </c>
    </row>
    <row r="186" spans="1:11">
      <c r="A186" s="35" t="s">
        <v>2186</v>
      </c>
      <c r="B186" s="32">
        <v>439.17</v>
      </c>
      <c r="C186" s="32">
        <v>505.0455</v>
      </c>
      <c r="D186" t="s">
        <v>2386</v>
      </c>
      <c r="G186" t="s">
        <v>2186</v>
      </c>
      <c r="H186" t="s">
        <v>2544</v>
      </c>
      <c r="I186" s="27">
        <f t="shared" si="2"/>
        <v>505.0455</v>
      </c>
      <c r="J186" t="s">
        <v>2386</v>
      </c>
    </row>
    <row r="187" spans="1:11">
      <c r="A187" s="35" t="s">
        <v>2087</v>
      </c>
      <c r="B187" s="32">
        <v>11424.205</v>
      </c>
      <c r="C187" s="32">
        <v>13137.83575</v>
      </c>
      <c r="D187" t="s">
        <v>2386</v>
      </c>
      <c r="G187" t="s">
        <v>2087</v>
      </c>
      <c r="H187" t="s">
        <v>2545</v>
      </c>
      <c r="I187" s="27">
        <f t="shared" si="2"/>
        <v>13137.83575</v>
      </c>
      <c r="J187" t="s">
        <v>2386</v>
      </c>
    </row>
    <row r="188" spans="1:11">
      <c r="A188" s="31" t="s">
        <v>2263</v>
      </c>
      <c r="B188" s="32">
        <v>32224.93</v>
      </c>
      <c r="C188" s="32">
        <v>37058.669499999996</v>
      </c>
      <c r="G188" t="s">
        <v>2263</v>
      </c>
      <c r="H188" t="s">
        <v>2546</v>
      </c>
      <c r="I188" s="27">
        <f t="shared" si="2"/>
        <v>37058.669499999996</v>
      </c>
    </row>
    <row r="189" spans="1:11">
      <c r="A189" s="31" t="s">
        <v>2085</v>
      </c>
      <c r="B189" s="32">
        <v>102966.37000000001</v>
      </c>
      <c r="C189" s="32">
        <v>118411.32550000002</v>
      </c>
      <c r="G189" t="s">
        <v>2085</v>
      </c>
      <c r="H189" t="s">
        <v>2547</v>
      </c>
      <c r="I189" s="27">
        <f t="shared" si="2"/>
        <v>118411.32550000002</v>
      </c>
    </row>
    <row r="190" spans="1:11">
      <c r="A190" s="35" t="s">
        <v>2190</v>
      </c>
      <c r="B190" s="32">
        <v>5089.5</v>
      </c>
      <c r="C190" s="32">
        <v>5852.9250000000002</v>
      </c>
      <c r="D190" t="s">
        <v>2386</v>
      </c>
      <c r="G190" t="s">
        <v>2190</v>
      </c>
      <c r="H190" t="s">
        <v>2548</v>
      </c>
      <c r="I190" s="27">
        <f t="shared" si="2"/>
        <v>5852.9250000000002</v>
      </c>
      <c r="J190" t="s">
        <v>2386</v>
      </c>
    </row>
    <row r="191" spans="1:11">
      <c r="A191" s="35" t="s">
        <v>2164</v>
      </c>
      <c r="B191" s="32">
        <v>2827.6549999999997</v>
      </c>
      <c r="C191" s="32">
        <v>3251.8032499999999</v>
      </c>
      <c r="D191" t="s">
        <v>2386</v>
      </c>
      <c r="G191" t="s">
        <v>2164</v>
      </c>
      <c r="H191" t="s">
        <v>2549</v>
      </c>
      <c r="I191" s="27">
        <f t="shared" si="2"/>
        <v>3251.8032499999999</v>
      </c>
      <c r="J191" t="s">
        <v>2386</v>
      </c>
    </row>
    <row r="192" spans="1:11">
      <c r="A192" s="35" t="s">
        <v>2220</v>
      </c>
      <c r="B192" s="32">
        <v>732.94</v>
      </c>
      <c r="C192" s="32">
        <v>842.88100000000009</v>
      </c>
      <c r="D192" t="s">
        <v>2386</v>
      </c>
      <c r="G192" t="s">
        <v>2220</v>
      </c>
      <c r="H192" t="s">
        <v>2550</v>
      </c>
      <c r="I192" s="27">
        <f t="shared" si="2"/>
        <v>842.88100000000009</v>
      </c>
      <c r="J192" t="s">
        <v>2386</v>
      </c>
    </row>
    <row r="193" spans="1:11">
      <c r="A193" s="31" t="s">
        <v>2326</v>
      </c>
      <c r="B193" s="32">
        <v>3106.37</v>
      </c>
      <c r="C193" s="32">
        <v>3572.3254999999999</v>
      </c>
      <c r="G193" t="s">
        <v>2326</v>
      </c>
      <c r="H193" t="s">
        <v>2551</v>
      </c>
      <c r="I193" s="27">
        <f t="shared" si="2"/>
        <v>3572.3254999999999</v>
      </c>
    </row>
    <row r="194" spans="1:11">
      <c r="A194" s="35" t="s">
        <v>1956</v>
      </c>
      <c r="B194" s="32">
        <v>140237.44</v>
      </c>
      <c r="C194" s="32">
        <v>161273.05599999998</v>
      </c>
      <c r="D194" t="s">
        <v>2386</v>
      </c>
      <c r="G194" t="s">
        <v>1956</v>
      </c>
      <c r="H194" t="s">
        <v>2552</v>
      </c>
      <c r="I194" s="27">
        <f t="shared" si="2"/>
        <v>161273.05599999998</v>
      </c>
      <c r="J194" t="s">
        <v>2386</v>
      </c>
    </row>
    <row r="195" spans="1:11">
      <c r="A195" s="35" t="s">
        <v>2151</v>
      </c>
      <c r="B195" s="32">
        <v>19738.68</v>
      </c>
      <c r="C195" s="32">
        <v>22699.482</v>
      </c>
      <c r="D195" t="s">
        <v>2386</v>
      </c>
      <c r="G195" t="s">
        <v>2151</v>
      </c>
      <c r="H195" t="s">
        <v>2553</v>
      </c>
      <c r="I195" s="27">
        <f t="shared" si="2"/>
        <v>22699.482</v>
      </c>
      <c r="J195" t="s">
        <v>2386</v>
      </c>
    </row>
    <row r="196" spans="1:11">
      <c r="A196" s="31" t="s">
        <v>2291</v>
      </c>
      <c r="B196" s="32">
        <v>11811.029999999999</v>
      </c>
      <c r="C196" s="32">
        <v>13582.684499999999</v>
      </c>
      <c r="G196" t="s">
        <v>2291</v>
      </c>
      <c r="H196" t="s">
        <v>2554</v>
      </c>
      <c r="I196" s="27">
        <f t="shared" si="2"/>
        <v>13582.684499999999</v>
      </c>
    </row>
    <row r="197" spans="1:11">
      <c r="A197" s="35" t="s">
        <v>1978</v>
      </c>
      <c r="B197" s="32">
        <v>14734.72</v>
      </c>
      <c r="C197" s="32">
        <v>16944.928</v>
      </c>
      <c r="D197" t="s">
        <v>2386</v>
      </c>
      <c r="G197" t="s">
        <v>1978</v>
      </c>
      <c r="H197" t="s">
        <v>2597</v>
      </c>
      <c r="I197" s="27">
        <f t="shared" ref="I197:I214" si="3">+VLOOKUP(G197,$A$3:$C$214,3,FALSE)</f>
        <v>16944.928</v>
      </c>
      <c r="J197" t="s">
        <v>2386</v>
      </c>
      <c r="K197" t="s">
        <v>2388</v>
      </c>
    </row>
    <row r="198" spans="1:11">
      <c r="A198" s="31" t="s">
        <v>2269</v>
      </c>
      <c r="B198" s="32">
        <v>66501.22</v>
      </c>
      <c r="C198" s="32">
        <v>76476.403000000006</v>
      </c>
      <c r="G198" t="s">
        <v>2269</v>
      </c>
      <c r="H198" t="s">
        <v>2555</v>
      </c>
      <c r="I198" s="27">
        <f t="shared" si="3"/>
        <v>76476.403000000006</v>
      </c>
    </row>
    <row r="199" spans="1:11">
      <c r="A199" s="31" t="s">
        <v>2316</v>
      </c>
      <c r="B199" s="32">
        <v>140.96</v>
      </c>
      <c r="C199" s="32">
        <v>162.10400000000001</v>
      </c>
      <c r="G199" t="s">
        <v>2316</v>
      </c>
      <c r="H199" t="s">
        <v>2556</v>
      </c>
      <c r="I199" s="27">
        <f t="shared" si="3"/>
        <v>162.10400000000001</v>
      </c>
    </row>
    <row r="200" spans="1:11">
      <c r="A200" s="35" t="s">
        <v>2014</v>
      </c>
      <c r="B200" s="32">
        <v>2032.87</v>
      </c>
      <c r="C200" s="32">
        <v>2337.8005000000003</v>
      </c>
      <c r="D200" t="s">
        <v>2386</v>
      </c>
      <c r="G200" t="s">
        <v>2014</v>
      </c>
      <c r="H200" t="s">
        <v>2557</v>
      </c>
      <c r="I200" s="27">
        <f t="shared" si="3"/>
        <v>2337.8005000000003</v>
      </c>
      <c r="J200" t="s">
        <v>2386</v>
      </c>
    </row>
    <row r="201" spans="1:11">
      <c r="A201" s="31" t="s">
        <v>2343</v>
      </c>
      <c r="B201" s="32">
        <v>103333.33</v>
      </c>
      <c r="C201" s="32">
        <v>118833.32950000001</v>
      </c>
      <c r="G201" t="s">
        <v>2343</v>
      </c>
      <c r="H201" t="s">
        <v>2558</v>
      </c>
      <c r="I201" s="27">
        <f t="shared" si="3"/>
        <v>118833.32950000001</v>
      </c>
    </row>
    <row r="202" spans="1:11">
      <c r="A202" s="31" t="s">
        <v>1950</v>
      </c>
      <c r="B202" s="32">
        <v>156022.45500000002</v>
      </c>
      <c r="C202" s="32">
        <v>179425.82325000002</v>
      </c>
      <c r="G202" t="s">
        <v>1950</v>
      </c>
      <c r="H202" t="s">
        <v>2559</v>
      </c>
      <c r="I202" s="27">
        <f t="shared" si="3"/>
        <v>179425.82325000002</v>
      </c>
    </row>
    <row r="203" spans="1:11">
      <c r="A203" s="35" t="s">
        <v>2079</v>
      </c>
      <c r="B203" s="32">
        <v>5681.51</v>
      </c>
      <c r="C203" s="32">
        <v>6533.7365</v>
      </c>
      <c r="D203" t="s">
        <v>2386</v>
      </c>
      <c r="G203" t="s">
        <v>2079</v>
      </c>
      <c r="H203" t="s">
        <v>2560</v>
      </c>
      <c r="I203" s="27">
        <f t="shared" si="3"/>
        <v>6533.7365</v>
      </c>
      <c r="J203" t="s">
        <v>2386</v>
      </c>
    </row>
    <row r="204" spans="1:11">
      <c r="A204" s="31" t="s">
        <v>2308</v>
      </c>
      <c r="B204" s="32">
        <v>5000</v>
      </c>
      <c r="C204" s="32">
        <v>5750</v>
      </c>
      <c r="G204" t="s">
        <v>2308</v>
      </c>
      <c r="H204" t="s">
        <v>2561</v>
      </c>
      <c r="I204" s="27">
        <f t="shared" si="3"/>
        <v>5750</v>
      </c>
    </row>
    <row r="205" spans="1:11">
      <c r="A205" s="35" t="s">
        <v>2089</v>
      </c>
      <c r="B205" s="32">
        <v>16083.22</v>
      </c>
      <c r="C205" s="32">
        <v>18495.702999999998</v>
      </c>
      <c r="D205" t="s">
        <v>2386</v>
      </c>
      <c r="G205" t="s">
        <v>2089</v>
      </c>
      <c r="H205" t="s">
        <v>2562</v>
      </c>
      <c r="I205" s="27">
        <f t="shared" si="3"/>
        <v>18495.702999999998</v>
      </c>
      <c r="J205" t="s">
        <v>2386</v>
      </c>
    </row>
    <row r="206" spans="1:11">
      <c r="A206" s="35" t="s">
        <v>1994</v>
      </c>
      <c r="B206" s="32">
        <v>15626.179999999998</v>
      </c>
      <c r="C206" s="32">
        <v>17970.107</v>
      </c>
      <c r="D206" t="s">
        <v>2386</v>
      </c>
      <c r="G206" t="s">
        <v>1994</v>
      </c>
      <c r="H206" t="s">
        <v>2563</v>
      </c>
      <c r="I206" s="27">
        <f t="shared" si="3"/>
        <v>17970.107</v>
      </c>
      <c r="J206" t="s">
        <v>2386</v>
      </c>
    </row>
    <row r="207" spans="1:11">
      <c r="A207" s="31" t="s">
        <v>2254</v>
      </c>
      <c r="B207" s="32">
        <v>281575.55000000005</v>
      </c>
      <c r="C207" s="32">
        <v>323811.88250000001</v>
      </c>
      <c r="G207" t="s">
        <v>2254</v>
      </c>
      <c r="H207" t="s">
        <v>2564</v>
      </c>
      <c r="I207" s="27">
        <f t="shared" si="3"/>
        <v>323811.88250000001</v>
      </c>
    </row>
    <row r="208" spans="1:11">
      <c r="A208" s="31" t="s">
        <v>2348</v>
      </c>
      <c r="B208" s="32">
        <v>89215.329999999987</v>
      </c>
      <c r="C208" s="32">
        <v>102597.62949999998</v>
      </c>
      <c r="G208" t="s">
        <v>2348</v>
      </c>
      <c r="H208" t="s">
        <v>2565</v>
      </c>
      <c r="I208" s="27">
        <f t="shared" si="3"/>
        <v>102597.62949999998</v>
      </c>
    </row>
    <row r="209" spans="1:11">
      <c r="A209" s="31" t="s">
        <v>2277</v>
      </c>
      <c r="B209" s="32">
        <v>49455.365000000005</v>
      </c>
      <c r="C209" s="32">
        <v>56873.669750000001</v>
      </c>
      <c r="G209" t="s">
        <v>2277</v>
      </c>
      <c r="H209" t="s">
        <v>2566</v>
      </c>
      <c r="I209" s="27">
        <f t="shared" si="3"/>
        <v>56873.669750000001</v>
      </c>
    </row>
    <row r="210" spans="1:11">
      <c r="A210" s="31" t="s">
        <v>2243</v>
      </c>
      <c r="B210" s="32">
        <v>18762.25</v>
      </c>
      <c r="C210" s="32">
        <v>21576.587499999998</v>
      </c>
      <c r="G210" t="s">
        <v>2243</v>
      </c>
      <c r="H210" t="s">
        <v>2567</v>
      </c>
      <c r="I210" s="27">
        <f t="shared" si="3"/>
        <v>21576.587499999998</v>
      </c>
    </row>
    <row r="211" spans="1:11">
      <c r="A211" s="35" t="s">
        <v>2172</v>
      </c>
      <c r="B211" s="32">
        <v>500</v>
      </c>
      <c r="C211" s="32">
        <v>575</v>
      </c>
      <c r="D211" t="s">
        <v>2386</v>
      </c>
      <c r="G211" t="s">
        <v>2172</v>
      </c>
      <c r="H211" t="s">
        <v>2568</v>
      </c>
      <c r="I211" s="27">
        <f t="shared" si="3"/>
        <v>575</v>
      </c>
      <c r="J211" t="s">
        <v>2386</v>
      </c>
    </row>
    <row r="212" spans="1:11">
      <c r="A212" s="35" t="s">
        <v>2018</v>
      </c>
      <c r="B212" s="32">
        <v>1347.44</v>
      </c>
      <c r="C212" s="32">
        <v>1549.556</v>
      </c>
      <c r="D212" t="s">
        <v>2386</v>
      </c>
      <c r="G212" t="s">
        <v>2018</v>
      </c>
      <c r="H212" t="s">
        <v>2598</v>
      </c>
      <c r="I212" s="27">
        <f t="shared" si="3"/>
        <v>1549.556</v>
      </c>
      <c r="J212" t="s">
        <v>2386</v>
      </c>
      <c r="K212" t="s">
        <v>2388</v>
      </c>
    </row>
    <row r="213" spans="1:11">
      <c r="A213" s="35" t="s">
        <v>2039</v>
      </c>
      <c r="B213" s="32">
        <v>5632.08</v>
      </c>
      <c r="C213" s="32">
        <v>6476.8919999999998</v>
      </c>
      <c r="D213" t="s">
        <v>2386</v>
      </c>
      <c r="G213" t="s">
        <v>2039</v>
      </c>
      <c r="H213" t="s">
        <v>2599</v>
      </c>
      <c r="I213" s="27">
        <f t="shared" si="3"/>
        <v>6476.8919999999998</v>
      </c>
      <c r="J213" t="s">
        <v>2386</v>
      </c>
      <c r="K213" t="s">
        <v>2388</v>
      </c>
    </row>
    <row r="214" spans="1:11">
      <c r="A214" s="35" t="s">
        <v>2004</v>
      </c>
      <c r="B214" s="32">
        <v>13244.42</v>
      </c>
      <c r="C214" s="32">
        <v>15231.083000000001</v>
      </c>
      <c r="D214" t="s">
        <v>2386</v>
      </c>
      <c r="G214" t="s">
        <v>2004</v>
      </c>
      <c r="H214" t="s">
        <v>2569</v>
      </c>
      <c r="I214" s="27">
        <f t="shared" si="3"/>
        <v>15231.083000000001</v>
      </c>
      <c r="J214" t="s">
        <v>2386</v>
      </c>
    </row>
    <row r="215" spans="1:11">
      <c r="A215" s="31" t="s">
        <v>1919</v>
      </c>
      <c r="B215" s="32">
        <v>7745406.6050500032</v>
      </c>
      <c r="C215" s="32">
        <v>8907217.5958075039</v>
      </c>
    </row>
  </sheetData>
  <autoFilter ref="G3:K214" xr:uid="{7934CB8F-0DC8-4C61-BC5E-8E9CEF2275E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8A20-786D-42CF-92B3-697EAEE4CD7A}">
  <sheetPr>
    <tabColor rgb="FF00B050"/>
  </sheetPr>
  <dimension ref="A1:Q347"/>
  <sheetViews>
    <sheetView topLeftCell="D1" zoomScale="80" zoomScaleNormal="80" zoomScaleSheetLayoutView="86" workbookViewId="0">
      <pane ySplit="5" topLeftCell="A6" activePane="bottomLeft" state="frozen"/>
      <selection activeCell="C1" sqref="C1"/>
      <selection pane="bottomLeft" activeCell="M4" sqref="M4"/>
    </sheetView>
  </sheetViews>
  <sheetFormatPr defaultColWidth="8.85546875" defaultRowHeight="15"/>
  <cols>
    <col min="1" max="1" width="27.42578125" style="34" bestFit="1" customWidth="1"/>
    <col min="2" max="2" width="22.5703125" style="34" customWidth="1"/>
    <col min="3" max="3" width="99.5703125" style="34" customWidth="1"/>
    <col min="4" max="4" width="83.5703125" style="34" bestFit="1" customWidth="1"/>
    <col min="5" max="5" width="59.5703125" style="34" bestFit="1" customWidth="1"/>
    <col min="6" max="10" width="15.140625" style="34" customWidth="1"/>
    <col min="11" max="11" width="14.5703125" style="34" customWidth="1"/>
    <col min="12" max="12" width="8.85546875" style="34"/>
    <col min="13" max="13" width="16" style="34" bestFit="1" customWidth="1"/>
    <col min="14" max="14" width="17.140625" style="34" customWidth="1"/>
    <col min="15" max="15" width="14.85546875" style="34" bestFit="1" customWidth="1"/>
    <col min="16" max="16" width="14.42578125" style="34" bestFit="1" customWidth="1"/>
    <col min="17" max="17" width="9.85546875" style="34" bestFit="1" customWidth="1"/>
    <col min="18" max="16384" width="8.85546875" style="34"/>
  </cols>
  <sheetData>
    <row r="1" spans="1:16" ht="48" customHeight="1">
      <c r="A1" s="52" t="s">
        <v>0</v>
      </c>
      <c r="M1" s="53" t="s">
        <v>1917</v>
      </c>
      <c r="N1" s="54">
        <v>0.15</v>
      </c>
    </row>
    <row r="2" spans="1:16" ht="21.75" customHeight="1">
      <c r="A2" s="55" t="s">
        <v>1</v>
      </c>
      <c r="N2" s="53">
        <f>+SUM(N3:N4)</f>
        <v>20032895.005057506</v>
      </c>
      <c r="O2" s="75">
        <f>+N2/1.15</f>
        <v>17419908.700050008</v>
      </c>
      <c r="P2" s="67">
        <f>+N2-O2</f>
        <v>2612986.3050074987</v>
      </c>
    </row>
    <row r="3" spans="1:16" ht="18">
      <c r="A3" s="56" t="s">
        <v>2</v>
      </c>
      <c r="N3" s="53">
        <v>11125677.409250002</v>
      </c>
    </row>
    <row r="4" spans="1:16">
      <c r="F4" s="57">
        <f t="shared" ref="F4:K4" si="0">SUM(F6:F347)</f>
        <v>0</v>
      </c>
      <c r="G4" s="58">
        <f t="shared" si="0"/>
        <v>5280683.5200000005</v>
      </c>
      <c r="H4" s="58">
        <f t="shared" si="0"/>
        <v>1977549.4299999997</v>
      </c>
      <c r="I4" s="58">
        <f t="shared" si="0"/>
        <v>538140.62</v>
      </c>
      <c r="J4" s="58">
        <f t="shared" si="0"/>
        <v>56090.030000000006</v>
      </c>
      <c r="K4" s="59">
        <f t="shared" si="0"/>
        <v>7852463.6000000071</v>
      </c>
      <c r="M4" s="59">
        <f>SUM(M6:M347)</f>
        <v>7745406.605050005</v>
      </c>
      <c r="N4" s="60">
        <f>SUM(N6:N347)</f>
        <v>8907217.595807502</v>
      </c>
      <c r="P4" s="74">
        <f>+M4-N4</f>
        <v>-1161810.990757497</v>
      </c>
    </row>
    <row r="5" spans="1:16" ht="42" customHeight="1">
      <c r="A5" s="18" t="s">
        <v>1899</v>
      </c>
      <c r="B5" s="18" t="s">
        <v>9</v>
      </c>
      <c r="C5" s="18" t="s">
        <v>10</v>
      </c>
      <c r="D5" s="18" t="s">
        <v>2367</v>
      </c>
      <c r="E5" s="18" t="s">
        <v>2368</v>
      </c>
      <c r="F5" s="19" t="s">
        <v>5</v>
      </c>
      <c r="G5" s="18" t="s">
        <v>3</v>
      </c>
      <c r="H5" s="18" t="s">
        <v>4</v>
      </c>
      <c r="I5" s="18" t="s">
        <v>6</v>
      </c>
      <c r="J5" s="18" t="s">
        <v>7</v>
      </c>
      <c r="K5" s="18" t="s">
        <v>1911</v>
      </c>
      <c r="L5" s="20" t="s">
        <v>1912</v>
      </c>
      <c r="M5" s="22" t="s">
        <v>1913</v>
      </c>
      <c r="N5" s="22" t="s">
        <v>1914</v>
      </c>
      <c r="O5" s="22" t="s">
        <v>1915</v>
      </c>
    </row>
    <row r="6" spans="1:16">
      <c r="A6" s="17" t="s">
        <v>1473</v>
      </c>
      <c r="B6" s="34" t="s">
        <v>1610</v>
      </c>
      <c r="C6" s="61" t="s">
        <v>1612</v>
      </c>
      <c r="D6" s="61" t="s">
        <v>2144</v>
      </c>
      <c r="E6" s="61" t="s">
        <v>2145</v>
      </c>
      <c r="F6" s="62"/>
      <c r="G6" s="63">
        <v>1485</v>
      </c>
      <c r="K6" s="58">
        <f>SUM(G6:J6)</f>
        <v>1485</v>
      </c>
      <c r="L6" s="64">
        <v>1</v>
      </c>
      <c r="M6" s="65">
        <f>+K6*L6</f>
        <v>1485</v>
      </c>
      <c r="N6" s="65">
        <f>+M6+(+M6*$N$1)</f>
        <v>1707.75</v>
      </c>
      <c r="O6" s="34" t="s">
        <v>2369</v>
      </c>
    </row>
    <row r="7" spans="1:16">
      <c r="A7" s="17" t="s">
        <v>1473</v>
      </c>
      <c r="B7" s="34" t="s">
        <v>1517</v>
      </c>
      <c r="C7" s="61" t="s">
        <v>1519</v>
      </c>
      <c r="D7" s="61" t="s">
        <v>2070</v>
      </c>
      <c r="E7" s="61" t="s">
        <v>2071</v>
      </c>
      <c r="F7" s="62"/>
      <c r="G7" s="63">
        <v>760</v>
      </c>
      <c r="I7" s="63">
        <v>1008.475</v>
      </c>
      <c r="K7" s="58">
        <f t="shared" ref="K7:K50" si="1">SUM(G7:J7)</f>
        <v>1768.4749999999999</v>
      </c>
      <c r="L7" s="64">
        <v>1</v>
      </c>
      <c r="M7" s="65">
        <f t="shared" ref="M7:M50" si="2">+K7*L7</f>
        <v>1768.4749999999999</v>
      </c>
      <c r="N7" s="65">
        <f t="shared" ref="N7:N50" si="3">+M7+(+M7*$N$1)</f>
        <v>2033.7462499999999</v>
      </c>
      <c r="O7" s="34" t="s">
        <v>2369</v>
      </c>
    </row>
    <row r="8" spans="1:16">
      <c r="A8" s="17" t="s">
        <v>1399</v>
      </c>
      <c r="B8" s="34" t="s">
        <v>1470</v>
      </c>
      <c r="C8" s="61" t="s">
        <v>1472</v>
      </c>
      <c r="D8" s="61" t="s">
        <v>2029</v>
      </c>
      <c r="E8" s="61" t="s">
        <v>2030</v>
      </c>
      <c r="F8" s="62"/>
      <c r="G8" s="63">
        <v>220</v>
      </c>
      <c r="K8" s="58">
        <f t="shared" si="1"/>
        <v>220</v>
      </c>
      <c r="L8" s="64">
        <v>1</v>
      </c>
      <c r="M8" s="65">
        <f t="shared" si="2"/>
        <v>220</v>
      </c>
      <c r="N8" s="65">
        <f t="shared" si="3"/>
        <v>253</v>
      </c>
      <c r="O8" s="34" t="s">
        <v>2369</v>
      </c>
    </row>
    <row r="9" spans="1:16">
      <c r="A9" s="17" t="s">
        <v>1473</v>
      </c>
      <c r="B9" s="34" t="s">
        <v>1470</v>
      </c>
      <c r="C9" s="61" t="s">
        <v>1472</v>
      </c>
      <c r="D9" s="61" t="s">
        <v>2029</v>
      </c>
      <c r="E9" s="61" t="s">
        <v>2030</v>
      </c>
      <c r="F9" s="62"/>
      <c r="G9" s="63">
        <v>15000</v>
      </c>
      <c r="I9" s="63">
        <v>1127.095</v>
      </c>
      <c r="K9" s="58">
        <f t="shared" si="1"/>
        <v>16127.094999999999</v>
      </c>
      <c r="L9" s="64">
        <v>1</v>
      </c>
      <c r="M9" s="65">
        <f t="shared" si="2"/>
        <v>16127.094999999999</v>
      </c>
      <c r="N9" s="65">
        <f t="shared" si="3"/>
        <v>18546.159250000001</v>
      </c>
      <c r="O9" s="34" t="s">
        <v>2369</v>
      </c>
    </row>
    <row r="10" spans="1:16">
      <c r="A10" s="17" t="s">
        <v>1881</v>
      </c>
      <c r="B10" s="34" t="s">
        <v>1470</v>
      </c>
      <c r="C10" s="61" t="s">
        <v>1472</v>
      </c>
      <c r="D10" s="61" t="s">
        <v>2029</v>
      </c>
      <c r="E10" s="61" t="s">
        <v>2030</v>
      </c>
      <c r="F10" s="62"/>
      <c r="I10" s="63">
        <v>6811.83</v>
      </c>
      <c r="K10" s="58">
        <f t="shared" si="1"/>
        <v>6811.83</v>
      </c>
      <c r="L10" s="64">
        <v>1</v>
      </c>
      <c r="M10" s="65">
        <f t="shared" si="2"/>
        <v>6811.83</v>
      </c>
      <c r="N10" s="65">
        <f t="shared" si="3"/>
        <v>7833.6044999999995</v>
      </c>
      <c r="O10" s="34" t="s">
        <v>2369</v>
      </c>
    </row>
    <row r="11" spans="1:16">
      <c r="A11" s="17" t="s">
        <v>1473</v>
      </c>
      <c r="B11" s="34" t="s">
        <v>1502</v>
      </c>
      <c r="C11" s="61" t="s">
        <v>1504</v>
      </c>
      <c r="D11" s="61" t="s">
        <v>2058</v>
      </c>
      <c r="E11" s="61" t="s">
        <v>2059</v>
      </c>
      <c r="F11" s="62"/>
      <c r="G11" s="63">
        <v>7589.77</v>
      </c>
      <c r="I11" s="63">
        <v>797.78</v>
      </c>
      <c r="K11" s="58">
        <f t="shared" si="1"/>
        <v>8387.5500000000011</v>
      </c>
      <c r="L11" s="64">
        <v>1</v>
      </c>
      <c r="M11" s="65">
        <f t="shared" si="2"/>
        <v>8387.5500000000011</v>
      </c>
      <c r="N11" s="65">
        <f t="shared" si="3"/>
        <v>9645.6825000000008</v>
      </c>
      <c r="O11" s="34" t="s">
        <v>2369</v>
      </c>
    </row>
    <row r="12" spans="1:16">
      <c r="A12" s="17" t="s">
        <v>1473</v>
      </c>
      <c r="B12" s="34" t="s">
        <v>1526</v>
      </c>
      <c r="C12" s="61" t="s">
        <v>1528</v>
      </c>
      <c r="D12" s="61" t="s">
        <v>2076</v>
      </c>
      <c r="E12" s="61" t="s">
        <v>2077</v>
      </c>
      <c r="F12" s="62"/>
      <c r="G12" s="63">
        <v>4800</v>
      </c>
      <c r="K12" s="58">
        <f t="shared" si="1"/>
        <v>4800</v>
      </c>
      <c r="L12" s="64">
        <v>1</v>
      </c>
      <c r="M12" s="65">
        <f t="shared" si="2"/>
        <v>4800</v>
      </c>
      <c r="N12" s="65">
        <f t="shared" si="3"/>
        <v>5520</v>
      </c>
      <c r="O12" s="34" t="s">
        <v>2369</v>
      </c>
    </row>
    <row r="13" spans="1:16">
      <c r="A13" s="17" t="s">
        <v>1715</v>
      </c>
      <c r="B13" s="34" t="s">
        <v>54</v>
      </c>
      <c r="C13" s="61" t="s">
        <v>56</v>
      </c>
      <c r="D13" s="61" t="s">
        <v>2076</v>
      </c>
      <c r="E13" s="61" t="s">
        <v>2292</v>
      </c>
      <c r="F13" s="62"/>
      <c r="I13" s="63">
        <v>1292.43</v>
      </c>
      <c r="J13" s="63">
        <v>346.32</v>
      </c>
      <c r="K13" s="58">
        <f t="shared" si="1"/>
        <v>1638.75</v>
      </c>
      <c r="L13" s="64">
        <v>1</v>
      </c>
      <c r="M13" s="65">
        <f t="shared" si="2"/>
        <v>1638.75</v>
      </c>
      <c r="N13" s="65">
        <f t="shared" si="3"/>
        <v>1884.5625</v>
      </c>
      <c r="O13" s="34" t="s">
        <v>2369</v>
      </c>
    </row>
    <row r="14" spans="1:16">
      <c r="A14" s="17" t="s">
        <v>1723</v>
      </c>
      <c r="B14" s="34" t="s">
        <v>54</v>
      </c>
      <c r="C14" s="61" t="s">
        <v>56</v>
      </c>
      <c r="D14" s="61" t="s">
        <v>2076</v>
      </c>
      <c r="E14" s="61" t="s">
        <v>2292</v>
      </c>
      <c r="F14" s="62"/>
      <c r="G14" s="63">
        <v>18200</v>
      </c>
      <c r="K14" s="58">
        <f t="shared" si="1"/>
        <v>18200</v>
      </c>
      <c r="L14" s="64">
        <v>1</v>
      </c>
      <c r="M14" s="65">
        <f t="shared" si="2"/>
        <v>18200</v>
      </c>
      <c r="N14" s="65">
        <f t="shared" si="3"/>
        <v>20930</v>
      </c>
      <c r="O14" s="34" t="s">
        <v>2369</v>
      </c>
    </row>
    <row r="15" spans="1:16">
      <c r="A15" s="17" t="s">
        <v>1715</v>
      </c>
      <c r="B15" s="34" t="s">
        <v>45</v>
      </c>
      <c r="C15" s="61" t="s">
        <v>47</v>
      </c>
      <c r="D15" s="61" t="s">
        <v>2261</v>
      </c>
      <c r="E15" s="61" t="s">
        <v>2262</v>
      </c>
      <c r="F15" s="62"/>
      <c r="I15" s="63">
        <v>1270.8599999999999</v>
      </c>
      <c r="K15" s="58">
        <f t="shared" si="1"/>
        <v>1270.8599999999999</v>
      </c>
      <c r="L15" s="64">
        <v>1</v>
      </c>
      <c r="M15" s="65">
        <f t="shared" si="2"/>
        <v>1270.8599999999999</v>
      </c>
      <c r="N15" s="65">
        <f t="shared" si="3"/>
        <v>1461.4889999999998</v>
      </c>
      <c r="O15" s="34" t="s">
        <v>2370</v>
      </c>
    </row>
    <row r="16" spans="1:16">
      <c r="A16" s="17" t="s">
        <v>1723</v>
      </c>
      <c r="B16" s="34" t="s">
        <v>45</v>
      </c>
      <c r="C16" s="61" t="s">
        <v>47</v>
      </c>
      <c r="D16" s="61" t="s">
        <v>2261</v>
      </c>
      <c r="E16" s="61" t="s">
        <v>2262</v>
      </c>
      <c r="F16" s="62"/>
      <c r="G16" s="63">
        <v>15600</v>
      </c>
      <c r="K16" s="58">
        <f t="shared" si="1"/>
        <v>15600</v>
      </c>
      <c r="L16" s="64">
        <v>1</v>
      </c>
      <c r="M16" s="65">
        <f t="shared" si="2"/>
        <v>15600</v>
      </c>
      <c r="N16" s="65">
        <f t="shared" si="3"/>
        <v>17940</v>
      </c>
      <c r="O16" s="34" t="s">
        <v>2370</v>
      </c>
    </row>
    <row r="17" spans="1:15">
      <c r="A17" s="17" t="s">
        <v>1473</v>
      </c>
      <c r="B17" s="34" t="s">
        <v>1523</v>
      </c>
      <c r="C17" s="61" t="s">
        <v>1525</v>
      </c>
      <c r="D17" s="61" t="s">
        <v>2074</v>
      </c>
      <c r="E17" s="61" t="s">
        <v>2075</v>
      </c>
      <c r="F17" s="62"/>
      <c r="G17" s="63">
        <v>3424.5</v>
      </c>
      <c r="K17" s="58">
        <f t="shared" si="1"/>
        <v>3424.5</v>
      </c>
      <c r="L17" s="64">
        <v>1</v>
      </c>
      <c r="M17" s="65">
        <f t="shared" si="2"/>
        <v>3424.5</v>
      </c>
      <c r="N17" s="65">
        <f t="shared" si="3"/>
        <v>3938.1750000000002</v>
      </c>
      <c r="O17" s="34" t="s">
        <v>2369</v>
      </c>
    </row>
    <row r="18" spans="1:15">
      <c r="A18" s="17" t="s">
        <v>1399</v>
      </c>
      <c r="B18" s="34" t="s">
        <v>1449</v>
      </c>
      <c r="C18" s="61" t="s">
        <v>1451</v>
      </c>
      <c r="D18" s="61" t="s">
        <v>2015</v>
      </c>
      <c r="E18" s="61" t="s">
        <v>2016</v>
      </c>
      <c r="F18" s="62"/>
      <c r="I18" s="63">
        <v>2196.1799999999998</v>
      </c>
      <c r="K18" s="58">
        <f t="shared" si="1"/>
        <v>2196.1799999999998</v>
      </c>
      <c r="L18" s="64">
        <v>1</v>
      </c>
      <c r="M18" s="65">
        <f t="shared" si="2"/>
        <v>2196.1799999999998</v>
      </c>
      <c r="N18" s="65">
        <f t="shared" si="3"/>
        <v>2525.607</v>
      </c>
      <c r="O18" s="34" t="s">
        <v>2369</v>
      </c>
    </row>
    <row r="19" spans="1:15">
      <c r="A19" s="17" t="s">
        <v>1473</v>
      </c>
      <c r="B19" s="34" t="s">
        <v>1449</v>
      </c>
      <c r="C19" s="61" t="s">
        <v>1451</v>
      </c>
      <c r="D19" s="61" t="s">
        <v>2015</v>
      </c>
      <c r="E19" s="61" t="s">
        <v>2016</v>
      </c>
      <c r="F19" s="62"/>
      <c r="G19" s="63">
        <v>800</v>
      </c>
      <c r="I19" s="63">
        <v>2117.5700000000002</v>
      </c>
      <c r="K19" s="58">
        <f t="shared" si="1"/>
        <v>2917.57</v>
      </c>
      <c r="L19" s="64">
        <v>1</v>
      </c>
      <c r="M19" s="65">
        <f t="shared" si="2"/>
        <v>2917.57</v>
      </c>
      <c r="N19" s="65">
        <f t="shared" si="3"/>
        <v>3355.2055</v>
      </c>
      <c r="O19" s="34" t="s">
        <v>2369</v>
      </c>
    </row>
    <row r="20" spans="1:15">
      <c r="A20" s="17" t="s">
        <v>1715</v>
      </c>
      <c r="B20" s="34" t="s">
        <v>162</v>
      </c>
      <c r="C20" s="61" t="s">
        <v>164</v>
      </c>
      <c r="D20" s="61" t="s">
        <v>2328</v>
      </c>
      <c r="E20" s="61" t="s">
        <v>2329</v>
      </c>
      <c r="F20" s="62"/>
      <c r="G20" s="63">
        <v>2951.75</v>
      </c>
      <c r="K20" s="58">
        <f t="shared" si="1"/>
        <v>2951.75</v>
      </c>
      <c r="L20" s="64">
        <v>1</v>
      </c>
      <c r="M20" s="65">
        <f t="shared" si="2"/>
        <v>2951.75</v>
      </c>
      <c r="N20" s="65">
        <f t="shared" si="3"/>
        <v>3394.5124999999998</v>
      </c>
      <c r="O20" s="34" t="s">
        <v>2369</v>
      </c>
    </row>
    <row r="21" spans="1:15">
      <c r="A21" s="17" t="s">
        <v>1715</v>
      </c>
      <c r="B21" s="34" t="s">
        <v>513</v>
      </c>
      <c r="C21" s="61" t="s">
        <v>515</v>
      </c>
      <c r="D21" s="61" t="s">
        <v>2154</v>
      </c>
      <c r="E21" s="61" t="s">
        <v>2155</v>
      </c>
      <c r="F21" s="62"/>
      <c r="I21" s="63">
        <v>143.33000000000001</v>
      </c>
      <c r="K21" s="58">
        <f t="shared" si="1"/>
        <v>143.33000000000001</v>
      </c>
      <c r="L21" s="64">
        <v>1</v>
      </c>
      <c r="M21" s="65">
        <f t="shared" si="2"/>
        <v>143.33000000000001</v>
      </c>
      <c r="N21" s="65">
        <f t="shared" si="3"/>
        <v>164.82950000000002</v>
      </c>
      <c r="O21" s="34" t="s">
        <v>2370</v>
      </c>
    </row>
    <row r="22" spans="1:15">
      <c r="A22" s="17" t="s">
        <v>1715</v>
      </c>
      <c r="B22" s="34" t="s">
        <v>513</v>
      </c>
      <c r="C22" s="61" t="s">
        <v>515</v>
      </c>
      <c r="D22" s="61" t="s">
        <v>2154</v>
      </c>
      <c r="E22" s="61" t="s">
        <v>2155</v>
      </c>
      <c r="F22" s="62"/>
      <c r="G22" s="63">
        <v>500</v>
      </c>
      <c r="H22" s="63">
        <v>-3376.6</v>
      </c>
      <c r="I22" s="63">
        <v>21677.505000000001</v>
      </c>
      <c r="J22" s="63">
        <v>1628.11</v>
      </c>
      <c r="K22" s="58">
        <f t="shared" si="1"/>
        <v>20429.015000000003</v>
      </c>
      <c r="L22" s="64">
        <v>1</v>
      </c>
      <c r="M22" s="65">
        <f t="shared" si="2"/>
        <v>20429.015000000003</v>
      </c>
      <c r="N22" s="65">
        <f t="shared" si="3"/>
        <v>23493.367250000003</v>
      </c>
      <c r="O22" s="34" t="s">
        <v>2370</v>
      </c>
    </row>
    <row r="23" spans="1:15">
      <c r="A23" s="17" t="s">
        <v>1723</v>
      </c>
      <c r="B23" s="34" t="s">
        <v>513</v>
      </c>
      <c r="C23" s="61" t="s">
        <v>515</v>
      </c>
      <c r="D23" s="61" t="s">
        <v>2154</v>
      </c>
      <c r="E23" s="61" t="s">
        <v>2155</v>
      </c>
      <c r="F23" s="62"/>
      <c r="G23" s="63">
        <v>2144</v>
      </c>
      <c r="H23" s="63">
        <v>24940.89</v>
      </c>
      <c r="K23" s="58">
        <f t="shared" si="1"/>
        <v>27084.89</v>
      </c>
      <c r="L23" s="64">
        <v>1</v>
      </c>
      <c r="M23" s="65">
        <f t="shared" si="2"/>
        <v>27084.89</v>
      </c>
      <c r="N23" s="65">
        <f t="shared" si="3"/>
        <v>31147.623499999998</v>
      </c>
      <c r="O23" s="34" t="s">
        <v>2370</v>
      </c>
    </row>
    <row r="24" spans="1:15">
      <c r="A24" s="17" t="s">
        <v>1715</v>
      </c>
      <c r="B24" s="34" t="s">
        <v>285</v>
      </c>
      <c r="C24" s="61" t="s">
        <v>287</v>
      </c>
      <c r="D24" s="61" t="s">
        <v>2257</v>
      </c>
      <c r="E24" s="61" t="s">
        <v>2258</v>
      </c>
      <c r="F24" s="62"/>
      <c r="G24" s="63">
        <v>6416.35</v>
      </c>
      <c r="H24" s="63">
        <v>6225.49</v>
      </c>
      <c r="I24" s="63">
        <v>21836.305</v>
      </c>
      <c r="J24" s="63">
        <v>827.57</v>
      </c>
      <c r="K24" s="58">
        <f t="shared" si="1"/>
        <v>35305.715000000004</v>
      </c>
      <c r="L24" s="64">
        <v>1</v>
      </c>
      <c r="M24" s="65">
        <f t="shared" si="2"/>
        <v>35305.715000000004</v>
      </c>
      <c r="N24" s="65">
        <f t="shared" si="3"/>
        <v>40601.572250000005</v>
      </c>
      <c r="O24" s="34" t="s">
        <v>2369</v>
      </c>
    </row>
    <row r="25" spans="1:15">
      <c r="A25" s="17" t="s">
        <v>1723</v>
      </c>
      <c r="B25" s="34" t="s">
        <v>285</v>
      </c>
      <c r="C25" s="61" t="s">
        <v>287</v>
      </c>
      <c r="D25" s="61" t="s">
        <v>2257</v>
      </c>
      <c r="E25" s="61" t="s">
        <v>2258</v>
      </c>
      <c r="F25" s="62"/>
      <c r="G25" s="63">
        <v>16365</v>
      </c>
      <c r="H25" s="63">
        <v>7584.95</v>
      </c>
      <c r="K25" s="58">
        <f t="shared" si="1"/>
        <v>23949.95</v>
      </c>
      <c r="L25" s="64">
        <v>1</v>
      </c>
      <c r="M25" s="65">
        <f t="shared" si="2"/>
        <v>23949.95</v>
      </c>
      <c r="N25" s="65">
        <f t="shared" si="3"/>
        <v>27542.442500000001</v>
      </c>
      <c r="O25" s="34" t="s">
        <v>2369</v>
      </c>
    </row>
    <row r="26" spans="1:15">
      <c r="A26" s="17" t="s">
        <v>1715</v>
      </c>
      <c r="B26" s="34" t="s">
        <v>291</v>
      </c>
      <c r="C26" s="61" t="s">
        <v>293</v>
      </c>
      <c r="D26" s="61" t="s">
        <v>2319</v>
      </c>
      <c r="E26" s="61" t="s">
        <v>2320</v>
      </c>
      <c r="F26" s="62"/>
      <c r="G26" s="63">
        <v>715.42</v>
      </c>
      <c r="K26" s="58">
        <f t="shared" si="1"/>
        <v>715.42</v>
      </c>
      <c r="L26" s="64">
        <v>1</v>
      </c>
      <c r="M26" s="65">
        <f t="shared" si="2"/>
        <v>715.42</v>
      </c>
      <c r="N26" s="65">
        <f t="shared" si="3"/>
        <v>822.73299999999995</v>
      </c>
      <c r="O26" s="34" t="s">
        <v>2370</v>
      </c>
    </row>
    <row r="27" spans="1:15">
      <c r="A27" s="17" t="s">
        <v>1723</v>
      </c>
      <c r="B27" s="34" t="s">
        <v>291</v>
      </c>
      <c r="C27" s="61" t="s">
        <v>293</v>
      </c>
      <c r="D27" s="61" t="s">
        <v>2319</v>
      </c>
      <c r="E27" s="61" t="s">
        <v>2320</v>
      </c>
      <c r="F27" s="62"/>
      <c r="G27" s="63">
        <v>5007.9399999999996</v>
      </c>
      <c r="H27" s="63">
        <v>12774</v>
      </c>
      <c r="K27" s="58">
        <f t="shared" si="1"/>
        <v>17781.939999999999</v>
      </c>
      <c r="L27" s="64">
        <v>1</v>
      </c>
      <c r="M27" s="65">
        <f t="shared" si="2"/>
        <v>17781.939999999999</v>
      </c>
      <c r="N27" s="65">
        <f t="shared" si="3"/>
        <v>20449.231</v>
      </c>
      <c r="O27" s="34" t="s">
        <v>2370</v>
      </c>
    </row>
    <row r="28" spans="1:15" ht="25.5">
      <c r="A28" s="17" t="s">
        <v>1473</v>
      </c>
      <c r="B28" s="34" t="s">
        <v>1658</v>
      </c>
      <c r="C28" s="61" t="s">
        <v>1660</v>
      </c>
      <c r="D28" s="61" t="s">
        <v>2179</v>
      </c>
      <c r="E28" s="61" t="s">
        <v>2180</v>
      </c>
      <c r="F28" s="62"/>
      <c r="G28" s="63">
        <v>1300</v>
      </c>
      <c r="K28" s="58">
        <f t="shared" si="1"/>
        <v>1300</v>
      </c>
      <c r="L28" s="64">
        <v>1</v>
      </c>
      <c r="M28" s="65">
        <f t="shared" si="2"/>
        <v>1300</v>
      </c>
      <c r="N28" s="65">
        <f t="shared" si="3"/>
        <v>1495</v>
      </c>
      <c r="O28" s="34" t="s">
        <v>2369</v>
      </c>
    </row>
    <row r="29" spans="1:15">
      <c r="A29" s="17" t="s">
        <v>1715</v>
      </c>
      <c r="B29" s="34" t="s">
        <v>30</v>
      </c>
      <c r="C29" s="61" t="s">
        <v>32</v>
      </c>
      <c r="D29" s="61" t="s">
        <v>2179</v>
      </c>
      <c r="E29" s="61" t="s">
        <v>2327</v>
      </c>
      <c r="F29" s="62"/>
      <c r="G29" s="63">
        <v>5541.5</v>
      </c>
      <c r="I29" s="63">
        <v>268.66000000000003</v>
      </c>
      <c r="K29" s="58">
        <f t="shared" si="1"/>
        <v>5810.16</v>
      </c>
      <c r="L29" s="64">
        <v>1</v>
      </c>
      <c r="M29" s="65">
        <f t="shared" si="2"/>
        <v>5810.16</v>
      </c>
      <c r="N29" s="65">
        <f t="shared" si="3"/>
        <v>6681.6840000000002</v>
      </c>
      <c r="O29" s="34" t="s">
        <v>2371</v>
      </c>
    </row>
    <row r="30" spans="1:15">
      <c r="A30" s="17" t="s">
        <v>1723</v>
      </c>
      <c r="B30" s="34" t="s">
        <v>30</v>
      </c>
      <c r="C30" s="61" t="s">
        <v>32</v>
      </c>
      <c r="D30" s="61" t="s">
        <v>2179</v>
      </c>
      <c r="E30" s="61" t="s">
        <v>2327</v>
      </c>
      <c r="F30" s="62"/>
      <c r="G30" s="63">
        <v>22155.75</v>
      </c>
      <c r="H30" s="63">
        <v>13364.16</v>
      </c>
      <c r="K30" s="58">
        <f t="shared" si="1"/>
        <v>35519.910000000003</v>
      </c>
      <c r="L30" s="64">
        <v>1</v>
      </c>
      <c r="M30" s="65">
        <f t="shared" si="2"/>
        <v>35519.910000000003</v>
      </c>
      <c r="N30" s="65">
        <f t="shared" si="3"/>
        <v>40847.896500000003</v>
      </c>
      <c r="O30" s="34" t="s">
        <v>2371</v>
      </c>
    </row>
    <row r="31" spans="1:15">
      <c r="A31" s="17" t="s">
        <v>1715</v>
      </c>
      <c r="B31" s="34" t="s">
        <v>498</v>
      </c>
      <c r="C31" s="61" t="s">
        <v>500</v>
      </c>
      <c r="D31" s="61" t="s">
        <v>2238</v>
      </c>
      <c r="E31" s="61" t="s">
        <v>2239</v>
      </c>
      <c r="F31" s="62"/>
      <c r="I31" s="63">
        <v>2682.68</v>
      </c>
      <c r="K31" s="58">
        <f t="shared" si="1"/>
        <v>2682.68</v>
      </c>
      <c r="L31" s="64">
        <v>1</v>
      </c>
      <c r="M31" s="65">
        <f t="shared" si="2"/>
        <v>2682.68</v>
      </c>
      <c r="N31" s="65">
        <f t="shared" si="3"/>
        <v>3085.0819999999999</v>
      </c>
      <c r="O31" s="34" t="s">
        <v>2372</v>
      </c>
    </row>
    <row r="32" spans="1:15">
      <c r="A32" s="17" t="s">
        <v>1723</v>
      </c>
      <c r="B32" s="34" t="s">
        <v>498</v>
      </c>
      <c r="C32" s="61" t="s">
        <v>500</v>
      </c>
      <c r="D32" s="61" t="s">
        <v>2238</v>
      </c>
      <c r="E32" s="61" t="s">
        <v>2239</v>
      </c>
      <c r="F32" s="62"/>
      <c r="G32" s="63">
        <v>5335.68</v>
      </c>
      <c r="K32" s="58">
        <f t="shared" si="1"/>
        <v>5335.68</v>
      </c>
      <c r="L32" s="64">
        <v>1</v>
      </c>
      <c r="M32" s="65">
        <f t="shared" si="2"/>
        <v>5335.68</v>
      </c>
      <c r="N32" s="65">
        <f t="shared" si="3"/>
        <v>6136.0320000000002</v>
      </c>
      <c r="O32" s="34" t="s">
        <v>2372</v>
      </c>
    </row>
    <row r="33" spans="1:15">
      <c r="A33" s="17" t="s">
        <v>1715</v>
      </c>
      <c r="B33" s="34" t="s">
        <v>78</v>
      </c>
      <c r="C33" s="61" t="s">
        <v>80</v>
      </c>
      <c r="D33" s="61" t="s">
        <v>2230</v>
      </c>
      <c r="E33" s="61" t="s">
        <v>2231</v>
      </c>
      <c r="F33" s="62"/>
      <c r="H33" s="63">
        <v>11379.78</v>
      </c>
      <c r="I33" s="63">
        <v>75.349999999999994</v>
      </c>
      <c r="K33" s="58">
        <f t="shared" si="1"/>
        <v>11455.130000000001</v>
      </c>
      <c r="L33" s="64">
        <v>1</v>
      </c>
      <c r="M33" s="65">
        <f t="shared" si="2"/>
        <v>11455.130000000001</v>
      </c>
      <c r="N33" s="65">
        <f t="shared" si="3"/>
        <v>13173.399500000001</v>
      </c>
      <c r="O33" s="34" t="s">
        <v>2369</v>
      </c>
    </row>
    <row r="34" spans="1:15">
      <c r="A34" s="17" t="s">
        <v>1473</v>
      </c>
      <c r="B34" s="34" t="s">
        <v>1499</v>
      </c>
      <c r="C34" s="61" t="s">
        <v>1501</v>
      </c>
      <c r="D34" s="61" t="s">
        <v>2054</v>
      </c>
      <c r="E34" s="61" t="s">
        <v>2055</v>
      </c>
      <c r="F34" s="62"/>
      <c r="G34" s="63">
        <v>13674.63</v>
      </c>
      <c r="I34" s="63">
        <v>807.875</v>
      </c>
      <c r="K34" s="58">
        <f t="shared" si="1"/>
        <v>14482.504999999999</v>
      </c>
      <c r="L34" s="64">
        <v>1</v>
      </c>
      <c r="M34" s="65">
        <f t="shared" si="2"/>
        <v>14482.504999999999</v>
      </c>
      <c r="N34" s="65">
        <f t="shared" si="3"/>
        <v>16654.88075</v>
      </c>
      <c r="O34" s="34" t="s">
        <v>2369</v>
      </c>
    </row>
    <row r="35" spans="1:15">
      <c r="A35" s="17" t="s">
        <v>1399</v>
      </c>
      <c r="B35" s="34" t="s">
        <v>1455</v>
      </c>
      <c r="C35" s="61" t="s">
        <v>1457</v>
      </c>
      <c r="D35" s="61" t="s">
        <v>2019</v>
      </c>
      <c r="E35" s="61" t="s">
        <v>2020</v>
      </c>
      <c r="F35" s="62"/>
      <c r="I35" s="63">
        <v>290.27999999999997</v>
      </c>
      <c r="K35" s="58">
        <f t="shared" si="1"/>
        <v>290.27999999999997</v>
      </c>
      <c r="L35" s="64">
        <v>1</v>
      </c>
      <c r="M35" s="65">
        <f t="shared" si="2"/>
        <v>290.27999999999997</v>
      </c>
      <c r="N35" s="65">
        <f t="shared" si="3"/>
        <v>333.82199999999995</v>
      </c>
      <c r="O35" s="34" t="s">
        <v>2369</v>
      </c>
    </row>
    <row r="36" spans="1:15">
      <c r="A36" s="17" t="s">
        <v>1473</v>
      </c>
      <c r="B36" s="34" t="s">
        <v>1592</v>
      </c>
      <c r="C36" s="61" t="s">
        <v>1594</v>
      </c>
      <c r="D36" s="61" t="s">
        <v>2132</v>
      </c>
      <c r="E36" s="61" t="s">
        <v>2133</v>
      </c>
      <c r="F36" s="62"/>
      <c r="I36" s="63">
        <v>530.16</v>
      </c>
      <c r="K36" s="58">
        <f t="shared" si="1"/>
        <v>530.16</v>
      </c>
      <c r="L36" s="64">
        <v>1</v>
      </c>
      <c r="M36" s="65">
        <f t="shared" si="2"/>
        <v>530.16</v>
      </c>
      <c r="N36" s="65">
        <f t="shared" si="3"/>
        <v>609.68399999999997</v>
      </c>
      <c r="O36" s="34" t="s">
        <v>2369</v>
      </c>
    </row>
    <row r="37" spans="1:15">
      <c r="A37" s="17" t="s">
        <v>1473</v>
      </c>
      <c r="B37" s="34" t="s">
        <v>1607</v>
      </c>
      <c r="C37" s="61" t="s">
        <v>1609</v>
      </c>
      <c r="D37" s="61" t="s">
        <v>2142</v>
      </c>
      <c r="E37" s="61" t="s">
        <v>2143</v>
      </c>
      <c r="F37" s="62"/>
      <c r="G37" s="63">
        <v>760</v>
      </c>
      <c r="I37" s="63">
        <v>1661.46</v>
      </c>
      <c r="K37" s="58">
        <f t="shared" si="1"/>
        <v>2421.46</v>
      </c>
      <c r="L37" s="64">
        <v>1</v>
      </c>
      <c r="M37" s="65">
        <f t="shared" si="2"/>
        <v>2421.46</v>
      </c>
      <c r="N37" s="65">
        <f t="shared" si="3"/>
        <v>2784.6790000000001</v>
      </c>
      <c r="O37" s="34" t="s">
        <v>2369</v>
      </c>
    </row>
    <row r="38" spans="1:15">
      <c r="A38" s="17" t="s">
        <v>1473</v>
      </c>
      <c r="B38" s="34" t="s">
        <v>1508</v>
      </c>
      <c r="C38" s="61" t="s">
        <v>1510</v>
      </c>
      <c r="D38" s="61" t="s">
        <v>2062</v>
      </c>
      <c r="E38" s="61" t="s">
        <v>2063</v>
      </c>
      <c r="F38" s="62"/>
      <c r="G38" s="63">
        <v>9342.4</v>
      </c>
      <c r="I38" s="63">
        <v>240.23</v>
      </c>
      <c r="K38" s="58">
        <f t="shared" si="1"/>
        <v>9582.6299999999992</v>
      </c>
      <c r="L38" s="64">
        <v>1</v>
      </c>
      <c r="M38" s="65">
        <f t="shared" si="2"/>
        <v>9582.6299999999992</v>
      </c>
      <c r="N38" s="65">
        <f t="shared" si="3"/>
        <v>11020.0245</v>
      </c>
      <c r="O38" s="34" t="s">
        <v>2369</v>
      </c>
    </row>
    <row r="39" spans="1:15">
      <c r="A39" s="17" t="s">
        <v>1723</v>
      </c>
      <c r="B39" s="34" t="s">
        <v>397</v>
      </c>
      <c r="C39" s="61" t="s">
        <v>399</v>
      </c>
      <c r="D39" s="61" t="s">
        <v>1953</v>
      </c>
      <c r="E39" s="61" t="s">
        <v>2359</v>
      </c>
      <c r="F39" s="62"/>
      <c r="G39" s="63">
        <v>800</v>
      </c>
      <c r="K39" s="58">
        <f t="shared" si="1"/>
        <v>800</v>
      </c>
      <c r="L39" s="64">
        <v>1</v>
      </c>
      <c r="M39" s="65">
        <f t="shared" si="2"/>
        <v>800</v>
      </c>
      <c r="N39" s="65">
        <f t="shared" si="3"/>
        <v>920</v>
      </c>
      <c r="O39" s="34" t="s">
        <v>2369</v>
      </c>
    </row>
    <row r="40" spans="1:15">
      <c r="A40" s="17" t="s">
        <v>1715</v>
      </c>
      <c r="B40" s="34" t="s">
        <v>225</v>
      </c>
      <c r="C40" s="61" t="s">
        <v>227</v>
      </c>
      <c r="D40" s="61" t="s">
        <v>2286</v>
      </c>
      <c r="E40" s="61" t="s">
        <v>2287</v>
      </c>
      <c r="F40" s="62"/>
      <c r="H40" s="63">
        <v>1578.49</v>
      </c>
      <c r="I40" s="63">
        <v>223.28</v>
      </c>
      <c r="K40" s="58">
        <f t="shared" si="1"/>
        <v>1801.77</v>
      </c>
      <c r="L40" s="64">
        <v>1</v>
      </c>
      <c r="M40" s="65">
        <f t="shared" si="2"/>
        <v>1801.77</v>
      </c>
      <c r="N40" s="65">
        <f t="shared" si="3"/>
        <v>2072.0355</v>
      </c>
      <c r="O40" s="34" t="s">
        <v>2369</v>
      </c>
    </row>
    <row r="41" spans="1:15">
      <c r="A41" s="17" t="s">
        <v>1723</v>
      </c>
      <c r="B41" s="34" t="s">
        <v>225</v>
      </c>
      <c r="C41" s="61" t="s">
        <v>227</v>
      </c>
      <c r="D41" s="61" t="s">
        <v>2286</v>
      </c>
      <c r="E41" s="61" t="s">
        <v>2287</v>
      </c>
      <c r="F41" s="62"/>
      <c r="G41" s="63">
        <v>12000</v>
      </c>
      <c r="K41" s="58">
        <f t="shared" si="1"/>
        <v>12000</v>
      </c>
      <c r="L41" s="64">
        <v>1</v>
      </c>
      <c r="M41" s="65">
        <f t="shared" si="2"/>
        <v>12000</v>
      </c>
      <c r="N41" s="65">
        <f t="shared" si="3"/>
        <v>13800</v>
      </c>
      <c r="O41" s="34" t="s">
        <v>2369</v>
      </c>
    </row>
    <row r="42" spans="1:15">
      <c r="A42" s="17" t="s">
        <v>1473</v>
      </c>
      <c r="B42" s="34" t="s">
        <v>1700</v>
      </c>
      <c r="C42" s="61" t="s">
        <v>1702</v>
      </c>
      <c r="D42" s="61" t="s">
        <v>2209</v>
      </c>
      <c r="E42" s="61" t="s">
        <v>2210</v>
      </c>
      <c r="F42" s="62"/>
      <c r="G42" s="63">
        <v>10400</v>
      </c>
      <c r="K42" s="58">
        <f t="shared" si="1"/>
        <v>10400</v>
      </c>
      <c r="L42" s="64">
        <v>1</v>
      </c>
      <c r="M42" s="65">
        <f t="shared" si="2"/>
        <v>10400</v>
      </c>
      <c r="N42" s="65">
        <f t="shared" si="3"/>
        <v>11960</v>
      </c>
      <c r="O42" s="34" t="s">
        <v>2369</v>
      </c>
    </row>
    <row r="43" spans="1:15">
      <c r="A43" s="17" t="s">
        <v>1473</v>
      </c>
      <c r="B43" s="34" t="s">
        <v>1292</v>
      </c>
      <c r="C43" s="61" t="s">
        <v>1294</v>
      </c>
      <c r="D43" s="61" t="s">
        <v>2108</v>
      </c>
      <c r="E43" s="61" t="s">
        <v>2109</v>
      </c>
      <c r="F43" s="62"/>
      <c r="G43" s="63">
        <v>1267</v>
      </c>
      <c r="I43" s="63">
        <v>3451.77</v>
      </c>
      <c r="K43" s="58">
        <f t="shared" si="1"/>
        <v>4718.7700000000004</v>
      </c>
      <c r="L43" s="64">
        <v>1</v>
      </c>
      <c r="M43" s="65">
        <f t="shared" si="2"/>
        <v>4718.7700000000004</v>
      </c>
      <c r="N43" s="65">
        <f t="shared" si="3"/>
        <v>5426.5855000000001</v>
      </c>
      <c r="O43" s="34" t="s">
        <v>2369</v>
      </c>
    </row>
    <row r="44" spans="1:15">
      <c r="A44" s="17" t="s">
        <v>1715</v>
      </c>
      <c r="B44" s="34" t="s">
        <v>1292</v>
      </c>
      <c r="C44" s="61" t="s">
        <v>1294</v>
      </c>
      <c r="D44" s="61" t="s">
        <v>2108</v>
      </c>
      <c r="E44" s="61" t="s">
        <v>2109</v>
      </c>
      <c r="F44" s="62"/>
      <c r="G44" s="63">
        <v>61823.88</v>
      </c>
      <c r="K44" s="58">
        <f t="shared" si="1"/>
        <v>61823.88</v>
      </c>
      <c r="L44" s="64">
        <v>1</v>
      </c>
      <c r="M44" s="65">
        <f t="shared" si="2"/>
        <v>61823.88</v>
      </c>
      <c r="N44" s="65">
        <f t="shared" si="3"/>
        <v>71097.462</v>
      </c>
      <c r="O44" s="34" t="s">
        <v>2369</v>
      </c>
    </row>
    <row r="45" spans="1:15">
      <c r="A45" s="17" t="s">
        <v>1715</v>
      </c>
      <c r="B45" s="34" t="s">
        <v>388</v>
      </c>
      <c r="C45" s="61" t="s">
        <v>390</v>
      </c>
      <c r="D45" s="61" t="s">
        <v>2293</v>
      </c>
      <c r="E45" s="61" t="s">
        <v>2294</v>
      </c>
      <c r="F45" s="62"/>
      <c r="I45" s="63">
        <v>1616.4649999999999</v>
      </c>
      <c r="J45" s="63">
        <v>709.59</v>
      </c>
      <c r="K45" s="58">
        <f t="shared" si="1"/>
        <v>2326.0549999999998</v>
      </c>
      <c r="L45" s="64">
        <v>1</v>
      </c>
      <c r="M45" s="65">
        <f t="shared" si="2"/>
        <v>2326.0549999999998</v>
      </c>
      <c r="N45" s="65">
        <f t="shared" si="3"/>
        <v>2674.9632499999998</v>
      </c>
      <c r="O45" s="34" t="s">
        <v>2369</v>
      </c>
    </row>
    <row r="46" spans="1:15">
      <c r="A46" s="17" t="s">
        <v>1723</v>
      </c>
      <c r="B46" s="34" t="s">
        <v>388</v>
      </c>
      <c r="C46" s="61" t="s">
        <v>390</v>
      </c>
      <c r="D46" s="61" t="s">
        <v>2293</v>
      </c>
      <c r="E46" s="61" t="s">
        <v>2294</v>
      </c>
      <c r="F46" s="62"/>
      <c r="G46" s="63">
        <v>1478.75</v>
      </c>
      <c r="K46" s="58">
        <f t="shared" si="1"/>
        <v>1478.75</v>
      </c>
      <c r="L46" s="64">
        <v>1</v>
      </c>
      <c r="M46" s="65">
        <f t="shared" si="2"/>
        <v>1478.75</v>
      </c>
      <c r="N46" s="65">
        <f t="shared" si="3"/>
        <v>1700.5625</v>
      </c>
      <c r="O46" s="34" t="s">
        <v>2369</v>
      </c>
    </row>
    <row r="47" spans="1:15">
      <c r="A47" s="17" t="s">
        <v>1097</v>
      </c>
      <c r="B47" s="34" t="s">
        <v>636</v>
      </c>
      <c r="C47" s="61" t="s">
        <v>638</v>
      </c>
      <c r="D47" s="61" t="s">
        <v>1927</v>
      </c>
      <c r="E47" s="61" t="s">
        <v>1928</v>
      </c>
      <c r="F47" s="62"/>
      <c r="G47" s="63">
        <v>39258.92</v>
      </c>
      <c r="H47" s="63">
        <v>25703.59</v>
      </c>
      <c r="K47" s="58">
        <f t="shared" si="1"/>
        <v>64962.509999999995</v>
      </c>
      <c r="L47" s="64">
        <v>1</v>
      </c>
      <c r="M47" s="65">
        <f t="shared" si="2"/>
        <v>64962.509999999995</v>
      </c>
      <c r="N47" s="65">
        <f t="shared" si="3"/>
        <v>74706.886499999993</v>
      </c>
      <c r="O47" s="34" t="s">
        <v>2370</v>
      </c>
    </row>
    <row r="48" spans="1:15">
      <c r="A48" s="17" t="s">
        <v>1097</v>
      </c>
      <c r="B48" s="34" t="s">
        <v>486</v>
      </c>
      <c r="C48" s="61" t="s">
        <v>488</v>
      </c>
      <c r="D48" s="61" t="s">
        <v>1927</v>
      </c>
      <c r="E48" s="61" t="s">
        <v>1941</v>
      </c>
      <c r="F48" s="62"/>
      <c r="G48" s="63">
        <v>109209.91</v>
      </c>
      <c r="K48" s="58">
        <f t="shared" si="1"/>
        <v>109209.91</v>
      </c>
      <c r="L48" s="64">
        <v>1</v>
      </c>
      <c r="M48" s="65">
        <f t="shared" si="2"/>
        <v>109209.91</v>
      </c>
      <c r="N48" s="65">
        <f t="shared" si="3"/>
        <v>125591.3965</v>
      </c>
      <c r="O48" s="34" t="s">
        <v>2370</v>
      </c>
    </row>
    <row r="49" spans="1:15">
      <c r="A49" s="17" t="s">
        <v>1097</v>
      </c>
      <c r="B49" s="34" t="s">
        <v>1138</v>
      </c>
      <c r="C49" s="61" t="s">
        <v>1140</v>
      </c>
      <c r="D49" s="61" t="s">
        <v>1927</v>
      </c>
      <c r="E49" s="61" t="s">
        <v>1959</v>
      </c>
      <c r="F49" s="62"/>
      <c r="G49" s="63">
        <v>205501.81</v>
      </c>
      <c r="K49" s="58">
        <f t="shared" si="1"/>
        <v>205501.81</v>
      </c>
      <c r="L49" s="64">
        <v>1</v>
      </c>
      <c r="M49" s="65">
        <f t="shared" si="2"/>
        <v>205501.81</v>
      </c>
      <c r="N49" s="65">
        <f t="shared" si="3"/>
        <v>236327.0815</v>
      </c>
      <c r="O49" s="34" t="s">
        <v>2370</v>
      </c>
    </row>
    <row r="50" spans="1:15">
      <c r="A50" s="17" t="s">
        <v>1097</v>
      </c>
      <c r="B50" s="34" t="s">
        <v>1141</v>
      </c>
      <c r="C50" s="61" t="s">
        <v>1143</v>
      </c>
      <c r="D50" s="61" t="s">
        <v>1927</v>
      </c>
      <c r="E50" s="61" t="s">
        <v>1960</v>
      </c>
      <c r="F50" s="62"/>
      <c r="G50" s="63">
        <v>166791.60999999999</v>
      </c>
      <c r="K50" s="58">
        <f t="shared" si="1"/>
        <v>166791.60999999999</v>
      </c>
      <c r="L50" s="64">
        <v>1</v>
      </c>
      <c r="M50" s="65">
        <f t="shared" si="2"/>
        <v>166791.60999999999</v>
      </c>
      <c r="N50" s="65">
        <f t="shared" si="3"/>
        <v>191810.35149999999</v>
      </c>
      <c r="O50" s="34" t="s">
        <v>2370</v>
      </c>
    </row>
    <row r="51" spans="1:15">
      <c r="A51" s="17" t="s">
        <v>1097</v>
      </c>
      <c r="B51" s="34" t="s">
        <v>741</v>
      </c>
      <c r="C51" s="61" t="s">
        <v>743</v>
      </c>
      <c r="D51" s="61" t="s">
        <v>1927</v>
      </c>
      <c r="E51" s="61" t="s">
        <v>1972</v>
      </c>
      <c r="F51" s="62"/>
      <c r="G51" s="63">
        <v>231696.82</v>
      </c>
      <c r="K51" s="58">
        <f t="shared" ref="K51:K93" si="4">SUM(G51:J51)</f>
        <v>231696.82</v>
      </c>
      <c r="L51" s="64">
        <v>1</v>
      </c>
      <c r="M51" s="65">
        <f t="shared" ref="M51:M93" si="5">+K51*L51</f>
        <v>231696.82</v>
      </c>
      <c r="N51" s="65">
        <f t="shared" ref="N51:N93" si="6">+M51+(+M51*$N$1)</f>
        <v>266451.34299999999</v>
      </c>
      <c r="O51" s="34" t="s">
        <v>2370</v>
      </c>
    </row>
    <row r="52" spans="1:15">
      <c r="A52" s="17" t="s">
        <v>1715</v>
      </c>
      <c r="B52" s="34" t="s">
        <v>636</v>
      </c>
      <c r="C52" s="61" t="s">
        <v>638</v>
      </c>
      <c r="D52" s="61" t="s">
        <v>1927</v>
      </c>
      <c r="E52" s="61" t="s">
        <v>1928</v>
      </c>
      <c r="F52" s="62"/>
      <c r="G52" s="63">
        <v>14052.8</v>
      </c>
      <c r="I52" s="63">
        <v>6365.61</v>
      </c>
      <c r="J52" s="63">
        <v>840</v>
      </c>
      <c r="K52" s="58">
        <f t="shared" si="4"/>
        <v>21258.41</v>
      </c>
      <c r="L52" s="64">
        <v>1</v>
      </c>
      <c r="M52" s="65">
        <f t="shared" si="5"/>
        <v>21258.41</v>
      </c>
      <c r="N52" s="65">
        <f t="shared" si="6"/>
        <v>24447.1715</v>
      </c>
      <c r="O52" s="34" t="s">
        <v>2370</v>
      </c>
    </row>
    <row r="53" spans="1:15">
      <c r="A53" s="17" t="s">
        <v>1715</v>
      </c>
      <c r="B53" s="34" t="s">
        <v>636</v>
      </c>
      <c r="C53" s="61" t="s">
        <v>638</v>
      </c>
      <c r="D53" s="61" t="s">
        <v>1927</v>
      </c>
      <c r="E53" s="61" t="s">
        <v>1928</v>
      </c>
      <c r="F53" s="62"/>
      <c r="I53" s="63">
        <v>95.44</v>
      </c>
      <c r="K53" s="58">
        <f t="shared" si="4"/>
        <v>95.44</v>
      </c>
      <c r="L53" s="64">
        <v>1</v>
      </c>
      <c r="M53" s="65">
        <f t="shared" si="5"/>
        <v>95.44</v>
      </c>
      <c r="N53" s="65">
        <f t="shared" si="6"/>
        <v>109.756</v>
      </c>
      <c r="O53" s="34" t="s">
        <v>2370</v>
      </c>
    </row>
    <row r="54" spans="1:15">
      <c r="A54" s="17" t="s">
        <v>1399</v>
      </c>
      <c r="B54" s="34" t="s">
        <v>1404</v>
      </c>
      <c r="C54" s="61" t="s">
        <v>1406</v>
      </c>
      <c r="D54" s="61" t="s">
        <v>1981</v>
      </c>
      <c r="E54" s="61" t="s">
        <v>1982</v>
      </c>
      <c r="F54" s="62"/>
      <c r="I54" s="63">
        <v>973.83</v>
      </c>
      <c r="K54" s="58">
        <f t="shared" si="4"/>
        <v>973.83</v>
      </c>
      <c r="L54" s="64">
        <v>1</v>
      </c>
      <c r="M54" s="65">
        <f t="shared" si="5"/>
        <v>973.83</v>
      </c>
      <c r="N54" s="65">
        <f t="shared" si="6"/>
        <v>1119.9045000000001</v>
      </c>
      <c r="O54" s="34" t="s">
        <v>2369</v>
      </c>
    </row>
    <row r="55" spans="1:15">
      <c r="A55" s="17" t="s">
        <v>1473</v>
      </c>
      <c r="B55" s="34" t="s">
        <v>1637</v>
      </c>
      <c r="C55" s="61" t="s">
        <v>1639</v>
      </c>
      <c r="D55" s="61" t="s">
        <v>2165</v>
      </c>
      <c r="E55" s="61" t="s">
        <v>2166</v>
      </c>
      <c r="F55" s="62"/>
      <c r="G55" s="63">
        <v>1546</v>
      </c>
      <c r="I55" s="63">
        <v>5156.915</v>
      </c>
      <c r="K55" s="58">
        <f t="shared" si="4"/>
        <v>6702.915</v>
      </c>
      <c r="L55" s="64">
        <v>1</v>
      </c>
      <c r="M55" s="65">
        <f t="shared" si="5"/>
        <v>6702.915</v>
      </c>
      <c r="N55" s="65">
        <f t="shared" si="6"/>
        <v>7708.3522499999999</v>
      </c>
      <c r="O55" s="34" t="s">
        <v>2369</v>
      </c>
    </row>
    <row r="56" spans="1:15">
      <c r="A56" s="17" t="s">
        <v>1473</v>
      </c>
      <c r="B56" s="34" t="s">
        <v>114</v>
      </c>
      <c r="C56" s="61" t="s">
        <v>116</v>
      </c>
      <c r="D56" s="61" t="s">
        <v>2066</v>
      </c>
      <c r="E56" s="61" t="s">
        <v>2067</v>
      </c>
      <c r="F56" s="62"/>
      <c r="G56" s="63">
        <v>16800</v>
      </c>
      <c r="K56" s="58">
        <f t="shared" si="4"/>
        <v>16800</v>
      </c>
      <c r="L56" s="64">
        <v>1</v>
      </c>
      <c r="M56" s="65">
        <f t="shared" si="5"/>
        <v>16800</v>
      </c>
      <c r="N56" s="65">
        <f t="shared" si="6"/>
        <v>19320</v>
      </c>
      <c r="O56" s="34" t="s">
        <v>2369</v>
      </c>
    </row>
    <row r="57" spans="1:15">
      <c r="A57" s="17" t="s">
        <v>1473</v>
      </c>
      <c r="B57" s="34" t="s">
        <v>1520</v>
      </c>
      <c r="C57" s="61" t="s">
        <v>1522</v>
      </c>
      <c r="D57" s="61" t="s">
        <v>2072</v>
      </c>
      <c r="E57" s="61" t="s">
        <v>2073</v>
      </c>
      <c r="F57" s="62"/>
      <c r="G57" s="63">
        <v>45276.9</v>
      </c>
      <c r="I57" s="63">
        <v>769.36500000000001</v>
      </c>
      <c r="K57" s="58">
        <f t="shared" si="4"/>
        <v>46046.264999999999</v>
      </c>
      <c r="L57" s="64">
        <v>1</v>
      </c>
      <c r="M57" s="65">
        <f t="shared" si="5"/>
        <v>46046.264999999999</v>
      </c>
      <c r="N57" s="65">
        <f t="shared" si="6"/>
        <v>52953.204749999997</v>
      </c>
      <c r="O57" s="34" t="s">
        <v>2369</v>
      </c>
    </row>
    <row r="58" spans="1:15">
      <c r="A58" s="17" t="s">
        <v>1715</v>
      </c>
      <c r="B58" s="34" t="s">
        <v>771</v>
      </c>
      <c r="C58" s="61" t="s">
        <v>773</v>
      </c>
      <c r="D58" s="61" t="s">
        <v>2278</v>
      </c>
      <c r="E58" s="61" t="s">
        <v>2279</v>
      </c>
      <c r="F58" s="62"/>
      <c r="G58" s="63">
        <v>150</v>
      </c>
      <c r="I58" s="63">
        <v>1462.645</v>
      </c>
      <c r="J58" s="63">
        <v>155.76</v>
      </c>
      <c r="K58" s="58">
        <f t="shared" si="4"/>
        <v>1768.405</v>
      </c>
      <c r="L58" s="64">
        <v>0.9</v>
      </c>
      <c r="M58" s="65">
        <f t="shared" si="5"/>
        <v>1591.5645</v>
      </c>
      <c r="N58" s="65">
        <f t="shared" si="6"/>
        <v>1830.2991749999999</v>
      </c>
      <c r="O58" s="34" t="s">
        <v>2370</v>
      </c>
    </row>
    <row r="59" spans="1:15">
      <c r="A59" s="17" t="s">
        <v>1723</v>
      </c>
      <c r="B59" s="34" t="s">
        <v>771</v>
      </c>
      <c r="C59" s="61" t="s">
        <v>773</v>
      </c>
      <c r="D59" s="61" t="s">
        <v>2278</v>
      </c>
      <c r="E59" s="61" t="s">
        <v>2279</v>
      </c>
      <c r="F59" s="62"/>
      <c r="H59" s="63">
        <v>8423.0499999999993</v>
      </c>
      <c r="K59" s="58">
        <f t="shared" si="4"/>
        <v>8423.0499999999993</v>
      </c>
      <c r="L59" s="64">
        <v>0.9</v>
      </c>
      <c r="M59" s="65">
        <f t="shared" si="5"/>
        <v>7580.7449999999999</v>
      </c>
      <c r="N59" s="65">
        <f t="shared" si="6"/>
        <v>8717.856749999999</v>
      </c>
      <c r="O59" s="34" t="s">
        <v>2370</v>
      </c>
    </row>
    <row r="60" spans="1:15">
      <c r="A60" s="17" t="s">
        <v>1473</v>
      </c>
      <c r="B60" s="34" t="s">
        <v>1493</v>
      </c>
      <c r="C60" s="61" t="s">
        <v>1495</v>
      </c>
      <c r="D60" s="61" t="s">
        <v>2048</v>
      </c>
      <c r="E60" s="61" t="s">
        <v>2049</v>
      </c>
      <c r="F60" s="62"/>
      <c r="G60" s="63">
        <v>50</v>
      </c>
      <c r="I60" s="63">
        <v>1490.925</v>
      </c>
      <c r="J60" s="63">
        <v>236.53</v>
      </c>
      <c r="K60" s="58">
        <f t="shared" si="4"/>
        <v>1777.4549999999999</v>
      </c>
      <c r="L60" s="64">
        <v>1</v>
      </c>
      <c r="M60" s="65">
        <f t="shared" si="5"/>
        <v>1777.4549999999999</v>
      </c>
      <c r="N60" s="65">
        <f t="shared" si="6"/>
        <v>2044.0732499999999</v>
      </c>
      <c r="O60" s="34" t="s">
        <v>2369</v>
      </c>
    </row>
    <row r="61" spans="1:15">
      <c r="A61" s="17" t="s">
        <v>1723</v>
      </c>
      <c r="B61" s="34" t="s">
        <v>394</v>
      </c>
      <c r="C61" s="61" t="s">
        <v>396</v>
      </c>
      <c r="D61" s="61" t="s">
        <v>2336</v>
      </c>
      <c r="E61" s="61" t="s">
        <v>2337</v>
      </c>
      <c r="F61" s="62"/>
      <c r="G61" s="63">
        <v>600</v>
      </c>
      <c r="K61" s="58">
        <f t="shared" si="4"/>
        <v>600</v>
      </c>
      <c r="L61" s="64">
        <v>1</v>
      </c>
      <c r="M61" s="65">
        <f t="shared" si="5"/>
        <v>600</v>
      </c>
      <c r="N61" s="65">
        <f t="shared" si="6"/>
        <v>690</v>
      </c>
      <c r="O61" s="34" t="s">
        <v>2371</v>
      </c>
    </row>
    <row r="62" spans="1:15">
      <c r="A62" s="17" t="s">
        <v>1097</v>
      </c>
      <c r="B62" s="34" t="s">
        <v>186</v>
      </c>
      <c r="C62" s="61" t="s">
        <v>188</v>
      </c>
      <c r="D62" s="61" t="s">
        <v>1957</v>
      </c>
      <c r="E62" s="61" t="s">
        <v>1958</v>
      </c>
      <c r="F62" s="62"/>
      <c r="G62" s="63">
        <v>0</v>
      </c>
      <c r="K62" s="58">
        <f t="shared" si="4"/>
        <v>0</v>
      </c>
      <c r="L62" s="64">
        <v>1</v>
      </c>
      <c r="M62" s="65">
        <f t="shared" si="5"/>
        <v>0</v>
      </c>
      <c r="N62" s="65">
        <f t="shared" si="6"/>
        <v>0</v>
      </c>
      <c r="O62" s="34" t="s">
        <v>2370</v>
      </c>
    </row>
    <row r="63" spans="1:15">
      <c r="A63" s="17" t="s">
        <v>1715</v>
      </c>
      <c r="B63" s="34" t="s">
        <v>186</v>
      </c>
      <c r="C63" s="61" t="s">
        <v>188</v>
      </c>
      <c r="D63" s="61" t="s">
        <v>1957</v>
      </c>
      <c r="E63" s="61" t="s">
        <v>1958</v>
      </c>
      <c r="F63" s="62"/>
      <c r="I63" s="63">
        <v>772.8</v>
      </c>
      <c r="K63" s="58">
        <f t="shared" si="4"/>
        <v>772.8</v>
      </c>
      <c r="L63" s="64">
        <v>1</v>
      </c>
      <c r="M63" s="65">
        <f t="shared" si="5"/>
        <v>772.8</v>
      </c>
      <c r="N63" s="65">
        <f t="shared" si="6"/>
        <v>888.71999999999991</v>
      </c>
      <c r="O63" s="34" t="s">
        <v>2370</v>
      </c>
    </row>
    <row r="64" spans="1:15">
      <c r="A64" s="17" t="s">
        <v>1715</v>
      </c>
      <c r="B64" s="34" t="s">
        <v>186</v>
      </c>
      <c r="C64" s="61" t="s">
        <v>188</v>
      </c>
      <c r="D64" s="61" t="s">
        <v>1957</v>
      </c>
      <c r="E64" s="61" t="s">
        <v>1958</v>
      </c>
      <c r="F64" s="62"/>
      <c r="G64" s="63">
        <v>3028.95</v>
      </c>
      <c r="H64" s="63">
        <v>61.58</v>
      </c>
      <c r="I64" s="63">
        <v>3727.7350000000001</v>
      </c>
      <c r="J64" s="63">
        <v>409.82</v>
      </c>
      <c r="K64" s="58">
        <f t="shared" si="4"/>
        <v>7228.0849999999991</v>
      </c>
      <c r="L64" s="64">
        <v>1</v>
      </c>
      <c r="M64" s="65">
        <f t="shared" si="5"/>
        <v>7228.0849999999991</v>
      </c>
      <c r="N64" s="65">
        <f t="shared" si="6"/>
        <v>8312.2977499999997</v>
      </c>
      <c r="O64" s="34" t="s">
        <v>2370</v>
      </c>
    </row>
    <row r="65" spans="1:15">
      <c r="A65" s="17" t="s">
        <v>1723</v>
      </c>
      <c r="B65" s="34" t="s">
        <v>186</v>
      </c>
      <c r="C65" s="61" t="s">
        <v>188</v>
      </c>
      <c r="D65" s="61" t="s">
        <v>1957</v>
      </c>
      <c r="E65" s="61" t="s">
        <v>1958</v>
      </c>
      <c r="F65" s="62"/>
      <c r="G65" s="63">
        <v>28514.32</v>
      </c>
      <c r="H65" s="63">
        <v>-1399.01</v>
      </c>
      <c r="K65" s="58">
        <f t="shared" si="4"/>
        <v>27115.31</v>
      </c>
      <c r="L65" s="64">
        <v>1</v>
      </c>
      <c r="M65" s="65">
        <f t="shared" si="5"/>
        <v>27115.31</v>
      </c>
      <c r="N65" s="65">
        <f t="shared" si="6"/>
        <v>31182.606500000002</v>
      </c>
      <c r="O65" s="34" t="s">
        <v>2370</v>
      </c>
    </row>
    <row r="66" spans="1:15">
      <c r="A66" s="17" t="s">
        <v>1473</v>
      </c>
      <c r="B66" s="34" t="s">
        <v>1544</v>
      </c>
      <c r="C66" s="61" t="s">
        <v>1546</v>
      </c>
      <c r="D66" s="61" t="s">
        <v>2092</v>
      </c>
      <c r="E66" s="61" t="s">
        <v>2093</v>
      </c>
      <c r="F66" s="62"/>
      <c r="G66" s="63">
        <v>500</v>
      </c>
      <c r="K66" s="58">
        <f t="shared" si="4"/>
        <v>500</v>
      </c>
      <c r="L66" s="64">
        <v>1</v>
      </c>
      <c r="M66" s="65">
        <f t="shared" si="5"/>
        <v>500</v>
      </c>
      <c r="N66" s="65">
        <f t="shared" si="6"/>
        <v>575</v>
      </c>
      <c r="O66" s="34" t="s">
        <v>2369</v>
      </c>
    </row>
    <row r="67" spans="1:15">
      <c r="A67" s="17" t="s">
        <v>1723</v>
      </c>
      <c r="B67" s="34" t="s">
        <v>660</v>
      </c>
      <c r="C67" s="61" t="s">
        <v>662</v>
      </c>
      <c r="D67" s="61" t="s">
        <v>2334</v>
      </c>
      <c r="E67" s="61" t="s">
        <v>2335</v>
      </c>
      <c r="F67" s="62"/>
      <c r="G67" s="63">
        <v>1500</v>
      </c>
      <c r="K67" s="58">
        <f t="shared" si="4"/>
        <v>1500</v>
      </c>
      <c r="L67" s="64">
        <v>1</v>
      </c>
      <c r="M67" s="65">
        <f t="shared" si="5"/>
        <v>1500</v>
      </c>
      <c r="N67" s="65">
        <f t="shared" si="6"/>
        <v>1725</v>
      </c>
      <c r="O67" s="34" t="s">
        <v>2369</v>
      </c>
    </row>
    <row r="68" spans="1:15">
      <c r="A68" s="17" t="s">
        <v>1097</v>
      </c>
      <c r="B68" s="34" t="s">
        <v>81</v>
      </c>
      <c r="C68" s="61" t="s">
        <v>83</v>
      </c>
      <c r="D68" s="61" t="s">
        <v>1939</v>
      </c>
      <c r="E68" s="61" t="s">
        <v>1940</v>
      </c>
      <c r="F68" s="62"/>
      <c r="G68" s="63">
        <v>4061.97</v>
      </c>
      <c r="H68" s="63">
        <v>8.9</v>
      </c>
      <c r="K68" s="58">
        <f t="shared" si="4"/>
        <v>4070.87</v>
      </c>
      <c r="L68" s="64">
        <v>1</v>
      </c>
      <c r="M68" s="65">
        <f t="shared" si="5"/>
        <v>4070.87</v>
      </c>
      <c r="N68" s="65">
        <f t="shared" si="6"/>
        <v>4681.5005000000001</v>
      </c>
      <c r="O68" s="34" t="s">
        <v>2370</v>
      </c>
    </row>
    <row r="69" spans="1:15">
      <c r="A69" s="17" t="s">
        <v>1715</v>
      </c>
      <c r="B69" s="34" t="s">
        <v>81</v>
      </c>
      <c r="C69" s="61" t="s">
        <v>83</v>
      </c>
      <c r="D69" s="61" t="s">
        <v>1939</v>
      </c>
      <c r="E69" s="61" t="s">
        <v>1940</v>
      </c>
      <c r="F69" s="62"/>
      <c r="G69" s="63">
        <v>1056.01</v>
      </c>
      <c r="K69" s="58">
        <f t="shared" si="4"/>
        <v>1056.01</v>
      </c>
      <c r="L69" s="64">
        <v>1</v>
      </c>
      <c r="M69" s="65">
        <f t="shared" si="5"/>
        <v>1056.01</v>
      </c>
      <c r="N69" s="65">
        <f t="shared" si="6"/>
        <v>1214.4114999999999</v>
      </c>
      <c r="O69" s="34" t="s">
        <v>2370</v>
      </c>
    </row>
    <row r="70" spans="1:15">
      <c r="A70" s="17" t="s">
        <v>1715</v>
      </c>
      <c r="B70" s="34" t="s">
        <v>81</v>
      </c>
      <c r="C70" s="61" t="s">
        <v>83</v>
      </c>
      <c r="D70" s="61" t="s">
        <v>1939</v>
      </c>
      <c r="E70" s="61" t="s">
        <v>1940</v>
      </c>
      <c r="F70" s="62"/>
      <c r="G70" s="63">
        <v>7800</v>
      </c>
      <c r="I70" s="63">
        <v>1901.0050000000001</v>
      </c>
      <c r="J70" s="63">
        <v>64.05</v>
      </c>
      <c r="K70" s="58">
        <f t="shared" si="4"/>
        <v>9765.0550000000003</v>
      </c>
      <c r="L70" s="64">
        <v>1</v>
      </c>
      <c r="M70" s="65">
        <f t="shared" si="5"/>
        <v>9765.0550000000003</v>
      </c>
      <c r="N70" s="65">
        <f t="shared" si="6"/>
        <v>11229.813250000001</v>
      </c>
      <c r="O70" s="34" t="s">
        <v>2370</v>
      </c>
    </row>
    <row r="71" spans="1:15">
      <c r="A71" s="17" t="s">
        <v>1723</v>
      </c>
      <c r="B71" s="34" t="s">
        <v>81</v>
      </c>
      <c r="C71" s="61" t="s">
        <v>83</v>
      </c>
      <c r="D71" s="61" t="s">
        <v>1939</v>
      </c>
      <c r="E71" s="61" t="s">
        <v>1940</v>
      </c>
      <c r="F71" s="62"/>
      <c r="G71" s="63">
        <v>1163.6400000000001</v>
      </c>
      <c r="K71" s="58">
        <f t="shared" si="4"/>
        <v>1163.6400000000001</v>
      </c>
      <c r="L71" s="64">
        <v>1</v>
      </c>
      <c r="M71" s="65">
        <f t="shared" si="5"/>
        <v>1163.6400000000001</v>
      </c>
      <c r="N71" s="65">
        <f t="shared" si="6"/>
        <v>1338.1860000000001</v>
      </c>
      <c r="O71" s="34" t="s">
        <v>2370</v>
      </c>
    </row>
    <row r="72" spans="1:15">
      <c r="A72" s="17" t="s">
        <v>1097</v>
      </c>
      <c r="B72" s="34" t="s">
        <v>804</v>
      </c>
      <c r="C72" s="61" t="s">
        <v>806</v>
      </c>
      <c r="D72" s="61" t="s">
        <v>1945</v>
      </c>
      <c r="E72" s="61" t="s">
        <v>1946</v>
      </c>
      <c r="F72" s="62"/>
      <c r="G72" s="63">
        <v>45689.22</v>
      </c>
      <c r="H72" s="63">
        <v>-1478.08</v>
      </c>
      <c r="K72" s="58">
        <f t="shared" si="4"/>
        <v>44211.14</v>
      </c>
      <c r="L72" s="64">
        <v>1</v>
      </c>
      <c r="M72" s="65">
        <f t="shared" si="5"/>
        <v>44211.14</v>
      </c>
      <c r="N72" s="65">
        <f t="shared" si="6"/>
        <v>50842.811000000002</v>
      </c>
      <c r="O72" s="34" t="s">
        <v>2370</v>
      </c>
    </row>
    <row r="73" spans="1:15">
      <c r="A73" s="17" t="s">
        <v>1715</v>
      </c>
      <c r="B73" s="34" t="s">
        <v>804</v>
      </c>
      <c r="C73" s="61" t="s">
        <v>806</v>
      </c>
      <c r="D73" s="61" t="s">
        <v>1945</v>
      </c>
      <c r="E73" s="61" t="s">
        <v>1946</v>
      </c>
      <c r="F73" s="62"/>
      <c r="G73" s="63">
        <v>3500</v>
      </c>
      <c r="H73" s="63">
        <v>272</v>
      </c>
      <c r="I73" s="63">
        <v>3523.8850000000002</v>
      </c>
      <c r="J73" s="63">
        <v>100.1</v>
      </c>
      <c r="K73" s="58">
        <f t="shared" si="4"/>
        <v>7395.9850000000006</v>
      </c>
      <c r="L73" s="64">
        <v>1</v>
      </c>
      <c r="M73" s="65">
        <f t="shared" si="5"/>
        <v>7395.9850000000006</v>
      </c>
      <c r="N73" s="65">
        <f t="shared" si="6"/>
        <v>8505.3827500000007</v>
      </c>
      <c r="O73" s="34" t="s">
        <v>2370</v>
      </c>
    </row>
    <row r="74" spans="1:15">
      <c r="A74" s="17" t="s">
        <v>1715</v>
      </c>
      <c r="B74" s="34" t="s">
        <v>624</v>
      </c>
      <c r="C74" s="61" t="s">
        <v>626</v>
      </c>
      <c r="D74" s="61" t="s">
        <v>2251</v>
      </c>
      <c r="E74" s="61" t="s">
        <v>2252</v>
      </c>
      <c r="F74" s="62"/>
      <c r="G74" s="63">
        <v>10000</v>
      </c>
      <c r="I74" s="63">
        <v>7116.9</v>
      </c>
      <c r="J74" s="63">
        <v>2576.4499999999998</v>
      </c>
      <c r="K74" s="58">
        <f t="shared" si="4"/>
        <v>19693.350000000002</v>
      </c>
      <c r="L74" s="64">
        <v>1</v>
      </c>
      <c r="M74" s="65">
        <f t="shared" si="5"/>
        <v>19693.350000000002</v>
      </c>
      <c r="N74" s="65">
        <f t="shared" si="6"/>
        <v>22647.352500000001</v>
      </c>
      <c r="O74" s="34" t="s">
        <v>2371</v>
      </c>
    </row>
    <row r="75" spans="1:15">
      <c r="A75" s="17" t="s">
        <v>1723</v>
      </c>
      <c r="B75" s="34" t="s">
        <v>624</v>
      </c>
      <c r="C75" s="61" t="s">
        <v>626</v>
      </c>
      <c r="D75" s="61" t="s">
        <v>2251</v>
      </c>
      <c r="E75" s="61" t="s">
        <v>2252</v>
      </c>
      <c r="F75" s="62"/>
      <c r="G75" s="63">
        <v>4185</v>
      </c>
      <c r="H75" s="63">
        <v>4154.3999999999996</v>
      </c>
      <c r="K75" s="58">
        <f t="shared" si="4"/>
        <v>8339.4</v>
      </c>
      <c r="L75" s="64">
        <v>1</v>
      </c>
      <c r="M75" s="65">
        <f t="shared" si="5"/>
        <v>8339.4</v>
      </c>
      <c r="N75" s="65">
        <f t="shared" si="6"/>
        <v>9590.31</v>
      </c>
      <c r="O75" s="34" t="s">
        <v>2371</v>
      </c>
    </row>
    <row r="76" spans="1:15">
      <c r="A76" s="17" t="s">
        <v>1473</v>
      </c>
      <c r="B76" s="34" t="s">
        <v>1598</v>
      </c>
      <c r="C76" s="61" t="s">
        <v>1600</v>
      </c>
      <c r="D76" s="61" t="s">
        <v>2136</v>
      </c>
      <c r="E76" s="61" t="s">
        <v>2137</v>
      </c>
      <c r="F76" s="62"/>
      <c r="G76" s="63">
        <v>2777.04</v>
      </c>
      <c r="K76" s="58">
        <f t="shared" si="4"/>
        <v>2777.04</v>
      </c>
      <c r="L76" s="64">
        <v>1</v>
      </c>
      <c r="M76" s="65">
        <f t="shared" si="5"/>
        <v>2777.04</v>
      </c>
      <c r="N76" s="65">
        <f t="shared" si="6"/>
        <v>3193.596</v>
      </c>
      <c r="O76" s="34" t="s">
        <v>2369</v>
      </c>
    </row>
    <row r="77" spans="1:15">
      <c r="A77" s="17" t="s">
        <v>1399</v>
      </c>
      <c r="B77" s="34" t="s">
        <v>1419</v>
      </c>
      <c r="C77" s="61" t="s">
        <v>1421</v>
      </c>
      <c r="D77" s="61" t="s">
        <v>1991</v>
      </c>
      <c r="E77" s="61" t="s">
        <v>1992</v>
      </c>
      <c r="F77" s="62"/>
      <c r="G77" s="63">
        <v>18</v>
      </c>
      <c r="I77" s="63">
        <v>933.86</v>
      </c>
      <c r="K77" s="58">
        <f t="shared" si="4"/>
        <v>951.86</v>
      </c>
      <c r="L77" s="64">
        <v>1</v>
      </c>
      <c r="M77" s="65">
        <f t="shared" si="5"/>
        <v>951.86</v>
      </c>
      <c r="N77" s="65">
        <f t="shared" si="6"/>
        <v>1094.6390000000001</v>
      </c>
      <c r="O77" s="34" t="s">
        <v>2369</v>
      </c>
    </row>
    <row r="78" spans="1:15">
      <c r="A78" s="17" t="s">
        <v>1399</v>
      </c>
      <c r="B78" s="34" t="s">
        <v>1413</v>
      </c>
      <c r="C78" s="61" t="s">
        <v>1415</v>
      </c>
      <c r="D78" s="61" t="s">
        <v>1987</v>
      </c>
      <c r="E78" s="61" t="s">
        <v>1988</v>
      </c>
      <c r="F78" s="62"/>
      <c r="G78" s="63">
        <v>2500</v>
      </c>
      <c r="K78" s="58">
        <f t="shared" si="4"/>
        <v>2500</v>
      </c>
      <c r="L78" s="64">
        <v>1</v>
      </c>
      <c r="M78" s="65">
        <f t="shared" si="5"/>
        <v>2500</v>
      </c>
      <c r="N78" s="65">
        <f t="shared" si="6"/>
        <v>2875</v>
      </c>
      <c r="O78" s="34" t="s">
        <v>2369</v>
      </c>
    </row>
    <row r="79" spans="1:15">
      <c r="A79" s="17" t="s">
        <v>1097</v>
      </c>
      <c r="B79" s="34" t="s">
        <v>439</v>
      </c>
      <c r="C79" s="61" t="s">
        <v>441</v>
      </c>
      <c r="D79" s="61" t="s">
        <v>1968</v>
      </c>
      <c r="E79" s="61" t="s">
        <v>1969</v>
      </c>
      <c r="F79" s="62"/>
      <c r="H79" s="63">
        <v>670</v>
      </c>
      <c r="K79" s="58">
        <f t="shared" si="4"/>
        <v>670</v>
      </c>
      <c r="L79" s="64">
        <v>1</v>
      </c>
      <c r="M79" s="65">
        <f t="shared" si="5"/>
        <v>670</v>
      </c>
      <c r="N79" s="65">
        <f t="shared" si="6"/>
        <v>770.5</v>
      </c>
      <c r="O79" s="34" t="s">
        <v>2369</v>
      </c>
    </row>
    <row r="80" spans="1:15">
      <c r="A80" s="17" t="s">
        <v>1715</v>
      </c>
      <c r="B80" s="34" t="s">
        <v>552</v>
      </c>
      <c r="C80" s="61" t="s">
        <v>554</v>
      </c>
      <c r="D80" s="61" t="s">
        <v>2234</v>
      </c>
      <c r="E80" s="61" t="s">
        <v>2235</v>
      </c>
      <c r="F80" s="62"/>
      <c r="I80" s="63">
        <v>1083.5999999999999</v>
      </c>
      <c r="K80" s="58">
        <f t="shared" si="4"/>
        <v>1083.5999999999999</v>
      </c>
      <c r="L80" s="64">
        <v>1</v>
      </c>
      <c r="M80" s="65">
        <f t="shared" si="5"/>
        <v>1083.5999999999999</v>
      </c>
      <c r="N80" s="65">
        <f t="shared" si="6"/>
        <v>1246.1399999999999</v>
      </c>
      <c r="O80" s="34" t="s">
        <v>2374</v>
      </c>
    </row>
    <row r="81" spans="1:15">
      <c r="A81" s="17" t="s">
        <v>1723</v>
      </c>
      <c r="B81" s="34" t="s">
        <v>552</v>
      </c>
      <c r="C81" s="61" t="s">
        <v>554</v>
      </c>
      <c r="D81" s="61" t="s">
        <v>2234</v>
      </c>
      <c r="E81" s="61" t="s">
        <v>2235</v>
      </c>
      <c r="F81" s="62"/>
      <c r="G81" s="63">
        <v>2250</v>
      </c>
      <c r="H81" s="63">
        <v>4839.8500000000004</v>
      </c>
      <c r="K81" s="58">
        <f t="shared" si="4"/>
        <v>7089.85</v>
      </c>
      <c r="L81" s="64">
        <v>1</v>
      </c>
      <c r="M81" s="65">
        <f t="shared" si="5"/>
        <v>7089.85</v>
      </c>
      <c r="N81" s="65">
        <f t="shared" si="6"/>
        <v>8153.3275000000003</v>
      </c>
      <c r="O81" s="34" t="s">
        <v>2374</v>
      </c>
    </row>
    <row r="82" spans="1:15">
      <c r="A82" s="17" t="s">
        <v>1715</v>
      </c>
      <c r="B82" s="34" t="s">
        <v>699</v>
      </c>
      <c r="C82" s="61" t="s">
        <v>701</v>
      </c>
      <c r="D82" s="61" t="s">
        <v>2301</v>
      </c>
      <c r="E82" s="61" t="s">
        <v>2302</v>
      </c>
      <c r="F82" s="62"/>
      <c r="I82" s="63">
        <v>750.72500000000002</v>
      </c>
      <c r="K82" s="58">
        <f t="shared" si="4"/>
        <v>750.72500000000002</v>
      </c>
      <c r="L82" s="64">
        <v>1</v>
      </c>
      <c r="M82" s="65">
        <f t="shared" si="5"/>
        <v>750.72500000000002</v>
      </c>
      <c r="N82" s="65">
        <f t="shared" si="6"/>
        <v>863.33375000000001</v>
      </c>
      <c r="O82" s="34" t="s">
        <v>2369</v>
      </c>
    </row>
    <row r="83" spans="1:15">
      <c r="A83" s="17" t="s">
        <v>1473</v>
      </c>
      <c r="B83" s="34" t="s">
        <v>1571</v>
      </c>
      <c r="C83" s="61" t="s">
        <v>1573</v>
      </c>
      <c r="D83" s="61" t="s">
        <v>2112</v>
      </c>
      <c r="E83" s="61" t="s">
        <v>2113</v>
      </c>
      <c r="F83" s="62"/>
      <c r="G83" s="63">
        <v>3411.9</v>
      </c>
      <c r="K83" s="58">
        <f t="shared" si="4"/>
        <v>3411.9</v>
      </c>
      <c r="L83" s="64">
        <v>1</v>
      </c>
      <c r="M83" s="65">
        <f t="shared" si="5"/>
        <v>3411.9</v>
      </c>
      <c r="N83" s="65">
        <f t="shared" si="6"/>
        <v>3923.6849999999999</v>
      </c>
      <c r="O83" s="34" t="s">
        <v>2369</v>
      </c>
    </row>
    <row r="84" spans="1:15">
      <c r="A84" s="17" t="s">
        <v>1715</v>
      </c>
      <c r="B84" s="34" t="s">
        <v>612</v>
      </c>
      <c r="C84" s="61" t="s">
        <v>614</v>
      </c>
      <c r="D84" s="61" t="s">
        <v>2249</v>
      </c>
      <c r="E84" s="61" t="s">
        <v>2250</v>
      </c>
      <c r="F84" s="62"/>
      <c r="G84" s="63">
        <v>0</v>
      </c>
      <c r="K84" s="58">
        <f t="shared" si="4"/>
        <v>0</v>
      </c>
      <c r="L84" s="64">
        <v>1</v>
      </c>
      <c r="M84" s="65">
        <f t="shared" si="5"/>
        <v>0</v>
      </c>
      <c r="N84" s="65">
        <f t="shared" si="6"/>
        <v>0</v>
      </c>
      <c r="O84" s="34" t="s">
        <v>2369</v>
      </c>
    </row>
    <row r="85" spans="1:15">
      <c r="A85" s="17" t="s">
        <v>1723</v>
      </c>
      <c r="B85" s="34" t="s">
        <v>612</v>
      </c>
      <c r="C85" s="61" t="s">
        <v>614</v>
      </c>
      <c r="D85" s="61" t="s">
        <v>2249</v>
      </c>
      <c r="E85" s="61" t="s">
        <v>2250</v>
      </c>
      <c r="F85" s="62"/>
      <c r="G85" s="63">
        <v>2000</v>
      </c>
      <c r="K85" s="58">
        <f t="shared" si="4"/>
        <v>2000</v>
      </c>
      <c r="L85" s="64">
        <v>1</v>
      </c>
      <c r="M85" s="65">
        <f t="shared" si="5"/>
        <v>2000</v>
      </c>
      <c r="N85" s="65">
        <f t="shared" si="6"/>
        <v>2300</v>
      </c>
      <c r="O85" s="34" t="s">
        <v>2369</v>
      </c>
    </row>
    <row r="86" spans="1:15">
      <c r="A86" s="17" t="s">
        <v>1399</v>
      </c>
      <c r="B86" s="34" t="s">
        <v>1443</v>
      </c>
      <c r="C86" s="61" t="s">
        <v>1445</v>
      </c>
      <c r="D86" s="61" t="s">
        <v>2009</v>
      </c>
      <c r="E86" s="61" t="s">
        <v>2010</v>
      </c>
      <c r="F86" s="62"/>
      <c r="G86" s="63">
        <v>95992</v>
      </c>
      <c r="I86" s="63">
        <v>74.959999999999994</v>
      </c>
      <c r="K86" s="58">
        <f t="shared" si="4"/>
        <v>96066.96</v>
      </c>
      <c r="L86" s="64">
        <v>1</v>
      </c>
      <c r="M86" s="65">
        <f t="shared" si="5"/>
        <v>96066.96</v>
      </c>
      <c r="N86" s="65">
        <f t="shared" si="6"/>
        <v>110477.004</v>
      </c>
      <c r="O86" s="34" t="s">
        <v>2369</v>
      </c>
    </row>
    <row r="87" spans="1:15">
      <c r="A87" s="17" t="s">
        <v>1473</v>
      </c>
      <c r="B87" s="34" t="s">
        <v>1443</v>
      </c>
      <c r="C87" s="61" t="s">
        <v>1445</v>
      </c>
      <c r="D87" s="61" t="s">
        <v>2009</v>
      </c>
      <c r="E87" s="61" t="s">
        <v>2010</v>
      </c>
      <c r="F87" s="62"/>
      <c r="G87" s="63">
        <v>7670</v>
      </c>
      <c r="I87" s="63">
        <v>1911.2</v>
      </c>
      <c r="K87" s="58">
        <f t="shared" si="4"/>
        <v>9581.2000000000007</v>
      </c>
      <c r="L87" s="64">
        <v>1</v>
      </c>
      <c r="M87" s="65">
        <f t="shared" si="5"/>
        <v>9581.2000000000007</v>
      </c>
      <c r="N87" s="65">
        <f t="shared" si="6"/>
        <v>11018.380000000001</v>
      </c>
      <c r="O87" s="34" t="s">
        <v>2369</v>
      </c>
    </row>
    <row r="88" spans="1:15">
      <c r="A88" s="17" t="s">
        <v>1723</v>
      </c>
      <c r="B88" s="34" t="s">
        <v>297</v>
      </c>
      <c r="C88" s="61" t="s">
        <v>299</v>
      </c>
      <c r="D88" s="61" t="s">
        <v>2346</v>
      </c>
      <c r="E88" s="61" t="s">
        <v>2347</v>
      </c>
      <c r="F88" s="62"/>
      <c r="G88" s="63">
        <v>19500</v>
      </c>
      <c r="K88" s="58">
        <f t="shared" si="4"/>
        <v>19500</v>
      </c>
      <c r="L88" s="64">
        <v>1</v>
      </c>
      <c r="M88" s="65">
        <f t="shared" si="5"/>
        <v>19500</v>
      </c>
      <c r="N88" s="65">
        <f t="shared" si="6"/>
        <v>22425</v>
      </c>
      <c r="O88" s="34" t="s">
        <v>2369</v>
      </c>
    </row>
    <row r="89" spans="1:15">
      <c r="A89" s="17" t="s">
        <v>1715</v>
      </c>
      <c r="B89" s="34" t="s">
        <v>48</v>
      </c>
      <c r="C89" s="61" t="s">
        <v>50</v>
      </c>
      <c r="D89" s="61" t="s">
        <v>2228</v>
      </c>
      <c r="E89" s="61" t="s">
        <v>2229</v>
      </c>
      <c r="F89" s="62"/>
      <c r="G89" s="63">
        <v>250</v>
      </c>
      <c r="I89" s="63">
        <v>739.89</v>
      </c>
      <c r="J89" s="63">
        <v>137.02000000000001</v>
      </c>
      <c r="K89" s="58">
        <f t="shared" si="4"/>
        <v>1126.9100000000001</v>
      </c>
      <c r="L89" s="64">
        <v>1</v>
      </c>
      <c r="M89" s="65">
        <f t="shared" si="5"/>
        <v>1126.9100000000001</v>
      </c>
      <c r="N89" s="65">
        <f t="shared" si="6"/>
        <v>1295.9465</v>
      </c>
      <c r="O89" s="34" t="s">
        <v>2370</v>
      </c>
    </row>
    <row r="90" spans="1:15">
      <c r="A90" s="17" t="s">
        <v>1723</v>
      </c>
      <c r="B90" s="34" t="s">
        <v>48</v>
      </c>
      <c r="C90" s="61" t="s">
        <v>50</v>
      </c>
      <c r="D90" s="61" t="s">
        <v>2228</v>
      </c>
      <c r="E90" s="61" t="s">
        <v>2229</v>
      </c>
      <c r="F90" s="62"/>
      <c r="G90" s="63">
        <v>8320</v>
      </c>
      <c r="K90" s="58">
        <f t="shared" si="4"/>
        <v>8320</v>
      </c>
      <c r="L90" s="64">
        <v>1</v>
      </c>
      <c r="M90" s="65">
        <f t="shared" si="5"/>
        <v>8320</v>
      </c>
      <c r="N90" s="65">
        <f t="shared" si="6"/>
        <v>9568</v>
      </c>
      <c r="O90" s="34" t="s">
        <v>2370</v>
      </c>
    </row>
    <row r="91" spans="1:15">
      <c r="A91" s="17" t="s">
        <v>1473</v>
      </c>
      <c r="B91" s="34" t="s">
        <v>1481</v>
      </c>
      <c r="C91" s="61" t="s">
        <v>1483</v>
      </c>
      <c r="D91" s="61" t="s">
        <v>2042</v>
      </c>
      <c r="E91" s="61" t="s">
        <v>2043</v>
      </c>
      <c r="F91" s="62"/>
      <c r="G91" s="63">
        <v>8583.7000000000007</v>
      </c>
      <c r="I91" s="63">
        <v>467.005</v>
      </c>
      <c r="K91" s="58">
        <f t="shared" si="4"/>
        <v>9050.7049999999999</v>
      </c>
      <c r="L91" s="64">
        <v>1</v>
      </c>
      <c r="M91" s="65">
        <f t="shared" si="5"/>
        <v>9050.7049999999999</v>
      </c>
      <c r="N91" s="65">
        <f t="shared" si="6"/>
        <v>10408.310750000001</v>
      </c>
      <c r="O91" s="34" t="s">
        <v>2369</v>
      </c>
    </row>
    <row r="92" spans="1:15">
      <c r="A92" s="17" t="s">
        <v>1473</v>
      </c>
      <c r="B92" s="34" t="s">
        <v>1511</v>
      </c>
      <c r="C92" s="61" t="s">
        <v>1513</v>
      </c>
      <c r="D92" s="61" t="s">
        <v>2064</v>
      </c>
      <c r="E92" s="61" t="s">
        <v>2065</v>
      </c>
      <c r="F92" s="62"/>
      <c r="G92" s="63">
        <v>800</v>
      </c>
      <c r="K92" s="58">
        <f t="shared" si="4"/>
        <v>800</v>
      </c>
      <c r="L92" s="64">
        <v>1</v>
      </c>
      <c r="M92" s="65">
        <f t="shared" si="5"/>
        <v>800</v>
      </c>
      <c r="N92" s="65">
        <f t="shared" si="6"/>
        <v>920</v>
      </c>
      <c r="O92" s="34" t="s">
        <v>2369</v>
      </c>
    </row>
    <row r="93" spans="1:15">
      <c r="A93" s="17" t="s">
        <v>1473</v>
      </c>
      <c r="B93" s="34" t="s">
        <v>1676</v>
      </c>
      <c r="C93" s="61" t="s">
        <v>1678</v>
      </c>
      <c r="D93" s="61" t="s">
        <v>2191</v>
      </c>
      <c r="E93" s="61" t="s">
        <v>2192</v>
      </c>
      <c r="F93" s="62"/>
      <c r="G93" s="63">
        <v>4173.84</v>
      </c>
      <c r="K93" s="58">
        <f t="shared" si="4"/>
        <v>4173.84</v>
      </c>
      <c r="L93" s="64">
        <v>1</v>
      </c>
      <c r="M93" s="65">
        <f t="shared" si="5"/>
        <v>4173.84</v>
      </c>
      <c r="N93" s="65">
        <f t="shared" si="6"/>
        <v>4799.9160000000002</v>
      </c>
      <c r="O93" s="34" t="s">
        <v>2369</v>
      </c>
    </row>
    <row r="94" spans="1:15">
      <c r="A94" s="17" t="s">
        <v>1473</v>
      </c>
      <c r="B94" s="34" t="s">
        <v>1565</v>
      </c>
      <c r="C94" s="61" t="s">
        <v>1567</v>
      </c>
      <c r="D94" s="61" t="s">
        <v>2106</v>
      </c>
      <c r="E94" s="61" t="s">
        <v>2107</v>
      </c>
      <c r="F94" s="62"/>
      <c r="G94" s="63">
        <v>19239.400000000001</v>
      </c>
      <c r="I94" s="63">
        <v>961.29</v>
      </c>
      <c r="K94" s="58">
        <f t="shared" ref="K94:K151" si="7">SUM(G94:J94)</f>
        <v>20200.690000000002</v>
      </c>
      <c r="L94" s="64">
        <v>1</v>
      </c>
      <c r="M94" s="65">
        <f t="shared" ref="M94:M151" si="8">+K94*L94</f>
        <v>20200.690000000002</v>
      </c>
      <c r="N94" s="65">
        <f t="shared" ref="N94:N151" si="9">+M94+(+M94*$N$1)</f>
        <v>23230.793500000003</v>
      </c>
      <c r="O94" s="34" t="s">
        <v>2369</v>
      </c>
    </row>
    <row r="95" spans="1:15">
      <c r="A95" s="17" t="s">
        <v>1473</v>
      </c>
      <c r="B95" s="34" t="s">
        <v>627</v>
      </c>
      <c r="C95" s="61" t="s">
        <v>629</v>
      </c>
      <c r="D95" s="61" t="s">
        <v>2130</v>
      </c>
      <c r="E95" s="61" t="s">
        <v>2131</v>
      </c>
      <c r="F95" s="62"/>
      <c r="I95" s="63">
        <v>144.55000000000001</v>
      </c>
      <c r="K95" s="58">
        <f t="shared" si="7"/>
        <v>144.55000000000001</v>
      </c>
      <c r="L95" s="64">
        <v>1</v>
      </c>
      <c r="M95" s="65">
        <f t="shared" si="8"/>
        <v>144.55000000000001</v>
      </c>
      <c r="N95" s="65">
        <f t="shared" si="9"/>
        <v>166.23250000000002</v>
      </c>
      <c r="O95" s="34" t="s">
        <v>2369</v>
      </c>
    </row>
    <row r="96" spans="1:15">
      <c r="A96" s="17" t="s">
        <v>1715</v>
      </c>
      <c r="B96" s="34" t="s">
        <v>627</v>
      </c>
      <c r="C96" s="61" t="s">
        <v>629</v>
      </c>
      <c r="D96" s="61" t="s">
        <v>2130</v>
      </c>
      <c r="E96" s="61" t="s">
        <v>2131</v>
      </c>
      <c r="F96" s="62"/>
      <c r="H96" s="63">
        <v>1894.91</v>
      </c>
      <c r="I96" s="63">
        <v>4756.3999999999996</v>
      </c>
      <c r="K96" s="58">
        <f t="shared" si="7"/>
        <v>6651.3099999999995</v>
      </c>
      <c r="L96" s="64">
        <v>1</v>
      </c>
      <c r="M96" s="65">
        <f t="shared" si="8"/>
        <v>6651.3099999999995</v>
      </c>
      <c r="N96" s="65">
        <f t="shared" si="9"/>
        <v>7649.0064999999995</v>
      </c>
      <c r="O96" s="34" t="s">
        <v>2369</v>
      </c>
    </row>
    <row r="97" spans="1:15">
      <c r="A97" s="17" t="s">
        <v>1723</v>
      </c>
      <c r="B97" s="34" t="s">
        <v>627</v>
      </c>
      <c r="C97" s="61" t="s">
        <v>629</v>
      </c>
      <c r="D97" s="61" t="s">
        <v>2130</v>
      </c>
      <c r="E97" s="61" t="s">
        <v>2131</v>
      </c>
      <c r="F97" s="62"/>
      <c r="H97" s="63">
        <v>3498.75</v>
      </c>
      <c r="K97" s="58">
        <f t="shared" si="7"/>
        <v>3498.75</v>
      </c>
      <c r="L97" s="64">
        <v>1</v>
      </c>
      <c r="M97" s="65">
        <f t="shared" si="8"/>
        <v>3498.75</v>
      </c>
      <c r="N97" s="65">
        <f t="shared" si="9"/>
        <v>4023.5625</v>
      </c>
      <c r="O97" s="34" t="s">
        <v>2369</v>
      </c>
    </row>
    <row r="98" spans="1:15">
      <c r="A98" s="17" t="s">
        <v>1723</v>
      </c>
      <c r="B98" s="34" t="s">
        <v>87</v>
      </c>
      <c r="C98" s="61" t="s">
        <v>89</v>
      </c>
      <c r="D98" s="61" t="s">
        <v>2033</v>
      </c>
      <c r="E98" s="61" t="s">
        <v>2360</v>
      </c>
      <c r="F98" s="62"/>
      <c r="G98" s="63">
        <v>9000</v>
      </c>
      <c r="K98" s="58">
        <f t="shared" si="7"/>
        <v>9000</v>
      </c>
      <c r="L98" s="64">
        <v>1</v>
      </c>
      <c r="M98" s="65">
        <f t="shared" si="8"/>
        <v>9000</v>
      </c>
      <c r="N98" s="65">
        <f t="shared" si="9"/>
        <v>10350</v>
      </c>
      <c r="O98" s="34" t="s">
        <v>2369</v>
      </c>
    </row>
    <row r="99" spans="1:15">
      <c r="A99" s="17" t="s">
        <v>1715</v>
      </c>
      <c r="B99" s="34" t="s">
        <v>1717</v>
      </c>
      <c r="C99" s="61" t="s">
        <v>1719</v>
      </c>
      <c r="D99" s="61" t="s">
        <v>2280</v>
      </c>
      <c r="E99" s="61" t="s">
        <v>2281</v>
      </c>
      <c r="F99" s="62"/>
      <c r="I99" s="63">
        <v>60.96</v>
      </c>
      <c r="K99" s="58">
        <f t="shared" si="7"/>
        <v>60.96</v>
      </c>
      <c r="L99" s="64">
        <v>1</v>
      </c>
      <c r="M99" s="65">
        <f t="shared" si="8"/>
        <v>60.96</v>
      </c>
      <c r="N99" s="65">
        <f t="shared" si="9"/>
        <v>70.103999999999999</v>
      </c>
      <c r="O99" s="34" t="s">
        <v>2371</v>
      </c>
    </row>
    <row r="100" spans="1:15">
      <c r="A100" s="17" t="s">
        <v>1399</v>
      </c>
      <c r="B100" s="34" t="s">
        <v>681</v>
      </c>
      <c r="C100" s="61" t="s">
        <v>683</v>
      </c>
      <c r="D100" s="61" t="s">
        <v>1999</v>
      </c>
      <c r="E100" s="61" t="s">
        <v>2000</v>
      </c>
      <c r="F100" s="62"/>
      <c r="I100" s="63">
        <v>1551.7049999999999</v>
      </c>
      <c r="K100" s="58">
        <f t="shared" si="7"/>
        <v>1551.7049999999999</v>
      </c>
      <c r="L100" s="64">
        <v>1</v>
      </c>
      <c r="M100" s="65">
        <f t="shared" si="8"/>
        <v>1551.7049999999999</v>
      </c>
      <c r="N100" s="65">
        <f t="shared" si="9"/>
        <v>1784.46075</v>
      </c>
      <c r="O100" s="34" t="s">
        <v>2369</v>
      </c>
    </row>
    <row r="101" spans="1:15">
      <c r="A101" s="17" t="s">
        <v>1473</v>
      </c>
      <c r="B101" s="34" t="s">
        <v>681</v>
      </c>
      <c r="C101" s="61" t="s">
        <v>683</v>
      </c>
      <c r="D101" s="61" t="s">
        <v>1999</v>
      </c>
      <c r="E101" s="61" t="s">
        <v>2000</v>
      </c>
      <c r="F101" s="62"/>
      <c r="G101" s="63">
        <v>10857.08</v>
      </c>
      <c r="I101" s="63">
        <v>423.69</v>
      </c>
      <c r="K101" s="58">
        <f t="shared" si="7"/>
        <v>11280.77</v>
      </c>
      <c r="L101" s="64">
        <v>1</v>
      </c>
      <c r="M101" s="65">
        <f t="shared" si="8"/>
        <v>11280.77</v>
      </c>
      <c r="N101" s="65">
        <f t="shared" si="9"/>
        <v>12972.8855</v>
      </c>
      <c r="O101" s="34" t="s">
        <v>2369</v>
      </c>
    </row>
    <row r="102" spans="1:15">
      <c r="A102" s="17" t="s">
        <v>1715</v>
      </c>
      <c r="B102" s="34" t="s">
        <v>681</v>
      </c>
      <c r="C102" s="61" t="s">
        <v>683</v>
      </c>
      <c r="D102" s="61" t="s">
        <v>1999</v>
      </c>
      <c r="E102" s="61" t="s">
        <v>2000</v>
      </c>
      <c r="F102" s="62"/>
      <c r="H102" s="63">
        <v>5210.9399999999996</v>
      </c>
      <c r="I102" s="63">
        <v>396.18</v>
      </c>
      <c r="K102" s="58">
        <f t="shared" si="7"/>
        <v>5607.12</v>
      </c>
      <c r="L102" s="64">
        <v>1</v>
      </c>
      <c r="M102" s="65">
        <f t="shared" si="8"/>
        <v>5607.12</v>
      </c>
      <c r="N102" s="65">
        <f t="shared" si="9"/>
        <v>6448.1880000000001</v>
      </c>
      <c r="O102" s="34" t="s">
        <v>2369</v>
      </c>
    </row>
    <row r="103" spans="1:15">
      <c r="A103" s="17" t="s">
        <v>1723</v>
      </c>
      <c r="B103" s="34" t="s">
        <v>681</v>
      </c>
      <c r="C103" s="61" t="s">
        <v>683</v>
      </c>
      <c r="D103" s="61" t="s">
        <v>1999</v>
      </c>
      <c r="E103" s="61" t="s">
        <v>2000</v>
      </c>
      <c r="F103" s="62"/>
      <c r="H103" s="63">
        <v>536.4</v>
      </c>
      <c r="K103" s="58">
        <f t="shared" si="7"/>
        <v>536.4</v>
      </c>
      <c r="L103" s="64">
        <v>1</v>
      </c>
      <c r="M103" s="65">
        <f t="shared" si="8"/>
        <v>536.4</v>
      </c>
      <c r="N103" s="65">
        <f t="shared" si="9"/>
        <v>616.86</v>
      </c>
      <c r="O103" s="34" t="s">
        <v>2369</v>
      </c>
    </row>
    <row r="104" spans="1:15">
      <c r="A104" s="17" t="s">
        <v>1715</v>
      </c>
      <c r="B104" s="34" t="s">
        <v>654</v>
      </c>
      <c r="C104" s="61" t="s">
        <v>656</v>
      </c>
      <c r="D104" s="61" t="s">
        <v>2225</v>
      </c>
      <c r="E104" s="61" t="s">
        <v>2226</v>
      </c>
      <c r="F104" s="62"/>
      <c r="H104" s="63">
        <v>3036.72</v>
      </c>
      <c r="I104" s="63">
        <v>5398.085</v>
      </c>
      <c r="K104" s="58">
        <f t="shared" si="7"/>
        <v>8434.8050000000003</v>
      </c>
      <c r="L104" s="64">
        <v>0.9</v>
      </c>
      <c r="M104" s="65">
        <f t="shared" si="8"/>
        <v>7591.3245000000006</v>
      </c>
      <c r="N104" s="65">
        <f t="shared" si="9"/>
        <v>8730.0231750000003</v>
      </c>
      <c r="O104" s="34" t="s">
        <v>2370</v>
      </c>
    </row>
    <row r="105" spans="1:15">
      <c r="A105" s="17" t="s">
        <v>1723</v>
      </c>
      <c r="B105" s="34" t="s">
        <v>654</v>
      </c>
      <c r="C105" s="61" t="s">
        <v>656</v>
      </c>
      <c r="D105" s="61" t="s">
        <v>2225</v>
      </c>
      <c r="E105" s="61" t="s">
        <v>2226</v>
      </c>
      <c r="F105" s="62"/>
      <c r="G105" s="63">
        <v>20868.97</v>
      </c>
      <c r="H105" s="63">
        <v>10662.92</v>
      </c>
      <c r="K105" s="58">
        <f t="shared" si="7"/>
        <v>31531.89</v>
      </c>
      <c r="L105" s="64">
        <v>0.9</v>
      </c>
      <c r="M105" s="65">
        <f t="shared" si="8"/>
        <v>28378.701000000001</v>
      </c>
      <c r="N105" s="65">
        <f t="shared" si="9"/>
        <v>32635.506150000001</v>
      </c>
      <c r="O105" s="34" t="s">
        <v>2370</v>
      </c>
    </row>
    <row r="106" spans="1:15">
      <c r="A106" s="17" t="s">
        <v>1473</v>
      </c>
      <c r="B106" s="34" t="s">
        <v>1514</v>
      </c>
      <c r="C106" s="61" t="s">
        <v>1516</v>
      </c>
      <c r="D106" s="61" t="s">
        <v>2068</v>
      </c>
      <c r="E106" s="61" t="s">
        <v>2069</v>
      </c>
      <c r="F106" s="62"/>
      <c r="G106" s="63">
        <v>500</v>
      </c>
      <c r="K106" s="58">
        <f t="shared" si="7"/>
        <v>500</v>
      </c>
      <c r="L106" s="64">
        <v>1</v>
      </c>
      <c r="M106" s="65">
        <f t="shared" si="8"/>
        <v>500</v>
      </c>
      <c r="N106" s="65">
        <f t="shared" si="9"/>
        <v>575</v>
      </c>
      <c r="O106" s="34" t="s">
        <v>2369</v>
      </c>
    </row>
    <row r="107" spans="1:15">
      <c r="A107" s="17" t="s">
        <v>1097</v>
      </c>
      <c r="B107" s="34" t="s">
        <v>459</v>
      </c>
      <c r="C107" s="61" t="s">
        <v>461</v>
      </c>
      <c r="D107" s="61" t="s">
        <v>1951</v>
      </c>
      <c r="E107" s="61" t="s">
        <v>1952</v>
      </c>
      <c r="F107" s="62"/>
      <c r="G107" s="63">
        <v>77130.23</v>
      </c>
      <c r="H107" s="63">
        <v>-35476.47</v>
      </c>
      <c r="K107" s="58">
        <f t="shared" si="7"/>
        <v>41653.759999999995</v>
      </c>
      <c r="L107" s="64">
        <v>1</v>
      </c>
      <c r="M107" s="65">
        <f t="shared" si="8"/>
        <v>41653.759999999995</v>
      </c>
      <c r="N107" s="65">
        <f t="shared" si="9"/>
        <v>47901.823999999993</v>
      </c>
      <c r="O107" s="34" t="s">
        <v>2370</v>
      </c>
    </row>
    <row r="108" spans="1:15">
      <c r="A108" s="17" t="s">
        <v>1715</v>
      </c>
      <c r="B108" s="34" t="s">
        <v>459</v>
      </c>
      <c r="C108" s="61" t="s">
        <v>461</v>
      </c>
      <c r="D108" s="61" t="s">
        <v>1951</v>
      </c>
      <c r="E108" s="61" t="s">
        <v>1952</v>
      </c>
      <c r="F108" s="62"/>
      <c r="G108" s="63">
        <v>34147.78</v>
      </c>
      <c r="H108" s="63">
        <v>3497.7</v>
      </c>
      <c r="I108" s="63">
        <v>9075.1350000000002</v>
      </c>
      <c r="J108" s="63">
        <v>336.66</v>
      </c>
      <c r="K108" s="58">
        <f t="shared" si="7"/>
        <v>47057.275000000001</v>
      </c>
      <c r="L108" s="64">
        <v>1</v>
      </c>
      <c r="M108" s="65">
        <f t="shared" si="8"/>
        <v>47057.275000000001</v>
      </c>
      <c r="N108" s="65">
        <f t="shared" si="9"/>
        <v>54115.866249999999</v>
      </c>
      <c r="O108" s="34" t="s">
        <v>2370</v>
      </c>
    </row>
    <row r="109" spans="1:15">
      <c r="A109" s="17" t="s">
        <v>1723</v>
      </c>
      <c r="B109" s="34" t="s">
        <v>459</v>
      </c>
      <c r="C109" s="61" t="s">
        <v>461</v>
      </c>
      <c r="D109" s="61" t="s">
        <v>1951</v>
      </c>
      <c r="E109" s="61" t="s">
        <v>1952</v>
      </c>
      <c r="F109" s="62"/>
      <c r="G109" s="63">
        <v>20383.64</v>
      </c>
      <c r="H109" s="63">
        <v>554.66999999999996</v>
      </c>
      <c r="K109" s="58">
        <f t="shared" si="7"/>
        <v>20938.309999999998</v>
      </c>
      <c r="L109" s="64">
        <v>1</v>
      </c>
      <c r="M109" s="65">
        <f t="shared" si="8"/>
        <v>20938.309999999998</v>
      </c>
      <c r="N109" s="65">
        <f t="shared" si="9"/>
        <v>24079.056499999999</v>
      </c>
      <c r="O109" s="34" t="s">
        <v>2370</v>
      </c>
    </row>
    <row r="110" spans="1:15">
      <c r="A110" s="17" t="s">
        <v>1715</v>
      </c>
      <c r="B110" s="34" t="s">
        <v>108</v>
      </c>
      <c r="C110" s="61" t="s">
        <v>110</v>
      </c>
      <c r="D110" s="61" t="s">
        <v>2317</v>
      </c>
      <c r="E110" s="61" t="s">
        <v>2318</v>
      </c>
      <c r="F110" s="62"/>
      <c r="I110" s="63">
        <v>7969.34</v>
      </c>
      <c r="K110" s="58">
        <f t="shared" si="7"/>
        <v>7969.34</v>
      </c>
      <c r="L110" s="64">
        <v>1</v>
      </c>
      <c r="M110" s="65">
        <f t="shared" si="8"/>
        <v>7969.34</v>
      </c>
      <c r="N110" s="65">
        <f t="shared" si="9"/>
        <v>9164.741</v>
      </c>
      <c r="O110" s="34" t="s">
        <v>2372</v>
      </c>
    </row>
    <row r="111" spans="1:15">
      <c r="A111" s="17" t="s">
        <v>1723</v>
      </c>
      <c r="B111" s="34" t="s">
        <v>108</v>
      </c>
      <c r="C111" s="61" t="s">
        <v>110</v>
      </c>
      <c r="D111" s="61" t="s">
        <v>2317</v>
      </c>
      <c r="E111" s="61" t="s">
        <v>2318</v>
      </c>
      <c r="F111" s="62"/>
      <c r="G111" s="63">
        <v>2355.4</v>
      </c>
      <c r="H111" s="63">
        <v>4108</v>
      </c>
      <c r="K111" s="58">
        <f t="shared" si="7"/>
        <v>6463.4</v>
      </c>
      <c r="L111" s="64">
        <v>1</v>
      </c>
      <c r="M111" s="65">
        <f t="shared" si="8"/>
        <v>6463.4</v>
      </c>
      <c r="N111" s="65">
        <f t="shared" si="9"/>
        <v>7432.91</v>
      </c>
      <c r="O111" s="34" t="s">
        <v>2372</v>
      </c>
    </row>
    <row r="112" spans="1:15">
      <c r="A112" s="17" t="s">
        <v>1715</v>
      </c>
      <c r="B112" s="34" t="s">
        <v>630</v>
      </c>
      <c r="C112" s="61" t="s">
        <v>632</v>
      </c>
      <c r="D112" s="61" t="s">
        <v>2031</v>
      </c>
      <c r="E112" s="61" t="s">
        <v>2032</v>
      </c>
      <c r="F112" s="62"/>
      <c r="I112" s="63">
        <v>216.72</v>
      </c>
      <c r="K112" s="58">
        <f t="shared" si="7"/>
        <v>216.72</v>
      </c>
      <c r="L112" s="64">
        <v>1</v>
      </c>
      <c r="M112" s="65">
        <f t="shared" si="8"/>
        <v>216.72</v>
      </c>
      <c r="N112" s="65">
        <f t="shared" si="9"/>
        <v>249.22800000000001</v>
      </c>
      <c r="O112" s="34" t="s">
        <v>2371</v>
      </c>
    </row>
    <row r="113" spans="1:15">
      <c r="A113" s="17" t="s">
        <v>1715</v>
      </c>
      <c r="B113" s="34" t="s">
        <v>630</v>
      </c>
      <c r="C113" s="61" t="s">
        <v>632</v>
      </c>
      <c r="D113" s="61" t="s">
        <v>2031</v>
      </c>
      <c r="E113" s="61" t="s">
        <v>2032</v>
      </c>
      <c r="F113" s="62"/>
      <c r="G113" s="63">
        <v>372.17</v>
      </c>
      <c r="I113" s="63">
        <v>67.72</v>
      </c>
      <c r="K113" s="58">
        <f t="shared" si="7"/>
        <v>439.89</v>
      </c>
      <c r="L113" s="64">
        <v>1</v>
      </c>
      <c r="M113" s="65">
        <f t="shared" si="8"/>
        <v>439.89</v>
      </c>
      <c r="N113" s="65">
        <f t="shared" si="9"/>
        <v>505.87349999999998</v>
      </c>
      <c r="O113" s="34" t="s">
        <v>2371</v>
      </c>
    </row>
    <row r="114" spans="1:15">
      <c r="A114" s="17" t="s">
        <v>1723</v>
      </c>
      <c r="B114" s="34" t="s">
        <v>630</v>
      </c>
      <c r="C114" s="61" t="s">
        <v>632</v>
      </c>
      <c r="D114" s="61" t="s">
        <v>2031</v>
      </c>
      <c r="E114" s="61" t="s">
        <v>2032</v>
      </c>
      <c r="F114" s="62"/>
      <c r="G114" s="63">
        <v>21233.26</v>
      </c>
      <c r="H114" s="63">
        <v>16384.240000000002</v>
      </c>
      <c r="K114" s="58">
        <f t="shared" si="7"/>
        <v>37617.5</v>
      </c>
      <c r="L114" s="64">
        <v>1</v>
      </c>
      <c r="M114" s="65">
        <f t="shared" si="8"/>
        <v>37617.5</v>
      </c>
      <c r="N114" s="65">
        <f t="shared" si="9"/>
        <v>43260.125</v>
      </c>
      <c r="O114" s="34" t="s">
        <v>2371</v>
      </c>
    </row>
    <row r="115" spans="1:15">
      <c r="A115" s="17" t="s">
        <v>1715</v>
      </c>
      <c r="B115" s="34" t="s">
        <v>412</v>
      </c>
      <c r="C115" s="61" t="s">
        <v>414</v>
      </c>
      <c r="D115" s="61" t="s">
        <v>2056</v>
      </c>
      <c r="E115" s="61" t="s">
        <v>2057</v>
      </c>
      <c r="F115" s="62"/>
      <c r="I115" s="63">
        <v>78.180000000000007</v>
      </c>
      <c r="K115" s="58">
        <f t="shared" si="7"/>
        <v>78.180000000000007</v>
      </c>
      <c r="L115" s="64">
        <v>1</v>
      </c>
      <c r="M115" s="65">
        <f t="shared" si="8"/>
        <v>78.180000000000007</v>
      </c>
      <c r="N115" s="65">
        <f t="shared" si="9"/>
        <v>89.907000000000011</v>
      </c>
      <c r="O115" s="34" t="s">
        <v>2369</v>
      </c>
    </row>
    <row r="116" spans="1:15">
      <c r="A116" s="17" t="s">
        <v>1715</v>
      </c>
      <c r="B116" s="34" t="s">
        <v>412</v>
      </c>
      <c r="C116" s="61" t="s">
        <v>414</v>
      </c>
      <c r="D116" s="61" t="s">
        <v>2056</v>
      </c>
      <c r="E116" s="61" t="s">
        <v>2057</v>
      </c>
      <c r="F116" s="62"/>
      <c r="I116" s="63">
        <v>215.87</v>
      </c>
      <c r="K116" s="58">
        <f t="shared" si="7"/>
        <v>215.87</v>
      </c>
      <c r="L116" s="64">
        <v>1</v>
      </c>
      <c r="M116" s="65">
        <f t="shared" si="8"/>
        <v>215.87</v>
      </c>
      <c r="N116" s="65">
        <f t="shared" si="9"/>
        <v>248.25049999999999</v>
      </c>
      <c r="O116" s="34" t="s">
        <v>2369</v>
      </c>
    </row>
    <row r="117" spans="1:15">
      <c r="A117" s="17" t="s">
        <v>1715</v>
      </c>
      <c r="B117" s="34" t="s">
        <v>240</v>
      </c>
      <c r="C117" s="61" t="s">
        <v>242</v>
      </c>
      <c r="D117" s="61" t="s">
        <v>2240</v>
      </c>
      <c r="E117" s="61" t="s">
        <v>2241</v>
      </c>
      <c r="F117" s="62"/>
      <c r="I117" s="63">
        <v>142.02000000000001</v>
      </c>
      <c r="J117" s="63">
        <v>68.5</v>
      </c>
      <c r="K117" s="58">
        <f t="shared" si="7"/>
        <v>210.52</v>
      </c>
      <c r="L117" s="64">
        <v>1</v>
      </c>
      <c r="M117" s="65">
        <f t="shared" si="8"/>
        <v>210.52</v>
      </c>
      <c r="N117" s="65">
        <f t="shared" si="9"/>
        <v>242.09800000000001</v>
      </c>
      <c r="O117" s="34" t="s">
        <v>2369</v>
      </c>
    </row>
    <row r="118" spans="1:15">
      <c r="A118" s="17" t="s">
        <v>1723</v>
      </c>
      <c r="B118" s="34" t="s">
        <v>240</v>
      </c>
      <c r="C118" s="61" t="s">
        <v>242</v>
      </c>
      <c r="D118" s="61" t="s">
        <v>2240</v>
      </c>
      <c r="E118" s="61" t="s">
        <v>2241</v>
      </c>
      <c r="F118" s="62"/>
      <c r="G118" s="63">
        <v>3000</v>
      </c>
      <c r="K118" s="58">
        <f t="shared" si="7"/>
        <v>3000</v>
      </c>
      <c r="L118" s="64">
        <v>1</v>
      </c>
      <c r="M118" s="65">
        <f t="shared" si="8"/>
        <v>3000</v>
      </c>
      <c r="N118" s="65">
        <f t="shared" si="9"/>
        <v>3450</v>
      </c>
      <c r="O118" s="34" t="s">
        <v>2369</v>
      </c>
    </row>
    <row r="119" spans="1:15">
      <c r="A119" s="17" t="s">
        <v>1473</v>
      </c>
      <c r="B119" s="34" t="s">
        <v>1703</v>
      </c>
      <c r="C119" s="61" t="s">
        <v>1705</v>
      </c>
      <c r="D119" s="61" t="s">
        <v>2211</v>
      </c>
      <c r="E119" s="61" t="s">
        <v>2212</v>
      </c>
      <c r="F119" s="62"/>
      <c r="G119" s="63">
        <v>18241.3</v>
      </c>
      <c r="K119" s="58">
        <f t="shared" si="7"/>
        <v>18241.3</v>
      </c>
      <c r="L119" s="64">
        <v>1</v>
      </c>
      <c r="M119" s="65">
        <f t="shared" si="8"/>
        <v>18241.3</v>
      </c>
      <c r="N119" s="65">
        <f t="shared" si="9"/>
        <v>20977.494999999999</v>
      </c>
      <c r="O119" s="34" t="s">
        <v>2369</v>
      </c>
    </row>
    <row r="120" spans="1:15">
      <c r="A120" s="17" t="s">
        <v>1473</v>
      </c>
      <c r="B120" s="34" t="s">
        <v>1622</v>
      </c>
      <c r="C120" s="61" t="s">
        <v>1624</v>
      </c>
      <c r="D120" s="61" t="s">
        <v>2152</v>
      </c>
      <c r="E120" s="61" t="s">
        <v>2153</v>
      </c>
      <c r="F120" s="62"/>
      <c r="G120" s="63">
        <v>2126.25</v>
      </c>
      <c r="K120" s="58">
        <f t="shared" si="7"/>
        <v>2126.25</v>
      </c>
      <c r="L120" s="64">
        <v>1</v>
      </c>
      <c r="M120" s="65">
        <f t="shared" si="8"/>
        <v>2126.25</v>
      </c>
      <c r="N120" s="65">
        <f t="shared" si="9"/>
        <v>2445.1875</v>
      </c>
      <c r="O120" s="34" t="s">
        <v>2369</v>
      </c>
    </row>
    <row r="121" spans="1:15">
      <c r="A121" s="17" t="s">
        <v>1097</v>
      </c>
      <c r="B121" s="34" t="s">
        <v>415</v>
      </c>
      <c r="C121" s="61" t="s">
        <v>417</v>
      </c>
      <c r="D121" s="61" t="s">
        <v>1943</v>
      </c>
      <c r="E121" s="61" t="s">
        <v>1944</v>
      </c>
      <c r="F121" s="62"/>
      <c r="G121" s="63">
        <v>0</v>
      </c>
      <c r="K121" s="58">
        <f t="shared" si="7"/>
        <v>0</v>
      </c>
      <c r="L121" s="64">
        <v>1</v>
      </c>
      <c r="M121" s="65">
        <f t="shared" si="8"/>
        <v>0</v>
      </c>
      <c r="N121" s="65">
        <f t="shared" si="9"/>
        <v>0</v>
      </c>
      <c r="O121" s="34" t="s">
        <v>2371</v>
      </c>
    </row>
    <row r="122" spans="1:15">
      <c r="A122" s="17" t="s">
        <v>1715</v>
      </c>
      <c r="B122" s="34" t="s">
        <v>415</v>
      </c>
      <c r="C122" s="61" t="s">
        <v>417</v>
      </c>
      <c r="D122" s="61" t="s">
        <v>1943</v>
      </c>
      <c r="E122" s="61" t="s">
        <v>1944</v>
      </c>
      <c r="F122" s="62"/>
      <c r="I122" s="63">
        <v>6221.33</v>
      </c>
      <c r="K122" s="58">
        <f t="shared" si="7"/>
        <v>6221.33</v>
      </c>
      <c r="L122" s="64">
        <v>1</v>
      </c>
      <c r="M122" s="65">
        <f t="shared" si="8"/>
        <v>6221.33</v>
      </c>
      <c r="N122" s="65">
        <f t="shared" si="9"/>
        <v>7154.5294999999996</v>
      </c>
      <c r="O122" s="34" t="s">
        <v>2371</v>
      </c>
    </row>
    <row r="123" spans="1:15">
      <c r="A123" s="17" t="s">
        <v>1723</v>
      </c>
      <c r="B123" s="34" t="s">
        <v>415</v>
      </c>
      <c r="C123" s="61" t="s">
        <v>417</v>
      </c>
      <c r="D123" s="61" t="s">
        <v>1943</v>
      </c>
      <c r="E123" s="61" t="s">
        <v>1944</v>
      </c>
      <c r="F123" s="62"/>
      <c r="G123" s="63">
        <v>13193.3</v>
      </c>
      <c r="K123" s="58">
        <f t="shared" si="7"/>
        <v>13193.3</v>
      </c>
      <c r="L123" s="64">
        <v>1</v>
      </c>
      <c r="M123" s="65">
        <f t="shared" si="8"/>
        <v>13193.3</v>
      </c>
      <c r="N123" s="65">
        <f t="shared" si="9"/>
        <v>15172.294999999998</v>
      </c>
      <c r="O123" s="34" t="s">
        <v>2371</v>
      </c>
    </row>
    <row r="124" spans="1:15">
      <c r="A124" s="17" t="s">
        <v>1399</v>
      </c>
      <c r="B124" s="34" t="s">
        <v>1467</v>
      </c>
      <c r="C124" s="61" t="s">
        <v>1469</v>
      </c>
      <c r="D124" s="61" t="s">
        <v>2027</v>
      </c>
      <c r="E124" s="61" t="s">
        <v>2028</v>
      </c>
      <c r="F124" s="62"/>
      <c r="G124" s="63">
        <v>2643.9</v>
      </c>
      <c r="K124" s="58">
        <f t="shared" si="7"/>
        <v>2643.9</v>
      </c>
      <c r="L124" s="64">
        <v>1</v>
      </c>
      <c r="M124" s="65">
        <f t="shared" si="8"/>
        <v>2643.9</v>
      </c>
      <c r="N124" s="65">
        <f t="shared" si="9"/>
        <v>3040.4850000000001</v>
      </c>
      <c r="O124" s="34" t="s">
        <v>2369</v>
      </c>
    </row>
    <row r="125" spans="1:15">
      <c r="A125" s="17" t="s">
        <v>1473</v>
      </c>
      <c r="B125" s="34" t="s">
        <v>1628</v>
      </c>
      <c r="C125" s="61" t="s">
        <v>1630</v>
      </c>
      <c r="D125" s="61" t="s">
        <v>2159</v>
      </c>
      <c r="E125" s="61" t="s">
        <v>2160</v>
      </c>
      <c r="F125" s="62"/>
      <c r="G125" s="63">
        <v>800</v>
      </c>
      <c r="I125" s="63">
        <v>408.05500000000001</v>
      </c>
      <c r="K125" s="58">
        <f t="shared" si="7"/>
        <v>1208.0550000000001</v>
      </c>
      <c r="L125" s="64">
        <v>1</v>
      </c>
      <c r="M125" s="65">
        <f t="shared" si="8"/>
        <v>1208.0550000000001</v>
      </c>
      <c r="N125" s="65">
        <f t="shared" si="9"/>
        <v>1389.26325</v>
      </c>
      <c r="O125" s="34" t="s">
        <v>2369</v>
      </c>
    </row>
    <row r="126" spans="1:15">
      <c r="A126" s="17" t="s">
        <v>1399</v>
      </c>
      <c r="B126" s="34" t="s">
        <v>1425</v>
      </c>
      <c r="C126" s="61" t="s">
        <v>1427</v>
      </c>
      <c r="D126" s="61" t="s">
        <v>1995</v>
      </c>
      <c r="E126" s="61" t="s">
        <v>1996</v>
      </c>
      <c r="F126" s="62"/>
      <c r="G126" s="63">
        <v>290</v>
      </c>
      <c r="I126" s="63">
        <v>1482.37</v>
      </c>
      <c r="K126" s="58">
        <f t="shared" si="7"/>
        <v>1772.37</v>
      </c>
      <c r="L126" s="64">
        <v>1</v>
      </c>
      <c r="M126" s="65">
        <f t="shared" si="8"/>
        <v>1772.37</v>
      </c>
      <c r="N126" s="65">
        <f t="shared" si="9"/>
        <v>2038.2254999999998</v>
      </c>
      <c r="O126" s="34" t="s">
        <v>2369</v>
      </c>
    </row>
    <row r="127" spans="1:15">
      <c r="A127" s="17" t="s">
        <v>1473</v>
      </c>
      <c r="B127" s="34" t="s">
        <v>1425</v>
      </c>
      <c r="C127" s="61" t="s">
        <v>1427</v>
      </c>
      <c r="D127" s="61" t="s">
        <v>1995</v>
      </c>
      <c r="E127" s="61" t="s">
        <v>1996</v>
      </c>
      <c r="F127" s="62"/>
      <c r="G127" s="63">
        <v>517</v>
      </c>
      <c r="I127" s="63">
        <v>2478.59</v>
      </c>
      <c r="K127" s="58">
        <f t="shared" si="7"/>
        <v>2995.59</v>
      </c>
      <c r="L127" s="64">
        <v>1</v>
      </c>
      <c r="M127" s="65">
        <f t="shared" si="8"/>
        <v>2995.59</v>
      </c>
      <c r="N127" s="65">
        <f t="shared" si="9"/>
        <v>3444.9285</v>
      </c>
      <c r="O127" s="34" t="s">
        <v>2369</v>
      </c>
    </row>
    <row r="128" spans="1:15">
      <c r="A128" s="17" t="s">
        <v>1893</v>
      </c>
      <c r="B128" s="34" t="s">
        <v>1425</v>
      </c>
      <c r="C128" s="61" t="s">
        <v>1427</v>
      </c>
      <c r="D128" s="61" t="s">
        <v>1995</v>
      </c>
      <c r="E128" s="61" t="s">
        <v>1996</v>
      </c>
      <c r="F128" s="62"/>
      <c r="G128" s="63">
        <v>800</v>
      </c>
      <c r="K128" s="58">
        <f t="shared" si="7"/>
        <v>800</v>
      </c>
      <c r="L128" s="64">
        <v>1</v>
      </c>
      <c r="M128" s="65">
        <f t="shared" si="8"/>
        <v>800</v>
      </c>
      <c r="N128" s="65">
        <f t="shared" si="9"/>
        <v>920</v>
      </c>
      <c r="O128" s="34" t="s">
        <v>2369</v>
      </c>
    </row>
    <row r="129" spans="1:15">
      <c r="A129" s="17" t="s">
        <v>1473</v>
      </c>
      <c r="B129" s="34" t="s">
        <v>1559</v>
      </c>
      <c r="C129" s="61" t="s">
        <v>1561</v>
      </c>
      <c r="D129" s="61" t="s">
        <v>2102</v>
      </c>
      <c r="E129" s="61" t="s">
        <v>2103</v>
      </c>
      <c r="F129" s="62"/>
      <c r="I129" s="63">
        <v>431.04</v>
      </c>
      <c r="K129" s="58">
        <f t="shared" si="7"/>
        <v>431.04</v>
      </c>
      <c r="L129" s="64">
        <v>1</v>
      </c>
      <c r="M129" s="65">
        <f t="shared" si="8"/>
        <v>431.04</v>
      </c>
      <c r="N129" s="65">
        <f t="shared" si="9"/>
        <v>495.69600000000003</v>
      </c>
      <c r="O129" s="34" t="s">
        <v>2369</v>
      </c>
    </row>
    <row r="130" spans="1:15">
      <c r="A130" s="17" t="s">
        <v>1473</v>
      </c>
      <c r="B130" s="34" t="s">
        <v>1613</v>
      </c>
      <c r="C130" s="61" t="s">
        <v>1615</v>
      </c>
      <c r="D130" s="61" t="s">
        <v>2146</v>
      </c>
      <c r="E130" s="61" t="s">
        <v>2147</v>
      </c>
      <c r="F130" s="62"/>
      <c r="G130" s="63">
        <v>20000</v>
      </c>
      <c r="K130" s="58">
        <f t="shared" si="7"/>
        <v>20000</v>
      </c>
      <c r="L130" s="64">
        <v>1</v>
      </c>
      <c r="M130" s="65">
        <f t="shared" si="8"/>
        <v>20000</v>
      </c>
      <c r="N130" s="65">
        <f t="shared" si="9"/>
        <v>23000</v>
      </c>
      <c r="O130" s="34" t="s">
        <v>2369</v>
      </c>
    </row>
    <row r="131" spans="1:15">
      <c r="A131" s="17" t="s">
        <v>1473</v>
      </c>
      <c r="B131" s="34" t="s">
        <v>1688</v>
      </c>
      <c r="C131" s="61" t="s">
        <v>1690</v>
      </c>
      <c r="D131" s="61" t="s">
        <v>2201</v>
      </c>
      <c r="E131" s="61" t="s">
        <v>2202</v>
      </c>
      <c r="F131" s="62"/>
      <c r="G131" s="63">
        <v>38199.699999999997</v>
      </c>
      <c r="K131" s="58">
        <f t="shared" si="7"/>
        <v>38199.699999999997</v>
      </c>
      <c r="L131" s="64">
        <v>1</v>
      </c>
      <c r="M131" s="65">
        <f t="shared" si="8"/>
        <v>38199.699999999997</v>
      </c>
      <c r="N131" s="65">
        <f t="shared" si="9"/>
        <v>43929.654999999999</v>
      </c>
      <c r="O131" s="34" t="s">
        <v>2369</v>
      </c>
    </row>
    <row r="132" spans="1:15">
      <c r="A132" s="17" t="s">
        <v>1473</v>
      </c>
      <c r="B132" s="34" t="s">
        <v>1553</v>
      </c>
      <c r="C132" s="61" t="s">
        <v>1555</v>
      </c>
      <c r="D132" s="61" t="s">
        <v>2098</v>
      </c>
      <c r="E132" s="61" t="s">
        <v>2099</v>
      </c>
      <c r="F132" s="62"/>
      <c r="G132" s="63">
        <v>6669.6</v>
      </c>
      <c r="I132" s="63">
        <v>247.065</v>
      </c>
      <c r="K132" s="58">
        <f t="shared" si="7"/>
        <v>6916.665</v>
      </c>
      <c r="L132" s="64">
        <v>1</v>
      </c>
      <c r="M132" s="65">
        <f t="shared" si="8"/>
        <v>6916.665</v>
      </c>
      <c r="N132" s="65">
        <f t="shared" si="9"/>
        <v>7954.1647499999999</v>
      </c>
      <c r="O132" s="34" t="s">
        <v>2369</v>
      </c>
    </row>
    <row r="133" spans="1:15">
      <c r="A133" s="17" t="s">
        <v>1399</v>
      </c>
      <c r="B133" s="34" t="s">
        <v>1461</v>
      </c>
      <c r="C133" s="61" t="s">
        <v>1463</v>
      </c>
      <c r="D133" s="61" t="s">
        <v>2023</v>
      </c>
      <c r="E133" s="61" t="s">
        <v>2024</v>
      </c>
      <c r="F133" s="62"/>
      <c r="I133" s="63">
        <v>119.92</v>
      </c>
      <c r="K133" s="58">
        <f t="shared" si="7"/>
        <v>119.92</v>
      </c>
      <c r="L133" s="64">
        <v>1</v>
      </c>
      <c r="M133" s="65">
        <f t="shared" si="8"/>
        <v>119.92</v>
      </c>
      <c r="N133" s="65">
        <f t="shared" si="9"/>
        <v>137.90800000000002</v>
      </c>
      <c r="O133" s="34" t="s">
        <v>2369</v>
      </c>
    </row>
    <row r="134" spans="1:15">
      <c r="A134" s="17" t="s">
        <v>1473</v>
      </c>
      <c r="B134" s="34" t="s">
        <v>1577</v>
      </c>
      <c r="C134" s="61" t="s">
        <v>1579</v>
      </c>
      <c r="D134" s="61" t="s">
        <v>2118</v>
      </c>
      <c r="E134" s="61" t="s">
        <v>2119</v>
      </c>
      <c r="F134" s="62"/>
      <c r="G134" s="63">
        <v>833</v>
      </c>
      <c r="K134" s="58">
        <f t="shared" si="7"/>
        <v>833</v>
      </c>
      <c r="L134" s="64">
        <v>1</v>
      </c>
      <c r="M134" s="65">
        <f t="shared" si="8"/>
        <v>833</v>
      </c>
      <c r="N134" s="65">
        <f t="shared" si="9"/>
        <v>957.95</v>
      </c>
      <c r="O134" s="34" t="s">
        <v>2369</v>
      </c>
    </row>
    <row r="135" spans="1:15">
      <c r="A135" s="17" t="s">
        <v>1881</v>
      </c>
      <c r="B135" s="34" t="s">
        <v>1577</v>
      </c>
      <c r="C135" s="61" t="s">
        <v>1579</v>
      </c>
      <c r="D135" s="61" t="s">
        <v>2118</v>
      </c>
      <c r="E135" s="61" t="s">
        <v>2119</v>
      </c>
      <c r="F135" s="62"/>
      <c r="I135" s="63">
        <v>1468.22</v>
      </c>
      <c r="K135" s="58">
        <f t="shared" si="7"/>
        <v>1468.22</v>
      </c>
      <c r="L135" s="64">
        <v>1</v>
      </c>
      <c r="M135" s="65">
        <f t="shared" si="8"/>
        <v>1468.22</v>
      </c>
      <c r="N135" s="65">
        <f t="shared" si="9"/>
        <v>1688.453</v>
      </c>
      <c r="O135" s="34" t="s">
        <v>2369</v>
      </c>
    </row>
    <row r="136" spans="1:15" ht="25.5">
      <c r="A136" s="17" t="s">
        <v>1723</v>
      </c>
      <c r="B136" s="34" t="s">
        <v>165</v>
      </c>
      <c r="C136" s="61" t="s">
        <v>167</v>
      </c>
      <c r="D136" s="61" t="s">
        <v>2355</v>
      </c>
      <c r="E136" s="61" t="s">
        <v>2356</v>
      </c>
      <c r="F136" s="62"/>
      <c r="G136" s="63">
        <v>17125.490000000002</v>
      </c>
      <c r="K136" s="58">
        <f t="shared" si="7"/>
        <v>17125.490000000002</v>
      </c>
      <c r="L136" s="64">
        <v>1</v>
      </c>
      <c r="M136" s="65">
        <f t="shared" si="8"/>
        <v>17125.490000000002</v>
      </c>
      <c r="N136" s="65">
        <f t="shared" si="9"/>
        <v>19694.3135</v>
      </c>
      <c r="O136" s="34" t="s">
        <v>2371</v>
      </c>
    </row>
    <row r="137" spans="1:15">
      <c r="A137" s="17" t="s">
        <v>1473</v>
      </c>
      <c r="B137" s="34" t="s">
        <v>1532</v>
      </c>
      <c r="C137" s="61" t="s">
        <v>1534</v>
      </c>
      <c r="D137" s="61" t="s">
        <v>2080</v>
      </c>
      <c r="E137" s="61" t="s">
        <v>2081</v>
      </c>
      <c r="F137" s="62"/>
      <c r="I137" s="63">
        <v>302.93</v>
      </c>
      <c r="K137" s="58">
        <f t="shared" si="7"/>
        <v>302.93</v>
      </c>
      <c r="L137" s="64">
        <v>1</v>
      </c>
      <c r="M137" s="65">
        <f t="shared" si="8"/>
        <v>302.93</v>
      </c>
      <c r="N137" s="65">
        <f t="shared" si="9"/>
        <v>348.36950000000002</v>
      </c>
      <c r="O137" s="34" t="s">
        <v>2369</v>
      </c>
    </row>
    <row r="138" spans="1:15">
      <c r="A138" s="17" t="s">
        <v>1881</v>
      </c>
      <c r="B138" s="34" t="s">
        <v>1532</v>
      </c>
      <c r="C138" s="61" t="s">
        <v>1534</v>
      </c>
      <c r="D138" s="61" t="s">
        <v>2080</v>
      </c>
      <c r="E138" s="61" t="s">
        <v>2081</v>
      </c>
      <c r="F138" s="62"/>
      <c r="I138" s="63">
        <v>398.72</v>
      </c>
      <c r="K138" s="58">
        <f t="shared" si="7"/>
        <v>398.72</v>
      </c>
      <c r="L138" s="64">
        <v>1</v>
      </c>
      <c r="M138" s="65">
        <f t="shared" si="8"/>
        <v>398.72</v>
      </c>
      <c r="N138" s="65">
        <f t="shared" si="9"/>
        <v>458.52800000000002</v>
      </c>
      <c r="O138" s="34" t="s">
        <v>2369</v>
      </c>
    </row>
    <row r="139" spans="1:15">
      <c r="A139" s="17" t="s">
        <v>1723</v>
      </c>
      <c r="B139" s="34" t="s">
        <v>376</v>
      </c>
      <c r="C139" s="61" t="s">
        <v>378</v>
      </c>
      <c r="D139" s="61" t="s">
        <v>2344</v>
      </c>
      <c r="E139" s="61" t="s">
        <v>2345</v>
      </c>
      <c r="F139" s="62"/>
      <c r="G139" s="63">
        <v>3172.12</v>
      </c>
      <c r="K139" s="58">
        <f t="shared" si="7"/>
        <v>3172.12</v>
      </c>
      <c r="L139" s="64">
        <v>1</v>
      </c>
      <c r="M139" s="65">
        <f t="shared" si="8"/>
        <v>3172.12</v>
      </c>
      <c r="N139" s="65">
        <f t="shared" si="9"/>
        <v>3647.9380000000001</v>
      </c>
      <c r="O139" s="34" t="s">
        <v>2369</v>
      </c>
    </row>
    <row r="140" spans="1:15">
      <c r="A140" s="17" t="s">
        <v>1715</v>
      </c>
      <c r="B140" s="34" t="s">
        <v>24</v>
      </c>
      <c r="C140" s="61" t="s">
        <v>26</v>
      </c>
      <c r="D140" s="61" t="s">
        <v>2305</v>
      </c>
      <c r="E140" s="61" t="s">
        <v>2306</v>
      </c>
      <c r="F140" s="62"/>
      <c r="G140" s="63">
        <v>0</v>
      </c>
      <c r="K140" s="58">
        <f t="shared" si="7"/>
        <v>0</v>
      </c>
      <c r="L140" s="64">
        <v>1</v>
      </c>
      <c r="M140" s="65">
        <f t="shared" si="8"/>
        <v>0</v>
      </c>
      <c r="N140" s="65">
        <f t="shared" si="9"/>
        <v>0</v>
      </c>
      <c r="O140" s="34" t="s">
        <v>2369</v>
      </c>
    </row>
    <row r="141" spans="1:15">
      <c r="A141" s="17" t="s">
        <v>1723</v>
      </c>
      <c r="B141" s="34" t="s">
        <v>24</v>
      </c>
      <c r="C141" s="61" t="s">
        <v>26</v>
      </c>
      <c r="D141" s="61" t="s">
        <v>2305</v>
      </c>
      <c r="E141" s="61" t="s">
        <v>2306</v>
      </c>
      <c r="F141" s="62"/>
      <c r="G141" s="63">
        <v>1700</v>
      </c>
      <c r="K141" s="58">
        <f t="shared" si="7"/>
        <v>1700</v>
      </c>
      <c r="L141" s="64">
        <v>1</v>
      </c>
      <c r="M141" s="65">
        <f t="shared" si="8"/>
        <v>1700</v>
      </c>
      <c r="N141" s="65">
        <f t="shared" si="9"/>
        <v>1955</v>
      </c>
      <c r="O141" s="34" t="s">
        <v>2369</v>
      </c>
    </row>
    <row r="142" spans="1:15">
      <c r="A142" s="17" t="s">
        <v>1715</v>
      </c>
      <c r="B142" s="34" t="s">
        <v>258</v>
      </c>
      <c r="C142" s="61" t="s">
        <v>260</v>
      </c>
      <c r="D142" s="61" t="s">
        <v>2264</v>
      </c>
      <c r="E142" s="61" t="s">
        <v>2265</v>
      </c>
      <c r="F142" s="62"/>
      <c r="H142" s="63">
        <v>1252.93</v>
      </c>
      <c r="I142" s="63">
        <v>52014.625</v>
      </c>
      <c r="J142" s="63">
        <v>11633.17</v>
      </c>
      <c r="K142" s="58">
        <f t="shared" si="7"/>
        <v>64900.724999999999</v>
      </c>
      <c r="L142" s="64">
        <v>1</v>
      </c>
      <c r="M142" s="65">
        <f t="shared" si="8"/>
        <v>64900.724999999999</v>
      </c>
      <c r="N142" s="65">
        <f t="shared" si="9"/>
        <v>74635.833749999991</v>
      </c>
      <c r="O142" s="34" t="s">
        <v>2370</v>
      </c>
    </row>
    <row r="143" spans="1:15">
      <c r="A143" s="17" t="s">
        <v>1723</v>
      </c>
      <c r="B143" s="34" t="s">
        <v>258</v>
      </c>
      <c r="C143" s="61" t="s">
        <v>260</v>
      </c>
      <c r="D143" s="61" t="s">
        <v>2264</v>
      </c>
      <c r="E143" s="61" t="s">
        <v>2265</v>
      </c>
      <c r="F143" s="62"/>
      <c r="H143" s="63">
        <v>5283.82</v>
      </c>
      <c r="K143" s="58">
        <f t="shared" si="7"/>
        <v>5283.82</v>
      </c>
      <c r="L143" s="64">
        <v>1</v>
      </c>
      <c r="M143" s="65">
        <f t="shared" si="8"/>
        <v>5283.82</v>
      </c>
      <c r="N143" s="65">
        <f t="shared" si="9"/>
        <v>6076.393</v>
      </c>
      <c r="O143" s="34" t="s">
        <v>2370</v>
      </c>
    </row>
    <row r="144" spans="1:15">
      <c r="A144" s="17" t="s">
        <v>1473</v>
      </c>
      <c r="B144" s="34" t="s">
        <v>1601</v>
      </c>
      <c r="C144" s="61" t="s">
        <v>1603</v>
      </c>
      <c r="D144" s="61" t="s">
        <v>2138</v>
      </c>
      <c r="E144" s="61" t="s">
        <v>2139</v>
      </c>
      <c r="F144" s="62"/>
      <c r="G144" s="63">
        <v>18811.099999999999</v>
      </c>
      <c r="K144" s="58">
        <f t="shared" si="7"/>
        <v>18811.099999999999</v>
      </c>
      <c r="L144" s="64">
        <v>1</v>
      </c>
      <c r="M144" s="65">
        <f t="shared" si="8"/>
        <v>18811.099999999999</v>
      </c>
      <c r="N144" s="65">
        <f t="shared" si="9"/>
        <v>21632.764999999999</v>
      </c>
      <c r="O144" s="34" t="s">
        <v>2369</v>
      </c>
    </row>
    <row r="145" spans="1:15">
      <c r="A145" s="17" t="s">
        <v>1097</v>
      </c>
      <c r="B145" s="34" t="s">
        <v>516</v>
      </c>
      <c r="C145" s="61" t="s">
        <v>518</v>
      </c>
      <c r="D145" s="61" t="s">
        <v>1931</v>
      </c>
      <c r="E145" s="61" t="s">
        <v>1932</v>
      </c>
      <c r="F145" s="62"/>
      <c r="G145" s="63">
        <v>93431.89</v>
      </c>
      <c r="H145" s="63">
        <v>6355.77</v>
      </c>
      <c r="K145" s="58">
        <f t="shared" si="7"/>
        <v>99787.66</v>
      </c>
      <c r="L145" s="64">
        <v>1</v>
      </c>
      <c r="M145" s="65">
        <f t="shared" si="8"/>
        <v>99787.66</v>
      </c>
      <c r="N145" s="65">
        <f t="shared" si="9"/>
        <v>114755.80900000001</v>
      </c>
      <c r="O145" s="34" t="s">
        <v>2369</v>
      </c>
    </row>
    <row r="146" spans="1:15">
      <c r="A146" s="17" t="s">
        <v>1715</v>
      </c>
      <c r="B146" s="34" t="s">
        <v>516</v>
      </c>
      <c r="C146" s="61" t="s">
        <v>518</v>
      </c>
      <c r="D146" s="61" t="s">
        <v>1931</v>
      </c>
      <c r="E146" s="61" t="s">
        <v>1932</v>
      </c>
      <c r="F146" s="62"/>
      <c r="G146" s="63">
        <v>4035.51</v>
      </c>
      <c r="H146" s="63">
        <v>782.17</v>
      </c>
      <c r="I146" s="63">
        <v>25298.28</v>
      </c>
      <c r="J146" s="63">
        <v>8026.88</v>
      </c>
      <c r="K146" s="58">
        <f t="shared" si="7"/>
        <v>38142.839999999997</v>
      </c>
      <c r="L146" s="64">
        <v>1</v>
      </c>
      <c r="M146" s="65">
        <f t="shared" si="8"/>
        <v>38142.839999999997</v>
      </c>
      <c r="N146" s="65">
        <f t="shared" si="9"/>
        <v>43864.265999999996</v>
      </c>
      <c r="O146" s="34" t="s">
        <v>2369</v>
      </c>
    </row>
    <row r="147" spans="1:15">
      <c r="A147" s="17" t="s">
        <v>1715</v>
      </c>
      <c r="B147" s="34" t="s">
        <v>207</v>
      </c>
      <c r="C147" s="61" t="s">
        <v>209</v>
      </c>
      <c r="D147" s="61" t="s">
        <v>2282</v>
      </c>
      <c r="E147" s="61" t="s">
        <v>2283</v>
      </c>
      <c r="F147" s="62"/>
      <c r="I147" s="63">
        <v>4490.79</v>
      </c>
      <c r="J147" s="63">
        <v>1122.72</v>
      </c>
      <c r="K147" s="58">
        <f t="shared" si="7"/>
        <v>5613.51</v>
      </c>
      <c r="L147" s="64">
        <v>1</v>
      </c>
      <c r="M147" s="65">
        <f t="shared" si="8"/>
        <v>5613.51</v>
      </c>
      <c r="N147" s="65">
        <f t="shared" si="9"/>
        <v>6455.5365000000002</v>
      </c>
      <c r="O147" s="34" t="s">
        <v>2370</v>
      </c>
    </row>
    <row r="148" spans="1:15">
      <c r="A148" s="17" t="s">
        <v>1723</v>
      </c>
      <c r="B148" s="34" t="s">
        <v>207</v>
      </c>
      <c r="C148" s="61" t="s">
        <v>209</v>
      </c>
      <c r="D148" s="61" t="s">
        <v>2282</v>
      </c>
      <c r="E148" s="61" t="s">
        <v>2283</v>
      </c>
      <c r="F148" s="62"/>
      <c r="G148" s="63">
        <v>564</v>
      </c>
      <c r="H148" s="63">
        <v>3383.08</v>
      </c>
      <c r="K148" s="58">
        <f t="shared" si="7"/>
        <v>3947.08</v>
      </c>
      <c r="L148" s="64">
        <v>1</v>
      </c>
      <c r="M148" s="65">
        <f t="shared" si="8"/>
        <v>3947.08</v>
      </c>
      <c r="N148" s="65">
        <f t="shared" si="9"/>
        <v>4539.1419999999998</v>
      </c>
      <c r="O148" s="34" t="s">
        <v>2370</v>
      </c>
    </row>
    <row r="149" spans="1:15">
      <c r="A149" s="17" t="s">
        <v>1473</v>
      </c>
      <c r="B149" s="34" t="s">
        <v>1478</v>
      </c>
      <c r="C149" s="61" t="s">
        <v>1480</v>
      </c>
      <c r="D149" s="61" t="s">
        <v>2040</v>
      </c>
      <c r="E149" s="61" t="s">
        <v>2041</v>
      </c>
      <c r="F149" s="62"/>
      <c r="G149" s="63">
        <v>11940</v>
      </c>
      <c r="K149" s="58">
        <f t="shared" si="7"/>
        <v>11940</v>
      </c>
      <c r="L149" s="64">
        <v>1</v>
      </c>
      <c r="M149" s="65">
        <f t="shared" si="8"/>
        <v>11940</v>
      </c>
      <c r="N149" s="65">
        <f t="shared" si="9"/>
        <v>13731</v>
      </c>
      <c r="O149" s="34" t="s">
        <v>2369</v>
      </c>
    </row>
    <row r="150" spans="1:15">
      <c r="A150" s="17" t="s">
        <v>1473</v>
      </c>
      <c r="B150" s="34" t="s">
        <v>1697</v>
      </c>
      <c r="C150" s="61" t="s">
        <v>1699</v>
      </c>
      <c r="D150" s="61" t="s">
        <v>2205</v>
      </c>
      <c r="E150" s="61" t="s">
        <v>2206</v>
      </c>
      <c r="F150" s="62"/>
      <c r="G150" s="63">
        <v>7029.38</v>
      </c>
      <c r="K150" s="58">
        <f t="shared" si="7"/>
        <v>7029.38</v>
      </c>
      <c r="L150" s="64">
        <v>1</v>
      </c>
      <c r="M150" s="65">
        <f t="shared" si="8"/>
        <v>7029.38</v>
      </c>
      <c r="N150" s="65">
        <f t="shared" si="9"/>
        <v>8083.7870000000003</v>
      </c>
      <c r="O150" s="34" t="s">
        <v>2369</v>
      </c>
    </row>
    <row r="151" spans="1:15">
      <c r="A151" s="17" t="s">
        <v>1473</v>
      </c>
      <c r="B151" s="34" t="s">
        <v>1679</v>
      </c>
      <c r="C151" s="61" t="s">
        <v>1681</v>
      </c>
      <c r="D151" s="61" t="s">
        <v>2193</v>
      </c>
      <c r="E151" s="61" t="s">
        <v>2194</v>
      </c>
      <c r="F151" s="62"/>
      <c r="G151" s="63">
        <v>500</v>
      </c>
      <c r="K151" s="58">
        <f t="shared" si="7"/>
        <v>500</v>
      </c>
      <c r="L151" s="64">
        <v>1</v>
      </c>
      <c r="M151" s="65">
        <f t="shared" si="8"/>
        <v>500</v>
      </c>
      <c r="N151" s="65">
        <f t="shared" si="9"/>
        <v>575</v>
      </c>
      <c r="O151" s="34" t="s">
        <v>2369</v>
      </c>
    </row>
    <row r="152" spans="1:15">
      <c r="A152" s="17" t="s">
        <v>1473</v>
      </c>
      <c r="B152" s="34" t="s">
        <v>1625</v>
      </c>
      <c r="C152" s="61" t="s">
        <v>1627</v>
      </c>
      <c r="D152" s="61" t="s">
        <v>2157</v>
      </c>
      <c r="E152" s="61" t="s">
        <v>2158</v>
      </c>
      <c r="F152" s="62"/>
      <c r="G152" s="63">
        <v>1520</v>
      </c>
      <c r="I152" s="63">
        <v>61.38</v>
      </c>
      <c r="K152" s="58">
        <f t="shared" ref="K152:K189" si="10">SUM(G152:J152)</f>
        <v>1581.38</v>
      </c>
      <c r="L152" s="64">
        <v>1</v>
      </c>
      <c r="M152" s="65">
        <f t="shared" ref="M152:M189" si="11">+K152*L152</f>
        <v>1581.38</v>
      </c>
      <c r="N152" s="65">
        <f t="shared" ref="N152:N189" si="12">+M152+(+M152*$N$1)</f>
        <v>1818.587</v>
      </c>
      <c r="O152" s="34" t="s">
        <v>2369</v>
      </c>
    </row>
    <row r="153" spans="1:15">
      <c r="A153" s="17" t="s">
        <v>1097</v>
      </c>
      <c r="B153" s="34" t="s">
        <v>303</v>
      </c>
      <c r="C153" s="61" t="s">
        <v>305</v>
      </c>
      <c r="D153" s="61" t="s">
        <v>1962</v>
      </c>
      <c r="E153" s="61" t="s">
        <v>1963</v>
      </c>
      <c r="F153" s="62"/>
      <c r="G153" s="63">
        <v>9787.6200000000008</v>
      </c>
      <c r="H153" s="63">
        <v>2036.65</v>
      </c>
      <c r="K153" s="58">
        <f t="shared" si="10"/>
        <v>11824.27</v>
      </c>
      <c r="L153" s="64">
        <v>1</v>
      </c>
      <c r="M153" s="65">
        <f t="shared" si="11"/>
        <v>11824.27</v>
      </c>
      <c r="N153" s="65">
        <f t="shared" si="12"/>
        <v>13597.9105</v>
      </c>
      <c r="O153" s="34" t="s">
        <v>2371</v>
      </c>
    </row>
    <row r="154" spans="1:15">
      <c r="A154" s="17" t="s">
        <v>1715</v>
      </c>
      <c r="B154" s="34" t="s">
        <v>303</v>
      </c>
      <c r="C154" s="61" t="s">
        <v>305</v>
      </c>
      <c r="D154" s="61" t="s">
        <v>1962</v>
      </c>
      <c r="E154" s="61" t="s">
        <v>1963</v>
      </c>
      <c r="F154" s="62"/>
      <c r="G154" s="63">
        <v>146300</v>
      </c>
      <c r="H154" s="63">
        <v>730.4</v>
      </c>
      <c r="I154" s="63">
        <v>10702.08</v>
      </c>
      <c r="K154" s="58">
        <f t="shared" si="10"/>
        <v>157732.47999999998</v>
      </c>
      <c r="L154" s="64">
        <v>1</v>
      </c>
      <c r="M154" s="65">
        <f t="shared" si="11"/>
        <v>157732.47999999998</v>
      </c>
      <c r="N154" s="65">
        <f t="shared" si="12"/>
        <v>181392.35199999998</v>
      </c>
      <c r="O154" s="34" t="s">
        <v>2371</v>
      </c>
    </row>
    <row r="155" spans="1:15">
      <c r="A155" s="17" t="s">
        <v>1723</v>
      </c>
      <c r="B155" s="34" t="s">
        <v>303</v>
      </c>
      <c r="C155" s="61" t="s">
        <v>305</v>
      </c>
      <c r="D155" s="61" t="s">
        <v>1962</v>
      </c>
      <c r="E155" s="61" t="s">
        <v>1963</v>
      </c>
      <c r="F155" s="62"/>
      <c r="G155" s="63">
        <v>85</v>
      </c>
      <c r="K155" s="58">
        <f t="shared" si="10"/>
        <v>85</v>
      </c>
      <c r="L155" s="64">
        <v>1</v>
      </c>
      <c r="M155" s="65">
        <f t="shared" si="11"/>
        <v>85</v>
      </c>
      <c r="N155" s="65">
        <f t="shared" si="12"/>
        <v>97.75</v>
      </c>
      <c r="O155" s="34" t="s">
        <v>2371</v>
      </c>
    </row>
    <row r="156" spans="1:15">
      <c r="A156" s="17" t="s">
        <v>1715</v>
      </c>
      <c r="B156" s="34" t="s">
        <v>303</v>
      </c>
      <c r="C156" s="61" t="s">
        <v>305</v>
      </c>
      <c r="D156" s="61" t="s">
        <v>1962</v>
      </c>
      <c r="E156" s="61" t="s">
        <v>1963</v>
      </c>
      <c r="F156" s="62"/>
      <c r="H156" s="63">
        <v>57650.86</v>
      </c>
      <c r="K156" s="58">
        <f t="shared" si="10"/>
        <v>57650.86</v>
      </c>
      <c r="L156" s="64">
        <v>1</v>
      </c>
      <c r="M156" s="65">
        <f t="shared" si="11"/>
        <v>57650.86</v>
      </c>
      <c r="N156" s="65">
        <f t="shared" si="12"/>
        <v>66298.489000000001</v>
      </c>
      <c r="O156" s="34" t="s">
        <v>2371</v>
      </c>
    </row>
    <row r="157" spans="1:15">
      <c r="A157" s="17" t="s">
        <v>1473</v>
      </c>
      <c r="B157" s="34" t="s">
        <v>1664</v>
      </c>
      <c r="C157" s="61" t="s">
        <v>1666</v>
      </c>
      <c r="D157" s="61" t="s">
        <v>2183</v>
      </c>
      <c r="E157" s="61" t="s">
        <v>2184</v>
      </c>
      <c r="F157" s="62"/>
      <c r="G157" s="63">
        <v>760</v>
      </c>
      <c r="I157" s="63">
        <v>254.095</v>
      </c>
      <c r="K157" s="58">
        <f t="shared" si="10"/>
        <v>1014.095</v>
      </c>
      <c r="L157" s="64">
        <v>1</v>
      </c>
      <c r="M157" s="65">
        <f t="shared" si="11"/>
        <v>1014.095</v>
      </c>
      <c r="N157" s="65">
        <f t="shared" si="12"/>
        <v>1166.2092500000001</v>
      </c>
      <c r="O157" s="34" t="s">
        <v>2369</v>
      </c>
    </row>
    <row r="158" spans="1:15">
      <c r="A158" s="17" t="s">
        <v>1473</v>
      </c>
      <c r="B158" s="34" t="s">
        <v>1640</v>
      </c>
      <c r="C158" s="61" t="s">
        <v>1642</v>
      </c>
      <c r="D158" s="61" t="s">
        <v>2167</v>
      </c>
      <c r="E158" s="61" t="s">
        <v>2168</v>
      </c>
      <c r="F158" s="62"/>
      <c r="G158" s="63">
        <v>16959</v>
      </c>
      <c r="I158" s="63">
        <v>622.46</v>
      </c>
      <c r="K158" s="58">
        <f t="shared" si="10"/>
        <v>17581.46</v>
      </c>
      <c r="L158" s="64">
        <v>1</v>
      </c>
      <c r="M158" s="65">
        <f t="shared" si="11"/>
        <v>17581.46</v>
      </c>
      <c r="N158" s="65">
        <f t="shared" si="12"/>
        <v>20218.679</v>
      </c>
      <c r="O158" s="34" t="s">
        <v>2369</v>
      </c>
    </row>
    <row r="159" spans="1:15">
      <c r="A159" s="17" t="s">
        <v>1473</v>
      </c>
      <c r="B159" s="34" t="s">
        <v>243</v>
      </c>
      <c r="C159" s="61" t="s">
        <v>245</v>
      </c>
      <c r="D159" s="61" t="s">
        <v>2199</v>
      </c>
      <c r="E159" s="61" t="s">
        <v>2200</v>
      </c>
      <c r="F159" s="62"/>
      <c r="G159" s="63">
        <v>500</v>
      </c>
      <c r="I159" s="63">
        <v>780.67499999999995</v>
      </c>
      <c r="K159" s="58">
        <f t="shared" si="10"/>
        <v>1280.675</v>
      </c>
      <c r="L159" s="64">
        <v>1</v>
      </c>
      <c r="M159" s="65">
        <f t="shared" si="11"/>
        <v>1280.675</v>
      </c>
      <c r="N159" s="65">
        <f t="shared" si="12"/>
        <v>1472.7762499999999</v>
      </c>
      <c r="O159" s="34" t="s">
        <v>2369</v>
      </c>
    </row>
    <row r="160" spans="1:15">
      <c r="A160" s="17" t="s">
        <v>1715</v>
      </c>
      <c r="B160" s="34" t="s">
        <v>180</v>
      </c>
      <c r="C160" s="61" t="s">
        <v>182</v>
      </c>
      <c r="D160" s="61" t="s">
        <v>2270</v>
      </c>
      <c r="E160" s="61" t="s">
        <v>2271</v>
      </c>
      <c r="F160" s="62"/>
      <c r="G160" s="63">
        <v>0</v>
      </c>
      <c r="I160" s="63">
        <v>4726.76</v>
      </c>
      <c r="J160" s="63">
        <v>373.1</v>
      </c>
      <c r="K160" s="58">
        <f t="shared" si="10"/>
        <v>5099.8600000000006</v>
      </c>
      <c r="L160" s="64">
        <v>1</v>
      </c>
      <c r="M160" s="65">
        <f t="shared" si="11"/>
        <v>5099.8600000000006</v>
      </c>
      <c r="N160" s="65">
        <f t="shared" si="12"/>
        <v>5864.8390000000009</v>
      </c>
      <c r="O160" s="34" t="s">
        <v>2370</v>
      </c>
    </row>
    <row r="161" spans="1:15">
      <c r="A161" s="17" t="s">
        <v>1723</v>
      </c>
      <c r="B161" s="34" t="s">
        <v>180</v>
      </c>
      <c r="C161" s="61" t="s">
        <v>182</v>
      </c>
      <c r="D161" s="61" t="s">
        <v>2270</v>
      </c>
      <c r="E161" s="61" t="s">
        <v>2271</v>
      </c>
      <c r="F161" s="62"/>
      <c r="G161" s="63">
        <v>24980.36</v>
      </c>
      <c r="H161" s="63">
        <v>10565.54</v>
      </c>
      <c r="K161" s="58">
        <f t="shared" si="10"/>
        <v>35545.9</v>
      </c>
      <c r="L161" s="64">
        <v>1</v>
      </c>
      <c r="M161" s="65">
        <f t="shared" si="11"/>
        <v>35545.9</v>
      </c>
      <c r="N161" s="65">
        <f t="shared" si="12"/>
        <v>40877.785000000003</v>
      </c>
      <c r="O161" s="34" t="s">
        <v>2370</v>
      </c>
    </row>
    <row r="162" spans="1:15">
      <c r="A162" s="17" t="s">
        <v>1885</v>
      </c>
      <c r="B162" s="34" t="s">
        <v>180</v>
      </c>
      <c r="C162" s="61" t="s">
        <v>182</v>
      </c>
      <c r="D162" s="61" t="s">
        <v>2270</v>
      </c>
      <c r="E162" s="61" t="s">
        <v>2271</v>
      </c>
      <c r="F162" s="62"/>
      <c r="I162" s="63">
        <v>786.25</v>
      </c>
      <c r="J162" s="63">
        <v>441.91</v>
      </c>
      <c r="K162" s="58">
        <f t="shared" si="10"/>
        <v>1228.1600000000001</v>
      </c>
      <c r="L162" s="64">
        <v>1</v>
      </c>
      <c r="M162" s="65">
        <f t="shared" si="11"/>
        <v>1228.1600000000001</v>
      </c>
      <c r="N162" s="65">
        <f t="shared" si="12"/>
        <v>1412.384</v>
      </c>
      <c r="O162" s="34" t="s">
        <v>2370</v>
      </c>
    </row>
    <row r="163" spans="1:15">
      <c r="A163" s="17" t="s">
        <v>1473</v>
      </c>
      <c r="B163" s="34" t="s">
        <v>1655</v>
      </c>
      <c r="C163" s="61" t="s">
        <v>1657</v>
      </c>
      <c r="D163" s="61" t="s">
        <v>2177</v>
      </c>
      <c r="E163" s="61" t="s">
        <v>2178</v>
      </c>
      <c r="F163" s="62"/>
      <c r="G163" s="63">
        <v>34144</v>
      </c>
      <c r="I163" s="63">
        <v>319.36</v>
      </c>
      <c r="K163" s="58">
        <f t="shared" si="10"/>
        <v>34463.360000000001</v>
      </c>
      <c r="L163" s="64">
        <v>1</v>
      </c>
      <c r="M163" s="65">
        <f t="shared" si="11"/>
        <v>34463.360000000001</v>
      </c>
      <c r="N163" s="65">
        <f t="shared" si="12"/>
        <v>39632.864000000001</v>
      </c>
      <c r="O163" s="34" t="s">
        <v>2369</v>
      </c>
    </row>
    <row r="164" spans="1:15">
      <c r="A164" s="17" t="s">
        <v>1715</v>
      </c>
      <c r="B164" s="34" t="s">
        <v>504</v>
      </c>
      <c r="C164" s="61" t="s">
        <v>506</v>
      </c>
      <c r="D164" s="61" t="s">
        <v>2232</v>
      </c>
      <c r="E164" s="61" t="s">
        <v>2233</v>
      </c>
      <c r="F164" s="62"/>
      <c r="G164" s="63">
        <v>1500</v>
      </c>
      <c r="I164" s="63">
        <v>3040.4650000000001</v>
      </c>
      <c r="K164" s="58">
        <f t="shared" si="10"/>
        <v>4540.4650000000001</v>
      </c>
      <c r="L164" s="64">
        <v>0.21</v>
      </c>
      <c r="M164" s="65">
        <f t="shared" si="11"/>
        <v>953.49765000000002</v>
      </c>
      <c r="N164" s="65">
        <f t="shared" si="12"/>
        <v>1096.5222974999999</v>
      </c>
      <c r="O164" s="34" t="s">
        <v>2370</v>
      </c>
    </row>
    <row r="165" spans="1:15">
      <c r="A165" s="17" t="s">
        <v>1723</v>
      </c>
      <c r="B165" s="34" t="s">
        <v>504</v>
      </c>
      <c r="C165" s="61" t="s">
        <v>506</v>
      </c>
      <c r="D165" s="61" t="s">
        <v>2232</v>
      </c>
      <c r="E165" s="61" t="s">
        <v>2233</v>
      </c>
      <c r="F165" s="62"/>
      <c r="G165" s="63">
        <v>22250.99</v>
      </c>
      <c r="H165" s="63">
        <v>21714.82</v>
      </c>
      <c r="K165" s="58">
        <f t="shared" si="10"/>
        <v>43965.81</v>
      </c>
      <c r="L165" s="64">
        <v>0.21</v>
      </c>
      <c r="M165" s="65">
        <f t="shared" si="11"/>
        <v>9232.820099999999</v>
      </c>
      <c r="N165" s="65">
        <f t="shared" si="12"/>
        <v>10617.743114999999</v>
      </c>
      <c r="O165" s="34" t="s">
        <v>2370</v>
      </c>
    </row>
    <row r="166" spans="1:15">
      <c r="A166" s="17" t="s">
        <v>1473</v>
      </c>
      <c r="B166" s="34" t="s">
        <v>1670</v>
      </c>
      <c r="C166" s="61" t="s">
        <v>1672</v>
      </c>
      <c r="D166" s="61" t="s">
        <v>2187</v>
      </c>
      <c r="E166" s="61" t="s">
        <v>2188</v>
      </c>
      <c r="F166" s="62"/>
      <c r="G166" s="63">
        <v>2183.64</v>
      </c>
      <c r="K166" s="58">
        <f t="shared" si="10"/>
        <v>2183.64</v>
      </c>
      <c r="L166" s="64">
        <v>1</v>
      </c>
      <c r="M166" s="65">
        <f t="shared" si="11"/>
        <v>2183.64</v>
      </c>
      <c r="N166" s="65">
        <f t="shared" si="12"/>
        <v>2511.1859999999997</v>
      </c>
      <c r="O166" s="34" t="s">
        <v>2369</v>
      </c>
    </row>
    <row r="167" spans="1:15">
      <c r="A167" s="17" t="s">
        <v>1907</v>
      </c>
      <c r="B167" s="34" t="s">
        <v>99</v>
      </c>
      <c r="C167" s="61" t="s">
        <v>101</v>
      </c>
      <c r="D167" s="61" t="s">
        <v>2207</v>
      </c>
      <c r="E167" s="61" t="s">
        <v>2208</v>
      </c>
      <c r="F167" s="62"/>
      <c r="I167" s="63">
        <v>276.48</v>
      </c>
      <c r="K167" s="58">
        <f t="shared" si="10"/>
        <v>276.48</v>
      </c>
      <c r="L167" s="64">
        <v>1</v>
      </c>
      <c r="M167" s="65">
        <f t="shared" si="11"/>
        <v>276.48</v>
      </c>
      <c r="N167" s="65">
        <f t="shared" si="12"/>
        <v>317.952</v>
      </c>
      <c r="O167" s="34" t="s">
        <v>2369</v>
      </c>
    </row>
    <row r="168" spans="1:15">
      <c r="A168" s="17" t="s">
        <v>1715</v>
      </c>
      <c r="B168" s="34" t="s">
        <v>99</v>
      </c>
      <c r="C168" s="61" t="s">
        <v>101</v>
      </c>
      <c r="D168" s="61" t="s">
        <v>2207</v>
      </c>
      <c r="E168" s="61" t="s">
        <v>2208</v>
      </c>
      <c r="F168" s="62"/>
      <c r="I168" s="63">
        <v>14755.004999999999</v>
      </c>
      <c r="J168" s="63">
        <v>1941.03</v>
      </c>
      <c r="K168" s="58">
        <f t="shared" si="10"/>
        <v>16696.035</v>
      </c>
      <c r="L168" s="64">
        <v>1</v>
      </c>
      <c r="M168" s="65">
        <f t="shared" si="11"/>
        <v>16696.035</v>
      </c>
      <c r="N168" s="65">
        <f t="shared" si="12"/>
        <v>19200.44025</v>
      </c>
      <c r="O168" s="34" t="s">
        <v>2369</v>
      </c>
    </row>
    <row r="169" spans="1:15">
      <c r="A169" s="17" t="s">
        <v>1723</v>
      </c>
      <c r="B169" s="34" t="s">
        <v>99</v>
      </c>
      <c r="C169" s="61" t="s">
        <v>101</v>
      </c>
      <c r="D169" s="61" t="s">
        <v>2207</v>
      </c>
      <c r="E169" s="61" t="s">
        <v>2208</v>
      </c>
      <c r="F169" s="62"/>
      <c r="G169" s="63">
        <v>22500</v>
      </c>
      <c r="H169" s="63">
        <v>35237.32</v>
      </c>
      <c r="K169" s="58">
        <f t="shared" si="10"/>
        <v>57737.32</v>
      </c>
      <c r="L169" s="64">
        <v>1</v>
      </c>
      <c r="M169" s="65">
        <f t="shared" si="11"/>
        <v>57737.32</v>
      </c>
      <c r="N169" s="65">
        <f t="shared" si="12"/>
        <v>66397.918000000005</v>
      </c>
      <c r="O169" s="34" t="s">
        <v>2369</v>
      </c>
    </row>
    <row r="170" spans="1:15">
      <c r="A170" s="17" t="s">
        <v>1399</v>
      </c>
      <c r="B170" s="34" t="s">
        <v>1464</v>
      </c>
      <c r="C170" s="61" t="s">
        <v>1466</v>
      </c>
      <c r="D170" s="61" t="s">
        <v>2025</v>
      </c>
      <c r="E170" s="61" t="s">
        <v>2026</v>
      </c>
      <c r="F170" s="62"/>
      <c r="G170" s="63">
        <v>0</v>
      </c>
      <c r="K170" s="58">
        <f t="shared" si="10"/>
        <v>0</v>
      </c>
      <c r="L170" s="64">
        <v>1</v>
      </c>
      <c r="M170" s="65">
        <f t="shared" si="11"/>
        <v>0</v>
      </c>
      <c r="N170" s="65">
        <f t="shared" si="12"/>
        <v>0</v>
      </c>
      <c r="O170" s="34" t="s">
        <v>2369</v>
      </c>
    </row>
    <row r="171" spans="1:15">
      <c r="A171" s="17" t="s">
        <v>1473</v>
      </c>
      <c r="B171" s="34" t="s">
        <v>1464</v>
      </c>
      <c r="C171" s="61" t="s">
        <v>1466</v>
      </c>
      <c r="D171" s="61" t="s">
        <v>2025</v>
      </c>
      <c r="E171" s="61" t="s">
        <v>2026</v>
      </c>
      <c r="F171" s="62"/>
      <c r="G171" s="63">
        <v>1551</v>
      </c>
      <c r="K171" s="58">
        <f t="shared" si="10"/>
        <v>1551</v>
      </c>
      <c r="L171" s="64">
        <v>1</v>
      </c>
      <c r="M171" s="65">
        <f t="shared" si="11"/>
        <v>1551</v>
      </c>
      <c r="N171" s="65">
        <f t="shared" si="12"/>
        <v>1783.65</v>
      </c>
      <c r="O171" s="34" t="s">
        <v>2369</v>
      </c>
    </row>
    <row r="172" spans="1:15">
      <c r="A172" s="17" t="s">
        <v>1715</v>
      </c>
      <c r="B172" s="34" t="s">
        <v>159</v>
      </c>
      <c r="C172" s="61" t="s">
        <v>161</v>
      </c>
      <c r="D172" s="61" t="s">
        <v>2223</v>
      </c>
      <c r="E172" s="61" t="s">
        <v>2224</v>
      </c>
      <c r="F172" s="62"/>
      <c r="G172" s="63">
        <v>3770.08</v>
      </c>
      <c r="I172" s="63">
        <v>132.06</v>
      </c>
      <c r="K172" s="58">
        <f t="shared" si="10"/>
        <v>3902.14</v>
      </c>
      <c r="L172" s="64">
        <v>1</v>
      </c>
      <c r="M172" s="65">
        <f t="shared" si="11"/>
        <v>3902.14</v>
      </c>
      <c r="N172" s="65">
        <f t="shared" si="12"/>
        <v>4487.4609999999993</v>
      </c>
      <c r="O172" s="34" t="s">
        <v>2371</v>
      </c>
    </row>
    <row r="173" spans="1:15">
      <c r="A173" s="17" t="s">
        <v>1723</v>
      </c>
      <c r="B173" s="34" t="s">
        <v>159</v>
      </c>
      <c r="C173" s="61" t="s">
        <v>161</v>
      </c>
      <c r="D173" s="61" t="s">
        <v>2223</v>
      </c>
      <c r="E173" s="61" t="s">
        <v>2224</v>
      </c>
      <c r="F173" s="62"/>
      <c r="G173" s="63">
        <v>9204</v>
      </c>
      <c r="H173" s="63">
        <v>1155.2</v>
      </c>
      <c r="K173" s="58">
        <f t="shared" si="10"/>
        <v>10359.200000000001</v>
      </c>
      <c r="L173" s="64">
        <v>1</v>
      </c>
      <c r="M173" s="65">
        <f t="shared" si="11"/>
        <v>10359.200000000001</v>
      </c>
      <c r="N173" s="65">
        <f t="shared" si="12"/>
        <v>11913.080000000002</v>
      </c>
      <c r="O173" s="34" t="s">
        <v>2371</v>
      </c>
    </row>
    <row r="174" spans="1:15">
      <c r="A174" s="17" t="s">
        <v>1715</v>
      </c>
      <c r="B174" s="34" t="s">
        <v>373</v>
      </c>
      <c r="C174" s="61" t="s">
        <v>375</v>
      </c>
      <c r="D174" s="61" t="s">
        <v>2034</v>
      </c>
      <c r="E174" s="61" t="s">
        <v>2035</v>
      </c>
      <c r="F174" s="62"/>
      <c r="I174" s="63">
        <v>552</v>
      </c>
      <c r="K174" s="58">
        <f t="shared" si="10"/>
        <v>552</v>
      </c>
      <c r="L174" s="64">
        <v>1</v>
      </c>
      <c r="M174" s="65">
        <f t="shared" si="11"/>
        <v>552</v>
      </c>
      <c r="N174" s="65">
        <f t="shared" si="12"/>
        <v>634.79999999999995</v>
      </c>
      <c r="O174" s="34" t="s">
        <v>2370</v>
      </c>
    </row>
    <row r="175" spans="1:15">
      <c r="A175" s="17" t="s">
        <v>1715</v>
      </c>
      <c r="B175" s="34" t="s">
        <v>373</v>
      </c>
      <c r="C175" s="61" t="s">
        <v>375</v>
      </c>
      <c r="D175" s="61" t="s">
        <v>2034</v>
      </c>
      <c r="E175" s="61" t="s">
        <v>2035</v>
      </c>
      <c r="F175" s="62"/>
      <c r="G175" s="63">
        <v>10516.34</v>
      </c>
      <c r="H175" s="63">
        <v>420</v>
      </c>
      <c r="I175" s="63">
        <v>214.9</v>
      </c>
      <c r="K175" s="58">
        <f t="shared" si="10"/>
        <v>11151.24</v>
      </c>
      <c r="L175" s="64">
        <v>1</v>
      </c>
      <c r="M175" s="65">
        <f t="shared" si="11"/>
        <v>11151.24</v>
      </c>
      <c r="N175" s="65">
        <f t="shared" si="12"/>
        <v>12823.925999999999</v>
      </c>
      <c r="O175" s="34" t="s">
        <v>2370</v>
      </c>
    </row>
    <row r="176" spans="1:15">
      <c r="A176" s="17" t="s">
        <v>1723</v>
      </c>
      <c r="B176" s="34" t="s">
        <v>373</v>
      </c>
      <c r="C176" s="61" t="s">
        <v>375</v>
      </c>
      <c r="D176" s="61" t="s">
        <v>2034</v>
      </c>
      <c r="E176" s="61" t="s">
        <v>2035</v>
      </c>
      <c r="F176" s="62"/>
      <c r="G176" s="63">
        <v>2129.19</v>
      </c>
      <c r="H176" s="63">
        <v>16916.310000000001</v>
      </c>
      <c r="K176" s="58">
        <f t="shared" si="10"/>
        <v>19045.5</v>
      </c>
      <c r="L176" s="64">
        <v>1</v>
      </c>
      <c r="M176" s="65">
        <f t="shared" si="11"/>
        <v>19045.5</v>
      </c>
      <c r="N176" s="65">
        <f t="shared" si="12"/>
        <v>21902.325000000001</v>
      </c>
      <c r="O176" s="34" t="s">
        <v>2370</v>
      </c>
    </row>
    <row r="177" spans="1:15">
      <c r="A177" s="17" t="s">
        <v>1473</v>
      </c>
      <c r="B177" s="34" t="s">
        <v>1616</v>
      </c>
      <c r="C177" s="61" t="s">
        <v>1618</v>
      </c>
      <c r="D177" s="61" t="s">
        <v>2148</v>
      </c>
      <c r="E177" s="61" t="s">
        <v>2149</v>
      </c>
      <c r="F177" s="62"/>
      <c r="G177" s="63">
        <v>9828</v>
      </c>
      <c r="K177" s="58">
        <f t="shared" si="10"/>
        <v>9828</v>
      </c>
      <c r="L177" s="64">
        <v>1</v>
      </c>
      <c r="M177" s="65">
        <f t="shared" si="11"/>
        <v>9828</v>
      </c>
      <c r="N177" s="65">
        <f t="shared" si="12"/>
        <v>11302.2</v>
      </c>
      <c r="O177" s="34" t="s">
        <v>2369</v>
      </c>
    </row>
    <row r="178" spans="1:15">
      <c r="A178" s="17" t="s">
        <v>1881</v>
      </c>
      <c r="B178" s="34" t="s">
        <v>1616</v>
      </c>
      <c r="C178" s="61" t="s">
        <v>1618</v>
      </c>
      <c r="D178" s="61" t="s">
        <v>2148</v>
      </c>
      <c r="E178" s="61" t="s">
        <v>2149</v>
      </c>
      <c r="F178" s="62"/>
      <c r="G178" s="63">
        <v>9280</v>
      </c>
      <c r="K178" s="58">
        <f t="shared" si="10"/>
        <v>9280</v>
      </c>
      <c r="L178" s="64">
        <v>1</v>
      </c>
      <c r="M178" s="65">
        <f t="shared" si="11"/>
        <v>9280</v>
      </c>
      <c r="N178" s="65">
        <f t="shared" si="12"/>
        <v>10672</v>
      </c>
      <c r="O178" s="34" t="s">
        <v>2369</v>
      </c>
    </row>
    <row r="179" spans="1:15">
      <c r="A179" s="17" t="s">
        <v>1473</v>
      </c>
      <c r="B179" s="34" t="s">
        <v>1706</v>
      </c>
      <c r="C179" s="61" t="s">
        <v>1708</v>
      </c>
      <c r="D179" s="61" t="s">
        <v>2215</v>
      </c>
      <c r="E179" s="61" t="s">
        <v>2216</v>
      </c>
      <c r="F179" s="62"/>
      <c r="G179" s="63">
        <v>27495.58</v>
      </c>
      <c r="K179" s="58">
        <f t="shared" si="10"/>
        <v>27495.58</v>
      </c>
      <c r="L179" s="64">
        <v>1</v>
      </c>
      <c r="M179" s="65">
        <f t="shared" si="11"/>
        <v>27495.58</v>
      </c>
      <c r="N179" s="65">
        <f t="shared" si="12"/>
        <v>31619.917000000001</v>
      </c>
      <c r="O179" s="34" t="s">
        <v>2369</v>
      </c>
    </row>
    <row r="180" spans="1:15">
      <c r="A180" s="17" t="s">
        <v>1097</v>
      </c>
      <c r="B180" s="34" t="s">
        <v>558</v>
      </c>
      <c r="C180" s="61" t="s">
        <v>560</v>
      </c>
      <c r="D180" s="61" t="s">
        <v>1937</v>
      </c>
      <c r="E180" s="61" t="s">
        <v>1938</v>
      </c>
      <c r="F180" s="62"/>
      <c r="G180" s="63">
        <v>0</v>
      </c>
      <c r="K180" s="58">
        <f t="shared" si="10"/>
        <v>0</v>
      </c>
      <c r="L180" s="64">
        <v>1</v>
      </c>
      <c r="M180" s="65">
        <f t="shared" si="11"/>
        <v>0</v>
      </c>
      <c r="N180" s="65">
        <f t="shared" si="12"/>
        <v>0</v>
      </c>
      <c r="O180" s="34" t="s">
        <v>2369</v>
      </c>
    </row>
    <row r="181" spans="1:15">
      <c r="A181" s="17" t="s">
        <v>1473</v>
      </c>
      <c r="B181" s="34" t="s">
        <v>558</v>
      </c>
      <c r="C181" s="61" t="s">
        <v>560</v>
      </c>
      <c r="D181" s="61" t="s">
        <v>1937</v>
      </c>
      <c r="E181" s="61" t="s">
        <v>1938</v>
      </c>
      <c r="F181" s="62"/>
      <c r="I181" s="63">
        <v>6.5149999999999997</v>
      </c>
      <c r="K181" s="58">
        <f t="shared" si="10"/>
        <v>6.5149999999999997</v>
      </c>
      <c r="L181" s="64">
        <v>1</v>
      </c>
      <c r="M181" s="65">
        <f t="shared" si="11"/>
        <v>6.5149999999999997</v>
      </c>
      <c r="N181" s="65">
        <f t="shared" si="12"/>
        <v>7.4922499999999994</v>
      </c>
      <c r="O181" s="34" t="s">
        <v>2369</v>
      </c>
    </row>
    <row r="182" spans="1:15">
      <c r="A182" s="17" t="s">
        <v>1715</v>
      </c>
      <c r="B182" s="34" t="s">
        <v>558</v>
      </c>
      <c r="C182" s="61" t="s">
        <v>560</v>
      </c>
      <c r="D182" s="61" t="s">
        <v>1937</v>
      </c>
      <c r="E182" s="61" t="s">
        <v>1938</v>
      </c>
      <c r="F182" s="62"/>
      <c r="I182" s="63">
        <v>16705.345000000001</v>
      </c>
      <c r="K182" s="58">
        <f t="shared" si="10"/>
        <v>16705.345000000001</v>
      </c>
      <c r="L182" s="64">
        <v>1</v>
      </c>
      <c r="M182" s="65">
        <f t="shared" si="11"/>
        <v>16705.345000000001</v>
      </c>
      <c r="N182" s="65">
        <f t="shared" si="12"/>
        <v>19211.14675</v>
      </c>
      <c r="O182" s="34" t="s">
        <v>2369</v>
      </c>
    </row>
    <row r="183" spans="1:15">
      <c r="A183" s="17" t="s">
        <v>1723</v>
      </c>
      <c r="B183" s="34" t="s">
        <v>558</v>
      </c>
      <c r="C183" s="61" t="s">
        <v>560</v>
      </c>
      <c r="D183" s="61" t="s">
        <v>1937</v>
      </c>
      <c r="E183" s="61" t="s">
        <v>1938</v>
      </c>
      <c r="F183" s="62"/>
      <c r="G183" s="63">
        <v>26237.279999999999</v>
      </c>
      <c r="H183" s="63">
        <v>-1191.49</v>
      </c>
      <c r="K183" s="58">
        <f t="shared" si="10"/>
        <v>25045.789999999997</v>
      </c>
      <c r="L183" s="64">
        <v>1</v>
      </c>
      <c r="M183" s="65">
        <f t="shared" si="11"/>
        <v>25045.789999999997</v>
      </c>
      <c r="N183" s="65">
        <f t="shared" si="12"/>
        <v>28802.658499999998</v>
      </c>
      <c r="O183" s="34" t="s">
        <v>2369</v>
      </c>
    </row>
    <row r="184" spans="1:15">
      <c r="A184" s="17" t="s">
        <v>1715</v>
      </c>
      <c r="B184" s="34" t="s">
        <v>558</v>
      </c>
      <c r="C184" s="61" t="s">
        <v>560</v>
      </c>
      <c r="D184" s="61" t="s">
        <v>1937</v>
      </c>
      <c r="E184" s="61" t="s">
        <v>1938</v>
      </c>
      <c r="F184" s="62"/>
      <c r="I184" s="63">
        <v>211.92</v>
      </c>
      <c r="K184" s="58">
        <f t="shared" si="10"/>
        <v>211.92</v>
      </c>
      <c r="L184" s="64">
        <v>1</v>
      </c>
      <c r="M184" s="65">
        <f t="shared" si="11"/>
        <v>211.92</v>
      </c>
      <c r="N184" s="65">
        <f t="shared" si="12"/>
        <v>243.70799999999997</v>
      </c>
      <c r="O184" s="34" t="s">
        <v>2369</v>
      </c>
    </row>
    <row r="185" spans="1:15">
      <c r="A185" s="17" t="s">
        <v>1715</v>
      </c>
      <c r="B185" s="34" t="s">
        <v>315</v>
      </c>
      <c r="C185" s="61" t="s">
        <v>317</v>
      </c>
      <c r="D185" s="61" t="s">
        <v>2274</v>
      </c>
      <c r="E185" s="61" t="s">
        <v>2275</v>
      </c>
      <c r="F185" s="62"/>
      <c r="H185" s="63">
        <v>794.71</v>
      </c>
      <c r="I185" s="63">
        <v>24121.96</v>
      </c>
      <c r="J185" s="63">
        <v>9257.52</v>
      </c>
      <c r="K185" s="58">
        <f t="shared" si="10"/>
        <v>34174.19</v>
      </c>
      <c r="L185" s="64">
        <v>1</v>
      </c>
      <c r="M185" s="65">
        <f t="shared" si="11"/>
        <v>34174.19</v>
      </c>
      <c r="N185" s="65">
        <f t="shared" si="12"/>
        <v>39300.318500000001</v>
      </c>
      <c r="O185" s="34" t="s">
        <v>2370</v>
      </c>
    </row>
    <row r="186" spans="1:15">
      <c r="A186" s="17" t="s">
        <v>1723</v>
      </c>
      <c r="B186" s="34" t="s">
        <v>315</v>
      </c>
      <c r="C186" s="61" t="s">
        <v>317</v>
      </c>
      <c r="D186" s="61" t="s">
        <v>2274</v>
      </c>
      <c r="E186" s="61" t="s">
        <v>2275</v>
      </c>
      <c r="F186" s="62"/>
      <c r="G186" s="63">
        <v>59281.47</v>
      </c>
      <c r="H186" s="63">
        <v>18437.669999999998</v>
      </c>
      <c r="K186" s="58">
        <f t="shared" si="10"/>
        <v>77719.14</v>
      </c>
      <c r="L186" s="64">
        <v>1</v>
      </c>
      <c r="M186" s="65">
        <f t="shared" si="11"/>
        <v>77719.14</v>
      </c>
      <c r="N186" s="65">
        <f t="shared" si="12"/>
        <v>89377.010999999999</v>
      </c>
      <c r="O186" s="34" t="s">
        <v>2370</v>
      </c>
    </row>
    <row r="187" spans="1:15">
      <c r="A187" s="17" t="s">
        <v>1399</v>
      </c>
      <c r="B187" s="34" t="s">
        <v>1410</v>
      </c>
      <c r="C187" s="61" t="s">
        <v>1412</v>
      </c>
      <c r="D187" s="61" t="s">
        <v>1985</v>
      </c>
      <c r="E187" s="61" t="s">
        <v>1986</v>
      </c>
      <c r="F187" s="62"/>
      <c r="G187" s="63">
        <v>9413.7999999999993</v>
      </c>
      <c r="K187" s="58">
        <f t="shared" si="10"/>
        <v>9413.7999999999993</v>
      </c>
      <c r="L187" s="64">
        <v>1</v>
      </c>
      <c r="M187" s="65">
        <f t="shared" si="11"/>
        <v>9413.7999999999993</v>
      </c>
      <c r="N187" s="65">
        <f t="shared" si="12"/>
        <v>10825.869999999999</v>
      </c>
      <c r="O187" s="34" t="s">
        <v>2369</v>
      </c>
    </row>
    <row r="188" spans="1:15">
      <c r="A188" s="17" t="s">
        <v>1723</v>
      </c>
      <c r="B188" s="34" t="s">
        <v>27</v>
      </c>
      <c r="C188" s="61" t="s">
        <v>29</v>
      </c>
      <c r="D188" s="61" t="s">
        <v>2353</v>
      </c>
      <c r="E188" s="61" t="s">
        <v>2354</v>
      </c>
      <c r="F188" s="62"/>
      <c r="G188" s="63">
        <v>620.20000000000005</v>
      </c>
      <c r="K188" s="58">
        <f t="shared" si="10"/>
        <v>620.20000000000005</v>
      </c>
      <c r="L188" s="64">
        <v>1</v>
      </c>
      <c r="M188" s="65">
        <f t="shared" si="11"/>
        <v>620.20000000000005</v>
      </c>
      <c r="N188" s="65">
        <f t="shared" si="12"/>
        <v>713.23</v>
      </c>
      <c r="O188" s="34" t="s">
        <v>2369</v>
      </c>
    </row>
    <row r="189" spans="1:15">
      <c r="A189" s="17" t="s">
        <v>1715</v>
      </c>
      <c r="B189" s="34" t="s">
        <v>72</v>
      </c>
      <c r="C189" s="61" t="s">
        <v>74</v>
      </c>
      <c r="D189" s="61" t="s">
        <v>2011</v>
      </c>
      <c r="E189" s="61" t="s">
        <v>2012</v>
      </c>
      <c r="F189" s="62"/>
      <c r="I189" s="63">
        <v>60.95</v>
      </c>
      <c r="K189" s="58">
        <f t="shared" si="10"/>
        <v>60.95</v>
      </c>
      <c r="L189" s="64">
        <v>1</v>
      </c>
      <c r="M189" s="65">
        <f t="shared" si="11"/>
        <v>60.95</v>
      </c>
      <c r="N189" s="65">
        <f t="shared" si="12"/>
        <v>70.092500000000001</v>
      </c>
      <c r="O189" s="34" t="s">
        <v>2369</v>
      </c>
    </row>
    <row r="190" spans="1:15">
      <c r="A190" s="17" t="s">
        <v>1715</v>
      </c>
      <c r="B190" s="34" t="s">
        <v>72</v>
      </c>
      <c r="C190" s="61" t="s">
        <v>74</v>
      </c>
      <c r="D190" s="61" t="s">
        <v>2011</v>
      </c>
      <c r="E190" s="61" t="s">
        <v>2012</v>
      </c>
      <c r="F190" s="62"/>
      <c r="I190" s="63">
        <v>67.72</v>
      </c>
      <c r="K190" s="58">
        <f t="shared" ref="K190:K242" si="13">SUM(G190:J190)</f>
        <v>67.72</v>
      </c>
      <c r="L190" s="64">
        <v>1</v>
      </c>
      <c r="M190" s="65">
        <f t="shared" ref="M190:M242" si="14">+K190*L190</f>
        <v>67.72</v>
      </c>
      <c r="N190" s="65">
        <f t="shared" ref="N190:N242" si="15">+M190+(+M190*$N$1)</f>
        <v>77.878</v>
      </c>
      <c r="O190" s="34" t="s">
        <v>2369</v>
      </c>
    </row>
    <row r="191" spans="1:15">
      <c r="A191" s="17" t="s">
        <v>1723</v>
      </c>
      <c r="B191" s="34" t="s">
        <v>72</v>
      </c>
      <c r="C191" s="61" t="s">
        <v>74</v>
      </c>
      <c r="D191" s="61" t="s">
        <v>2011</v>
      </c>
      <c r="E191" s="61" t="s">
        <v>2012</v>
      </c>
      <c r="F191" s="62"/>
      <c r="G191" s="63">
        <v>9860</v>
      </c>
      <c r="H191" s="63">
        <v>20310.5</v>
      </c>
      <c r="K191" s="58">
        <f t="shared" si="13"/>
        <v>30170.5</v>
      </c>
      <c r="L191" s="64">
        <v>1</v>
      </c>
      <c r="M191" s="65">
        <f t="shared" si="14"/>
        <v>30170.5</v>
      </c>
      <c r="N191" s="65">
        <f t="shared" si="15"/>
        <v>34696.074999999997</v>
      </c>
      <c r="O191" s="34" t="s">
        <v>2369</v>
      </c>
    </row>
    <row r="192" spans="1:15" ht="25.5">
      <c r="A192" s="17" t="s">
        <v>1715</v>
      </c>
      <c r="B192" s="34" t="s">
        <v>156</v>
      </c>
      <c r="C192" s="61" t="s">
        <v>158</v>
      </c>
      <c r="D192" s="61" t="s">
        <v>2299</v>
      </c>
      <c r="E192" s="61" t="s">
        <v>2300</v>
      </c>
      <c r="F192" s="62"/>
      <c r="H192" s="63">
        <v>22631.119999999999</v>
      </c>
      <c r="K192" s="58">
        <f t="shared" si="13"/>
        <v>22631.119999999999</v>
      </c>
      <c r="L192" s="64">
        <v>1</v>
      </c>
      <c r="M192" s="65">
        <f t="shared" si="14"/>
        <v>22631.119999999999</v>
      </c>
      <c r="N192" s="65">
        <f t="shared" si="15"/>
        <v>26025.788</v>
      </c>
      <c r="O192" s="34" t="s">
        <v>2369</v>
      </c>
    </row>
    <row r="193" spans="1:15" ht="25.5">
      <c r="A193" s="17" t="s">
        <v>1723</v>
      </c>
      <c r="B193" s="34" t="s">
        <v>156</v>
      </c>
      <c r="C193" s="61" t="s">
        <v>158</v>
      </c>
      <c r="D193" s="61" t="s">
        <v>2299</v>
      </c>
      <c r="E193" s="61" t="s">
        <v>2300</v>
      </c>
      <c r="F193" s="62"/>
      <c r="G193" s="63">
        <v>71939.990000000005</v>
      </c>
      <c r="H193" s="63">
        <v>1132.8699999999999</v>
      </c>
      <c r="K193" s="58">
        <f t="shared" si="13"/>
        <v>73072.86</v>
      </c>
      <c r="L193" s="64">
        <v>1</v>
      </c>
      <c r="M193" s="65">
        <f t="shared" si="14"/>
        <v>73072.86</v>
      </c>
      <c r="N193" s="65">
        <f t="shared" si="15"/>
        <v>84033.789000000004</v>
      </c>
      <c r="O193" s="34" t="s">
        <v>2369</v>
      </c>
    </row>
    <row r="194" spans="1:15">
      <c r="A194" s="17" t="s">
        <v>1715</v>
      </c>
      <c r="B194" s="34" t="s">
        <v>507</v>
      </c>
      <c r="C194" s="61" t="s">
        <v>509</v>
      </c>
      <c r="D194" s="61" t="s">
        <v>2330</v>
      </c>
      <c r="E194" s="61" t="s">
        <v>2331</v>
      </c>
      <c r="F194" s="62"/>
      <c r="I194" s="63">
        <v>4065.94</v>
      </c>
      <c r="K194" s="58">
        <f t="shared" si="13"/>
        <v>4065.94</v>
      </c>
      <c r="L194" s="64">
        <v>0.21</v>
      </c>
      <c r="M194" s="65">
        <f t="shared" si="14"/>
        <v>853.84739999999999</v>
      </c>
      <c r="N194" s="65">
        <f t="shared" si="15"/>
        <v>981.92451000000005</v>
      </c>
      <c r="O194" s="34" t="s">
        <v>2370</v>
      </c>
    </row>
    <row r="195" spans="1:15">
      <c r="A195" s="17" t="s">
        <v>1723</v>
      </c>
      <c r="B195" s="34" t="s">
        <v>507</v>
      </c>
      <c r="C195" s="61" t="s">
        <v>509</v>
      </c>
      <c r="D195" s="61" t="s">
        <v>2330</v>
      </c>
      <c r="E195" s="61" t="s">
        <v>2331</v>
      </c>
      <c r="F195" s="62"/>
      <c r="G195" s="63">
        <v>3389.82</v>
      </c>
      <c r="H195" s="63">
        <v>2252.33</v>
      </c>
      <c r="K195" s="58">
        <f t="shared" si="13"/>
        <v>5642.15</v>
      </c>
      <c r="L195" s="64">
        <v>0.21</v>
      </c>
      <c r="M195" s="65">
        <f t="shared" si="14"/>
        <v>1184.8515</v>
      </c>
      <c r="N195" s="65">
        <f t="shared" si="15"/>
        <v>1362.579225</v>
      </c>
      <c r="O195" s="34" t="s">
        <v>2370</v>
      </c>
    </row>
    <row r="196" spans="1:15">
      <c r="A196" s="17" t="s">
        <v>1715</v>
      </c>
      <c r="B196" s="34" t="s">
        <v>210</v>
      </c>
      <c r="C196" s="61" t="s">
        <v>212</v>
      </c>
      <c r="D196" s="61" t="s">
        <v>2311</v>
      </c>
      <c r="E196" s="61" t="s">
        <v>2312</v>
      </c>
      <c r="F196" s="62"/>
      <c r="I196" s="63">
        <v>115.12</v>
      </c>
      <c r="K196" s="58">
        <f t="shared" si="13"/>
        <v>115.12</v>
      </c>
      <c r="L196" s="64">
        <v>1</v>
      </c>
      <c r="M196" s="65">
        <f t="shared" si="14"/>
        <v>115.12</v>
      </c>
      <c r="N196" s="65">
        <f t="shared" si="15"/>
        <v>132.38800000000001</v>
      </c>
      <c r="O196" s="34" t="s">
        <v>2371</v>
      </c>
    </row>
    <row r="197" spans="1:15">
      <c r="A197" s="17" t="s">
        <v>1723</v>
      </c>
      <c r="B197" s="34" t="s">
        <v>210</v>
      </c>
      <c r="C197" s="61" t="s">
        <v>212</v>
      </c>
      <c r="D197" s="61" t="s">
        <v>2311</v>
      </c>
      <c r="E197" s="61" t="s">
        <v>2312</v>
      </c>
      <c r="F197" s="62"/>
      <c r="G197" s="63">
        <v>6050</v>
      </c>
      <c r="K197" s="58">
        <f t="shared" si="13"/>
        <v>6050</v>
      </c>
      <c r="L197" s="64">
        <v>1</v>
      </c>
      <c r="M197" s="65">
        <f t="shared" si="14"/>
        <v>6050</v>
      </c>
      <c r="N197" s="65">
        <f t="shared" si="15"/>
        <v>6957.5</v>
      </c>
      <c r="O197" s="34" t="s">
        <v>2371</v>
      </c>
    </row>
    <row r="198" spans="1:15">
      <c r="A198" s="17" t="s">
        <v>1473</v>
      </c>
      <c r="B198" s="34" t="s">
        <v>1682</v>
      </c>
      <c r="C198" s="61" t="s">
        <v>1684</v>
      </c>
      <c r="D198" s="61" t="s">
        <v>2195</v>
      </c>
      <c r="E198" s="61" t="s">
        <v>2196</v>
      </c>
      <c r="F198" s="62"/>
      <c r="G198" s="63">
        <v>500</v>
      </c>
      <c r="K198" s="58">
        <f t="shared" si="13"/>
        <v>500</v>
      </c>
      <c r="L198" s="64">
        <v>1</v>
      </c>
      <c r="M198" s="65">
        <f t="shared" si="14"/>
        <v>500</v>
      </c>
      <c r="N198" s="65">
        <f t="shared" si="15"/>
        <v>575</v>
      </c>
      <c r="O198" s="34" t="s">
        <v>2369</v>
      </c>
    </row>
    <row r="199" spans="1:15">
      <c r="A199" s="17" t="s">
        <v>1399</v>
      </c>
      <c r="B199" s="34" t="s">
        <v>1437</v>
      </c>
      <c r="C199" s="61" t="s">
        <v>1439</v>
      </c>
      <c r="D199" s="61" t="s">
        <v>2005</v>
      </c>
      <c r="E199" s="61" t="s">
        <v>2006</v>
      </c>
      <c r="F199" s="62"/>
      <c r="G199" s="63">
        <v>7280</v>
      </c>
      <c r="K199" s="58">
        <f t="shared" si="13"/>
        <v>7280</v>
      </c>
      <c r="L199" s="64">
        <v>1</v>
      </c>
      <c r="M199" s="65">
        <f t="shared" si="14"/>
        <v>7280</v>
      </c>
      <c r="N199" s="65">
        <f t="shared" si="15"/>
        <v>8372</v>
      </c>
      <c r="O199" s="34" t="s">
        <v>2369</v>
      </c>
    </row>
    <row r="200" spans="1:15">
      <c r="A200" s="17" t="s">
        <v>1473</v>
      </c>
      <c r="B200" s="34" t="s">
        <v>1437</v>
      </c>
      <c r="C200" s="61" t="s">
        <v>1439</v>
      </c>
      <c r="D200" s="61" t="s">
        <v>2005</v>
      </c>
      <c r="E200" s="61" t="s">
        <v>2006</v>
      </c>
      <c r="F200" s="62"/>
      <c r="G200" s="63">
        <v>3000</v>
      </c>
      <c r="K200" s="58">
        <f t="shared" si="13"/>
        <v>3000</v>
      </c>
      <c r="L200" s="64">
        <v>1</v>
      </c>
      <c r="M200" s="65">
        <f t="shared" si="14"/>
        <v>3000</v>
      </c>
      <c r="N200" s="65">
        <f t="shared" si="15"/>
        <v>3450</v>
      </c>
      <c r="O200" s="34" t="s">
        <v>2369</v>
      </c>
    </row>
    <row r="201" spans="1:15">
      <c r="A201" s="17" t="s">
        <v>1715</v>
      </c>
      <c r="B201" s="34" t="s">
        <v>370</v>
      </c>
      <c r="C201" s="61" t="s">
        <v>372</v>
      </c>
      <c r="D201" s="61" t="s">
        <v>2005</v>
      </c>
      <c r="E201" s="61" t="s">
        <v>2227</v>
      </c>
      <c r="F201" s="62"/>
      <c r="I201" s="63">
        <v>3284.71</v>
      </c>
      <c r="J201" s="63">
        <v>1819.52</v>
      </c>
      <c r="K201" s="58">
        <f t="shared" si="13"/>
        <v>5104.2299999999996</v>
      </c>
      <c r="L201" s="64">
        <v>1</v>
      </c>
      <c r="M201" s="65">
        <f t="shared" si="14"/>
        <v>5104.2299999999996</v>
      </c>
      <c r="N201" s="65">
        <f t="shared" si="15"/>
        <v>5869.8644999999997</v>
      </c>
      <c r="O201" s="34" t="s">
        <v>2369</v>
      </c>
    </row>
    <row r="202" spans="1:15">
      <c r="A202" s="17" t="s">
        <v>1723</v>
      </c>
      <c r="B202" s="34" t="s">
        <v>370</v>
      </c>
      <c r="C202" s="61" t="s">
        <v>372</v>
      </c>
      <c r="D202" s="61" t="s">
        <v>2005</v>
      </c>
      <c r="E202" s="61" t="s">
        <v>2227</v>
      </c>
      <c r="F202" s="62"/>
      <c r="G202" s="63">
        <v>0</v>
      </c>
      <c r="H202" s="63">
        <v>450</v>
      </c>
      <c r="K202" s="58">
        <f t="shared" si="13"/>
        <v>450</v>
      </c>
      <c r="L202" s="64">
        <v>1</v>
      </c>
      <c r="M202" s="65">
        <f t="shared" si="14"/>
        <v>450</v>
      </c>
      <c r="N202" s="65">
        <f t="shared" si="15"/>
        <v>517.5</v>
      </c>
      <c r="O202" s="34" t="s">
        <v>2369</v>
      </c>
    </row>
    <row r="203" spans="1:15">
      <c r="A203" s="17" t="s">
        <v>1473</v>
      </c>
      <c r="B203" s="34" t="s">
        <v>1496</v>
      </c>
      <c r="C203" s="61" t="s">
        <v>1498</v>
      </c>
      <c r="D203" s="61" t="s">
        <v>2050</v>
      </c>
      <c r="E203" s="61" t="s">
        <v>2051</v>
      </c>
      <c r="F203" s="62"/>
      <c r="G203" s="63">
        <v>7622.89</v>
      </c>
      <c r="K203" s="58">
        <f t="shared" si="13"/>
        <v>7622.89</v>
      </c>
      <c r="L203" s="64">
        <v>1</v>
      </c>
      <c r="M203" s="65">
        <f t="shared" si="14"/>
        <v>7622.89</v>
      </c>
      <c r="N203" s="65">
        <f t="shared" si="15"/>
        <v>8766.3235000000004</v>
      </c>
      <c r="O203" s="34" t="s">
        <v>2369</v>
      </c>
    </row>
    <row r="204" spans="1:15">
      <c r="A204" s="17" t="s">
        <v>1473</v>
      </c>
      <c r="B204" s="34" t="s">
        <v>1574</v>
      </c>
      <c r="C204" s="61" t="s">
        <v>1576</v>
      </c>
      <c r="D204" s="61" t="s">
        <v>2116</v>
      </c>
      <c r="E204" s="61" t="s">
        <v>2117</v>
      </c>
      <c r="F204" s="62"/>
      <c r="G204" s="63">
        <v>19333.64</v>
      </c>
      <c r="K204" s="58">
        <f t="shared" si="13"/>
        <v>19333.64</v>
      </c>
      <c r="L204" s="64">
        <v>1</v>
      </c>
      <c r="M204" s="65">
        <f t="shared" si="14"/>
        <v>19333.64</v>
      </c>
      <c r="N204" s="65">
        <f t="shared" si="15"/>
        <v>22233.685999999998</v>
      </c>
      <c r="O204" s="34" t="s">
        <v>2369</v>
      </c>
    </row>
    <row r="205" spans="1:15">
      <c r="A205" s="17" t="s">
        <v>1473</v>
      </c>
      <c r="B205" s="34" t="s">
        <v>147</v>
      </c>
      <c r="C205" s="61" t="s">
        <v>149</v>
      </c>
      <c r="D205" s="61" t="s">
        <v>2126</v>
      </c>
      <c r="E205" s="61" t="s">
        <v>2127</v>
      </c>
      <c r="F205" s="62"/>
      <c r="G205" s="63">
        <v>760</v>
      </c>
      <c r="I205" s="63">
        <v>151.82</v>
      </c>
      <c r="K205" s="58">
        <f t="shared" si="13"/>
        <v>911.81999999999994</v>
      </c>
      <c r="L205" s="64">
        <v>1</v>
      </c>
      <c r="M205" s="65">
        <f t="shared" si="14"/>
        <v>911.81999999999994</v>
      </c>
      <c r="N205" s="65">
        <f t="shared" si="15"/>
        <v>1048.5929999999998</v>
      </c>
      <c r="O205" s="34" t="s">
        <v>2369</v>
      </c>
    </row>
    <row r="206" spans="1:15">
      <c r="A206" s="17" t="s">
        <v>1715</v>
      </c>
      <c r="B206" s="34" t="s">
        <v>18</v>
      </c>
      <c r="C206" s="61" t="s">
        <v>20</v>
      </c>
      <c r="D206" s="61" t="s">
        <v>2236</v>
      </c>
      <c r="E206" s="61" t="s">
        <v>2237</v>
      </c>
      <c r="F206" s="62"/>
      <c r="I206" s="63">
        <v>963.2</v>
      </c>
      <c r="K206" s="58">
        <f t="shared" si="13"/>
        <v>963.2</v>
      </c>
      <c r="L206" s="64">
        <v>1</v>
      </c>
      <c r="M206" s="65">
        <f t="shared" si="14"/>
        <v>963.2</v>
      </c>
      <c r="N206" s="65">
        <f t="shared" si="15"/>
        <v>1107.68</v>
      </c>
      <c r="O206" s="34" t="s">
        <v>2369</v>
      </c>
    </row>
    <row r="207" spans="1:15">
      <c r="A207" s="17" t="s">
        <v>1473</v>
      </c>
      <c r="B207" s="34" t="s">
        <v>1562</v>
      </c>
      <c r="C207" s="61" t="s">
        <v>1564</v>
      </c>
      <c r="D207" s="61" t="s">
        <v>2104</v>
      </c>
      <c r="E207" s="61" t="s">
        <v>2105</v>
      </c>
      <c r="F207" s="62"/>
      <c r="I207" s="63">
        <v>2272.1950000000002</v>
      </c>
      <c r="K207" s="58">
        <f t="shared" si="13"/>
        <v>2272.1950000000002</v>
      </c>
      <c r="L207" s="64">
        <v>1</v>
      </c>
      <c r="M207" s="65">
        <f t="shared" si="14"/>
        <v>2272.1950000000002</v>
      </c>
      <c r="N207" s="65">
        <f t="shared" si="15"/>
        <v>2613.0242500000004</v>
      </c>
      <c r="O207" s="34" t="s">
        <v>2369</v>
      </c>
    </row>
    <row r="208" spans="1:15">
      <c r="A208" s="17" t="s">
        <v>1097</v>
      </c>
      <c r="B208" s="34" t="s">
        <v>195</v>
      </c>
      <c r="C208" s="61" t="s">
        <v>197</v>
      </c>
      <c r="D208" s="61" t="s">
        <v>1929</v>
      </c>
      <c r="E208" s="61" t="s">
        <v>1930</v>
      </c>
      <c r="F208" s="62"/>
      <c r="G208" s="63">
        <v>0</v>
      </c>
      <c r="K208" s="58">
        <f t="shared" si="13"/>
        <v>0</v>
      </c>
      <c r="L208" s="64">
        <v>1</v>
      </c>
      <c r="M208" s="65">
        <f t="shared" si="14"/>
        <v>0</v>
      </c>
      <c r="N208" s="65">
        <f t="shared" si="15"/>
        <v>0</v>
      </c>
      <c r="O208" s="34" t="s">
        <v>2369</v>
      </c>
    </row>
    <row r="209" spans="1:15">
      <c r="A209" s="17" t="s">
        <v>1715</v>
      </c>
      <c r="B209" s="34" t="s">
        <v>195</v>
      </c>
      <c r="C209" s="61" t="s">
        <v>197</v>
      </c>
      <c r="D209" s="61" t="s">
        <v>1929</v>
      </c>
      <c r="E209" s="61" t="s">
        <v>1930</v>
      </c>
      <c r="F209" s="62"/>
      <c r="G209" s="63">
        <v>525</v>
      </c>
      <c r="I209" s="63">
        <v>1083.5999999999999</v>
      </c>
      <c r="K209" s="58">
        <f t="shared" si="13"/>
        <v>1608.6</v>
      </c>
      <c r="L209" s="64">
        <v>1</v>
      </c>
      <c r="M209" s="65">
        <f t="shared" si="14"/>
        <v>1608.6</v>
      </c>
      <c r="N209" s="65">
        <f t="shared" si="15"/>
        <v>1849.8899999999999</v>
      </c>
      <c r="O209" s="34" t="s">
        <v>2369</v>
      </c>
    </row>
    <row r="210" spans="1:15">
      <c r="A210" s="17" t="s">
        <v>1723</v>
      </c>
      <c r="B210" s="34" t="s">
        <v>195</v>
      </c>
      <c r="C210" s="61" t="s">
        <v>197</v>
      </c>
      <c r="D210" s="61" t="s">
        <v>1929</v>
      </c>
      <c r="E210" s="61" t="s">
        <v>1930</v>
      </c>
      <c r="F210" s="62"/>
      <c r="G210" s="63">
        <v>1298</v>
      </c>
      <c r="H210" s="63">
        <v>1042.52</v>
      </c>
      <c r="K210" s="58">
        <f t="shared" si="13"/>
        <v>2340.52</v>
      </c>
      <c r="L210" s="64">
        <v>1</v>
      </c>
      <c r="M210" s="65">
        <f t="shared" si="14"/>
        <v>2340.52</v>
      </c>
      <c r="N210" s="65">
        <f t="shared" si="15"/>
        <v>2691.598</v>
      </c>
      <c r="O210" s="34" t="s">
        <v>2369</v>
      </c>
    </row>
    <row r="211" spans="1:15">
      <c r="A211" s="17" t="s">
        <v>1723</v>
      </c>
      <c r="B211" s="34" t="s">
        <v>765</v>
      </c>
      <c r="C211" s="61" t="s">
        <v>767</v>
      </c>
      <c r="D211" s="61" t="s">
        <v>2357</v>
      </c>
      <c r="E211" s="61" t="s">
        <v>2358</v>
      </c>
      <c r="F211" s="62"/>
      <c r="G211" s="63">
        <v>1396</v>
      </c>
      <c r="H211" s="63">
        <v>951.81</v>
      </c>
      <c r="K211" s="58">
        <f t="shared" si="13"/>
        <v>2347.81</v>
      </c>
      <c r="L211" s="64">
        <v>1</v>
      </c>
      <c r="M211" s="65">
        <f t="shared" si="14"/>
        <v>2347.81</v>
      </c>
      <c r="N211" s="65">
        <f t="shared" si="15"/>
        <v>2699.9814999999999</v>
      </c>
      <c r="O211" s="34" t="s">
        <v>2369</v>
      </c>
    </row>
    <row r="212" spans="1:15">
      <c r="A212" s="17" t="s">
        <v>1473</v>
      </c>
      <c r="B212" s="34" t="s">
        <v>1487</v>
      </c>
      <c r="C212" s="61" t="s">
        <v>1489</v>
      </c>
      <c r="D212" s="61" t="s">
        <v>2046</v>
      </c>
      <c r="E212" s="61" t="s">
        <v>2047</v>
      </c>
      <c r="F212" s="62"/>
      <c r="G212" s="63">
        <v>2600</v>
      </c>
      <c r="K212" s="58">
        <f t="shared" si="13"/>
        <v>2600</v>
      </c>
      <c r="L212" s="64">
        <v>1</v>
      </c>
      <c r="M212" s="65">
        <f t="shared" si="14"/>
        <v>2600</v>
      </c>
      <c r="N212" s="65">
        <f t="shared" si="15"/>
        <v>2990</v>
      </c>
      <c r="O212" s="34" t="s">
        <v>2369</v>
      </c>
    </row>
    <row r="213" spans="1:15">
      <c r="A213" s="17" t="s">
        <v>1473</v>
      </c>
      <c r="B213" s="34" t="s">
        <v>75</v>
      </c>
      <c r="C213" s="61" t="s">
        <v>77</v>
      </c>
      <c r="D213" s="61" t="s">
        <v>2046</v>
      </c>
      <c r="E213" s="61" t="s">
        <v>2156</v>
      </c>
      <c r="F213" s="62"/>
      <c r="I213" s="63">
        <v>1234.585</v>
      </c>
      <c r="K213" s="58">
        <f t="shared" si="13"/>
        <v>1234.585</v>
      </c>
      <c r="L213" s="64">
        <v>1</v>
      </c>
      <c r="M213" s="65">
        <f t="shared" si="14"/>
        <v>1234.585</v>
      </c>
      <c r="N213" s="65">
        <f t="shared" si="15"/>
        <v>1419.7727500000001</v>
      </c>
      <c r="O213" s="34" t="s">
        <v>2369</v>
      </c>
    </row>
    <row r="214" spans="1:15">
      <c r="A214" s="17" t="s">
        <v>1399</v>
      </c>
      <c r="B214" s="34" t="s">
        <v>1416</v>
      </c>
      <c r="C214" s="61" t="s">
        <v>1418</v>
      </c>
      <c r="D214" s="61" t="s">
        <v>1989</v>
      </c>
      <c r="E214" s="61" t="s">
        <v>1990</v>
      </c>
      <c r="F214" s="62"/>
      <c r="I214" s="63">
        <v>239.84</v>
      </c>
      <c r="K214" s="58">
        <f t="shared" si="13"/>
        <v>239.84</v>
      </c>
      <c r="L214" s="64">
        <v>1</v>
      </c>
      <c r="M214" s="65">
        <f t="shared" si="14"/>
        <v>239.84</v>
      </c>
      <c r="N214" s="65">
        <f t="shared" si="15"/>
        <v>275.81600000000003</v>
      </c>
      <c r="O214" s="34" t="s">
        <v>2369</v>
      </c>
    </row>
    <row r="215" spans="1:15">
      <c r="A215" s="17" t="s">
        <v>1473</v>
      </c>
      <c r="B215" s="34" t="s">
        <v>1416</v>
      </c>
      <c r="C215" s="61" t="s">
        <v>1418</v>
      </c>
      <c r="D215" s="61" t="s">
        <v>1989</v>
      </c>
      <c r="E215" s="61" t="s">
        <v>1990</v>
      </c>
      <c r="F215" s="62"/>
      <c r="G215" s="63">
        <v>10315.700000000001</v>
      </c>
      <c r="I215" s="63">
        <v>431.815</v>
      </c>
      <c r="K215" s="58">
        <f t="shared" si="13"/>
        <v>10747.515000000001</v>
      </c>
      <c r="L215" s="64">
        <v>1</v>
      </c>
      <c r="M215" s="65">
        <f t="shared" si="14"/>
        <v>10747.515000000001</v>
      </c>
      <c r="N215" s="65">
        <f t="shared" si="15"/>
        <v>12359.642250000001</v>
      </c>
      <c r="O215" s="34" t="s">
        <v>2369</v>
      </c>
    </row>
    <row r="216" spans="1:15">
      <c r="A216" s="17" t="s">
        <v>1715</v>
      </c>
      <c r="B216" s="34" t="s">
        <v>264</v>
      </c>
      <c r="C216" s="61" t="s">
        <v>266</v>
      </c>
      <c r="D216" s="61" t="s">
        <v>2124</v>
      </c>
      <c r="E216" s="61" t="s">
        <v>2125</v>
      </c>
      <c r="F216" s="62"/>
      <c r="I216" s="63">
        <v>44.02</v>
      </c>
      <c r="K216" s="58">
        <f t="shared" si="13"/>
        <v>44.02</v>
      </c>
      <c r="L216" s="64">
        <v>1</v>
      </c>
      <c r="M216" s="65">
        <f t="shared" si="14"/>
        <v>44.02</v>
      </c>
      <c r="N216" s="65">
        <f t="shared" si="15"/>
        <v>50.623000000000005</v>
      </c>
      <c r="O216" s="34" t="s">
        <v>2370</v>
      </c>
    </row>
    <row r="217" spans="1:15">
      <c r="A217" s="17" t="s">
        <v>1715</v>
      </c>
      <c r="B217" s="34" t="s">
        <v>264</v>
      </c>
      <c r="C217" s="61" t="s">
        <v>266</v>
      </c>
      <c r="D217" s="61" t="s">
        <v>2124</v>
      </c>
      <c r="E217" s="61" t="s">
        <v>2125</v>
      </c>
      <c r="F217" s="62"/>
      <c r="G217" s="63">
        <v>0</v>
      </c>
      <c r="H217" s="63">
        <v>22402.5</v>
      </c>
      <c r="I217" s="63">
        <v>89.625</v>
      </c>
      <c r="K217" s="58">
        <f t="shared" si="13"/>
        <v>22492.125</v>
      </c>
      <c r="L217" s="64">
        <v>1</v>
      </c>
      <c r="M217" s="65">
        <f t="shared" si="14"/>
        <v>22492.125</v>
      </c>
      <c r="N217" s="65">
        <f t="shared" si="15"/>
        <v>25865.943749999999</v>
      </c>
      <c r="O217" s="34" t="s">
        <v>2370</v>
      </c>
    </row>
    <row r="218" spans="1:15">
      <c r="A218" s="17" t="s">
        <v>1723</v>
      </c>
      <c r="B218" s="34" t="s">
        <v>264</v>
      </c>
      <c r="C218" s="61" t="s">
        <v>266</v>
      </c>
      <c r="D218" s="61" t="s">
        <v>2124</v>
      </c>
      <c r="E218" s="61" t="s">
        <v>2125</v>
      </c>
      <c r="F218" s="62"/>
      <c r="G218" s="63">
        <v>5275</v>
      </c>
      <c r="K218" s="58">
        <f t="shared" si="13"/>
        <v>5275</v>
      </c>
      <c r="L218" s="64">
        <v>1</v>
      </c>
      <c r="M218" s="65">
        <f t="shared" si="14"/>
        <v>5275</v>
      </c>
      <c r="N218" s="65">
        <f t="shared" si="15"/>
        <v>6066.25</v>
      </c>
      <c r="O218" s="34" t="s">
        <v>2370</v>
      </c>
    </row>
    <row r="219" spans="1:15">
      <c r="A219" s="17" t="s">
        <v>1473</v>
      </c>
      <c r="B219" s="34" t="s">
        <v>1583</v>
      </c>
      <c r="C219" s="61" t="s">
        <v>1585</v>
      </c>
      <c r="D219" s="61" t="s">
        <v>2120</v>
      </c>
      <c r="E219" s="61" t="s">
        <v>2121</v>
      </c>
      <c r="F219" s="62"/>
      <c r="G219" s="63">
        <v>455</v>
      </c>
      <c r="I219" s="63">
        <v>200.42</v>
      </c>
      <c r="K219" s="58">
        <f t="shared" si="13"/>
        <v>655.42</v>
      </c>
      <c r="L219" s="64">
        <v>1</v>
      </c>
      <c r="M219" s="65">
        <f t="shared" si="14"/>
        <v>655.42</v>
      </c>
      <c r="N219" s="65">
        <f t="shared" si="15"/>
        <v>753.73299999999995</v>
      </c>
      <c r="O219" s="34" t="s">
        <v>2369</v>
      </c>
    </row>
    <row r="220" spans="1:15">
      <c r="A220" s="17" t="s">
        <v>1715</v>
      </c>
      <c r="B220" s="34" t="s">
        <v>69</v>
      </c>
      <c r="C220" s="61" t="s">
        <v>71</v>
      </c>
      <c r="D220" s="61" t="s">
        <v>2259</v>
      </c>
      <c r="E220" s="61" t="s">
        <v>2260</v>
      </c>
      <c r="F220" s="62"/>
      <c r="G220" s="63">
        <v>111561.7</v>
      </c>
      <c r="H220" s="63">
        <v>28731.16</v>
      </c>
      <c r="I220" s="63">
        <v>15976.76</v>
      </c>
      <c r="K220" s="58">
        <f t="shared" si="13"/>
        <v>156269.62</v>
      </c>
      <c r="L220" s="64">
        <v>0.9</v>
      </c>
      <c r="M220" s="65">
        <f t="shared" si="14"/>
        <v>140642.658</v>
      </c>
      <c r="N220" s="65">
        <f t="shared" si="15"/>
        <v>161739.05669999999</v>
      </c>
      <c r="O220" s="34" t="s">
        <v>2370</v>
      </c>
    </row>
    <row r="221" spans="1:15">
      <c r="A221" s="17" t="s">
        <v>1723</v>
      </c>
      <c r="B221" s="34" t="s">
        <v>69</v>
      </c>
      <c r="C221" s="61" t="s">
        <v>71</v>
      </c>
      <c r="D221" s="61" t="s">
        <v>2259</v>
      </c>
      <c r="E221" s="61" t="s">
        <v>2260</v>
      </c>
      <c r="F221" s="62"/>
      <c r="G221" s="63">
        <v>291392.86</v>
      </c>
      <c r="H221" s="63">
        <v>81643.72</v>
      </c>
      <c r="K221" s="58">
        <f t="shared" si="13"/>
        <v>373036.57999999996</v>
      </c>
      <c r="L221" s="64">
        <v>0.9</v>
      </c>
      <c r="M221" s="65">
        <f t="shared" si="14"/>
        <v>335732.92199999996</v>
      </c>
      <c r="N221" s="65">
        <f t="shared" si="15"/>
        <v>386092.86029999994</v>
      </c>
      <c r="O221" s="34" t="s">
        <v>2370</v>
      </c>
    </row>
    <row r="222" spans="1:15">
      <c r="A222" s="17" t="s">
        <v>1399</v>
      </c>
      <c r="B222" s="34" t="s">
        <v>1244</v>
      </c>
      <c r="C222" s="61" t="s">
        <v>1246</v>
      </c>
      <c r="D222" s="61" t="s">
        <v>1979</v>
      </c>
      <c r="E222" s="61" t="s">
        <v>1980</v>
      </c>
      <c r="F222" s="62"/>
      <c r="I222" s="63">
        <v>337.13</v>
      </c>
      <c r="J222" s="63">
        <v>227.23</v>
      </c>
      <c r="K222" s="58">
        <f t="shared" si="13"/>
        <v>564.36</v>
      </c>
      <c r="L222" s="64">
        <v>1</v>
      </c>
      <c r="M222" s="65">
        <f t="shared" si="14"/>
        <v>564.36</v>
      </c>
      <c r="N222" s="65">
        <f t="shared" si="15"/>
        <v>649.01400000000001</v>
      </c>
      <c r="O222" s="34" t="s">
        <v>2369</v>
      </c>
    </row>
    <row r="223" spans="1:15">
      <c r="A223" s="17" t="s">
        <v>1399</v>
      </c>
      <c r="B223" s="34" t="s">
        <v>1458</v>
      </c>
      <c r="C223" s="61" t="s">
        <v>1460</v>
      </c>
      <c r="D223" s="61" t="s">
        <v>2021</v>
      </c>
      <c r="E223" s="61" t="s">
        <v>2022</v>
      </c>
      <c r="F223" s="62"/>
      <c r="I223" s="63">
        <v>694.24</v>
      </c>
      <c r="K223" s="58">
        <f t="shared" si="13"/>
        <v>694.24</v>
      </c>
      <c r="L223" s="64">
        <v>1</v>
      </c>
      <c r="M223" s="65">
        <f t="shared" si="14"/>
        <v>694.24</v>
      </c>
      <c r="N223" s="65">
        <f t="shared" si="15"/>
        <v>798.37599999999998</v>
      </c>
      <c r="O223" s="34" t="s">
        <v>2369</v>
      </c>
    </row>
    <row r="224" spans="1:15">
      <c r="A224" s="17" t="s">
        <v>1473</v>
      </c>
      <c r="B224" s="34" t="s">
        <v>1458</v>
      </c>
      <c r="C224" s="61" t="s">
        <v>1460</v>
      </c>
      <c r="D224" s="61" t="s">
        <v>2021</v>
      </c>
      <c r="E224" s="61" t="s">
        <v>2022</v>
      </c>
      <c r="F224" s="62"/>
      <c r="G224" s="63">
        <v>83</v>
      </c>
      <c r="K224" s="58">
        <f t="shared" si="13"/>
        <v>83</v>
      </c>
      <c r="L224" s="64">
        <v>1</v>
      </c>
      <c r="M224" s="65">
        <f t="shared" si="14"/>
        <v>83</v>
      </c>
      <c r="N224" s="65">
        <f t="shared" si="15"/>
        <v>95.45</v>
      </c>
      <c r="O224" s="34" t="s">
        <v>2369</v>
      </c>
    </row>
    <row r="225" spans="1:15">
      <c r="A225" s="17" t="s">
        <v>1715</v>
      </c>
      <c r="B225" s="34" t="s">
        <v>418</v>
      </c>
      <c r="C225" s="61" t="s">
        <v>420</v>
      </c>
      <c r="D225" s="61" t="s">
        <v>2266</v>
      </c>
      <c r="E225" s="61" t="s">
        <v>2267</v>
      </c>
      <c r="F225" s="62"/>
      <c r="G225" s="63">
        <v>450</v>
      </c>
      <c r="I225" s="63">
        <v>211.92</v>
      </c>
      <c r="K225" s="58">
        <f t="shared" si="13"/>
        <v>661.92</v>
      </c>
      <c r="L225" s="64">
        <v>1</v>
      </c>
      <c r="M225" s="65">
        <f t="shared" si="14"/>
        <v>661.92</v>
      </c>
      <c r="N225" s="65">
        <f t="shared" si="15"/>
        <v>761.20799999999997</v>
      </c>
      <c r="O225" s="34" t="s">
        <v>2369</v>
      </c>
    </row>
    <row r="226" spans="1:15">
      <c r="A226" s="17" t="s">
        <v>1723</v>
      </c>
      <c r="B226" s="34" t="s">
        <v>418</v>
      </c>
      <c r="C226" s="61" t="s">
        <v>420</v>
      </c>
      <c r="D226" s="61" t="s">
        <v>2266</v>
      </c>
      <c r="E226" s="61" t="s">
        <v>2267</v>
      </c>
      <c r="F226" s="62"/>
      <c r="G226" s="63">
        <v>0</v>
      </c>
      <c r="K226" s="58">
        <f t="shared" si="13"/>
        <v>0</v>
      </c>
      <c r="L226" s="64">
        <v>1</v>
      </c>
      <c r="M226" s="65">
        <f t="shared" si="14"/>
        <v>0</v>
      </c>
      <c r="N226" s="65">
        <f t="shared" si="15"/>
        <v>0</v>
      </c>
      <c r="O226" s="34" t="s">
        <v>2369</v>
      </c>
    </row>
    <row r="227" spans="1:15">
      <c r="A227" s="17" t="s">
        <v>1399</v>
      </c>
      <c r="B227" s="34" t="s">
        <v>1440</v>
      </c>
      <c r="C227" s="61" t="s">
        <v>1442</v>
      </c>
      <c r="D227" s="61" t="s">
        <v>2007</v>
      </c>
      <c r="E227" s="61" t="s">
        <v>2008</v>
      </c>
      <c r="F227" s="62"/>
      <c r="G227" s="63">
        <v>16640</v>
      </c>
      <c r="K227" s="58">
        <f t="shared" si="13"/>
        <v>16640</v>
      </c>
      <c r="L227" s="64">
        <v>1</v>
      </c>
      <c r="M227" s="65">
        <f t="shared" si="14"/>
        <v>16640</v>
      </c>
      <c r="N227" s="65">
        <f t="shared" si="15"/>
        <v>19136</v>
      </c>
      <c r="O227" s="34" t="s">
        <v>2369</v>
      </c>
    </row>
    <row r="228" spans="1:15">
      <c r="A228" s="17" t="s">
        <v>1473</v>
      </c>
      <c r="B228" s="34" t="s">
        <v>1440</v>
      </c>
      <c r="C228" s="61" t="s">
        <v>1442</v>
      </c>
      <c r="D228" s="61" t="s">
        <v>2007</v>
      </c>
      <c r="E228" s="61" t="s">
        <v>2008</v>
      </c>
      <c r="F228" s="62"/>
      <c r="G228" s="63">
        <v>16640</v>
      </c>
      <c r="K228" s="58">
        <f t="shared" si="13"/>
        <v>16640</v>
      </c>
      <c r="L228" s="64">
        <v>1</v>
      </c>
      <c r="M228" s="65">
        <f t="shared" si="14"/>
        <v>16640</v>
      </c>
      <c r="N228" s="65">
        <f t="shared" si="15"/>
        <v>19136</v>
      </c>
      <c r="O228" s="34" t="s">
        <v>2369</v>
      </c>
    </row>
    <row r="229" spans="1:15">
      <c r="A229" s="17" t="s">
        <v>1473</v>
      </c>
      <c r="B229" s="34" t="s">
        <v>1484</v>
      </c>
      <c r="C229" s="61" t="s">
        <v>1486</v>
      </c>
      <c r="D229" s="61" t="s">
        <v>2044</v>
      </c>
      <c r="E229" s="61" t="s">
        <v>2045</v>
      </c>
      <c r="F229" s="62"/>
      <c r="G229" s="63">
        <v>19735</v>
      </c>
      <c r="I229" s="63">
        <v>671.66</v>
      </c>
      <c r="K229" s="58">
        <f t="shared" si="13"/>
        <v>20406.66</v>
      </c>
      <c r="L229" s="64">
        <v>1</v>
      </c>
      <c r="M229" s="65">
        <f t="shared" si="14"/>
        <v>20406.66</v>
      </c>
      <c r="N229" s="65">
        <f t="shared" si="15"/>
        <v>23467.659</v>
      </c>
      <c r="O229" s="34" t="s">
        <v>2369</v>
      </c>
    </row>
    <row r="230" spans="1:15">
      <c r="A230" s="17" t="s">
        <v>1097</v>
      </c>
      <c r="B230" s="34" t="s">
        <v>666</v>
      </c>
      <c r="C230" s="61" t="s">
        <v>668</v>
      </c>
      <c r="D230" s="61" t="s">
        <v>1964</v>
      </c>
      <c r="E230" s="61" t="s">
        <v>1965</v>
      </c>
      <c r="F230" s="62"/>
      <c r="G230" s="63">
        <v>0</v>
      </c>
      <c r="K230" s="58">
        <f t="shared" si="13"/>
        <v>0</v>
      </c>
      <c r="L230" s="64">
        <v>1</v>
      </c>
      <c r="M230" s="65">
        <f t="shared" si="14"/>
        <v>0</v>
      </c>
      <c r="N230" s="65">
        <f t="shared" si="15"/>
        <v>0</v>
      </c>
      <c r="O230" s="34" t="s">
        <v>2371</v>
      </c>
    </row>
    <row r="231" spans="1:15">
      <c r="A231" s="17" t="s">
        <v>1715</v>
      </c>
      <c r="B231" s="34" t="s">
        <v>666</v>
      </c>
      <c r="C231" s="61" t="s">
        <v>668</v>
      </c>
      <c r="D231" s="61" t="s">
        <v>1964</v>
      </c>
      <c r="E231" s="61" t="s">
        <v>1965</v>
      </c>
      <c r="F231" s="62"/>
      <c r="I231" s="63">
        <v>14252.4</v>
      </c>
      <c r="K231" s="58">
        <f t="shared" si="13"/>
        <v>14252.4</v>
      </c>
      <c r="L231" s="64">
        <v>1</v>
      </c>
      <c r="M231" s="65">
        <f t="shared" si="14"/>
        <v>14252.4</v>
      </c>
      <c r="N231" s="65">
        <f t="shared" si="15"/>
        <v>16390.259999999998</v>
      </c>
      <c r="O231" s="34" t="s">
        <v>2371</v>
      </c>
    </row>
    <row r="232" spans="1:15">
      <c r="A232" s="17" t="s">
        <v>1723</v>
      </c>
      <c r="B232" s="34" t="s">
        <v>666</v>
      </c>
      <c r="C232" s="61" t="s">
        <v>668</v>
      </c>
      <c r="D232" s="61" t="s">
        <v>1964</v>
      </c>
      <c r="E232" s="61" t="s">
        <v>1965</v>
      </c>
      <c r="F232" s="62"/>
      <c r="G232" s="63">
        <v>76887.16</v>
      </c>
      <c r="H232" s="63">
        <v>51827.72</v>
      </c>
      <c r="K232" s="58">
        <f t="shared" si="13"/>
        <v>128714.88</v>
      </c>
      <c r="L232" s="64">
        <v>1</v>
      </c>
      <c r="M232" s="65">
        <f t="shared" si="14"/>
        <v>128714.88</v>
      </c>
      <c r="N232" s="65">
        <f t="shared" si="15"/>
        <v>148022.11199999999</v>
      </c>
      <c r="O232" s="34" t="s">
        <v>2371</v>
      </c>
    </row>
    <row r="233" spans="1:15">
      <c r="A233" s="17" t="s">
        <v>1715</v>
      </c>
      <c r="B233" s="34" t="s">
        <v>666</v>
      </c>
      <c r="C233" s="61" t="s">
        <v>668</v>
      </c>
      <c r="D233" s="61" t="s">
        <v>1964</v>
      </c>
      <c r="E233" s="61" t="s">
        <v>1965</v>
      </c>
      <c r="F233" s="62"/>
      <c r="H233" s="63">
        <v>18197.89</v>
      </c>
      <c r="K233" s="58">
        <f t="shared" si="13"/>
        <v>18197.89</v>
      </c>
      <c r="L233" s="64">
        <v>1</v>
      </c>
      <c r="M233" s="65">
        <f t="shared" si="14"/>
        <v>18197.89</v>
      </c>
      <c r="N233" s="65">
        <f t="shared" si="15"/>
        <v>20927.573499999999</v>
      </c>
      <c r="O233" s="34" t="s">
        <v>2371</v>
      </c>
    </row>
    <row r="234" spans="1:15">
      <c r="A234" s="17" t="s">
        <v>1715</v>
      </c>
      <c r="B234" s="34" t="s">
        <v>468</v>
      </c>
      <c r="C234" s="61" t="s">
        <v>470</v>
      </c>
      <c r="D234" s="61" t="s">
        <v>2332</v>
      </c>
      <c r="E234" s="61" t="s">
        <v>2333</v>
      </c>
      <c r="F234" s="62"/>
      <c r="I234" s="63">
        <v>500.58</v>
      </c>
      <c r="J234" s="63">
        <v>811.72</v>
      </c>
      <c r="K234" s="58">
        <f t="shared" si="13"/>
        <v>1312.3</v>
      </c>
      <c r="L234" s="64">
        <v>1</v>
      </c>
      <c r="M234" s="65">
        <f t="shared" si="14"/>
        <v>1312.3</v>
      </c>
      <c r="N234" s="65">
        <f t="shared" si="15"/>
        <v>1509.145</v>
      </c>
      <c r="O234" s="34" t="s">
        <v>2371</v>
      </c>
    </row>
    <row r="235" spans="1:15">
      <c r="A235" s="17" t="s">
        <v>1723</v>
      </c>
      <c r="B235" s="34" t="s">
        <v>468</v>
      </c>
      <c r="C235" s="61" t="s">
        <v>470</v>
      </c>
      <c r="D235" s="61" t="s">
        <v>2332</v>
      </c>
      <c r="E235" s="61" t="s">
        <v>2333</v>
      </c>
      <c r="F235" s="62"/>
      <c r="G235" s="63">
        <v>10740</v>
      </c>
      <c r="H235" s="63">
        <v>19723.3</v>
      </c>
      <c r="K235" s="58">
        <f t="shared" si="13"/>
        <v>30463.3</v>
      </c>
      <c r="L235" s="64">
        <v>1</v>
      </c>
      <c r="M235" s="65">
        <f t="shared" si="14"/>
        <v>30463.3</v>
      </c>
      <c r="N235" s="65">
        <f t="shared" si="15"/>
        <v>35032.794999999998</v>
      </c>
      <c r="O235" s="34" t="s">
        <v>2371</v>
      </c>
    </row>
    <row r="236" spans="1:15">
      <c r="A236" s="17" t="s">
        <v>1715</v>
      </c>
      <c r="B236" s="34" t="s">
        <v>57</v>
      </c>
      <c r="C236" s="61" t="s">
        <v>59</v>
      </c>
      <c r="D236" s="61" t="s">
        <v>2244</v>
      </c>
      <c r="E236" s="61" t="s">
        <v>2245</v>
      </c>
      <c r="F236" s="62"/>
      <c r="G236" s="63">
        <v>2800</v>
      </c>
      <c r="K236" s="58">
        <f t="shared" si="13"/>
        <v>2800</v>
      </c>
      <c r="L236" s="64">
        <v>1</v>
      </c>
      <c r="M236" s="65">
        <f t="shared" si="14"/>
        <v>2800</v>
      </c>
      <c r="N236" s="65">
        <f t="shared" si="15"/>
        <v>3220</v>
      </c>
      <c r="O236" s="34" t="s">
        <v>2369</v>
      </c>
    </row>
    <row r="237" spans="1:15">
      <c r="A237" s="17" t="s">
        <v>1723</v>
      </c>
      <c r="B237" s="34" t="s">
        <v>57</v>
      </c>
      <c r="C237" s="61" t="s">
        <v>59</v>
      </c>
      <c r="D237" s="61" t="s">
        <v>2244</v>
      </c>
      <c r="E237" s="61" t="s">
        <v>2245</v>
      </c>
      <c r="F237" s="62"/>
      <c r="G237" s="63">
        <v>1571.66</v>
      </c>
      <c r="K237" s="58">
        <f t="shared" si="13"/>
        <v>1571.66</v>
      </c>
      <c r="L237" s="64">
        <v>1</v>
      </c>
      <c r="M237" s="65">
        <f t="shared" si="14"/>
        <v>1571.66</v>
      </c>
      <c r="N237" s="65">
        <f t="shared" si="15"/>
        <v>1807.4090000000001</v>
      </c>
      <c r="O237" s="34" t="s">
        <v>2369</v>
      </c>
    </row>
    <row r="238" spans="1:15">
      <c r="A238" s="17" t="s">
        <v>1715</v>
      </c>
      <c r="B238" s="34" t="s">
        <v>537</v>
      </c>
      <c r="C238" s="61" t="s">
        <v>539</v>
      </c>
      <c r="D238" s="61" t="s">
        <v>2323</v>
      </c>
      <c r="E238" s="61" t="s">
        <v>2324</v>
      </c>
      <c r="F238" s="62"/>
      <c r="G238" s="63">
        <v>0</v>
      </c>
      <c r="I238" s="63">
        <v>211.92</v>
      </c>
      <c r="K238" s="58">
        <f t="shared" si="13"/>
        <v>211.92</v>
      </c>
      <c r="L238" s="64">
        <v>1</v>
      </c>
      <c r="M238" s="65">
        <f t="shared" si="14"/>
        <v>211.92</v>
      </c>
      <c r="N238" s="65">
        <f t="shared" si="15"/>
        <v>243.70799999999997</v>
      </c>
      <c r="O238" s="34" t="s">
        <v>2370</v>
      </c>
    </row>
    <row r="239" spans="1:15">
      <c r="A239" s="17" t="s">
        <v>1723</v>
      </c>
      <c r="B239" s="34" t="s">
        <v>537</v>
      </c>
      <c r="C239" s="61" t="s">
        <v>539</v>
      </c>
      <c r="D239" s="61" t="s">
        <v>2323</v>
      </c>
      <c r="E239" s="61" t="s">
        <v>2324</v>
      </c>
      <c r="F239" s="62"/>
      <c r="G239" s="63">
        <v>54374.99</v>
      </c>
      <c r="H239" s="63">
        <v>2954.3</v>
      </c>
      <c r="K239" s="58">
        <f t="shared" si="13"/>
        <v>57329.29</v>
      </c>
      <c r="L239" s="64">
        <v>1</v>
      </c>
      <c r="M239" s="65">
        <f t="shared" si="14"/>
        <v>57329.29</v>
      </c>
      <c r="N239" s="65">
        <f t="shared" si="15"/>
        <v>65928.683499999999</v>
      </c>
      <c r="O239" s="34" t="s">
        <v>2370</v>
      </c>
    </row>
    <row r="240" spans="1:15">
      <c r="A240" s="17" t="s">
        <v>1473</v>
      </c>
      <c r="B240" s="34" t="s">
        <v>1631</v>
      </c>
      <c r="C240" s="61" t="s">
        <v>1633</v>
      </c>
      <c r="D240" s="61" t="s">
        <v>2161</v>
      </c>
      <c r="E240" s="61" t="s">
        <v>2162</v>
      </c>
      <c r="F240" s="62"/>
      <c r="G240" s="63">
        <v>4342.6000000000004</v>
      </c>
      <c r="I240" s="63">
        <v>837.07</v>
      </c>
      <c r="K240" s="58">
        <f t="shared" si="13"/>
        <v>5179.67</v>
      </c>
      <c r="L240" s="64">
        <v>1</v>
      </c>
      <c r="M240" s="65">
        <f t="shared" si="14"/>
        <v>5179.67</v>
      </c>
      <c r="N240" s="65">
        <f t="shared" si="15"/>
        <v>5956.6205</v>
      </c>
      <c r="O240" s="34" t="s">
        <v>2369</v>
      </c>
    </row>
    <row r="241" spans="1:15">
      <c r="A241" s="17" t="s">
        <v>1473</v>
      </c>
      <c r="B241" s="34" t="s">
        <v>1685</v>
      </c>
      <c r="C241" s="61" t="s">
        <v>1687</v>
      </c>
      <c r="D241" s="61" t="s">
        <v>2197</v>
      </c>
      <c r="E241" s="61" t="s">
        <v>2198</v>
      </c>
      <c r="F241" s="62"/>
      <c r="G241" s="63">
        <v>1144</v>
      </c>
      <c r="K241" s="58">
        <f t="shared" si="13"/>
        <v>1144</v>
      </c>
      <c r="L241" s="64">
        <v>1</v>
      </c>
      <c r="M241" s="65">
        <f t="shared" si="14"/>
        <v>1144</v>
      </c>
      <c r="N241" s="65">
        <f t="shared" si="15"/>
        <v>1315.6</v>
      </c>
      <c r="O241" s="34" t="s">
        <v>2369</v>
      </c>
    </row>
    <row r="242" spans="1:15">
      <c r="A242" s="17" t="s">
        <v>1715</v>
      </c>
      <c r="B242" s="34" t="s">
        <v>696</v>
      </c>
      <c r="C242" s="61" t="s">
        <v>698</v>
      </c>
      <c r="D242" s="61" t="s">
        <v>2255</v>
      </c>
      <c r="E242" s="61" t="s">
        <v>2256</v>
      </c>
      <c r="F242" s="62"/>
      <c r="H242" s="63">
        <v>7439.25</v>
      </c>
      <c r="I242" s="63">
        <v>14438.13</v>
      </c>
      <c r="J242" s="63">
        <v>712.63</v>
      </c>
      <c r="K242" s="58">
        <f t="shared" si="13"/>
        <v>22590.01</v>
      </c>
      <c r="L242" s="64">
        <v>1</v>
      </c>
      <c r="M242" s="65">
        <f t="shared" si="14"/>
        <v>22590.01</v>
      </c>
      <c r="N242" s="65">
        <f t="shared" si="15"/>
        <v>25978.511499999997</v>
      </c>
      <c r="O242" s="34" t="s">
        <v>2369</v>
      </c>
    </row>
    <row r="243" spans="1:15">
      <c r="A243" s="17" t="s">
        <v>1723</v>
      </c>
      <c r="B243" s="34" t="s">
        <v>696</v>
      </c>
      <c r="C243" s="61" t="s">
        <v>698</v>
      </c>
      <c r="D243" s="61" t="s">
        <v>2255</v>
      </c>
      <c r="E243" s="61" t="s">
        <v>2256</v>
      </c>
      <c r="F243" s="62"/>
      <c r="G243" s="63">
        <v>34920.67</v>
      </c>
      <c r="H243" s="63">
        <v>-27117.77</v>
      </c>
      <c r="K243" s="58">
        <f t="shared" ref="K243:K302" si="16">SUM(G243:J243)</f>
        <v>7802.8999999999978</v>
      </c>
      <c r="L243" s="64">
        <v>1</v>
      </c>
      <c r="M243" s="65">
        <f t="shared" ref="M243:M302" si="17">+K243*L243</f>
        <v>7802.8999999999978</v>
      </c>
      <c r="N243" s="65">
        <f t="shared" ref="N243:N302" si="18">+M243+(+M243*$N$1)</f>
        <v>8973.3349999999973</v>
      </c>
      <c r="O243" s="34" t="s">
        <v>2369</v>
      </c>
    </row>
    <row r="244" spans="1:15">
      <c r="A244" s="17" t="s">
        <v>1473</v>
      </c>
      <c r="B244" s="34" t="s">
        <v>347</v>
      </c>
      <c r="C244" s="61" t="s">
        <v>349</v>
      </c>
      <c r="D244" s="61" t="s">
        <v>2114</v>
      </c>
      <c r="E244" s="61" t="s">
        <v>2115</v>
      </c>
      <c r="F244" s="62"/>
      <c r="G244" s="63">
        <v>61360</v>
      </c>
      <c r="I244" s="63">
        <v>1263.6600000000001</v>
      </c>
      <c r="K244" s="58">
        <f t="shared" si="16"/>
        <v>62623.66</v>
      </c>
      <c r="L244" s="64">
        <v>1</v>
      </c>
      <c r="M244" s="65">
        <f t="shared" si="17"/>
        <v>62623.66</v>
      </c>
      <c r="N244" s="65">
        <f t="shared" si="18"/>
        <v>72017.209000000003</v>
      </c>
      <c r="O244" s="34" t="s">
        <v>2369</v>
      </c>
    </row>
    <row r="245" spans="1:15">
      <c r="A245" s="17" t="s">
        <v>1399</v>
      </c>
      <c r="B245" s="34" t="s">
        <v>1431</v>
      </c>
      <c r="C245" s="61" t="s">
        <v>1433</v>
      </c>
      <c r="D245" s="61" t="s">
        <v>2001</v>
      </c>
      <c r="E245" s="61" t="s">
        <v>2002</v>
      </c>
      <c r="F245" s="62"/>
      <c r="I245" s="63">
        <v>627.20000000000005</v>
      </c>
      <c r="K245" s="58">
        <f t="shared" si="16"/>
        <v>627.20000000000005</v>
      </c>
      <c r="L245" s="64">
        <v>1</v>
      </c>
      <c r="M245" s="65">
        <f t="shared" si="17"/>
        <v>627.20000000000005</v>
      </c>
      <c r="N245" s="65">
        <f t="shared" si="18"/>
        <v>721.28000000000009</v>
      </c>
      <c r="O245" s="34" t="s">
        <v>2369</v>
      </c>
    </row>
    <row r="246" spans="1:15">
      <c r="A246" s="17" t="s">
        <v>1473</v>
      </c>
      <c r="B246" s="34" t="s">
        <v>1431</v>
      </c>
      <c r="C246" s="61" t="s">
        <v>1433</v>
      </c>
      <c r="D246" s="61" t="s">
        <v>2001</v>
      </c>
      <c r="E246" s="61" t="s">
        <v>2002</v>
      </c>
      <c r="F246" s="62"/>
      <c r="G246" s="63">
        <v>12961.9</v>
      </c>
      <c r="I246" s="63">
        <v>489.76</v>
      </c>
      <c r="K246" s="58">
        <f t="shared" si="16"/>
        <v>13451.66</v>
      </c>
      <c r="L246" s="64">
        <v>1</v>
      </c>
      <c r="M246" s="65">
        <f t="shared" si="17"/>
        <v>13451.66</v>
      </c>
      <c r="N246" s="65">
        <f t="shared" si="18"/>
        <v>15469.409</v>
      </c>
      <c r="O246" s="34" t="s">
        <v>2369</v>
      </c>
    </row>
    <row r="247" spans="1:15">
      <c r="A247" s="17" t="s">
        <v>1473</v>
      </c>
      <c r="B247" s="34" t="s">
        <v>1550</v>
      </c>
      <c r="C247" s="61" t="s">
        <v>1552</v>
      </c>
      <c r="D247" s="61" t="s">
        <v>2096</v>
      </c>
      <c r="E247" s="61" t="s">
        <v>2097</v>
      </c>
      <c r="F247" s="62"/>
      <c r="G247" s="63">
        <v>15667.2</v>
      </c>
      <c r="I247" s="63">
        <v>288.04000000000002</v>
      </c>
      <c r="K247" s="58">
        <f t="shared" si="16"/>
        <v>15955.240000000002</v>
      </c>
      <c r="L247" s="64">
        <v>1</v>
      </c>
      <c r="M247" s="65">
        <f t="shared" si="17"/>
        <v>15955.240000000002</v>
      </c>
      <c r="N247" s="65">
        <f t="shared" si="18"/>
        <v>18348.526000000002</v>
      </c>
      <c r="O247" s="34" t="s">
        <v>2369</v>
      </c>
    </row>
    <row r="248" spans="1:15">
      <c r="A248" s="17" t="s">
        <v>1715</v>
      </c>
      <c r="B248" s="34" t="s">
        <v>609</v>
      </c>
      <c r="C248" s="61" t="s">
        <v>611</v>
      </c>
      <c r="D248" s="61" t="s">
        <v>2288</v>
      </c>
      <c r="E248" s="61" t="s">
        <v>2289</v>
      </c>
      <c r="F248" s="62"/>
      <c r="H248" s="63">
        <v>420</v>
      </c>
      <c r="I248" s="63">
        <v>3164.29</v>
      </c>
      <c r="K248" s="58">
        <f t="shared" si="16"/>
        <v>3584.29</v>
      </c>
      <c r="L248" s="64">
        <v>0.9</v>
      </c>
      <c r="M248" s="65">
        <f t="shared" si="17"/>
        <v>3225.8609999999999</v>
      </c>
      <c r="N248" s="65">
        <f t="shared" si="18"/>
        <v>3709.7401499999996</v>
      </c>
      <c r="O248" s="34" t="s">
        <v>2370</v>
      </c>
    </row>
    <row r="249" spans="1:15">
      <c r="A249" s="17" t="s">
        <v>1723</v>
      </c>
      <c r="B249" s="34" t="s">
        <v>609</v>
      </c>
      <c r="C249" s="61" t="s">
        <v>611</v>
      </c>
      <c r="D249" s="61" t="s">
        <v>2288</v>
      </c>
      <c r="E249" s="61" t="s">
        <v>2289</v>
      </c>
      <c r="F249" s="62"/>
      <c r="G249" s="63">
        <v>12625.14</v>
      </c>
      <c r="H249" s="63">
        <v>10388.44</v>
      </c>
      <c r="K249" s="58">
        <f t="shared" si="16"/>
        <v>23013.58</v>
      </c>
      <c r="L249" s="64">
        <v>0.9</v>
      </c>
      <c r="M249" s="65">
        <f t="shared" si="17"/>
        <v>20712.222000000002</v>
      </c>
      <c r="N249" s="65">
        <f t="shared" si="18"/>
        <v>23819.0553</v>
      </c>
      <c r="O249" s="34" t="s">
        <v>2370</v>
      </c>
    </row>
    <row r="250" spans="1:15">
      <c r="A250" s="17" t="s">
        <v>1723</v>
      </c>
      <c r="B250" s="34" t="s">
        <v>738</v>
      </c>
      <c r="C250" s="61" t="s">
        <v>740</v>
      </c>
      <c r="D250" s="61" t="s">
        <v>2351</v>
      </c>
      <c r="E250" s="61" t="s">
        <v>2352</v>
      </c>
      <c r="F250" s="62"/>
      <c r="G250" s="63">
        <v>10184.11</v>
      </c>
      <c r="K250" s="58">
        <f t="shared" si="16"/>
        <v>10184.11</v>
      </c>
      <c r="L250" s="64">
        <v>1</v>
      </c>
      <c r="M250" s="65">
        <f t="shared" si="17"/>
        <v>10184.11</v>
      </c>
      <c r="N250" s="65">
        <f t="shared" si="18"/>
        <v>11711.726500000001</v>
      </c>
      <c r="O250" s="34" t="s">
        <v>2370</v>
      </c>
    </row>
    <row r="251" spans="1:15">
      <c r="A251" s="17" t="s">
        <v>1715</v>
      </c>
      <c r="B251" s="34" t="s">
        <v>177</v>
      </c>
      <c r="C251" s="61" t="s">
        <v>179</v>
      </c>
      <c r="D251" s="61" t="s">
        <v>2303</v>
      </c>
      <c r="E251" s="61" t="s">
        <v>2304</v>
      </c>
      <c r="F251" s="62"/>
      <c r="I251" s="63">
        <v>772.26499999999999</v>
      </c>
      <c r="J251" s="63">
        <v>79.89</v>
      </c>
      <c r="K251" s="58">
        <f t="shared" si="16"/>
        <v>852.15499999999997</v>
      </c>
      <c r="L251" s="64">
        <v>1</v>
      </c>
      <c r="M251" s="65">
        <f t="shared" si="17"/>
        <v>852.15499999999997</v>
      </c>
      <c r="N251" s="65">
        <f t="shared" si="18"/>
        <v>979.97825</v>
      </c>
      <c r="O251" s="34" t="s">
        <v>2370</v>
      </c>
    </row>
    <row r="252" spans="1:15">
      <c r="A252" s="17" t="s">
        <v>1723</v>
      </c>
      <c r="B252" s="34" t="s">
        <v>177</v>
      </c>
      <c r="C252" s="61" t="s">
        <v>179</v>
      </c>
      <c r="D252" s="61" t="s">
        <v>2303</v>
      </c>
      <c r="E252" s="61" t="s">
        <v>2304</v>
      </c>
      <c r="F252" s="62"/>
      <c r="G252" s="63">
        <v>6580</v>
      </c>
      <c r="H252" s="63">
        <v>1055.44</v>
      </c>
      <c r="K252" s="58">
        <f t="shared" si="16"/>
        <v>7635.4400000000005</v>
      </c>
      <c r="L252" s="64">
        <v>1</v>
      </c>
      <c r="M252" s="65">
        <f t="shared" si="17"/>
        <v>7635.4400000000005</v>
      </c>
      <c r="N252" s="65">
        <f t="shared" si="18"/>
        <v>8780.7560000000012</v>
      </c>
      <c r="O252" s="34" t="s">
        <v>2370</v>
      </c>
    </row>
    <row r="253" spans="1:15">
      <c r="A253" s="17" t="s">
        <v>1473</v>
      </c>
      <c r="B253" s="34" t="s">
        <v>1595</v>
      </c>
      <c r="C253" s="61" t="s">
        <v>1597</v>
      </c>
      <c r="D253" s="61" t="s">
        <v>2134</v>
      </c>
      <c r="E253" s="61" t="s">
        <v>2135</v>
      </c>
      <c r="F253" s="62"/>
      <c r="G253" s="63">
        <v>34720</v>
      </c>
      <c r="I253" s="63">
        <v>347.12</v>
      </c>
      <c r="K253" s="58">
        <f t="shared" si="16"/>
        <v>35067.120000000003</v>
      </c>
      <c r="L253" s="64">
        <v>1</v>
      </c>
      <c r="M253" s="65">
        <f t="shared" si="17"/>
        <v>35067.120000000003</v>
      </c>
      <c r="N253" s="65">
        <f t="shared" si="18"/>
        <v>40327.188000000002</v>
      </c>
      <c r="O253" s="34" t="s">
        <v>2369</v>
      </c>
    </row>
    <row r="254" spans="1:15">
      <c r="A254" s="17" t="s">
        <v>1473</v>
      </c>
      <c r="B254" s="34" t="s">
        <v>1643</v>
      </c>
      <c r="C254" s="61" t="s">
        <v>1645</v>
      </c>
      <c r="D254" s="61" t="s">
        <v>2169</v>
      </c>
      <c r="E254" s="61" t="s">
        <v>2170</v>
      </c>
      <c r="F254" s="62"/>
      <c r="G254" s="63">
        <v>15000</v>
      </c>
      <c r="K254" s="58">
        <f t="shared" si="16"/>
        <v>15000</v>
      </c>
      <c r="L254" s="64">
        <v>1</v>
      </c>
      <c r="M254" s="65">
        <f t="shared" si="17"/>
        <v>15000</v>
      </c>
      <c r="N254" s="65">
        <f t="shared" si="18"/>
        <v>17250</v>
      </c>
      <c r="O254" s="34" t="s">
        <v>2369</v>
      </c>
    </row>
    <row r="255" spans="1:15">
      <c r="A255" s="17" t="s">
        <v>1473</v>
      </c>
      <c r="B255" s="34" t="s">
        <v>1652</v>
      </c>
      <c r="C255" s="61" t="s">
        <v>1654</v>
      </c>
      <c r="D255" s="61" t="s">
        <v>2175</v>
      </c>
      <c r="E255" s="61" t="s">
        <v>2176</v>
      </c>
      <c r="F255" s="62"/>
      <c r="G255" s="63">
        <v>10096.89</v>
      </c>
      <c r="I255" s="63">
        <v>240.23</v>
      </c>
      <c r="K255" s="58">
        <f t="shared" si="16"/>
        <v>10337.119999999999</v>
      </c>
      <c r="L255" s="64">
        <v>1</v>
      </c>
      <c r="M255" s="65">
        <f t="shared" si="17"/>
        <v>10337.119999999999</v>
      </c>
      <c r="N255" s="65">
        <f t="shared" si="18"/>
        <v>11887.687999999998</v>
      </c>
      <c r="O255" s="34" t="s">
        <v>2369</v>
      </c>
    </row>
    <row r="256" spans="1:15">
      <c r="A256" s="17" t="s">
        <v>1097</v>
      </c>
      <c r="B256" s="34" t="s">
        <v>344</v>
      </c>
      <c r="C256" s="61" t="s">
        <v>346</v>
      </c>
      <c r="D256" s="61" t="s">
        <v>1973</v>
      </c>
      <c r="E256" s="61" t="s">
        <v>1974</v>
      </c>
      <c r="F256" s="62"/>
      <c r="G256" s="63">
        <v>38004.949999999997</v>
      </c>
      <c r="H256" s="63">
        <v>-2774.17</v>
      </c>
      <c r="K256" s="58">
        <f t="shared" si="16"/>
        <v>35230.78</v>
      </c>
      <c r="L256" s="64">
        <v>1</v>
      </c>
      <c r="M256" s="65">
        <f t="shared" si="17"/>
        <v>35230.78</v>
      </c>
      <c r="N256" s="65">
        <f t="shared" si="18"/>
        <v>40515.396999999997</v>
      </c>
      <c r="O256" s="34" t="s">
        <v>2370</v>
      </c>
    </row>
    <row r="257" spans="1:15">
      <c r="A257" s="17" t="s">
        <v>1715</v>
      </c>
      <c r="B257" s="34" t="s">
        <v>344</v>
      </c>
      <c r="C257" s="61" t="s">
        <v>346</v>
      </c>
      <c r="D257" s="61" t="s">
        <v>1973</v>
      </c>
      <c r="E257" s="61" t="s">
        <v>1974</v>
      </c>
      <c r="F257" s="62"/>
      <c r="G257" s="63">
        <v>300</v>
      </c>
      <c r="K257" s="58">
        <f t="shared" si="16"/>
        <v>300</v>
      </c>
      <c r="L257" s="64">
        <v>1</v>
      </c>
      <c r="M257" s="65">
        <f t="shared" si="17"/>
        <v>300</v>
      </c>
      <c r="N257" s="65">
        <f t="shared" si="18"/>
        <v>345</v>
      </c>
      <c r="O257" s="34" t="s">
        <v>2370</v>
      </c>
    </row>
    <row r="258" spans="1:15">
      <c r="A258" s="17" t="s">
        <v>1715</v>
      </c>
      <c r="B258" s="34" t="s">
        <v>344</v>
      </c>
      <c r="C258" s="61" t="s">
        <v>346</v>
      </c>
      <c r="D258" s="61" t="s">
        <v>1973</v>
      </c>
      <c r="E258" s="61" t="s">
        <v>1974</v>
      </c>
      <c r="F258" s="62"/>
      <c r="G258" s="63">
        <v>15257.55</v>
      </c>
      <c r="I258" s="63">
        <v>1877.59</v>
      </c>
      <c r="J258" s="63">
        <v>224.76</v>
      </c>
      <c r="K258" s="58">
        <f t="shared" si="16"/>
        <v>17359.899999999998</v>
      </c>
      <c r="L258" s="64">
        <v>1</v>
      </c>
      <c r="M258" s="65">
        <f t="shared" si="17"/>
        <v>17359.899999999998</v>
      </c>
      <c r="N258" s="65">
        <f t="shared" si="18"/>
        <v>19963.884999999998</v>
      </c>
      <c r="O258" s="34" t="s">
        <v>2370</v>
      </c>
    </row>
    <row r="259" spans="1:15">
      <c r="A259" s="17" t="s">
        <v>1473</v>
      </c>
      <c r="B259" s="34" t="s">
        <v>1649</v>
      </c>
      <c r="C259" s="61" t="s">
        <v>1651</v>
      </c>
      <c r="D259" s="61" t="s">
        <v>2173</v>
      </c>
      <c r="E259" s="61" t="s">
        <v>2174</v>
      </c>
      <c r="F259" s="62"/>
      <c r="G259" s="63">
        <v>4407.8999999999996</v>
      </c>
      <c r="K259" s="58">
        <f t="shared" si="16"/>
        <v>4407.8999999999996</v>
      </c>
      <c r="L259" s="64">
        <v>1</v>
      </c>
      <c r="M259" s="65">
        <f t="shared" si="17"/>
        <v>4407.8999999999996</v>
      </c>
      <c r="N259" s="65">
        <f t="shared" si="18"/>
        <v>5069.0849999999991</v>
      </c>
      <c r="O259" s="34" t="s">
        <v>2369</v>
      </c>
    </row>
    <row r="260" spans="1:15">
      <c r="A260" s="17" t="s">
        <v>1473</v>
      </c>
      <c r="B260" s="34" t="s">
        <v>1661</v>
      </c>
      <c r="C260" s="61" t="s">
        <v>1663</v>
      </c>
      <c r="D260" s="61" t="s">
        <v>2181</v>
      </c>
      <c r="E260" s="61" t="s">
        <v>2182</v>
      </c>
      <c r="F260" s="62"/>
      <c r="G260" s="63">
        <v>1527</v>
      </c>
      <c r="I260" s="63">
        <v>1212.57</v>
      </c>
      <c r="K260" s="58">
        <f t="shared" si="16"/>
        <v>2739.5699999999997</v>
      </c>
      <c r="L260" s="64">
        <v>1</v>
      </c>
      <c r="M260" s="65">
        <f t="shared" si="17"/>
        <v>2739.5699999999997</v>
      </c>
      <c r="N260" s="65">
        <f t="shared" si="18"/>
        <v>3150.5054999999998</v>
      </c>
      <c r="O260" s="34" t="s">
        <v>2369</v>
      </c>
    </row>
    <row r="261" spans="1:15">
      <c r="A261" s="17" t="s">
        <v>1399</v>
      </c>
      <c r="B261" s="34" t="s">
        <v>1407</v>
      </c>
      <c r="C261" s="61" t="s">
        <v>1409</v>
      </c>
      <c r="D261" s="61" t="s">
        <v>1983</v>
      </c>
      <c r="E261" s="61" t="s">
        <v>1984</v>
      </c>
      <c r="F261" s="62"/>
      <c r="I261" s="63">
        <v>454.4</v>
      </c>
      <c r="K261" s="58">
        <f t="shared" si="16"/>
        <v>454.4</v>
      </c>
      <c r="L261" s="64">
        <v>1</v>
      </c>
      <c r="M261" s="65">
        <f t="shared" si="17"/>
        <v>454.4</v>
      </c>
      <c r="N261" s="65">
        <f t="shared" si="18"/>
        <v>522.55999999999995</v>
      </c>
      <c r="O261" s="34" t="s">
        <v>2369</v>
      </c>
    </row>
    <row r="262" spans="1:15">
      <c r="A262" s="17" t="s">
        <v>1473</v>
      </c>
      <c r="B262" s="34" t="s">
        <v>1407</v>
      </c>
      <c r="C262" s="61" t="s">
        <v>1409</v>
      </c>
      <c r="D262" s="61" t="s">
        <v>1983</v>
      </c>
      <c r="E262" s="61" t="s">
        <v>1984</v>
      </c>
      <c r="F262" s="62"/>
      <c r="G262" s="63">
        <v>13526.07</v>
      </c>
      <c r="K262" s="58">
        <f t="shared" si="16"/>
        <v>13526.07</v>
      </c>
      <c r="L262" s="64">
        <v>1</v>
      </c>
      <c r="M262" s="65">
        <f t="shared" si="17"/>
        <v>13526.07</v>
      </c>
      <c r="N262" s="65">
        <f t="shared" si="18"/>
        <v>15554.9805</v>
      </c>
      <c r="O262" s="34" t="s">
        <v>2369</v>
      </c>
    </row>
    <row r="263" spans="1:15">
      <c r="A263" s="17" t="s">
        <v>1399</v>
      </c>
      <c r="B263" s="34" t="s">
        <v>546</v>
      </c>
      <c r="C263" s="61" t="s">
        <v>548</v>
      </c>
      <c r="D263" s="61" t="s">
        <v>2036</v>
      </c>
      <c r="E263" s="61" t="s">
        <v>2037</v>
      </c>
      <c r="F263" s="62"/>
      <c r="I263" s="63">
        <v>240.8</v>
      </c>
      <c r="K263" s="58">
        <f t="shared" si="16"/>
        <v>240.8</v>
      </c>
      <c r="L263" s="64">
        <v>1</v>
      </c>
      <c r="M263" s="65">
        <f t="shared" si="17"/>
        <v>240.8</v>
      </c>
      <c r="N263" s="65">
        <f t="shared" si="18"/>
        <v>276.92</v>
      </c>
      <c r="O263" s="34" t="s">
        <v>2369</v>
      </c>
    </row>
    <row r="264" spans="1:15">
      <c r="A264" s="17" t="s">
        <v>1473</v>
      </c>
      <c r="B264" s="34" t="s">
        <v>546</v>
      </c>
      <c r="C264" s="61" t="s">
        <v>548</v>
      </c>
      <c r="D264" s="61" t="s">
        <v>2036</v>
      </c>
      <c r="E264" s="61" t="s">
        <v>2037</v>
      </c>
      <c r="F264" s="62"/>
      <c r="G264" s="63">
        <v>1575</v>
      </c>
      <c r="K264" s="58">
        <f t="shared" si="16"/>
        <v>1575</v>
      </c>
      <c r="L264" s="64">
        <v>1</v>
      </c>
      <c r="M264" s="65">
        <f t="shared" si="17"/>
        <v>1575</v>
      </c>
      <c r="N264" s="65">
        <f t="shared" si="18"/>
        <v>1811.25</v>
      </c>
      <c r="O264" s="34" t="s">
        <v>2369</v>
      </c>
    </row>
    <row r="265" spans="1:15">
      <c r="A265" s="17" t="s">
        <v>1399</v>
      </c>
      <c r="B265" s="34" t="s">
        <v>1428</v>
      </c>
      <c r="C265" s="61" t="s">
        <v>1430</v>
      </c>
      <c r="D265" s="61" t="s">
        <v>1997</v>
      </c>
      <c r="E265" s="61" t="s">
        <v>1998</v>
      </c>
      <c r="F265" s="62"/>
      <c r="I265" s="63">
        <v>573.6</v>
      </c>
      <c r="J265" s="63">
        <v>178.56</v>
      </c>
      <c r="K265" s="58">
        <f t="shared" si="16"/>
        <v>752.16000000000008</v>
      </c>
      <c r="L265" s="64">
        <v>1</v>
      </c>
      <c r="M265" s="65">
        <f t="shared" si="17"/>
        <v>752.16000000000008</v>
      </c>
      <c r="N265" s="65">
        <f t="shared" si="18"/>
        <v>864.98400000000015</v>
      </c>
      <c r="O265" s="34" t="s">
        <v>2369</v>
      </c>
    </row>
    <row r="266" spans="1:15">
      <c r="A266" s="17" t="s">
        <v>1473</v>
      </c>
      <c r="B266" s="34" t="s">
        <v>1428</v>
      </c>
      <c r="C266" s="61" t="s">
        <v>1430</v>
      </c>
      <c r="D266" s="61" t="s">
        <v>1997</v>
      </c>
      <c r="E266" s="61" t="s">
        <v>1998</v>
      </c>
      <c r="F266" s="62"/>
      <c r="G266" s="63">
        <v>1388</v>
      </c>
      <c r="I266" s="63">
        <v>1931.67</v>
      </c>
      <c r="K266" s="58">
        <f t="shared" si="16"/>
        <v>3319.67</v>
      </c>
      <c r="L266" s="64">
        <v>1</v>
      </c>
      <c r="M266" s="65">
        <f t="shared" si="17"/>
        <v>3319.67</v>
      </c>
      <c r="N266" s="65">
        <f t="shared" si="18"/>
        <v>3817.6205</v>
      </c>
      <c r="O266" s="34" t="s">
        <v>2369</v>
      </c>
    </row>
    <row r="267" spans="1:15">
      <c r="A267" s="17" t="s">
        <v>1473</v>
      </c>
      <c r="B267" s="34" t="s">
        <v>1568</v>
      </c>
      <c r="C267" s="61" t="s">
        <v>1570</v>
      </c>
      <c r="D267" s="61" t="s">
        <v>2110</v>
      </c>
      <c r="E267" s="61" t="s">
        <v>2111</v>
      </c>
      <c r="F267" s="62"/>
      <c r="G267" s="63">
        <v>936</v>
      </c>
      <c r="K267" s="58">
        <f t="shared" si="16"/>
        <v>936</v>
      </c>
      <c r="L267" s="64">
        <v>1</v>
      </c>
      <c r="M267" s="65">
        <f t="shared" si="17"/>
        <v>936</v>
      </c>
      <c r="N267" s="65">
        <f t="shared" si="18"/>
        <v>1076.4000000000001</v>
      </c>
      <c r="O267" s="34" t="s">
        <v>2369</v>
      </c>
    </row>
    <row r="268" spans="1:15" ht="25.5">
      <c r="A268" s="17" t="s">
        <v>1473</v>
      </c>
      <c r="B268" s="34" t="s">
        <v>117</v>
      </c>
      <c r="C268" s="61" t="s">
        <v>119</v>
      </c>
      <c r="D268" s="61" t="s">
        <v>2082</v>
      </c>
      <c r="E268" s="61" t="s">
        <v>2083</v>
      </c>
      <c r="F268" s="62"/>
      <c r="G268" s="63">
        <v>622.5</v>
      </c>
      <c r="I268" s="63">
        <v>36.96</v>
      </c>
      <c r="K268" s="58">
        <f t="shared" si="16"/>
        <v>659.46</v>
      </c>
      <c r="L268" s="64">
        <v>1</v>
      </c>
      <c r="M268" s="65">
        <f t="shared" si="17"/>
        <v>659.46</v>
      </c>
      <c r="N268" s="65">
        <f t="shared" si="18"/>
        <v>758.37900000000002</v>
      </c>
      <c r="O268" s="34" t="s">
        <v>2369</v>
      </c>
    </row>
    <row r="269" spans="1:15">
      <c r="A269" s="17" t="s">
        <v>1715</v>
      </c>
      <c r="B269" s="34" t="s">
        <v>762</v>
      </c>
      <c r="C269" s="61" t="s">
        <v>764</v>
      </c>
      <c r="D269" s="61" t="s">
        <v>2272</v>
      </c>
      <c r="E269" s="61" t="s">
        <v>2273</v>
      </c>
      <c r="F269" s="62"/>
      <c r="G269" s="63">
        <v>305</v>
      </c>
      <c r="H269" s="63">
        <v>-60.92</v>
      </c>
      <c r="I269" s="63">
        <v>199.65</v>
      </c>
      <c r="K269" s="58">
        <f t="shared" si="16"/>
        <v>443.73</v>
      </c>
      <c r="L269" s="64">
        <v>1</v>
      </c>
      <c r="M269" s="65">
        <f t="shared" si="17"/>
        <v>443.73</v>
      </c>
      <c r="N269" s="65">
        <f t="shared" si="18"/>
        <v>510.28950000000003</v>
      </c>
      <c r="O269" s="34" t="s">
        <v>2370</v>
      </c>
    </row>
    <row r="270" spans="1:15">
      <c r="A270" s="17" t="s">
        <v>1723</v>
      </c>
      <c r="B270" s="34" t="s">
        <v>762</v>
      </c>
      <c r="C270" s="61" t="s">
        <v>764</v>
      </c>
      <c r="D270" s="61" t="s">
        <v>2272</v>
      </c>
      <c r="E270" s="61" t="s">
        <v>2273</v>
      </c>
      <c r="F270" s="62"/>
      <c r="G270" s="63">
        <v>7792.56</v>
      </c>
      <c r="H270" s="63">
        <v>14941.95</v>
      </c>
      <c r="K270" s="58">
        <f t="shared" si="16"/>
        <v>22734.510000000002</v>
      </c>
      <c r="L270" s="64">
        <v>1</v>
      </c>
      <c r="M270" s="65">
        <f t="shared" si="17"/>
        <v>22734.510000000002</v>
      </c>
      <c r="N270" s="65">
        <f t="shared" si="18"/>
        <v>26144.686500000003</v>
      </c>
      <c r="O270" s="34" t="s">
        <v>2370</v>
      </c>
    </row>
    <row r="271" spans="1:15">
      <c r="A271" s="17" t="s">
        <v>1473</v>
      </c>
      <c r="B271" s="34" t="s">
        <v>1547</v>
      </c>
      <c r="C271" s="61" t="s">
        <v>1549</v>
      </c>
      <c r="D271" s="61" t="s">
        <v>2094</v>
      </c>
      <c r="E271" s="61" t="s">
        <v>2095</v>
      </c>
      <c r="F271" s="62"/>
      <c r="G271" s="63">
        <v>260</v>
      </c>
      <c r="I271" s="63">
        <v>424.82</v>
      </c>
      <c r="K271" s="58">
        <f t="shared" si="16"/>
        <v>684.81999999999994</v>
      </c>
      <c r="L271" s="64">
        <v>1</v>
      </c>
      <c r="M271" s="65">
        <f t="shared" si="17"/>
        <v>684.81999999999994</v>
      </c>
      <c r="N271" s="65">
        <f t="shared" si="18"/>
        <v>787.54299999999989</v>
      </c>
      <c r="O271" s="34" t="s">
        <v>2369</v>
      </c>
    </row>
    <row r="272" spans="1:15">
      <c r="A272" s="17" t="s">
        <v>1473</v>
      </c>
      <c r="B272" s="34" t="s">
        <v>1604</v>
      </c>
      <c r="C272" s="61" t="s">
        <v>1606</v>
      </c>
      <c r="D272" s="61" t="s">
        <v>2140</v>
      </c>
      <c r="E272" s="61" t="s">
        <v>2141</v>
      </c>
      <c r="F272" s="62"/>
      <c r="G272" s="63">
        <v>36771.019999999997</v>
      </c>
      <c r="K272" s="58">
        <f t="shared" si="16"/>
        <v>36771.019999999997</v>
      </c>
      <c r="L272" s="64">
        <v>1</v>
      </c>
      <c r="M272" s="65">
        <f t="shared" si="17"/>
        <v>36771.019999999997</v>
      </c>
      <c r="N272" s="65">
        <f t="shared" si="18"/>
        <v>42286.672999999995</v>
      </c>
      <c r="O272" s="34" t="s">
        <v>2369</v>
      </c>
    </row>
    <row r="273" spans="1:15">
      <c r="A273" s="17" t="s">
        <v>1715</v>
      </c>
      <c r="B273" s="34" t="s">
        <v>231</v>
      </c>
      <c r="C273" s="61" t="s">
        <v>233</v>
      </c>
      <c r="D273" s="61" t="s">
        <v>2221</v>
      </c>
      <c r="E273" s="61" t="s">
        <v>2222</v>
      </c>
      <c r="F273" s="62"/>
      <c r="G273" s="63">
        <v>400</v>
      </c>
      <c r="K273" s="58">
        <f t="shared" si="16"/>
        <v>400</v>
      </c>
      <c r="L273" s="64">
        <v>1</v>
      </c>
      <c r="M273" s="65">
        <f t="shared" si="17"/>
        <v>400</v>
      </c>
      <c r="N273" s="65">
        <f t="shared" si="18"/>
        <v>460</v>
      </c>
      <c r="O273" s="34" t="s">
        <v>2369</v>
      </c>
    </row>
    <row r="274" spans="1:15">
      <c r="A274" s="17" t="s">
        <v>1723</v>
      </c>
      <c r="B274" s="34" t="s">
        <v>231</v>
      </c>
      <c r="C274" s="61" t="s">
        <v>233</v>
      </c>
      <c r="D274" s="61" t="s">
        <v>2221</v>
      </c>
      <c r="E274" s="61" t="s">
        <v>2222</v>
      </c>
      <c r="F274" s="62"/>
      <c r="G274" s="63">
        <v>252</v>
      </c>
      <c r="H274" s="63">
        <v>30900</v>
      </c>
      <c r="K274" s="58">
        <f t="shared" si="16"/>
        <v>31152</v>
      </c>
      <c r="L274" s="64">
        <v>1</v>
      </c>
      <c r="M274" s="65">
        <f t="shared" si="17"/>
        <v>31152</v>
      </c>
      <c r="N274" s="65">
        <f t="shared" si="18"/>
        <v>35824.800000000003</v>
      </c>
      <c r="O274" s="34" t="s">
        <v>2369</v>
      </c>
    </row>
    <row r="275" spans="1:15">
      <c r="A275" s="17" t="s">
        <v>1473</v>
      </c>
      <c r="B275" s="34" t="s">
        <v>1505</v>
      </c>
      <c r="C275" s="61" t="s">
        <v>1507</v>
      </c>
      <c r="D275" s="61" t="s">
        <v>2060</v>
      </c>
      <c r="E275" s="61" t="s">
        <v>2061</v>
      </c>
      <c r="F275" s="62"/>
      <c r="G275" s="63">
        <v>13622.5</v>
      </c>
      <c r="I275" s="63">
        <v>682.245</v>
      </c>
      <c r="K275" s="58">
        <f t="shared" si="16"/>
        <v>14304.745000000001</v>
      </c>
      <c r="L275" s="64">
        <v>1</v>
      </c>
      <c r="M275" s="65">
        <f t="shared" si="17"/>
        <v>14304.745000000001</v>
      </c>
      <c r="N275" s="65">
        <f t="shared" si="18"/>
        <v>16450.456750000001</v>
      </c>
      <c r="O275" s="34" t="s">
        <v>2369</v>
      </c>
    </row>
    <row r="276" spans="1:15">
      <c r="A276" s="17" t="s">
        <v>1473</v>
      </c>
      <c r="B276" s="34" t="s">
        <v>1709</v>
      </c>
      <c r="C276" s="61" t="s">
        <v>1711</v>
      </c>
      <c r="D276" s="61" t="s">
        <v>2217</v>
      </c>
      <c r="E276" s="61" t="s">
        <v>2218</v>
      </c>
      <c r="F276" s="62"/>
      <c r="G276" s="63">
        <v>27583.439999999999</v>
      </c>
      <c r="K276" s="58">
        <f t="shared" si="16"/>
        <v>27583.439999999999</v>
      </c>
      <c r="L276" s="64">
        <v>1</v>
      </c>
      <c r="M276" s="65">
        <f t="shared" si="17"/>
        <v>27583.439999999999</v>
      </c>
      <c r="N276" s="65">
        <f t="shared" si="18"/>
        <v>31720.955999999998</v>
      </c>
      <c r="O276" s="34" t="s">
        <v>2369</v>
      </c>
    </row>
    <row r="277" spans="1:15">
      <c r="A277" s="17" t="s">
        <v>1715</v>
      </c>
      <c r="B277" s="34" t="s">
        <v>267</v>
      </c>
      <c r="C277" s="61" t="s">
        <v>269</v>
      </c>
      <c r="D277" s="61" t="s">
        <v>2321</v>
      </c>
      <c r="E277" s="61" t="s">
        <v>2322</v>
      </c>
      <c r="F277" s="62"/>
      <c r="H277" s="63">
        <v>1000.67</v>
      </c>
      <c r="K277" s="58">
        <f t="shared" si="16"/>
        <v>1000.67</v>
      </c>
      <c r="L277" s="64">
        <v>1</v>
      </c>
      <c r="M277" s="65">
        <f t="shared" si="17"/>
        <v>1000.67</v>
      </c>
      <c r="N277" s="65">
        <f t="shared" si="18"/>
        <v>1150.7704999999999</v>
      </c>
      <c r="O277" s="34" t="s">
        <v>2369</v>
      </c>
    </row>
    <row r="278" spans="1:15">
      <c r="A278" s="17" t="s">
        <v>1723</v>
      </c>
      <c r="B278" s="34" t="s">
        <v>267</v>
      </c>
      <c r="C278" s="61" t="s">
        <v>269</v>
      </c>
      <c r="D278" s="61" t="s">
        <v>2321</v>
      </c>
      <c r="E278" s="61" t="s">
        <v>2322</v>
      </c>
      <c r="F278" s="62"/>
      <c r="H278" s="63">
        <v>6498.79</v>
      </c>
      <c r="K278" s="58">
        <f t="shared" si="16"/>
        <v>6498.79</v>
      </c>
      <c r="L278" s="64">
        <v>1</v>
      </c>
      <c r="M278" s="65">
        <f t="shared" si="17"/>
        <v>6498.79</v>
      </c>
      <c r="N278" s="65">
        <f t="shared" si="18"/>
        <v>7473.6085000000003</v>
      </c>
      <c r="O278" s="34" t="s">
        <v>2369</v>
      </c>
    </row>
    <row r="279" spans="1:15">
      <c r="A279" s="17" t="s">
        <v>1473</v>
      </c>
      <c r="B279" s="34" t="s">
        <v>1694</v>
      </c>
      <c r="C279" s="61" t="s">
        <v>1696</v>
      </c>
      <c r="D279" s="61" t="s">
        <v>2203</v>
      </c>
      <c r="E279" s="61" t="s">
        <v>2204</v>
      </c>
      <c r="F279" s="62"/>
      <c r="G279" s="63">
        <v>8407.36</v>
      </c>
      <c r="K279" s="58">
        <f t="shared" si="16"/>
        <v>8407.36</v>
      </c>
      <c r="L279" s="64">
        <v>1</v>
      </c>
      <c r="M279" s="65">
        <f t="shared" si="17"/>
        <v>8407.36</v>
      </c>
      <c r="N279" s="65">
        <f t="shared" si="18"/>
        <v>9668.4639999999999</v>
      </c>
      <c r="O279" s="34" t="s">
        <v>2369</v>
      </c>
    </row>
    <row r="280" spans="1:15">
      <c r="A280" s="17" t="s">
        <v>1473</v>
      </c>
      <c r="B280" s="34" t="s">
        <v>1541</v>
      </c>
      <c r="C280" s="61" t="s">
        <v>1543</v>
      </c>
      <c r="D280" s="61" t="s">
        <v>2090</v>
      </c>
      <c r="E280" s="61" t="s">
        <v>2091</v>
      </c>
      <c r="F280" s="62"/>
      <c r="G280" s="63">
        <v>760</v>
      </c>
      <c r="I280" s="63">
        <v>467.09500000000003</v>
      </c>
      <c r="K280" s="58">
        <f t="shared" si="16"/>
        <v>1227.095</v>
      </c>
      <c r="L280" s="64">
        <v>1</v>
      </c>
      <c r="M280" s="65">
        <f t="shared" si="17"/>
        <v>1227.095</v>
      </c>
      <c r="N280" s="65">
        <f t="shared" si="18"/>
        <v>1411.1592499999999</v>
      </c>
      <c r="O280" s="34" t="s">
        <v>2369</v>
      </c>
    </row>
    <row r="281" spans="1:15">
      <c r="A281" s="17" t="s">
        <v>1473</v>
      </c>
      <c r="B281" s="34" t="s">
        <v>192</v>
      </c>
      <c r="C281" s="61" t="s">
        <v>194</v>
      </c>
      <c r="D281" s="61" t="s">
        <v>2052</v>
      </c>
      <c r="E281" s="61" t="s">
        <v>2053</v>
      </c>
      <c r="F281" s="62"/>
      <c r="I281" s="63">
        <v>211.76</v>
      </c>
      <c r="K281" s="58">
        <f t="shared" si="16"/>
        <v>211.76</v>
      </c>
      <c r="L281" s="64">
        <v>1</v>
      </c>
      <c r="M281" s="65">
        <f t="shared" si="17"/>
        <v>211.76</v>
      </c>
      <c r="N281" s="65">
        <f t="shared" si="18"/>
        <v>243.524</v>
      </c>
      <c r="O281" s="34" t="s">
        <v>2370</v>
      </c>
    </row>
    <row r="282" spans="1:15">
      <c r="A282" s="17" t="s">
        <v>1715</v>
      </c>
      <c r="B282" s="34" t="s">
        <v>192</v>
      </c>
      <c r="C282" s="61" t="s">
        <v>194</v>
      </c>
      <c r="D282" s="61" t="s">
        <v>2052</v>
      </c>
      <c r="E282" s="61" t="s">
        <v>2053</v>
      </c>
      <c r="F282" s="62"/>
      <c r="G282" s="63">
        <v>520</v>
      </c>
      <c r="H282" s="63">
        <v>382.13</v>
      </c>
      <c r="I282" s="63">
        <v>3143.0749999999998</v>
      </c>
      <c r="J282" s="63">
        <v>1196.6600000000001</v>
      </c>
      <c r="K282" s="58">
        <f t="shared" si="16"/>
        <v>5241.8649999999998</v>
      </c>
      <c r="L282" s="64">
        <v>1</v>
      </c>
      <c r="M282" s="65">
        <f t="shared" si="17"/>
        <v>5241.8649999999998</v>
      </c>
      <c r="N282" s="65">
        <f t="shared" si="18"/>
        <v>6028.1447499999995</v>
      </c>
      <c r="O282" s="34" t="s">
        <v>2370</v>
      </c>
    </row>
    <row r="283" spans="1:15">
      <c r="A283" s="17" t="s">
        <v>1723</v>
      </c>
      <c r="B283" s="34" t="s">
        <v>192</v>
      </c>
      <c r="C283" s="61" t="s">
        <v>194</v>
      </c>
      <c r="D283" s="61" t="s">
        <v>2052</v>
      </c>
      <c r="E283" s="61" t="s">
        <v>2053</v>
      </c>
      <c r="F283" s="62"/>
      <c r="G283" s="63">
        <v>200</v>
      </c>
      <c r="H283" s="63">
        <v>1437.67</v>
      </c>
      <c r="K283" s="58">
        <f t="shared" si="16"/>
        <v>1637.67</v>
      </c>
      <c r="L283" s="64">
        <v>1</v>
      </c>
      <c r="M283" s="65">
        <f t="shared" si="17"/>
        <v>1637.67</v>
      </c>
      <c r="N283" s="65">
        <f t="shared" si="18"/>
        <v>1883.3205</v>
      </c>
      <c r="O283" s="34" t="s">
        <v>2370</v>
      </c>
    </row>
    <row r="284" spans="1:15">
      <c r="A284" s="17" t="s">
        <v>1715</v>
      </c>
      <c r="B284" s="34" t="s">
        <v>385</v>
      </c>
      <c r="C284" s="61" t="s">
        <v>387</v>
      </c>
      <c r="D284" s="61" t="s">
        <v>2313</v>
      </c>
      <c r="E284" s="61" t="s">
        <v>2314</v>
      </c>
      <c r="F284" s="62"/>
      <c r="I284" s="63">
        <v>53.22</v>
      </c>
      <c r="K284" s="58">
        <f t="shared" si="16"/>
        <v>53.22</v>
      </c>
      <c r="L284" s="64">
        <v>0.22</v>
      </c>
      <c r="M284" s="65">
        <f t="shared" si="17"/>
        <v>11.708399999999999</v>
      </c>
      <c r="N284" s="65">
        <f t="shared" si="18"/>
        <v>13.464659999999999</v>
      </c>
      <c r="O284" s="34" t="s">
        <v>2369</v>
      </c>
    </row>
    <row r="285" spans="1:15">
      <c r="A285" s="17" t="s">
        <v>1723</v>
      </c>
      <c r="B285" s="34" t="s">
        <v>385</v>
      </c>
      <c r="C285" s="61" t="s">
        <v>387</v>
      </c>
      <c r="D285" s="61" t="s">
        <v>2313</v>
      </c>
      <c r="E285" s="61" t="s">
        <v>2314</v>
      </c>
      <c r="F285" s="62"/>
      <c r="G285" s="63">
        <v>538.35</v>
      </c>
      <c r="K285" s="58">
        <f t="shared" si="16"/>
        <v>538.35</v>
      </c>
      <c r="L285" s="64">
        <v>0.22</v>
      </c>
      <c r="M285" s="65">
        <f t="shared" si="17"/>
        <v>118.43700000000001</v>
      </c>
      <c r="N285" s="65">
        <f t="shared" si="18"/>
        <v>136.20255</v>
      </c>
      <c r="O285" s="34" t="s">
        <v>2369</v>
      </c>
    </row>
    <row r="286" spans="1:15">
      <c r="A286" s="17" t="s">
        <v>1723</v>
      </c>
      <c r="B286" s="34" t="s">
        <v>309</v>
      </c>
      <c r="C286" s="61" t="s">
        <v>311</v>
      </c>
      <c r="D286" s="61" t="s">
        <v>2365</v>
      </c>
      <c r="E286" s="61" t="s">
        <v>2366</v>
      </c>
      <c r="F286" s="62"/>
      <c r="H286" s="63">
        <v>600</v>
      </c>
      <c r="K286" s="58">
        <f t="shared" si="16"/>
        <v>600</v>
      </c>
      <c r="L286" s="64">
        <v>1</v>
      </c>
      <c r="M286" s="65">
        <f t="shared" si="17"/>
        <v>600</v>
      </c>
      <c r="N286" s="65">
        <f t="shared" si="18"/>
        <v>690</v>
      </c>
      <c r="O286" s="34" t="s">
        <v>2371</v>
      </c>
    </row>
    <row r="287" spans="1:15">
      <c r="A287" s="17" t="s">
        <v>1473</v>
      </c>
      <c r="B287" s="34" t="s">
        <v>678</v>
      </c>
      <c r="C287" s="61" t="s">
        <v>680</v>
      </c>
      <c r="D287" s="61" t="s">
        <v>2213</v>
      </c>
      <c r="E287" s="61" t="s">
        <v>2214</v>
      </c>
      <c r="F287" s="62"/>
      <c r="G287" s="63">
        <v>3150</v>
      </c>
      <c r="K287" s="58">
        <f t="shared" si="16"/>
        <v>3150</v>
      </c>
      <c r="L287" s="64">
        <v>1</v>
      </c>
      <c r="M287" s="65">
        <f t="shared" si="17"/>
        <v>3150</v>
      </c>
      <c r="N287" s="65">
        <f t="shared" si="18"/>
        <v>3622.5</v>
      </c>
      <c r="O287" s="34" t="s">
        <v>2369</v>
      </c>
    </row>
    <row r="288" spans="1:15">
      <c r="A288" s="17" t="s">
        <v>1715</v>
      </c>
      <c r="B288" s="34" t="s">
        <v>270</v>
      </c>
      <c r="C288" s="61" t="s">
        <v>272</v>
      </c>
      <c r="D288" s="61" t="s">
        <v>2295</v>
      </c>
      <c r="E288" s="61" t="s">
        <v>2296</v>
      </c>
      <c r="F288" s="62"/>
      <c r="I288" s="63">
        <v>1198.8900000000001</v>
      </c>
      <c r="J288" s="63">
        <v>273.73</v>
      </c>
      <c r="K288" s="58">
        <f t="shared" si="16"/>
        <v>1472.6200000000001</v>
      </c>
      <c r="L288" s="64">
        <v>1</v>
      </c>
      <c r="M288" s="65">
        <f t="shared" si="17"/>
        <v>1472.6200000000001</v>
      </c>
      <c r="N288" s="65">
        <f t="shared" si="18"/>
        <v>1693.5130000000001</v>
      </c>
      <c r="O288" s="34" t="s">
        <v>2369</v>
      </c>
    </row>
    <row r="289" spans="1:15">
      <c r="A289" s="17" t="s">
        <v>1097</v>
      </c>
      <c r="B289" s="34" t="s">
        <v>60</v>
      </c>
      <c r="C289" s="61" t="s">
        <v>62</v>
      </c>
      <c r="D289" s="61" t="s">
        <v>1933</v>
      </c>
      <c r="E289" s="61" t="s">
        <v>1934</v>
      </c>
      <c r="F289" s="62"/>
      <c r="G289" s="63">
        <v>69501.22</v>
      </c>
      <c r="H289" s="63">
        <v>88269.95</v>
      </c>
      <c r="K289" s="58">
        <f t="shared" si="16"/>
        <v>157771.16999999998</v>
      </c>
      <c r="L289" s="64">
        <v>1</v>
      </c>
      <c r="M289" s="65">
        <f t="shared" si="17"/>
        <v>157771.16999999998</v>
      </c>
      <c r="N289" s="65">
        <f t="shared" si="18"/>
        <v>181436.8455</v>
      </c>
      <c r="O289" s="34" t="s">
        <v>2371</v>
      </c>
    </row>
    <row r="290" spans="1:15">
      <c r="A290" s="17" t="s">
        <v>1715</v>
      </c>
      <c r="B290" s="34" t="s">
        <v>60</v>
      </c>
      <c r="C290" s="61" t="s">
        <v>62</v>
      </c>
      <c r="D290" s="61" t="s">
        <v>1933</v>
      </c>
      <c r="E290" s="61" t="s">
        <v>1934</v>
      </c>
      <c r="F290" s="62"/>
      <c r="G290" s="63">
        <v>45550.93</v>
      </c>
      <c r="I290" s="63">
        <v>35179.885000000002</v>
      </c>
      <c r="K290" s="58">
        <f t="shared" si="16"/>
        <v>80730.815000000002</v>
      </c>
      <c r="L290" s="64">
        <v>1</v>
      </c>
      <c r="M290" s="65">
        <f t="shared" si="17"/>
        <v>80730.815000000002</v>
      </c>
      <c r="N290" s="65">
        <f t="shared" si="18"/>
        <v>92840.437250000003</v>
      </c>
      <c r="O290" s="34" t="s">
        <v>2371</v>
      </c>
    </row>
    <row r="291" spans="1:15">
      <c r="A291" s="17" t="s">
        <v>1723</v>
      </c>
      <c r="B291" s="34" t="s">
        <v>60</v>
      </c>
      <c r="C291" s="61" t="s">
        <v>62</v>
      </c>
      <c r="D291" s="61" t="s">
        <v>1933</v>
      </c>
      <c r="E291" s="61" t="s">
        <v>1934</v>
      </c>
      <c r="F291" s="62"/>
      <c r="G291" s="63">
        <v>795004.16</v>
      </c>
      <c r="H291" s="63">
        <v>423893.69</v>
      </c>
      <c r="K291" s="58">
        <f t="shared" si="16"/>
        <v>1218897.8500000001</v>
      </c>
      <c r="L291" s="64">
        <v>1</v>
      </c>
      <c r="M291" s="65">
        <f t="shared" si="17"/>
        <v>1218897.8500000001</v>
      </c>
      <c r="N291" s="65">
        <f t="shared" si="18"/>
        <v>1401732.5275000001</v>
      </c>
      <c r="O291" s="34" t="s">
        <v>2371</v>
      </c>
    </row>
    <row r="292" spans="1:15">
      <c r="A292" s="17" t="s">
        <v>1883</v>
      </c>
      <c r="B292" s="34" t="s">
        <v>60</v>
      </c>
      <c r="C292" s="61" t="s">
        <v>62</v>
      </c>
      <c r="D292" s="61" t="s">
        <v>1933</v>
      </c>
      <c r="E292" s="61" t="s">
        <v>1934</v>
      </c>
      <c r="F292" s="62"/>
      <c r="G292" s="63">
        <v>66847.47</v>
      </c>
      <c r="H292" s="63">
        <v>626082.14</v>
      </c>
      <c r="K292" s="58">
        <f t="shared" si="16"/>
        <v>692929.61</v>
      </c>
      <c r="L292" s="64">
        <v>1</v>
      </c>
      <c r="M292" s="65">
        <f t="shared" si="17"/>
        <v>692929.61</v>
      </c>
      <c r="N292" s="65">
        <f t="shared" si="18"/>
        <v>796869.05149999994</v>
      </c>
      <c r="O292" s="34" t="s">
        <v>2371</v>
      </c>
    </row>
    <row r="293" spans="1:15">
      <c r="A293" s="17" t="s">
        <v>1885</v>
      </c>
      <c r="B293" s="34" t="s">
        <v>60</v>
      </c>
      <c r="C293" s="61" t="s">
        <v>62</v>
      </c>
      <c r="D293" s="61" t="s">
        <v>1933</v>
      </c>
      <c r="E293" s="61" t="s">
        <v>1934</v>
      </c>
      <c r="F293" s="62"/>
      <c r="I293" s="63">
        <v>4161.6000000000004</v>
      </c>
      <c r="K293" s="58">
        <f t="shared" si="16"/>
        <v>4161.6000000000004</v>
      </c>
      <c r="L293" s="64">
        <v>1</v>
      </c>
      <c r="M293" s="65">
        <f t="shared" si="17"/>
        <v>4161.6000000000004</v>
      </c>
      <c r="N293" s="65">
        <f t="shared" si="18"/>
        <v>4785.84</v>
      </c>
      <c r="O293" s="34" t="s">
        <v>2371</v>
      </c>
    </row>
    <row r="294" spans="1:15">
      <c r="A294" s="17" t="s">
        <v>1473</v>
      </c>
      <c r="B294" s="34" t="s">
        <v>1589</v>
      </c>
      <c r="C294" s="61" t="s">
        <v>1591</v>
      </c>
      <c r="D294" s="61" t="s">
        <v>2128</v>
      </c>
      <c r="E294" s="61" t="s">
        <v>2129</v>
      </c>
      <c r="F294" s="62"/>
      <c r="I294" s="63">
        <v>556.79999999999995</v>
      </c>
      <c r="K294" s="58">
        <f t="shared" si="16"/>
        <v>556.79999999999995</v>
      </c>
      <c r="L294" s="64">
        <v>1</v>
      </c>
      <c r="M294" s="65">
        <f t="shared" si="17"/>
        <v>556.79999999999995</v>
      </c>
      <c r="N294" s="65">
        <f t="shared" si="18"/>
        <v>640.31999999999994</v>
      </c>
      <c r="O294" s="34" t="s">
        <v>2369</v>
      </c>
    </row>
    <row r="295" spans="1:15">
      <c r="A295" s="17" t="s">
        <v>1473</v>
      </c>
      <c r="B295" s="34" t="s">
        <v>1667</v>
      </c>
      <c r="C295" s="61" t="s">
        <v>1669</v>
      </c>
      <c r="D295" s="61" t="s">
        <v>2185</v>
      </c>
      <c r="E295" s="61" t="s">
        <v>2186</v>
      </c>
      <c r="F295" s="62"/>
      <c r="I295" s="63">
        <v>439.17</v>
      </c>
      <c r="K295" s="58">
        <f t="shared" si="16"/>
        <v>439.17</v>
      </c>
      <c r="L295" s="64">
        <v>1</v>
      </c>
      <c r="M295" s="65">
        <f t="shared" si="17"/>
        <v>439.17</v>
      </c>
      <c r="N295" s="65">
        <f t="shared" si="18"/>
        <v>505.0455</v>
      </c>
      <c r="O295" s="34" t="s">
        <v>2369</v>
      </c>
    </row>
    <row r="296" spans="1:15">
      <c r="A296" s="17" t="s">
        <v>1473</v>
      </c>
      <c r="B296" s="34" t="s">
        <v>1535</v>
      </c>
      <c r="C296" s="61" t="s">
        <v>1537</v>
      </c>
      <c r="D296" s="61" t="s">
        <v>2086</v>
      </c>
      <c r="E296" s="61" t="s">
        <v>2087</v>
      </c>
      <c r="F296" s="62"/>
      <c r="G296" s="63">
        <v>11049.5</v>
      </c>
      <c r="I296" s="63">
        <v>374.70499999999998</v>
      </c>
      <c r="K296" s="58">
        <f t="shared" si="16"/>
        <v>11424.205</v>
      </c>
      <c r="L296" s="64">
        <v>1</v>
      </c>
      <c r="M296" s="65">
        <f t="shared" si="17"/>
        <v>11424.205</v>
      </c>
      <c r="N296" s="65">
        <f t="shared" si="18"/>
        <v>13137.83575</v>
      </c>
      <c r="O296" s="34" t="s">
        <v>2369</v>
      </c>
    </row>
    <row r="297" spans="1:15">
      <c r="A297" s="17" t="s">
        <v>1715</v>
      </c>
      <c r="B297" s="34" t="s">
        <v>252</v>
      </c>
      <c r="C297" s="61" t="s">
        <v>254</v>
      </c>
      <c r="D297" s="61" t="s">
        <v>1942</v>
      </c>
      <c r="E297" s="61" t="s">
        <v>2263</v>
      </c>
      <c r="F297" s="62"/>
      <c r="G297" s="63">
        <v>0</v>
      </c>
      <c r="I297" s="63">
        <v>9741.56</v>
      </c>
      <c r="J297" s="63">
        <v>2431.0500000000002</v>
      </c>
      <c r="K297" s="58">
        <f t="shared" si="16"/>
        <v>12172.61</v>
      </c>
      <c r="L297" s="64">
        <v>1</v>
      </c>
      <c r="M297" s="65">
        <f t="shared" si="17"/>
        <v>12172.61</v>
      </c>
      <c r="N297" s="65">
        <f t="shared" si="18"/>
        <v>13998.5015</v>
      </c>
      <c r="O297" s="34" t="s">
        <v>2370</v>
      </c>
    </row>
    <row r="298" spans="1:15">
      <c r="A298" s="17" t="s">
        <v>1723</v>
      </c>
      <c r="B298" s="34" t="s">
        <v>252</v>
      </c>
      <c r="C298" s="61" t="s">
        <v>254</v>
      </c>
      <c r="D298" s="61" t="s">
        <v>1942</v>
      </c>
      <c r="E298" s="61" t="s">
        <v>2263</v>
      </c>
      <c r="F298" s="62"/>
      <c r="G298" s="63">
        <v>9813.09</v>
      </c>
      <c r="H298" s="63">
        <v>10239.23</v>
      </c>
      <c r="K298" s="58">
        <f t="shared" si="16"/>
        <v>20052.32</v>
      </c>
      <c r="L298" s="64">
        <v>1</v>
      </c>
      <c r="M298" s="65">
        <f t="shared" si="17"/>
        <v>20052.32</v>
      </c>
      <c r="N298" s="65">
        <f t="shared" si="18"/>
        <v>23060.167999999998</v>
      </c>
      <c r="O298" s="34" t="s">
        <v>2370</v>
      </c>
    </row>
    <row r="299" spans="1:15">
      <c r="A299" s="17" t="s">
        <v>1473</v>
      </c>
      <c r="B299" s="34" t="s">
        <v>492</v>
      </c>
      <c r="C299" s="61" t="s">
        <v>494</v>
      </c>
      <c r="D299" s="61" t="s">
        <v>2084</v>
      </c>
      <c r="E299" s="61" t="s">
        <v>2085</v>
      </c>
      <c r="F299" s="62"/>
      <c r="I299" s="63">
        <v>385.28</v>
      </c>
      <c r="K299" s="58">
        <f t="shared" si="16"/>
        <v>385.28</v>
      </c>
      <c r="L299" s="64">
        <v>1</v>
      </c>
      <c r="M299" s="65">
        <f t="shared" si="17"/>
        <v>385.28</v>
      </c>
      <c r="N299" s="65">
        <f t="shared" si="18"/>
        <v>443.07199999999995</v>
      </c>
      <c r="O299" s="34" t="s">
        <v>2372</v>
      </c>
    </row>
    <row r="300" spans="1:15">
      <c r="A300" s="17" t="s">
        <v>1715</v>
      </c>
      <c r="B300" s="34" t="s">
        <v>492</v>
      </c>
      <c r="C300" s="61" t="s">
        <v>494</v>
      </c>
      <c r="D300" s="61" t="s">
        <v>2084</v>
      </c>
      <c r="E300" s="61" t="s">
        <v>2085</v>
      </c>
      <c r="F300" s="62"/>
      <c r="G300" s="63">
        <v>262</v>
      </c>
      <c r="H300" s="63">
        <v>8621.39</v>
      </c>
      <c r="I300" s="63">
        <v>23718.33</v>
      </c>
      <c r="K300" s="58">
        <f t="shared" si="16"/>
        <v>32601.72</v>
      </c>
      <c r="L300" s="64">
        <v>1</v>
      </c>
      <c r="M300" s="65">
        <f t="shared" si="17"/>
        <v>32601.72</v>
      </c>
      <c r="N300" s="65">
        <f t="shared" si="18"/>
        <v>37491.978000000003</v>
      </c>
      <c r="O300" s="34" t="s">
        <v>2372</v>
      </c>
    </row>
    <row r="301" spans="1:15">
      <c r="A301" s="17" t="s">
        <v>1723</v>
      </c>
      <c r="B301" s="34" t="s">
        <v>492</v>
      </c>
      <c r="C301" s="61" t="s">
        <v>494</v>
      </c>
      <c r="D301" s="61" t="s">
        <v>2084</v>
      </c>
      <c r="E301" s="61" t="s">
        <v>2085</v>
      </c>
      <c r="F301" s="62"/>
      <c r="G301" s="63">
        <v>237.55</v>
      </c>
      <c r="H301" s="63">
        <v>69741.820000000007</v>
      </c>
      <c r="K301" s="58">
        <f t="shared" si="16"/>
        <v>69979.37000000001</v>
      </c>
      <c r="L301" s="64">
        <v>1</v>
      </c>
      <c r="M301" s="65">
        <f t="shared" si="17"/>
        <v>69979.37000000001</v>
      </c>
      <c r="N301" s="65">
        <f t="shared" si="18"/>
        <v>80476.275500000018</v>
      </c>
      <c r="O301" s="34" t="s">
        <v>2372</v>
      </c>
    </row>
    <row r="302" spans="1:15">
      <c r="A302" s="17" t="s">
        <v>1473</v>
      </c>
      <c r="B302" s="34" t="s">
        <v>1673</v>
      </c>
      <c r="C302" s="61" t="s">
        <v>1675</v>
      </c>
      <c r="D302" s="61" t="s">
        <v>2189</v>
      </c>
      <c r="E302" s="61" t="s">
        <v>2190</v>
      </c>
      <c r="F302" s="62"/>
      <c r="G302" s="63">
        <v>5089.5</v>
      </c>
      <c r="K302" s="58">
        <f t="shared" si="16"/>
        <v>5089.5</v>
      </c>
      <c r="L302" s="64">
        <v>1</v>
      </c>
      <c r="M302" s="65">
        <f t="shared" si="17"/>
        <v>5089.5</v>
      </c>
      <c r="N302" s="65">
        <f t="shared" si="18"/>
        <v>5852.9250000000002</v>
      </c>
      <c r="O302" s="34" t="s">
        <v>2369</v>
      </c>
    </row>
    <row r="303" spans="1:15">
      <c r="A303" s="17" t="s">
        <v>1473</v>
      </c>
      <c r="B303" s="34" t="s">
        <v>1634</v>
      </c>
      <c r="C303" s="61" t="s">
        <v>1636</v>
      </c>
      <c r="D303" s="61" t="s">
        <v>2163</v>
      </c>
      <c r="E303" s="61" t="s">
        <v>2164</v>
      </c>
      <c r="F303" s="62"/>
      <c r="G303" s="63">
        <v>1060</v>
      </c>
      <c r="I303" s="63">
        <v>1767.655</v>
      </c>
      <c r="K303" s="58">
        <f t="shared" ref="K303:K347" si="19">SUM(G303:J303)</f>
        <v>2827.6549999999997</v>
      </c>
      <c r="L303" s="64">
        <v>1</v>
      </c>
      <c r="M303" s="65">
        <f t="shared" ref="M303:M347" si="20">+K303*L303</f>
        <v>2827.6549999999997</v>
      </c>
      <c r="N303" s="65">
        <f t="shared" ref="N303:N347" si="21">+M303+(+M303*$N$1)</f>
        <v>3251.8032499999999</v>
      </c>
      <c r="O303" s="34" t="s">
        <v>2369</v>
      </c>
    </row>
    <row r="304" spans="1:15">
      <c r="A304" s="17" t="s">
        <v>1473</v>
      </c>
      <c r="B304" s="34" t="s">
        <v>1712</v>
      </c>
      <c r="C304" s="61" t="s">
        <v>1714</v>
      </c>
      <c r="D304" s="61" t="s">
        <v>2219</v>
      </c>
      <c r="E304" s="61" t="s">
        <v>2220</v>
      </c>
      <c r="F304" s="62"/>
      <c r="I304" s="63">
        <v>732.94</v>
      </c>
      <c r="K304" s="58">
        <f t="shared" si="19"/>
        <v>732.94</v>
      </c>
      <c r="L304" s="64">
        <v>1</v>
      </c>
      <c r="M304" s="65">
        <f t="shared" si="20"/>
        <v>732.94</v>
      </c>
      <c r="N304" s="65">
        <f t="shared" si="21"/>
        <v>842.88100000000009</v>
      </c>
      <c r="O304" s="34" t="s">
        <v>2369</v>
      </c>
    </row>
    <row r="305" spans="1:15">
      <c r="A305" s="17" t="s">
        <v>1715</v>
      </c>
      <c r="B305" s="34" t="s">
        <v>729</v>
      </c>
      <c r="C305" s="61" t="s">
        <v>731</v>
      </c>
      <c r="D305" s="61" t="s">
        <v>2325</v>
      </c>
      <c r="E305" s="61" t="s">
        <v>2326</v>
      </c>
      <c r="F305" s="62"/>
      <c r="I305" s="63">
        <v>1152.78</v>
      </c>
      <c r="K305" s="58">
        <f t="shared" si="19"/>
        <v>1152.78</v>
      </c>
      <c r="L305" s="64">
        <v>1</v>
      </c>
      <c r="M305" s="65">
        <f t="shared" si="20"/>
        <v>1152.78</v>
      </c>
      <c r="N305" s="65">
        <f t="shared" si="21"/>
        <v>1325.6969999999999</v>
      </c>
      <c r="O305" s="34" t="s">
        <v>2370</v>
      </c>
    </row>
    <row r="306" spans="1:15">
      <c r="A306" s="17" t="s">
        <v>1723</v>
      </c>
      <c r="B306" s="34" t="s">
        <v>729</v>
      </c>
      <c r="C306" s="61" t="s">
        <v>731</v>
      </c>
      <c r="D306" s="61" t="s">
        <v>2325</v>
      </c>
      <c r="E306" s="61" t="s">
        <v>2326</v>
      </c>
      <c r="F306" s="62"/>
      <c r="G306" s="63">
        <v>0</v>
      </c>
      <c r="H306" s="63">
        <v>1953.59</v>
      </c>
      <c r="K306" s="58">
        <f t="shared" si="19"/>
        <v>1953.59</v>
      </c>
      <c r="L306" s="64">
        <v>1</v>
      </c>
      <c r="M306" s="65">
        <f t="shared" si="20"/>
        <v>1953.59</v>
      </c>
      <c r="N306" s="65">
        <f t="shared" si="21"/>
        <v>2246.6284999999998</v>
      </c>
      <c r="O306" s="34" t="s">
        <v>2370</v>
      </c>
    </row>
    <row r="307" spans="1:15">
      <c r="A307" s="17" t="s">
        <v>1097</v>
      </c>
      <c r="B307" s="34" t="s">
        <v>594</v>
      </c>
      <c r="C307" s="61" t="s">
        <v>596</v>
      </c>
      <c r="D307" s="61" t="s">
        <v>1955</v>
      </c>
      <c r="E307" s="61" t="s">
        <v>1956</v>
      </c>
      <c r="F307" s="62"/>
      <c r="G307" s="63">
        <v>139884.32</v>
      </c>
      <c r="K307" s="58">
        <f t="shared" si="19"/>
        <v>139884.32</v>
      </c>
      <c r="L307" s="64">
        <v>1</v>
      </c>
      <c r="M307" s="65">
        <f t="shared" si="20"/>
        <v>139884.32</v>
      </c>
      <c r="N307" s="65">
        <f t="shared" si="21"/>
        <v>160866.96799999999</v>
      </c>
      <c r="O307" s="34" t="s">
        <v>2371</v>
      </c>
    </row>
    <row r="308" spans="1:15">
      <c r="A308" s="17" t="s">
        <v>1715</v>
      </c>
      <c r="B308" s="34" t="s">
        <v>594</v>
      </c>
      <c r="C308" s="61" t="s">
        <v>596</v>
      </c>
      <c r="D308" s="61" t="s">
        <v>1955</v>
      </c>
      <c r="E308" s="61" t="s">
        <v>1956</v>
      </c>
      <c r="F308" s="62"/>
      <c r="I308" s="63">
        <v>353.12</v>
      </c>
      <c r="K308" s="58">
        <f t="shared" si="19"/>
        <v>353.12</v>
      </c>
      <c r="L308" s="64">
        <v>1</v>
      </c>
      <c r="M308" s="65">
        <f t="shared" si="20"/>
        <v>353.12</v>
      </c>
      <c r="N308" s="65">
        <f t="shared" si="21"/>
        <v>406.08800000000002</v>
      </c>
      <c r="O308" s="34" t="s">
        <v>2371</v>
      </c>
    </row>
    <row r="309" spans="1:15">
      <c r="A309" s="17" t="s">
        <v>1473</v>
      </c>
      <c r="B309" s="34" t="s">
        <v>1619</v>
      </c>
      <c r="C309" s="61" t="s">
        <v>1621</v>
      </c>
      <c r="D309" s="61" t="s">
        <v>2150</v>
      </c>
      <c r="E309" s="61" t="s">
        <v>2151</v>
      </c>
      <c r="F309" s="62"/>
      <c r="G309" s="63">
        <v>19738.68</v>
      </c>
      <c r="K309" s="58">
        <f t="shared" si="19"/>
        <v>19738.68</v>
      </c>
      <c r="L309" s="64">
        <v>1</v>
      </c>
      <c r="M309" s="65">
        <f t="shared" si="20"/>
        <v>19738.68</v>
      </c>
      <c r="N309" s="65">
        <f t="shared" si="21"/>
        <v>22699.482</v>
      </c>
      <c r="O309" s="34" t="s">
        <v>2369</v>
      </c>
    </row>
    <row r="310" spans="1:15">
      <c r="A310" s="17" t="s">
        <v>1715</v>
      </c>
      <c r="B310" s="34" t="s">
        <v>333</v>
      </c>
      <c r="C310" s="61" t="s">
        <v>335</v>
      </c>
      <c r="D310" s="61" t="s">
        <v>2290</v>
      </c>
      <c r="E310" s="61" t="s">
        <v>2291</v>
      </c>
      <c r="F310" s="62"/>
      <c r="I310" s="63">
        <v>3881.05</v>
      </c>
      <c r="K310" s="58">
        <f t="shared" si="19"/>
        <v>3881.05</v>
      </c>
      <c r="L310" s="64">
        <v>1</v>
      </c>
      <c r="M310" s="65">
        <f t="shared" si="20"/>
        <v>3881.05</v>
      </c>
      <c r="N310" s="65">
        <f t="shared" si="21"/>
        <v>4463.2075000000004</v>
      </c>
      <c r="O310" s="34" t="s">
        <v>2369</v>
      </c>
    </row>
    <row r="311" spans="1:15">
      <c r="A311" s="17" t="s">
        <v>1723</v>
      </c>
      <c r="B311" s="34" t="s">
        <v>333</v>
      </c>
      <c r="C311" s="61" t="s">
        <v>335</v>
      </c>
      <c r="D311" s="61" t="s">
        <v>2290</v>
      </c>
      <c r="E311" s="61" t="s">
        <v>2291</v>
      </c>
      <c r="F311" s="62"/>
      <c r="G311" s="63">
        <v>2496</v>
      </c>
      <c r="H311" s="63">
        <v>5433.98</v>
      </c>
      <c r="K311" s="58">
        <f t="shared" si="19"/>
        <v>7929.98</v>
      </c>
      <c r="L311" s="64">
        <v>1</v>
      </c>
      <c r="M311" s="65">
        <f t="shared" si="20"/>
        <v>7929.98</v>
      </c>
      <c r="N311" s="65">
        <f t="shared" si="21"/>
        <v>9119.476999999999</v>
      </c>
      <c r="O311" s="34" t="s">
        <v>2369</v>
      </c>
    </row>
    <row r="312" spans="1:15">
      <c r="A312" s="17" t="s">
        <v>1399</v>
      </c>
      <c r="B312" s="34" t="s">
        <v>1401</v>
      </c>
      <c r="C312" s="61" t="s">
        <v>1403</v>
      </c>
      <c r="D312" s="61" t="s">
        <v>1977</v>
      </c>
      <c r="E312" s="61" t="s">
        <v>1978</v>
      </c>
      <c r="F312" s="62"/>
      <c r="G312" s="63">
        <v>14734.72</v>
      </c>
      <c r="K312" s="58">
        <f t="shared" si="19"/>
        <v>14734.72</v>
      </c>
      <c r="L312" s="64">
        <v>1</v>
      </c>
      <c r="M312" s="65">
        <f t="shared" si="20"/>
        <v>14734.72</v>
      </c>
      <c r="N312" s="65">
        <f t="shared" si="21"/>
        <v>16944.928</v>
      </c>
      <c r="O312" s="34" t="s">
        <v>2369</v>
      </c>
    </row>
    <row r="313" spans="1:15">
      <c r="A313" s="17" t="s">
        <v>1715</v>
      </c>
      <c r="B313" s="34" t="s">
        <v>84</v>
      </c>
      <c r="C313" s="61" t="s">
        <v>86</v>
      </c>
      <c r="D313" s="61" t="s">
        <v>2268</v>
      </c>
      <c r="E313" s="61" t="s">
        <v>2269</v>
      </c>
      <c r="F313" s="62"/>
      <c r="H313" s="63">
        <v>1940.64</v>
      </c>
      <c r="I313" s="63">
        <v>31327.73</v>
      </c>
      <c r="J313" s="63">
        <v>4778.6400000000003</v>
      </c>
      <c r="K313" s="58">
        <f t="shared" si="19"/>
        <v>38047.01</v>
      </c>
      <c r="L313" s="64">
        <v>1</v>
      </c>
      <c r="M313" s="65">
        <f t="shared" si="20"/>
        <v>38047.01</v>
      </c>
      <c r="N313" s="65">
        <f t="shared" si="21"/>
        <v>43754.061500000003</v>
      </c>
      <c r="O313" s="34" t="s">
        <v>2370</v>
      </c>
    </row>
    <row r="314" spans="1:15">
      <c r="A314" s="17" t="s">
        <v>1723</v>
      </c>
      <c r="B314" s="34" t="s">
        <v>84</v>
      </c>
      <c r="C314" s="61" t="s">
        <v>86</v>
      </c>
      <c r="D314" s="61" t="s">
        <v>2268</v>
      </c>
      <c r="E314" s="61" t="s">
        <v>2269</v>
      </c>
      <c r="F314" s="62"/>
      <c r="G314" s="63">
        <v>20323.86</v>
      </c>
      <c r="H314" s="63">
        <v>7902.55</v>
      </c>
      <c r="K314" s="58">
        <f t="shared" si="19"/>
        <v>28226.41</v>
      </c>
      <c r="L314" s="64">
        <v>1</v>
      </c>
      <c r="M314" s="65">
        <f t="shared" si="20"/>
        <v>28226.41</v>
      </c>
      <c r="N314" s="65">
        <f t="shared" si="21"/>
        <v>32460.371500000001</v>
      </c>
      <c r="O314" s="34" t="s">
        <v>2370</v>
      </c>
    </row>
    <row r="315" spans="1:15">
      <c r="A315" s="17" t="s">
        <v>1715</v>
      </c>
      <c r="B315" s="34" t="s">
        <v>84</v>
      </c>
      <c r="C315" s="61" t="s">
        <v>86</v>
      </c>
      <c r="D315" s="61" t="s">
        <v>2268</v>
      </c>
      <c r="E315" s="61" t="s">
        <v>2269</v>
      </c>
      <c r="F315" s="62"/>
      <c r="I315" s="63">
        <v>227.8</v>
      </c>
      <c r="K315" s="58">
        <f t="shared" si="19"/>
        <v>227.8</v>
      </c>
      <c r="L315" s="64">
        <v>1</v>
      </c>
      <c r="M315" s="65">
        <f t="shared" si="20"/>
        <v>227.8</v>
      </c>
      <c r="N315" s="65">
        <f t="shared" si="21"/>
        <v>261.97000000000003</v>
      </c>
      <c r="O315" s="34" t="s">
        <v>2370</v>
      </c>
    </row>
    <row r="316" spans="1:15">
      <c r="A316" s="17" t="s">
        <v>1715</v>
      </c>
      <c r="B316" s="34" t="s">
        <v>255</v>
      </c>
      <c r="C316" s="61" t="s">
        <v>257</v>
      </c>
      <c r="D316" s="61" t="s">
        <v>2315</v>
      </c>
      <c r="E316" s="61" t="s">
        <v>2316</v>
      </c>
      <c r="F316" s="62"/>
      <c r="I316" s="63">
        <v>140.96</v>
      </c>
      <c r="K316" s="58">
        <f t="shared" si="19"/>
        <v>140.96</v>
      </c>
      <c r="L316" s="64">
        <v>1</v>
      </c>
      <c r="M316" s="65">
        <f t="shared" si="20"/>
        <v>140.96</v>
      </c>
      <c r="N316" s="65">
        <f t="shared" si="21"/>
        <v>162.10400000000001</v>
      </c>
      <c r="O316" s="34" t="s">
        <v>2369</v>
      </c>
    </row>
    <row r="317" spans="1:15">
      <c r="A317" s="17" t="s">
        <v>1715</v>
      </c>
      <c r="B317" s="34" t="s">
        <v>1446</v>
      </c>
      <c r="C317" s="61" t="s">
        <v>1448</v>
      </c>
      <c r="D317" s="61" t="s">
        <v>2013</v>
      </c>
      <c r="E317" s="61" t="s">
        <v>2014</v>
      </c>
      <c r="F317" s="62"/>
      <c r="I317" s="63">
        <v>425.97</v>
      </c>
      <c r="J317" s="63">
        <v>35.75</v>
      </c>
      <c r="K317" s="58">
        <f t="shared" si="19"/>
        <v>461.72</v>
      </c>
      <c r="L317" s="64">
        <v>1</v>
      </c>
      <c r="M317" s="65">
        <f t="shared" si="20"/>
        <v>461.72</v>
      </c>
      <c r="N317" s="65">
        <f t="shared" si="21"/>
        <v>530.97800000000007</v>
      </c>
      <c r="O317" s="34" t="s">
        <v>2369</v>
      </c>
    </row>
    <row r="318" spans="1:15">
      <c r="A318" s="17" t="s">
        <v>1473</v>
      </c>
      <c r="B318" s="34" t="s">
        <v>1446</v>
      </c>
      <c r="C318" s="61" t="s">
        <v>1448</v>
      </c>
      <c r="D318" s="61" t="s">
        <v>2013</v>
      </c>
      <c r="E318" s="61" t="s">
        <v>2014</v>
      </c>
      <c r="F318" s="62"/>
      <c r="G318" s="63">
        <v>760</v>
      </c>
      <c r="K318" s="58">
        <f t="shared" si="19"/>
        <v>760</v>
      </c>
      <c r="L318" s="64">
        <v>1</v>
      </c>
      <c r="M318" s="65">
        <f t="shared" si="20"/>
        <v>760</v>
      </c>
      <c r="N318" s="65">
        <f t="shared" si="21"/>
        <v>874</v>
      </c>
      <c r="O318" s="34" t="s">
        <v>2369</v>
      </c>
    </row>
    <row r="319" spans="1:15">
      <c r="A319" s="17" t="s">
        <v>1715</v>
      </c>
      <c r="B319" s="34" t="s">
        <v>1446</v>
      </c>
      <c r="C319" s="61" t="s">
        <v>1448</v>
      </c>
      <c r="D319" s="61" t="s">
        <v>2013</v>
      </c>
      <c r="E319" s="61" t="s">
        <v>2014</v>
      </c>
      <c r="F319" s="62"/>
      <c r="I319" s="63">
        <v>728.1</v>
      </c>
      <c r="J319" s="63">
        <v>83.05</v>
      </c>
      <c r="K319" s="58">
        <f t="shared" si="19"/>
        <v>811.15</v>
      </c>
      <c r="L319" s="64">
        <v>1</v>
      </c>
      <c r="M319" s="65">
        <f t="shared" si="20"/>
        <v>811.15</v>
      </c>
      <c r="N319" s="65">
        <f t="shared" si="21"/>
        <v>932.82249999999999</v>
      </c>
      <c r="O319" s="34" t="s">
        <v>2369</v>
      </c>
    </row>
    <row r="320" spans="1:15">
      <c r="A320" s="17" t="s">
        <v>1723</v>
      </c>
      <c r="B320" s="34" t="s">
        <v>300</v>
      </c>
      <c r="C320" s="61" t="s">
        <v>302</v>
      </c>
      <c r="D320" s="61" t="s">
        <v>2342</v>
      </c>
      <c r="E320" s="61" t="s">
        <v>2343</v>
      </c>
      <c r="F320" s="62"/>
      <c r="G320" s="63">
        <v>103333.33</v>
      </c>
      <c r="K320" s="58">
        <f t="shared" si="19"/>
        <v>103333.33</v>
      </c>
      <c r="L320" s="64">
        <v>1</v>
      </c>
      <c r="M320" s="65">
        <f t="shared" si="20"/>
        <v>103333.33</v>
      </c>
      <c r="N320" s="65">
        <f t="shared" si="21"/>
        <v>118833.32950000001</v>
      </c>
      <c r="O320" s="34" t="s">
        <v>2369</v>
      </c>
    </row>
    <row r="321" spans="1:17">
      <c r="A321" s="17" t="s">
        <v>1097</v>
      </c>
      <c r="B321" s="34" t="s">
        <v>448</v>
      </c>
      <c r="C321" s="61" t="s">
        <v>450</v>
      </c>
      <c r="D321" s="61" t="s">
        <v>1949</v>
      </c>
      <c r="E321" s="61" t="s">
        <v>1950</v>
      </c>
      <c r="F321" s="62"/>
      <c r="G321" s="63">
        <v>33292.410000000003</v>
      </c>
      <c r="H321" s="63">
        <v>42058.42</v>
      </c>
      <c r="K321" s="58">
        <f t="shared" si="19"/>
        <v>75350.83</v>
      </c>
      <c r="L321" s="64">
        <v>1</v>
      </c>
      <c r="M321" s="65">
        <f t="shared" si="20"/>
        <v>75350.83</v>
      </c>
      <c r="N321" s="65">
        <f t="shared" si="21"/>
        <v>86653.454500000007</v>
      </c>
      <c r="O321" s="34" t="s">
        <v>2370</v>
      </c>
    </row>
    <row r="322" spans="1:17">
      <c r="A322" s="17" t="s">
        <v>1715</v>
      </c>
      <c r="B322" s="34" t="s">
        <v>448</v>
      </c>
      <c r="C322" s="61" t="s">
        <v>450</v>
      </c>
      <c r="D322" s="61" t="s">
        <v>1949</v>
      </c>
      <c r="E322" s="61" t="s">
        <v>1950</v>
      </c>
      <c r="F322" s="62"/>
      <c r="G322" s="63">
        <v>38063.980000000003</v>
      </c>
      <c r="H322" s="63">
        <v>6112.61</v>
      </c>
      <c r="I322" s="63">
        <v>8089.4849999999997</v>
      </c>
      <c r="J322" s="63">
        <v>807.2</v>
      </c>
      <c r="K322" s="58">
        <f t="shared" si="19"/>
        <v>53073.275000000001</v>
      </c>
      <c r="L322" s="64">
        <v>1</v>
      </c>
      <c r="M322" s="65">
        <f t="shared" si="20"/>
        <v>53073.275000000001</v>
      </c>
      <c r="N322" s="65">
        <f t="shared" si="21"/>
        <v>61034.266250000001</v>
      </c>
      <c r="O322" s="34" t="s">
        <v>2370</v>
      </c>
    </row>
    <row r="323" spans="1:17">
      <c r="A323" s="17" t="s">
        <v>1723</v>
      </c>
      <c r="B323" s="34" t="s">
        <v>448</v>
      </c>
      <c r="C323" s="61" t="s">
        <v>450</v>
      </c>
      <c r="D323" s="61" t="s">
        <v>1949</v>
      </c>
      <c r="E323" s="61" t="s">
        <v>1950</v>
      </c>
      <c r="F323" s="62"/>
      <c r="G323" s="63">
        <v>27598.35</v>
      </c>
      <c r="K323" s="58">
        <f t="shared" si="19"/>
        <v>27598.35</v>
      </c>
      <c r="L323" s="64">
        <v>1</v>
      </c>
      <c r="M323" s="65">
        <f t="shared" si="20"/>
        <v>27598.35</v>
      </c>
      <c r="N323" s="65">
        <f t="shared" si="21"/>
        <v>31738.102499999997</v>
      </c>
      <c r="O323" s="34" t="s">
        <v>2370</v>
      </c>
    </row>
    <row r="324" spans="1:17">
      <c r="A324" s="17" t="s">
        <v>1473</v>
      </c>
      <c r="B324" s="34" t="s">
        <v>1529</v>
      </c>
      <c r="C324" s="61" t="s">
        <v>1531</v>
      </c>
      <c r="D324" s="61" t="s">
        <v>2078</v>
      </c>
      <c r="E324" s="61" t="s">
        <v>2079</v>
      </c>
      <c r="F324" s="62"/>
      <c r="G324" s="63">
        <v>5681.51</v>
      </c>
      <c r="K324" s="58">
        <f t="shared" si="19"/>
        <v>5681.51</v>
      </c>
      <c r="L324" s="64">
        <v>1</v>
      </c>
      <c r="M324" s="65">
        <f t="shared" si="20"/>
        <v>5681.51</v>
      </c>
      <c r="N324" s="65">
        <f t="shared" si="21"/>
        <v>6533.7365</v>
      </c>
      <c r="O324" s="34" t="s">
        <v>2369</v>
      </c>
    </row>
    <row r="325" spans="1:17">
      <c r="A325" s="17" t="s">
        <v>1715</v>
      </c>
      <c r="B325" s="34" t="s">
        <v>400</v>
      </c>
      <c r="C325" s="61" t="s">
        <v>402</v>
      </c>
      <c r="D325" s="61" t="s">
        <v>2307</v>
      </c>
      <c r="E325" s="61" t="s">
        <v>2308</v>
      </c>
      <c r="F325" s="62"/>
      <c r="G325" s="63">
        <v>5000</v>
      </c>
      <c r="K325" s="58">
        <f t="shared" si="19"/>
        <v>5000</v>
      </c>
      <c r="L325" s="64">
        <v>1</v>
      </c>
      <c r="M325" s="65">
        <f t="shared" si="20"/>
        <v>5000</v>
      </c>
      <c r="N325" s="65">
        <f t="shared" si="21"/>
        <v>5750</v>
      </c>
      <c r="O325" s="34" t="s">
        <v>2369</v>
      </c>
    </row>
    <row r="326" spans="1:17">
      <c r="A326" s="17" t="s">
        <v>1473</v>
      </c>
      <c r="B326" s="34" t="s">
        <v>1538</v>
      </c>
      <c r="C326" s="61" t="s">
        <v>1540</v>
      </c>
      <c r="D326" s="61" t="s">
        <v>2088</v>
      </c>
      <c r="E326" s="61" t="s">
        <v>2089</v>
      </c>
      <c r="F326" s="62"/>
      <c r="G326" s="63">
        <v>15537.3</v>
      </c>
      <c r="I326" s="63">
        <v>545.91999999999996</v>
      </c>
      <c r="K326" s="58">
        <f t="shared" si="19"/>
        <v>16083.22</v>
      </c>
      <c r="L326" s="64">
        <v>1</v>
      </c>
      <c r="M326" s="65">
        <f t="shared" si="20"/>
        <v>16083.22</v>
      </c>
      <c r="N326" s="65">
        <f t="shared" si="21"/>
        <v>18495.702999999998</v>
      </c>
      <c r="O326" s="34" t="s">
        <v>2369</v>
      </c>
    </row>
    <row r="327" spans="1:17">
      <c r="A327" s="17" t="s">
        <v>1399</v>
      </c>
      <c r="B327" s="34" t="s">
        <v>1422</v>
      </c>
      <c r="C327" s="61" t="s">
        <v>1424</v>
      </c>
      <c r="D327" s="61" t="s">
        <v>1993</v>
      </c>
      <c r="E327" s="61" t="s">
        <v>1994</v>
      </c>
      <c r="F327" s="62"/>
      <c r="I327" s="63">
        <v>71</v>
      </c>
      <c r="K327" s="58">
        <f t="shared" si="19"/>
        <v>71</v>
      </c>
      <c r="L327" s="64">
        <v>1</v>
      </c>
      <c r="M327" s="65">
        <f t="shared" si="20"/>
        <v>71</v>
      </c>
      <c r="N327" s="65">
        <f t="shared" si="21"/>
        <v>81.650000000000006</v>
      </c>
      <c r="O327" s="34" t="s">
        <v>2369</v>
      </c>
    </row>
    <row r="328" spans="1:17">
      <c r="A328" s="17" t="s">
        <v>1473</v>
      </c>
      <c r="B328" s="34" t="s">
        <v>1422</v>
      </c>
      <c r="C328" s="61" t="s">
        <v>1424</v>
      </c>
      <c r="D328" s="61" t="s">
        <v>1993</v>
      </c>
      <c r="E328" s="61" t="s">
        <v>1994</v>
      </c>
      <c r="F328" s="62"/>
      <c r="G328" s="63">
        <v>14892.3</v>
      </c>
      <c r="I328" s="63">
        <v>662.88</v>
      </c>
      <c r="K328" s="58">
        <f t="shared" si="19"/>
        <v>15555.179999999998</v>
      </c>
      <c r="L328" s="64">
        <v>1</v>
      </c>
      <c r="M328" s="65">
        <f t="shared" si="20"/>
        <v>15555.179999999998</v>
      </c>
      <c r="N328" s="65">
        <f t="shared" si="21"/>
        <v>17888.456999999999</v>
      </c>
      <c r="O328" s="34" t="s">
        <v>2369</v>
      </c>
    </row>
    <row r="329" spans="1:17">
      <c r="A329" s="17" t="s">
        <v>1715</v>
      </c>
      <c r="B329" s="34" t="s">
        <v>355</v>
      </c>
      <c r="C329" s="61" t="s">
        <v>357</v>
      </c>
      <c r="D329" s="61" t="s">
        <v>2253</v>
      </c>
      <c r="E329" s="61" t="s">
        <v>2254</v>
      </c>
      <c r="F329" s="62"/>
      <c r="H329" s="63">
        <v>2158.46</v>
      </c>
      <c r="K329" s="58">
        <f t="shared" si="19"/>
        <v>2158.46</v>
      </c>
      <c r="L329" s="64">
        <v>1</v>
      </c>
      <c r="M329" s="65">
        <f t="shared" si="20"/>
        <v>2158.46</v>
      </c>
      <c r="N329" s="65">
        <f t="shared" si="21"/>
        <v>2482.2290000000003</v>
      </c>
      <c r="O329" s="34" t="s">
        <v>2369</v>
      </c>
    </row>
    <row r="330" spans="1:17">
      <c r="A330" s="17" t="s">
        <v>1723</v>
      </c>
      <c r="B330" s="34" t="s">
        <v>355</v>
      </c>
      <c r="C330" s="61" t="s">
        <v>357</v>
      </c>
      <c r="D330" s="61" t="s">
        <v>2253</v>
      </c>
      <c r="E330" s="61" t="s">
        <v>2254</v>
      </c>
      <c r="F330" s="62"/>
      <c r="G330" s="63">
        <v>263806.83</v>
      </c>
      <c r="H330" s="63">
        <v>15610.26</v>
      </c>
      <c r="K330" s="58">
        <f t="shared" si="19"/>
        <v>279417.09000000003</v>
      </c>
      <c r="L330" s="64">
        <v>1</v>
      </c>
      <c r="M330" s="65">
        <f t="shared" si="20"/>
        <v>279417.09000000003</v>
      </c>
      <c r="N330" s="65">
        <f t="shared" si="21"/>
        <v>321329.65350000001</v>
      </c>
      <c r="O330" s="34" t="s">
        <v>2369</v>
      </c>
    </row>
    <row r="331" spans="1:17">
      <c r="A331" s="17" t="s">
        <v>1723</v>
      </c>
      <c r="B331" s="34" t="s">
        <v>454</v>
      </c>
      <c r="C331" s="61" t="s">
        <v>456</v>
      </c>
      <c r="D331" s="61" t="s">
        <v>2253</v>
      </c>
      <c r="E331" s="61" t="s">
        <v>2348</v>
      </c>
      <c r="F331" s="66"/>
      <c r="G331" s="63">
        <v>80076.039999999994</v>
      </c>
      <c r="H331" s="63">
        <v>9139.2900000000009</v>
      </c>
      <c r="K331" s="58">
        <f t="shared" si="19"/>
        <v>89215.329999999987</v>
      </c>
      <c r="L331" s="64">
        <v>1</v>
      </c>
      <c r="M331" s="65">
        <f t="shared" si="20"/>
        <v>89215.329999999987</v>
      </c>
      <c r="N331" s="65">
        <f t="shared" si="21"/>
        <v>102597.62949999998</v>
      </c>
      <c r="O331" s="34" t="s">
        <v>2369</v>
      </c>
    </row>
    <row r="332" spans="1:17">
      <c r="A332" s="17" t="s">
        <v>1715</v>
      </c>
      <c r="B332" s="34" t="s">
        <v>759</v>
      </c>
      <c r="C332" s="61" t="s">
        <v>761</v>
      </c>
      <c r="D332" s="61" t="s">
        <v>2276</v>
      </c>
      <c r="E332" s="61" t="s">
        <v>2277</v>
      </c>
      <c r="F332" s="62"/>
      <c r="G332" s="63">
        <v>313.75</v>
      </c>
      <c r="H332" s="63">
        <v>2781.42</v>
      </c>
      <c r="I332" s="63">
        <v>12524.575000000001</v>
      </c>
      <c r="J332" s="63">
        <v>979.83</v>
      </c>
      <c r="K332" s="58">
        <f t="shared" si="19"/>
        <v>16599.575000000001</v>
      </c>
      <c r="L332" s="64">
        <v>1</v>
      </c>
      <c r="M332" s="65">
        <f t="shared" si="20"/>
        <v>16599.575000000001</v>
      </c>
      <c r="N332" s="65">
        <f t="shared" si="21"/>
        <v>19089.51125</v>
      </c>
      <c r="O332" s="34" t="s">
        <v>2370</v>
      </c>
      <c r="Q332" s="34">
        <f>+N332/(1+N1)</f>
        <v>16599.575000000001</v>
      </c>
    </row>
    <row r="333" spans="1:17">
      <c r="A333" s="17" t="s">
        <v>1723</v>
      </c>
      <c r="B333" s="34" t="s">
        <v>759</v>
      </c>
      <c r="C333" s="61" t="s">
        <v>761</v>
      </c>
      <c r="D333" s="61" t="s">
        <v>2276</v>
      </c>
      <c r="E333" s="61" t="s">
        <v>2277</v>
      </c>
      <c r="F333" s="62"/>
      <c r="G333" s="63">
        <v>10671.37</v>
      </c>
      <c r="H333" s="63">
        <v>21944.639999999999</v>
      </c>
      <c r="K333" s="58">
        <f t="shared" si="19"/>
        <v>32616.010000000002</v>
      </c>
      <c r="L333" s="64">
        <v>1</v>
      </c>
      <c r="M333" s="65">
        <f t="shared" si="20"/>
        <v>32616.010000000002</v>
      </c>
      <c r="N333" s="65">
        <f t="shared" si="21"/>
        <v>37508.411500000002</v>
      </c>
      <c r="O333" s="34" t="s">
        <v>2370</v>
      </c>
    </row>
    <row r="334" spans="1:17">
      <c r="A334" s="17" t="s">
        <v>1715</v>
      </c>
      <c r="B334" s="34" t="s">
        <v>759</v>
      </c>
      <c r="C334" s="61" t="s">
        <v>761</v>
      </c>
      <c r="D334" s="61" t="s">
        <v>2276</v>
      </c>
      <c r="E334" s="61" t="s">
        <v>2277</v>
      </c>
      <c r="F334" s="62"/>
      <c r="I334" s="63">
        <v>22.78</v>
      </c>
      <c r="K334" s="58">
        <f t="shared" si="19"/>
        <v>22.78</v>
      </c>
      <c r="L334" s="64">
        <v>1</v>
      </c>
      <c r="M334" s="65">
        <f t="shared" si="20"/>
        <v>22.78</v>
      </c>
      <c r="N334" s="65">
        <f t="shared" si="21"/>
        <v>26.197000000000003</v>
      </c>
      <c r="O334" s="34" t="s">
        <v>2370</v>
      </c>
    </row>
    <row r="335" spans="1:17">
      <c r="A335" s="17" t="s">
        <v>1885</v>
      </c>
      <c r="B335" s="34" t="s">
        <v>759</v>
      </c>
      <c r="C335" s="61" t="s">
        <v>761</v>
      </c>
      <c r="D335" s="61" t="s">
        <v>2276</v>
      </c>
      <c r="E335" s="61" t="s">
        <v>2277</v>
      </c>
      <c r="F335" s="62"/>
      <c r="J335" s="63">
        <v>217</v>
      </c>
      <c r="K335" s="58">
        <f t="shared" si="19"/>
        <v>217</v>
      </c>
      <c r="L335" s="64">
        <v>1</v>
      </c>
      <c r="M335" s="65">
        <f t="shared" si="20"/>
        <v>217</v>
      </c>
      <c r="N335" s="65">
        <f t="shared" si="21"/>
        <v>249.55</v>
      </c>
      <c r="O335" s="34" t="s">
        <v>2370</v>
      </c>
    </row>
    <row r="336" spans="1:17">
      <c r="A336" s="17" t="s">
        <v>1715</v>
      </c>
      <c r="B336" s="34" t="s">
        <v>651</v>
      </c>
      <c r="C336" s="61" t="s">
        <v>653</v>
      </c>
      <c r="D336" s="61" t="s">
        <v>2242</v>
      </c>
      <c r="E336" s="61" t="s">
        <v>2243</v>
      </c>
      <c r="F336" s="62"/>
      <c r="G336" s="63">
        <v>1118.8</v>
      </c>
      <c r="K336" s="58">
        <f t="shared" si="19"/>
        <v>1118.8</v>
      </c>
      <c r="L336" s="64">
        <v>1</v>
      </c>
      <c r="M336" s="65">
        <f t="shared" si="20"/>
        <v>1118.8</v>
      </c>
      <c r="N336" s="65">
        <f t="shared" si="21"/>
        <v>1286.6199999999999</v>
      </c>
      <c r="O336" s="34" t="s">
        <v>2371</v>
      </c>
    </row>
    <row r="337" spans="1:15">
      <c r="A337" s="17" t="s">
        <v>1723</v>
      </c>
      <c r="B337" s="34" t="s">
        <v>651</v>
      </c>
      <c r="C337" s="61" t="s">
        <v>653</v>
      </c>
      <c r="D337" s="61" t="s">
        <v>2242</v>
      </c>
      <c r="E337" s="61" t="s">
        <v>2243</v>
      </c>
      <c r="F337" s="62"/>
      <c r="G337" s="63">
        <v>14503.3</v>
      </c>
      <c r="H337" s="63">
        <v>3140.15</v>
      </c>
      <c r="K337" s="58">
        <f t="shared" si="19"/>
        <v>17643.45</v>
      </c>
      <c r="L337" s="64">
        <v>1</v>
      </c>
      <c r="M337" s="65">
        <f t="shared" si="20"/>
        <v>17643.45</v>
      </c>
      <c r="N337" s="65">
        <f t="shared" si="21"/>
        <v>20289.967499999999</v>
      </c>
      <c r="O337" s="34" t="s">
        <v>2371</v>
      </c>
    </row>
    <row r="338" spans="1:15" ht="25.5">
      <c r="A338" s="17" t="s">
        <v>1473</v>
      </c>
      <c r="B338" s="34" t="s">
        <v>1646</v>
      </c>
      <c r="C338" s="61" t="s">
        <v>1648</v>
      </c>
      <c r="D338" s="61" t="s">
        <v>2171</v>
      </c>
      <c r="E338" s="61" t="s">
        <v>2172</v>
      </c>
      <c r="F338" s="62"/>
      <c r="G338" s="63">
        <v>500</v>
      </c>
      <c r="K338" s="58">
        <f t="shared" si="19"/>
        <v>500</v>
      </c>
      <c r="L338" s="64">
        <v>1</v>
      </c>
      <c r="M338" s="65">
        <f t="shared" si="20"/>
        <v>500</v>
      </c>
      <c r="N338" s="65">
        <f t="shared" si="21"/>
        <v>575</v>
      </c>
      <c r="O338" s="34" t="s">
        <v>2369</v>
      </c>
    </row>
    <row r="339" spans="1:15">
      <c r="A339" s="17" t="s">
        <v>1473</v>
      </c>
      <c r="B339" s="34" t="s">
        <v>1475</v>
      </c>
      <c r="C339" s="61" t="s">
        <v>1477</v>
      </c>
      <c r="D339" s="61" t="s">
        <v>2038</v>
      </c>
      <c r="E339" s="61" t="s">
        <v>2039</v>
      </c>
      <c r="F339" s="62"/>
      <c r="G339" s="63">
        <v>5632.08</v>
      </c>
      <c r="K339" s="58">
        <f t="shared" si="19"/>
        <v>5632.08</v>
      </c>
      <c r="L339" s="64">
        <v>1</v>
      </c>
      <c r="M339" s="65">
        <f t="shared" si="20"/>
        <v>5632.08</v>
      </c>
      <c r="N339" s="65">
        <f t="shared" si="21"/>
        <v>6476.8919999999998</v>
      </c>
      <c r="O339" s="34" t="s">
        <v>2369</v>
      </c>
    </row>
    <row r="340" spans="1:15">
      <c r="A340" s="17" t="s">
        <v>1399</v>
      </c>
      <c r="B340" s="34" t="s">
        <v>1434</v>
      </c>
      <c r="C340" s="61" t="s">
        <v>1436</v>
      </c>
      <c r="D340" s="61" t="s">
        <v>2003</v>
      </c>
      <c r="E340" s="61" t="s">
        <v>2004</v>
      </c>
      <c r="F340" s="62"/>
      <c r="G340" s="63">
        <v>6367.45</v>
      </c>
      <c r="K340" s="58">
        <f t="shared" si="19"/>
        <v>6367.45</v>
      </c>
      <c r="L340" s="64">
        <v>1</v>
      </c>
      <c r="M340" s="65">
        <f t="shared" si="20"/>
        <v>6367.45</v>
      </c>
      <c r="N340" s="65">
        <f t="shared" si="21"/>
        <v>7322.5675000000001</v>
      </c>
      <c r="O340" s="34" t="s">
        <v>2369</v>
      </c>
    </row>
    <row r="341" spans="1:15">
      <c r="A341" s="17" t="s">
        <v>1473</v>
      </c>
      <c r="B341" s="34" t="s">
        <v>1434</v>
      </c>
      <c r="C341" s="61" t="s">
        <v>1436</v>
      </c>
      <c r="D341" s="61" t="s">
        <v>2003</v>
      </c>
      <c r="E341" s="61" t="s">
        <v>2004</v>
      </c>
      <c r="F341" s="62"/>
      <c r="G341" s="63">
        <v>6876.97</v>
      </c>
      <c r="K341" s="58">
        <f t="shared" si="19"/>
        <v>6876.97</v>
      </c>
      <c r="L341" s="64">
        <v>1</v>
      </c>
      <c r="M341" s="65">
        <f t="shared" si="20"/>
        <v>6876.97</v>
      </c>
      <c r="N341" s="65">
        <f t="shared" si="21"/>
        <v>7908.5155000000004</v>
      </c>
      <c r="O341" s="34" t="s">
        <v>2369</v>
      </c>
    </row>
    <row r="342" spans="1:15">
      <c r="A342" s="17" t="s">
        <v>1399</v>
      </c>
      <c r="B342" s="34" t="s">
        <v>1452</v>
      </c>
      <c r="C342" s="61" t="s">
        <v>1454</v>
      </c>
      <c r="D342" s="61" t="s">
        <v>2017</v>
      </c>
      <c r="E342" s="61" t="s">
        <v>2018</v>
      </c>
      <c r="F342" s="62"/>
      <c r="I342" s="63">
        <v>1347.44</v>
      </c>
      <c r="K342" s="58">
        <f t="shared" si="19"/>
        <v>1347.44</v>
      </c>
      <c r="L342" s="64">
        <v>1</v>
      </c>
      <c r="M342" s="65">
        <f t="shared" si="20"/>
        <v>1347.44</v>
      </c>
      <c r="N342" s="65">
        <f t="shared" si="21"/>
        <v>1549.556</v>
      </c>
      <c r="O342" s="34" t="s">
        <v>2369</v>
      </c>
    </row>
    <row r="343" spans="1:15">
      <c r="A343" s="17" t="s">
        <v>1715</v>
      </c>
      <c r="B343" s="34" t="s">
        <v>189</v>
      </c>
      <c r="C343" s="61" t="s">
        <v>191</v>
      </c>
      <c r="D343" s="61" t="s">
        <v>2309</v>
      </c>
      <c r="E343" s="61" t="s">
        <v>2310</v>
      </c>
      <c r="F343" s="62"/>
      <c r="I343" s="63">
        <v>211.92</v>
      </c>
      <c r="K343" s="58">
        <f t="shared" si="19"/>
        <v>211.92</v>
      </c>
      <c r="L343" s="64">
        <v>1</v>
      </c>
      <c r="M343" s="65">
        <f t="shared" si="20"/>
        <v>211.92</v>
      </c>
      <c r="N343" s="65">
        <f t="shared" si="21"/>
        <v>243.70799999999997</v>
      </c>
      <c r="O343" s="34" t="s">
        <v>2370</v>
      </c>
    </row>
    <row r="344" spans="1:15">
      <c r="A344" s="17" t="s">
        <v>1723</v>
      </c>
      <c r="B344" s="34" t="s">
        <v>189</v>
      </c>
      <c r="C344" s="61" t="s">
        <v>191</v>
      </c>
      <c r="D344" s="61" t="s">
        <v>2309</v>
      </c>
      <c r="E344" s="61" t="s">
        <v>2310</v>
      </c>
      <c r="F344" s="62"/>
      <c r="G344" s="63">
        <v>0</v>
      </c>
      <c r="K344" s="58">
        <f t="shared" si="19"/>
        <v>0</v>
      </c>
      <c r="L344" s="64">
        <v>1</v>
      </c>
      <c r="M344" s="65">
        <f t="shared" si="20"/>
        <v>0</v>
      </c>
      <c r="N344" s="65">
        <f t="shared" si="21"/>
        <v>0</v>
      </c>
      <c r="O344" s="34" t="s">
        <v>2370</v>
      </c>
    </row>
    <row r="345" spans="1:15" ht="25.5">
      <c r="A345" s="17" t="s">
        <v>1723</v>
      </c>
      <c r="B345" s="34" t="s">
        <v>445</v>
      </c>
      <c r="C345" s="61" t="s">
        <v>447</v>
      </c>
      <c r="D345" s="61" t="s">
        <v>2349</v>
      </c>
      <c r="E345" s="61" t="s">
        <v>2350</v>
      </c>
      <c r="F345" s="62"/>
      <c r="G345" s="63">
        <v>5389.73</v>
      </c>
      <c r="K345" s="58">
        <f t="shared" si="19"/>
        <v>5389.73</v>
      </c>
      <c r="L345" s="64">
        <v>1</v>
      </c>
      <c r="M345" s="65">
        <f t="shared" si="20"/>
        <v>5389.73</v>
      </c>
      <c r="N345" s="65">
        <f t="shared" si="21"/>
        <v>6198.1894999999995</v>
      </c>
      <c r="O345" s="34" t="s">
        <v>2369</v>
      </c>
    </row>
    <row r="346" spans="1:15">
      <c r="A346" s="17" t="s">
        <v>1473</v>
      </c>
      <c r="B346" s="34" t="s">
        <v>1556</v>
      </c>
      <c r="C346" s="61" t="s">
        <v>1558</v>
      </c>
      <c r="D346" s="61" t="s">
        <v>2100</v>
      </c>
      <c r="E346" s="61" t="s">
        <v>2101</v>
      </c>
      <c r="F346" s="62"/>
      <c r="G346" s="63">
        <v>4939.2</v>
      </c>
      <c r="K346" s="58">
        <f t="shared" si="19"/>
        <v>4939.2</v>
      </c>
      <c r="L346" s="64">
        <v>1</v>
      </c>
      <c r="M346" s="65">
        <f t="shared" si="20"/>
        <v>4939.2</v>
      </c>
      <c r="N346" s="65">
        <f t="shared" si="21"/>
        <v>5680.08</v>
      </c>
      <c r="O346" s="34" t="s">
        <v>2369</v>
      </c>
    </row>
    <row r="347" spans="1:15">
      <c r="A347" s="17" t="s">
        <v>1473</v>
      </c>
      <c r="B347" s="34" t="s">
        <v>1586</v>
      </c>
      <c r="C347" s="61" t="s">
        <v>1588</v>
      </c>
      <c r="D347" s="61" t="s">
        <v>2122</v>
      </c>
      <c r="E347" s="61" t="s">
        <v>2123</v>
      </c>
      <c r="F347" s="62"/>
      <c r="I347" s="63">
        <v>495.55</v>
      </c>
      <c r="K347" s="58">
        <f t="shared" si="19"/>
        <v>495.55</v>
      </c>
      <c r="L347" s="64">
        <v>1</v>
      </c>
      <c r="M347" s="65">
        <f t="shared" si="20"/>
        <v>495.55</v>
      </c>
      <c r="N347" s="65">
        <f t="shared" si="21"/>
        <v>569.88250000000005</v>
      </c>
      <c r="O347" s="34" t="s">
        <v>2371</v>
      </c>
    </row>
  </sheetData>
  <autoFilter ref="A5:P5" xr:uid="{B07C8A20-786D-42CF-92B3-697EAEE4CD7A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E6BC-65A7-4107-A77C-629A80D82E6A}">
  <sheetPr>
    <tabColor rgb="FF00B050"/>
  </sheetPr>
  <dimension ref="A1:I20"/>
  <sheetViews>
    <sheetView topLeftCell="C1" zoomScale="80" zoomScaleNormal="80" workbookViewId="0">
      <selection activeCell="G4" sqref="G4:G19"/>
    </sheetView>
  </sheetViews>
  <sheetFormatPr defaultRowHeight="15"/>
  <cols>
    <col min="1" max="1" width="52.85546875" bestFit="1" customWidth="1"/>
    <col min="2" max="2" width="23.5703125" bestFit="1" customWidth="1"/>
    <col min="5" max="5" width="22.140625" bestFit="1" customWidth="1"/>
    <col min="6" max="6" width="55.42578125" bestFit="1" customWidth="1"/>
    <col min="7" max="7" width="24" bestFit="1" customWidth="1"/>
    <col min="8" max="8" width="17.5703125" bestFit="1" customWidth="1"/>
    <col min="9" max="9" width="24" bestFit="1" customWidth="1"/>
  </cols>
  <sheetData>
    <row r="1" spans="1:9">
      <c r="G1" s="32">
        <f>+G2-'capitalizzazioni SPV'!M4</f>
        <v>0</v>
      </c>
    </row>
    <row r="2" spans="1:9">
      <c r="G2" s="38">
        <f>SUM(G4:G19)</f>
        <v>2824723.5600000005</v>
      </c>
    </row>
    <row r="3" spans="1:9" ht="30">
      <c r="A3" s="30" t="s">
        <v>1918</v>
      </c>
      <c r="B3" t="s">
        <v>1920</v>
      </c>
      <c r="E3" s="36" t="s">
        <v>2385</v>
      </c>
      <c r="F3" s="36" t="s">
        <v>1918</v>
      </c>
      <c r="G3" s="37" t="s">
        <v>1920</v>
      </c>
      <c r="H3" s="36" t="s">
        <v>1915</v>
      </c>
    </row>
    <row r="4" spans="1:9">
      <c r="A4" s="31" t="s">
        <v>1954</v>
      </c>
      <c r="B4" s="32">
        <v>53568.380000000005</v>
      </c>
      <c r="E4" t="s">
        <v>2600</v>
      </c>
      <c r="F4" t="s">
        <v>1954</v>
      </c>
      <c r="G4" s="27">
        <v>53568.380000000005</v>
      </c>
      <c r="H4" t="s">
        <v>2373</v>
      </c>
    </row>
    <row r="5" spans="1:9">
      <c r="A5" s="31" t="s">
        <v>2246</v>
      </c>
      <c r="B5" s="32">
        <v>248011.21000000002</v>
      </c>
      <c r="E5" t="s">
        <v>2601</v>
      </c>
      <c r="F5" t="s">
        <v>2246</v>
      </c>
      <c r="G5" s="27">
        <v>248011.21000000002</v>
      </c>
      <c r="H5" t="s">
        <v>2383</v>
      </c>
    </row>
    <row r="6" spans="1:9">
      <c r="A6" s="31" t="s">
        <v>2341</v>
      </c>
      <c r="B6" s="32">
        <v>6784.95</v>
      </c>
      <c r="E6" t="s">
        <v>2602</v>
      </c>
      <c r="F6" t="s">
        <v>2341</v>
      </c>
      <c r="G6" s="27">
        <v>6784.95</v>
      </c>
      <c r="H6" t="s">
        <v>2375</v>
      </c>
    </row>
    <row r="7" spans="1:9">
      <c r="A7" s="31" t="s">
        <v>2339</v>
      </c>
      <c r="B7" s="32">
        <v>303</v>
      </c>
      <c r="E7" s="39" t="s">
        <v>2603</v>
      </c>
      <c r="F7" s="39" t="s">
        <v>2339</v>
      </c>
      <c r="G7" s="40">
        <v>303</v>
      </c>
      <c r="H7" s="39" t="s">
        <v>2376</v>
      </c>
    </row>
    <row r="8" spans="1:9">
      <c r="A8" s="31" t="s">
        <v>1936</v>
      </c>
      <c r="B8" s="32">
        <v>341297.47</v>
      </c>
      <c r="E8" s="39" t="s">
        <v>2604</v>
      </c>
      <c r="F8" s="39" t="s">
        <v>1936</v>
      </c>
      <c r="G8" s="40">
        <v>341297.47</v>
      </c>
      <c r="H8" s="39" t="s">
        <v>2377</v>
      </c>
    </row>
    <row r="9" spans="1:9">
      <c r="A9" s="31" t="s">
        <v>1948</v>
      </c>
      <c r="B9" s="32">
        <v>295883.13000000006</v>
      </c>
      <c r="E9" s="39" t="s">
        <v>2605</v>
      </c>
      <c r="F9" s="39" t="s">
        <v>1948</v>
      </c>
      <c r="G9" s="40">
        <v>295883.13000000006</v>
      </c>
      <c r="H9" s="39" t="s">
        <v>2377</v>
      </c>
    </row>
    <row r="10" spans="1:9">
      <c r="A10" s="31" t="s">
        <v>1976</v>
      </c>
      <c r="B10" s="32">
        <v>367183.34</v>
      </c>
      <c r="E10" s="39" t="s">
        <v>2606</v>
      </c>
      <c r="F10" s="39" t="s">
        <v>1976</v>
      </c>
      <c r="G10" s="40">
        <v>367183.34</v>
      </c>
      <c r="H10" s="39" t="s">
        <v>2378</v>
      </c>
    </row>
    <row r="11" spans="1:9">
      <c r="A11" s="31" t="s">
        <v>1971</v>
      </c>
      <c r="B11" s="32">
        <v>138139.19</v>
      </c>
      <c r="E11" t="s">
        <v>2607</v>
      </c>
      <c r="F11" t="s">
        <v>1971</v>
      </c>
      <c r="G11" s="27">
        <v>138139.19</v>
      </c>
      <c r="H11" t="s">
        <v>2381</v>
      </c>
    </row>
    <row r="12" spans="1:9">
      <c r="A12" s="31" t="s">
        <v>1967</v>
      </c>
      <c r="B12" s="32">
        <v>61609.53</v>
      </c>
      <c r="E12" s="39" t="s">
        <v>2608</v>
      </c>
      <c r="F12" s="39" t="s">
        <v>1967</v>
      </c>
      <c r="G12" s="40">
        <v>61609.53</v>
      </c>
      <c r="H12" s="39" t="s">
        <v>2377</v>
      </c>
    </row>
    <row r="13" spans="1:9">
      <c r="A13" s="31" t="s">
        <v>2285</v>
      </c>
      <c r="B13" s="32">
        <v>3585</v>
      </c>
      <c r="E13" t="s">
        <v>2615</v>
      </c>
      <c r="F13" t="s">
        <v>2285</v>
      </c>
      <c r="G13" s="27">
        <v>3585</v>
      </c>
      <c r="H13" t="s">
        <v>2384</v>
      </c>
      <c r="I13" t="s">
        <v>2616</v>
      </c>
    </row>
    <row r="14" spans="1:9">
      <c r="A14" s="31" t="s">
        <v>2362</v>
      </c>
      <c r="B14" s="32">
        <v>33626.03</v>
      </c>
      <c r="E14" s="39" t="s">
        <v>2609</v>
      </c>
      <c r="F14" s="39" t="s">
        <v>2362</v>
      </c>
      <c r="G14" s="40">
        <v>33626.03</v>
      </c>
      <c r="H14" s="39" t="s">
        <v>2376</v>
      </c>
    </row>
    <row r="15" spans="1:9">
      <c r="A15" s="31" t="s">
        <v>1924</v>
      </c>
      <c r="B15" s="32">
        <v>197910</v>
      </c>
      <c r="E15" s="39" t="s">
        <v>2610</v>
      </c>
      <c r="F15" s="39" t="s">
        <v>1924</v>
      </c>
      <c r="G15" s="40">
        <v>197910</v>
      </c>
      <c r="H15" s="39" t="s">
        <v>2376</v>
      </c>
    </row>
    <row r="16" spans="1:9">
      <c r="A16" s="31" t="s">
        <v>1926</v>
      </c>
      <c r="B16" s="32">
        <v>782205.33000000007</v>
      </c>
      <c r="E16" t="s">
        <v>2611</v>
      </c>
      <c r="F16" t="s">
        <v>1926</v>
      </c>
      <c r="G16" s="27">
        <v>782205.33000000007</v>
      </c>
      <c r="H16" t="s">
        <v>2617</v>
      </c>
    </row>
    <row r="17" spans="1:8">
      <c r="A17" s="31" t="s">
        <v>2248</v>
      </c>
      <c r="B17" s="32">
        <v>280145.42</v>
      </c>
      <c r="E17" t="s">
        <v>2612</v>
      </c>
      <c r="F17" t="s">
        <v>2248</v>
      </c>
      <c r="G17" s="27">
        <v>280145.42</v>
      </c>
      <c r="H17" t="s">
        <v>2380</v>
      </c>
    </row>
    <row r="18" spans="1:8">
      <c r="A18" s="31" t="s">
        <v>2298</v>
      </c>
      <c r="B18" s="32">
        <v>6900</v>
      </c>
      <c r="E18" t="s">
        <v>2613</v>
      </c>
      <c r="F18" t="s">
        <v>2298</v>
      </c>
      <c r="G18" s="27">
        <v>6900</v>
      </c>
      <c r="H18" t="s">
        <v>2376</v>
      </c>
    </row>
    <row r="19" spans="1:8">
      <c r="A19" s="31" t="s">
        <v>2364</v>
      </c>
      <c r="B19" s="32">
        <v>7571.58</v>
      </c>
      <c r="E19" t="s">
        <v>2614</v>
      </c>
      <c r="F19" t="s">
        <v>2364</v>
      </c>
      <c r="G19" s="27">
        <v>7571.58</v>
      </c>
      <c r="H19" t="s">
        <v>2382</v>
      </c>
    </row>
    <row r="20" spans="1:8">
      <c r="A20" s="31" t="s">
        <v>1919</v>
      </c>
      <c r="B20" s="32">
        <v>2824723.5600000005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3061-63D5-459F-BC85-888C62CA8BAD}">
  <sheetPr>
    <tabColor rgb="FF00B050"/>
  </sheetPr>
  <dimension ref="A1:N40"/>
  <sheetViews>
    <sheetView topLeftCell="E1" zoomScale="80" zoomScaleNormal="80" zoomScaleSheetLayoutView="86" workbookViewId="0">
      <pane ySplit="5" topLeftCell="A6" activePane="bottomLeft" state="frozen"/>
      <selection activeCell="C1" sqref="C1"/>
      <selection pane="bottomLeft" activeCell="E29" sqref="E29"/>
    </sheetView>
  </sheetViews>
  <sheetFormatPr defaultRowHeight="15"/>
  <cols>
    <col min="1" max="1" width="27.42578125" bestFit="1" customWidth="1"/>
    <col min="2" max="2" width="22.5703125" customWidth="1"/>
    <col min="3" max="3" width="99.5703125" customWidth="1"/>
    <col min="4" max="4" width="83.5703125" bestFit="1" customWidth="1"/>
    <col min="5" max="5" width="59.5703125" bestFit="1" customWidth="1"/>
    <col min="6" max="10" width="15.140625" customWidth="1"/>
    <col min="11" max="11" width="14.5703125" customWidth="1"/>
    <col min="13" max="13" width="16" bestFit="1" customWidth="1"/>
    <col min="14" max="14" width="11.85546875" customWidth="1"/>
  </cols>
  <sheetData>
    <row r="1" spans="1:14" ht="48" customHeight="1">
      <c r="A1" s="6" t="s">
        <v>0</v>
      </c>
      <c r="M1" s="27"/>
    </row>
    <row r="2" spans="1:14" ht="21.75" customHeight="1">
      <c r="A2" s="7" t="s">
        <v>1</v>
      </c>
    </row>
    <row r="3" spans="1:14" ht="18">
      <c r="A3" s="8" t="s">
        <v>2</v>
      </c>
    </row>
    <row r="4" spans="1:14">
      <c r="F4" s="24">
        <f t="shared" ref="F4:K4" si="0">SUM(F6:F40)</f>
        <v>0</v>
      </c>
      <c r="G4" s="11">
        <f t="shared" si="0"/>
        <v>1524087.31</v>
      </c>
      <c r="H4" s="11">
        <f t="shared" si="0"/>
        <v>1300636.25</v>
      </c>
      <c r="I4" s="11">
        <f t="shared" si="0"/>
        <v>0</v>
      </c>
      <c r="J4" s="11">
        <f t="shared" si="0"/>
        <v>0</v>
      </c>
      <c r="K4" s="23">
        <f t="shared" si="0"/>
        <v>2824723.5599999996</v>
      </c>
      <c r="M4" s="23">
        <f>SUM(M6:M40)</f>
        <v>2824723.5599999996</v>
      </c>
    </row>
    <row r="5" spans="1:14" ht="42" customHeight="1">
      <c r="A5" s="18" t="s">
        <v>1899</v>
      </c>
      <c r="B5" s="18" t="s">
        <v>9</v>
      </c>
      <c r="C5" s="18" t="s">
        <v>10</v>
      </c>
      <c r="D5" s="18" t="s">
        <v>2367</v>
      </c>
      <c r="E5" s="18" t="s">
        <v>2368</v>
      </c>
      <c r="F5" s="19" t="s">
        <v>5</v>
      </c>
      <c r="G5" s="18" t="s">
        <v>3</v>
      </c>
      <c r="H5" s="18" t="s">
        <v>4</v>
      </c>
      <c r="I5" s="18" t="s">
        <v>6</v>
      </c>
      <c r="J5" s="18" t="s">
        <v>7</v>
      </c>
      <c r="K5" s="18" t="s">
        <v>1911</v>
      </c>
      <c r="L5" s="20" t="s">
        <v>1912</v>
      </c>
      <c r="M5" s="21" t="s">
        <v>1913</v>
      </c>
      <c r="N5" s="22" t="s">
        <v>1915</v>
      </c>
    </row>
    <row r="6" spans="1:14">
      <c r="A6" s="9" t="s">
        <v>1097</v>
      </c>
      <c r="B6" t="s">
        <v>792</v>
      </c>
      <c r="C6" s="5" t="s">
        <v>794</v>
      </c>
      <c r="D6" s="5" t="s">
        <v>1953</v>
      </c>
      <c r="E6" s="5" t="s">
        <v>1954</v>
      </c>
      <c r="F6" s="25"/>
      <c r="G6" s="1">
        <v>20847.810000000001</v>
      </c>
      <c r="K6" s="11">
        <f t="shared" ref="K6:K8" si="1">SUM(G6:J6)</f>
        <v>20847.810000000001</v>
      </c>
      <c r="L6" s="26">
        <v>1</v>
      </c>
      <c r="M6" s="29">
        <f t="shared" ref="M6:M8" si="2">+K6*L6</f>
        <v>20847.810000000001</v>
      </c>
      <c r="N6" t="s">
        <v>2373</v>
      </c>
    </row>
    <row r="7" spans="1:14">
      <c r="A7" s="9" t="s">
        <v>1715</v>
      </c>
      <c r="B7" t="s">
        <v>792</v>
      </c>
      <c r="C7" s="5" t="s">
        <v>794</v>
      </c>
      <c r="D7" s="5" t="s">
        <v>1953</v>
      </c>
      <c r="E7" s="5" t="s">
        <v>1954</v>
      </c>
      <c r="F7" s="25"/>
      <c r="G7" s="1">
        <v>5000</v>
      </c>
      <c r="H7" s="1">
        <v>17583.27</v>
      </c>
      <c r="K7" s="11">
        <f t="shared" si="1"/>
        <v>22583.27</v>
      </c>
      <c r="L7" s="26">
        <v>1</v>
      </c>
      <c r="M7" s="29">
        <f t="shared" si="2"/>
        <v>22583.27</v>
      </c>
      <c r="N7" t="s">
        <v>2373</v>
      </c>
    </row>
    <row r="8" spans="1:14">
      <c r="A8" s="9" t="s">
        <v>1723</v>
      </c>
      <c r="B8" t="s">
        <v>792</v>
      </c>
      <c r="C8" s="5" t="s">
        <v>794</v>
      </c>
      <c r="D8" s="5" t="s">
        <v>1953</v>
      </c>
      <c r="E8" s="5" t="s">
        <v>1954</v>
      </c>
      <c r="F8" s="25"/>
      <c r="H8" s="1">
        <v>10137.299999999999</v>
      </c>
      <c r="K8" s="11">
        <f t="shared" si="1"/>
        <v>10137.299999999999</v>
      </c>
      <c r="L8" s="26">
        <v>1</v>
      </c>
      <c r="M8" s="29">
        <f t="shared" si="2"/>
        <v>10137.299999999999</v>
      </c>
      <c r="N8" t="s">
        <v>2373</v>
      </c>
    </row>
    <row r="9" spans="1:14">
      <c r="A9" s="9" t="s">
        <v>1723</v>
      </c>
      <c r="B9" t="s">
        <v>603</v>
      </c>
      <c r="C9" s="5" t="s">
        <v>605</v>
      </c>
      <c r="D9" s="5" t="s">
        <v>2340</v>
      </c>
      <c r="E9" s="5" t="s">
        <v>2341</v>
      </c>
      <c r="F9" s="25"/>
      <c r="H9" s="1">
        <v>6784.95</v>
      </c>
      <c r="K9" s="11">
        <f t="shared" ref="K9:K10" si="3">SUM(G9:J9)</f>
        <v>6784.95</v>
      </c>
      <c r="L9" s="26">
        <v>1</v>
      </c>
      <c r="M9" s="29">
        <f t="shared" ref="M9:M10" si="4">+K9*L9</f>
        <v>6784.95</v>
      </c>
      <c r="N9" t="s">
        <v>2375</v>
      </c>
    </row>
    <row r="10" spans="1:14">
      <c r="A10" s="9" t="s">
        <v>1723</v>
      </c>
      <c r="B10" t="s">
        <v>1725</v>
      </c>
      <c r="C10" s="5" t="s">
        <v>1727</v>
      </c>
      <c r="D10" s="5" t="s">
        <v>2338</v>
      </c>
      <c r="E10" s="5" t="s">
        <v>2339</v>
      </c>
      <c r="F10" s="25"/>
      <c r="G10" s="1">
        <v>303</v>
      </c>
      <c r="K10" s="11">
        <f t="shared" si="3"/>
        <v>303</v>
      </c>
      <c r="L10" s="26">
        <v>1</v>
      </c>
      <c r="M10" s="29">
        <f t="shared" si="4"/>
        <v>303</v>
      </c>
      <c r="N10" t="s">
        <v>2376</v>
      </c>
    </row>
    <row r="11" spans="1:14">
      <c r="A11" s="9" t="s">
        <v>1723</v>
      </c>
      <c r="B11" t="s">
        <v>1728</v>
      </c>
      <c r="C11" s="5" t="s">
        <v>1730</v>
      </c>
      <c r="D11" s="5" t="s">
        <v>2361</v>
      </c>
      <c r="E11" s="5" t="s">
        <v>2362</v>
      </c>
      <c r="F11" s="25"/>
      <c r="G11" s="1">
        <v>33626.03</v>
      </c>
      <c r="K11" s="11">
        <f t="shared" ref="K11:K24" si="5">SUM(G11:J11)</f>
        <v>33626.03</v>
      </c>
      <c r="L11" s="26">
        <v>1</v>
      </c>
      <c r="M11" s="29">
        <f t="shared" ref="M11:M24" si="6">+K11*L11</f>
        <v>33626.03</v>
      </c>
      <c r="N11" t="s">
        <v>2376</v>
      </c>
    </row>
    <row r="12" spans="1:14">
      <c r="A12" s="9" t="s">
        <v>1097</v>
      </c>
      <c r="B12" t="s">
        <v>525</v>
      </c>
      <c r="C12" s="5" t="s">
        <v>527</v>
      </c>
      <c r="D12" s="5" t="s">
        <v>1935</v>
      </c>
      <c r="E12" s="5" t="s">
        <v>1936</v>
      </c>
      <c r="F12" s="25"/>
      <c r="G12" s="1">
        <v>245954.22</v>
      </c>
      <c r="K12" s="11">
        <f t="shared" si="5"/>
        <v>245954.22</v>
      </c>
      <c r="L12" s="26">
        <v>1</v>
      </c>
      <c r="M12" s="29">
        <f t="shared" si="6"/>
        <v>245954.22</v>
      </c>
      <c r="N12" t="s">
        <v>2377</v>
      </c>
    </row>
    <row r="13" spans="1:14">
      <c r="A13" s="9" t="s">
        <v>1715</v>
      </c>
      <c r="B13" t="s">
        <v>525</v>
      </c>
      <c r="C13" s="5" t="s">
        <v>527</v>
      </c>
      <c r="D13" s="5" t="s">
        <v>1935</v>
      </c>
      <c r="E13" s="5" t="s">
        <v>1936</v>
      </c>
      <c r="F13" s="25"/>
      <c r="G13" s="1">
        <v>50000</v>
      </c>
      <c r="K13" s="11">
        <f t="shared" si="5"/>
        <v>50000</v>
      </c>
      <c r="L13" s="26">
        <v>1</v>
      </c>
      <c r="M13" s="29">
        <f t="shared" si="6"/>
        <v>50000</v>
      </c>
      <c r="N13" t="s">
        <v>2377</v>
      </c>
    </row>
    <row r="14" spans="1:14">
      <c r="A14" s="9" t="s">
        <v>1723</v>
      </c>
      <c r="B14" t="s">
        <v>525</v>
      </c>
      <c r="C14" s="5" t="s">
        <v>527</v>
      </c>
      <c r="D14" s="5" t="s">
        <v>1935</v>
      </c>
      <c r="E14" s="5" t="s">
        <v>1936</v>
      </c>
      <c r="F14" s="25"/>
      <c r="G14" s="1">
        <v>7968</v>
      </c>
      <c r="H14" s="1">
        <v>897.96</v>
      </c>
      <c r="K14" s="11">
        <f t="shared" si="5"/>
        <v>8865.9599999999991</v>
      </c>
      <c r="L14" s="26">
        <v>1</v>
      </c>
      <c r="M14" s="29">
        <f t="shared" si="6"/>
        <v>8865.9599999999991</v>
      </c>
      <c r="N14" t="s">
        <v>2377</v>
      </c>
    </row>
    <row r="15" spans="1:14">
      <c r="A15" s="9" t="s">
        <v>1883</v>
      </c>
      <c r="B15" t="s">
        <v>525</v>
      </c>
      <c r="C15" s="5" t="s">
        <v>527</v>
      </c>
      <c r="D15" s="5" t="s">
        <v>1935</v>
      </c>
      <c r="E15" s="5" t="s">
        <v>1936</v>
      </c>
      <c r="F15" s="25"/>
      <c r="G15" s="1">
        <v>10</v>
      </c>
      <c r="H15" s="1">
        <v>36467.29</v>
      </c>
      <c r="K15" s="11">
        <f t="shared" si="5"/>
        <v>36477.29</v>
      </c>
      <c r="L15" s="26">
        <v>1</v>
      </c>
      <c r="M15" s="29">
        <f t="shared" si="6"/>
        <v>36477.29</v>
      </c>
      <c r="N15" t="s">
        <v>2377</v>
      </c>
    </row>
    <row r="16" spans="1:14">
      <c r="A16" s="9" t="s">
        <v>1097</v>
      </c>
      <c r="B16" t="s">
        <v>477</v>
      </c>
      <c r="C16" s="5" t="s">
        <v>479</v>
      </c>
      <c r="D16" s="5" t="s">
        <v>1947</v>
      </c>
      <c r="E16" s="5" t="s">
        <v>1948</v>
      </c>
      <c r="F16" s="25"/>
      <c r="G16" s="1">
        <v>110903.36</v>
      </c>
      <c r="H16" s="1">
        <v>81303.66</v>
      </c>
      <c r="K16" s="11">
        <f t="shared" si="5"/>
        <v>192207.02000000002</v>
      </c>
      <c r="L16" s="26">
        <v>1</v>
      </c>
      <c r="M16" s="29">
        <f t="shared" si="6"/>
        <v>192207.02000000002</v>
      </c>
      <c r="N16" t="s">
        <v>2377</v>
      </c>
    </row>
    <row r="17" spans="1:14">
      <c r="A17" s="9" t="s">
        <v>1883</v>
      </c>
      <c r="B17" t="s">
        <v>477</v>
      </c>
      <c r="C17" s="5" t="s">
        <v>479</v>
      </c>
      <c r="D17" s="5" t="s">
        <v>1947</v>
      </c>
      <c r="E17" s="5" t="s">
        <v>1948</v>
      </c>
      <c r="F17" s="25"/>
      <c r="G17" s="1">
        <v>725</v>
      </c>
      <c r="H17" s="1">
        <v>98760.46</v>
      </c>
      <c r="K17" s="11">
        <f t="shared" si="5"/>
        <v>99485.46</v>
      </c>
      <c r="L17" s="26">
        <v>1</v>
      </c>
      <c r="M17" s="29">
        <f t="shared" si="6"/>
        <v>99485.46</v>
      </c>
      <c r="N17" t="s">
        <v>2377</v>
      </c>
    </row>
    <row r="18" spans="1:14">
      <c r="A18" s="9" t="s">
        <v>1885</v>
      </c>
      <c r="B18" t="s">
        <v>477</v>
      </c>
      <c r="C18" s="5" t="s">
        <v>479</v>
      </c>
      <c r="D18" s="5" t="s">
        <v>1947</v>
      </c>
      <c r="E18" s="5" t="s">
        <v>1948</v>
      </c>
      <c r="F18" s="25"/>
      <c r="H18" s="1">
        <v>4190.6499999999996</v>
      </c>
      <c r="K18" s="11">
        <f t="shared" si="5"/>
        <v>4190.6499999999996</v>
      </c>
      <c r="L18" s="26">
        <v>1</v>
      </c>
      <c r="M18" s="29">
        <f t="shared" si="6"/>
        <v>4190.6499999999996</v>
      </c>
      <c r="N18" t="s">
        <v>2377</v>
      </c>
    </row>
    <row r="19" spans="1:14">
      <c r="A19" s="9" t="s">
        <v>1097</v>
      </c>
      <c r="B19" t="s">
        <v>341</v>
      </c>
      <c r="C19" s="5" t="s">
        <v>343</v>
      </c>
      <c r="D19" s="5" t="s">
        <v>1923</v>
      </c>
      <c r="E19" s="5" t="s">
        <v>1924</v>
      </c>
      <c r="F19" s="25"/>
      <c r="G19" s="1">
        <v>4600.08</v>
      </c>
      <c r="H19" s="1">
        <v>140414.72</v>
      </c>
      <c r="K19" s="11">
        <f t="shared" si="5"/>
        <v>145014.79999999999</v>
      </c>
      <c r="L19" s="26">
        <v>1</v>
      </c>
      <c r="M19" s="29">
        <f t="shared" si="6"/>
        <v>145014.79999999999</v>
      </c>
      <c r="N19" t="s">
        <v>2376</v>
      </c>
    </row>
    <row r="20" spans="1:14">
      <c r="A20" s="9" t="s">
        <v>1715</v>
      </c>
      <c r="B20" t="s">
        <v>341</v>
      </c>
      <c r="C20" s="5" t="s">
        <v>343</v>
      </c>
      <c r="D20" s="5" t="s">
        <v>1923</v>
      </c>
      <c r="E20" s="5" t="s">
        <v>1924</v>
      </c>
      <c r="F20" s="25"/>
      <c r="H20" s="1">
        <v>52895.199999999997</v>
      </c>
      <c r="K20" s="11">
        <f t="shared" si="5"/>
        <v>52895.199999999997</v>
      </c>
      <c r="L20" s="26">
        <v>1</v>
      </c>
      <c r="M20" s="29">
        <f t="shared" si="6"/>
        <v>52895.199999999997</v>
      </c>
      <c r="N20" t="s">
        <v>2376</v>
      </c>
    </row>
    <row r="21" spans="1:14">
      <c r="A21" s="9" t="s">
        <v>1097</v>
      </c>
      <c r="B21" t="s">
        <v>615</v>
      </c>
      <c r="C21" s="5" t="s">
        <v>617</v>
      </c>
      <c r="D21" s="5" t="s">
        <v>1975</v>
      </c>
      <c r="E21" s="5" t="s">
        <v>1976</v>
      </c>
      <c r="F21" s="25"/>
      <c r="G21" s="1">
        <v>258556.48</v>
      </c>
      <c r="K21" s="11">
        <f t="shared" si="5"/>
        <v>258556.48</v>
      </c>
      <c r="L21" s="26">
        <v>1</v>
      </c>
      <c r="M21" s="29">
        <f t="shared" si="6"/>
        <v>258556.48</v>
      </c>
      <c r="N21" t="s">
        <v>2378</v>
      </c>
    </row>
    <row r="22" spans="1:14">
      <c r="A22" s="9" t="s">
        <v>1715</v>
      </c>
      <c r="B22" t="s">
        <v>615</v>
      </c>
      <c r="C22" s="5" t="s">
        <v>617</v>
      </c>
      <c r="D22" s="5" t="s">
        <v>1975</v>
      </c>
      <c r="E22" s="5" t="s">
        <v>1976</v>
      </c>
      <c r="F22" s="25"/>
      <c r="G22" s="1">
        <v>66190.399999999994</v>
      </c>
      <c r="K22" s="11">
        <f t="shared" si="5"/>
        <v>66190.399999999994</v>
      </c>
      <c r="L22" s="26">
        <v>1</v>
      </c>
      <c r="M22" s="29">
        <f t="shared" si="6"/>
        <v>66190.399999999994</v>
      </c>
      <c r="N22" t="s">
        <v>2378</v>
      </c>
    </row>
    <row r="23" spans="1:14">
      <c r="A23" s="9" t="s">
        <v>1723</v>
      </c>
      <c r="B23" t="s">
        <v>615</v>
      </c>
      <c r="C23" s="5" t="s">
        <v>617</v>
      </c>
      <c r="D23" s="5" t="s">
        <v>1975</v>
      </c>
      <c r="E23" s="5" t="s">
        <v>1976</v>
      </c>
      <c r="F23" s="25"/>
      <c r="H23" s="1">
        <v>598.52</v>
      </c>
      <c r="K23" s="11">
        <f t="shared" si="5"/>
        <v>598.52</v>
      </c>
      <c r="L23" s="26">
        <v>1</v>
      </c>
      <c r="M23" s="29">
        <f t="shared" si="6"/>
        <v>598.52</v>
      </c>
      <c r="N23" t="s">
        <v>2378</v>
      </c>
    </row>
    <row r="24" spans="1:14">
      <c r="A24" s="9" t="s">
        <v>1883</v>
      </c>
      <c r="B24" t="s">
        <v>615</v>
      </c>
      <c r="C24" s="5" t="s">
        <v>617</v>
      </c>
      <c r="D24" s="5" t="s">
        <v>1975</v>
      </c>
      <c r="E24" s="5" t="s">
        <v>1976</v>
      </c>
      <c r="F24" s="25"/>
      <c r="G24" s="1">
        <v>1850</v>
      </c>
      <c r="H24" s="1">
        <v>39987.94</v>
      </c>
      <c r="K24" s="11">
        <f t="shared" si="5"/>
        <v>41837.94</v>
      </c>
      <c r="L24" s="26">
        <v>1</v>
      </c>
      <c r="M24" s="29">
        <f t="shared" si="6"/>
        <v>41837.94</v>
      </c>
      <c r="N24" t="s">
        <v>2378</v>
      </c>
    </row>
    <row r="25" spans="1:14">
      <c r="A25" s="9" t="s">
        <v>1097</v>
      </c>
      <c r="B25" t="s">
        <v>338</v>
      </c>
      <c r="C25" s="5" t="s">
        <v>340</v>
      </c>
      <c r="D25" s="5" t="s">
        <v>1925</v>
      </c>
      <c r="E25" s="5" t="s">
        <v>1926</v>
      </c>
      <c r="F25" s="25"/>
      <c r="G25" s="1">
        <v>216782.36</v>
      </c>
      <c r="H25" s="1">
        <v>177871.39</v>
      </c>
      <c r="K25" s="11">
        <f t="shared" ref="K25:K27" si="7">SUM(G25:J25)</f>
        <v>394653.75</v>
      </c>
      <c r="L25" s="26">
        <v>1</v>
      </c>
      <c r="M25" s="29">
        <f t="shared" ref="M25:M27" si="8">+K25*L25</f>
        <v>394653.75</v>
      </c>
      <c r="N25" t="s">
        <v>2379</v>
      </c>
    </row>
    <row r="26" spans="1:14">
      <c r="A26" s="9" t="s">
        <v>1473</v>
      </c>
      <c r="B26" t="s">
        <v>338</v>
      </c>
      <c r="C26" s="5" t="s">
        <v>340</v>
      </c>
      <c r="D26" s="5" t="s">
        <v>1925</v>
      </c>
      <c r="E26" s="5" t="s">
        <v>1926</v>
      </c>
      <c r="F26" s="25"/>
      <c r="G26" s="1">
        <v>250</v>
      </c>
      <c r="K26" s="11">
        <f t="shared" si="7"/>
        <v>250</v>
      </c>
      <c r="L26" s="26">
        <v>1</v>
      </c>
      <c r="M26" s="29">
        <f t="shared" si="8"/>
        <v>250</v>
      </c>
      <c r="N26" t="s">
        <v>2379</v>
      </c>
    </row>
    <row r="27" spans="1:14">
      <c r="A27" s="9" t="s">
        <v>1715</v>
      </c>
      <c r="B27" t="s">
        <v>338</v>
      </c>
      <c r="C27" s="5" t="s">
        <v>340</v>
      </c>
      <c r="D27" s="5" t="s">
        <v>1925</v>
      </c>
      <c r="E27" s="5" t="s">
        <v>1926</v>
      </c>
      <c r="F27" s="25"/>
      <c r="G27" s="1">
        <v>26793.43</v>
      </c>
      <c r="K27" s="11">
        <f t="shared" si="7"/>
        <v>26793.43</v>
      </c>
      <c r="L27" s="26">
        <v>1</v>
      </c>
      <c r="M27" s="29">
        <f t="shared" si="8"/>
        <v>26793.43</v>
      </c>
      <c r="N27" t="s">
        <v>2379</v>
      </c>
    </row>
    <row r="28" spans="1:14">
      <c r="A28" s="9" t="s">
        <v>1723</v>
      </c>
      <c r="B28" t="s">
        <v>338</v>
      </c>
      <c r="C28" s="5" t="s">
        <v>340</v>
      </c>
      <c r="D28" s="5" t="s">
        <v>1925</v>
      </c>
      <c r="E28" s="5" t="s">
        <v>1926</v>
      </c>
      <c r="F28" s="25"/>
      <c r="G28" s="1">
        <v>87118.51</v>
      </c>
      <c r="H28" s="1">
        <v>273389.64</v>
      </c>
      <c r="K28" s="11">
        <f t="shared" ref="K28:K31" si="9">SUM(G28:J28)</f>
        <v>360508.15</v>
      </c>
      <c r="L28" s="26">
        <v>1</v>
      </c>
      <c r="M28" s="29">
        <f t="shared" ref="M28:M31" si="10">+K28*L28</f>
        <v>360508.15</v>
      </c>
      <c r="N28" t="s">
        <v>2379</v>
      </c>
    </row>
    <row r="29" spans="1:14">
      <c r="A29" s="9" t="s">
        <v>1715</v>
      </c>
      <c r="B29" t="s">
        <v>63</v>
      </c>
      <c r="C29" s="5" t="s">
        <v>65</v>
      </c>
      <c r="D29" s="5" t="s">
        <v>2247</v>
      </c>
      <c r="E29" s="5" t="s">
        <v>2248</v>
      </c>
      <c r="F29" s="25"/>
      <c r="G29" s="1">
        <v>12086.83</v>
      </c>
      <c r="H29" s="1">
        <v>1407.6</v>
      </c>
      <c r="K29" s="11">
        <f t="shared" si="9"/>
        <v>13494.43</v>
      </c>
      <c r="L29" s="26">
        <v>1</v>
      </c>
      <c r="M29" s="29">
        <f t="shared" si="10"/>
        <v>13494.43</v>
      </c>
      <c r="N29" t="s">
        <v>2380</v>
      </c>
    </row>
    <row r="30" spans="1:14">
      <c r="A30" s="9" t="s">
        <v>1723</v>
      </c>
      <c r="B30" t="s">
        <v>63</v>
      </c>
      <c r="C30" s="5" t="s">
        <v>65</v>
      </c>
      <c r="D30" s="5" t="s">
        <v>2247</v>
      </c>
      <c r="E30" s="5" t="s">
        <v>2248</v>
      </c>
      <c r="F30" s="25"/>
      <c r="G30" s="1">
        <v>21838.97</v>
      </c>
      <c r="H30" s="1">
        <v>244812.02</v>
      </c>
      <c r="K30" s="11">
        <f t="shared" si="9"/>
        <v>266650.99</v>
      </c>
      <c r="L30" s="26">
        <v>1</v>
      </c>
      <c r="M30" s="29">
        <f t="shared" si="10"/>
        <v>266650.99</v>
      </c>
      <c r="N30" t="s">
        <v>2380</v>
      </c>
    </row>
    <row r="31" spans="1:14">
      <c r="A31" s="9" t="s">
        <v>1723</v>
      </c>
      <c r="B31" t="s">
        <v>324</v>
      </c>
      <c r="C31" s="5" t="s">
        <v>326</v>
      </c>
      <c r="D31" s="5" t="s">
        <v>2297</v>
      </c>
      <c r="E31" s="5" t="s">
        <v>2298</v>
      </c>
      <c r="F31" s="25"/>
      <c r="G31" s="1">
        <v>6900</v>
      </c>
      <c r="K31" s="11">
        <f t="shared" si="9"/>
        <v>6900</v>
      </c>
      <c r="L31" s="26">
        <v>1</v>
      </c>
      <c r="M31" s="29">
        <f t="shared" si="10"/>
        <v>6900</v>
      </c>
      <c r="N31" t="s">
        <v>2376</v>
      </c>
    </row>
    <row r="32" spans="1:14">
      <c r="A32" s="9" t="s">
        <v>1097</v>
      </c>
      <c r="B32" t="s">
        <v>510</v>
      </c>
      <c r="C32" s="5" t="s">
        <v>512</v>
      </c>
      <c r="D32" s="5" t="s">
        <v>1970</v>
      </c>
      <c r="E32" s="5" t="s">
        <v>1971</v>
      </c>
      <c r="F32" s="25"/>
      <c r="G32" s="1">
        <v>87164</v>
      </c>
      <c r="K32" s="11">
        <f t="shared" ref="K32:K40" si="11">SUM(G32:J32)</f>
        <v>87164</v>
      </c>
      <c r="L32" s="26">
        <v>1</v>
      </c>
      <c r="M32" s="29">
        <f t="shared" ref="M32:M40" si="12">+K32*L32</f>
        <v>87164</v>
      </c>
      <c r="N32" t="s">
        <v>2381</v>
      </c>
    </row>
    <row r="33" spans="1:14">
      <c r="A33" s="9" t="s">
        <v>1715</v>
      </c>
      <c r="B33" t="s">
        <v>510</v>
      </c>
      <c r="C33" s="5" t="s">
        <v>512</v>
      </c>
      <c r="D33" s="5" t="s">
        <v>1970</v>
      </c>
      <c r="E33" s="5" t="s">
        <v>1971</v>
      </c>
      <c r="F33" s="25"/>
      <c r="G33" s="1">
        <v>21993.5</v>
      </c>
      <c r="H33" s="1">
        <v>17490</v>
      </c>
      <c r="K33" s="11">
        <f t="shared" si="11"/>
        <v>39483.5</v>
      </c>
      <c r="L33" s="26">
        <v>1</v>
      </c>
      <c r="M33" s="29">
        <f t="shared" si="12"/>
        <v>39483.5</v>
      </c>
      <c r="N33" t="s">
        <v>2381</v>
      </c>
    </row>
    <row r="34" spans="1:14">
      <c r="A34" s="9" t="s">
        <v>1723</v>
      </c>
      <c r="B34" t="s">
        <v>510</v>
      </c>
      <c r="C34" s="5" t="s">
        <v>512</v>
      </c>
      <c r="D34" s="5" t="s">
        <v>1970</v>
      </c>
      <c r="E34" s="5" t="s">
        <v>1971</v>
      </c>
      <c r="F34" s="25"/>
      <c r="H34" s="1">
        <v>11491.69</v>
      </c>
      <c r="K34" s="11">
        <f t="shared" si="11"/>
        <v>11491.69</v>
      </c>
      <c r="L34" s="26">
        <v>1</v>
      </c>
      <c r="M34" s="29">
        <f t="shared" si="12"/>
        <v>11491.69</v>
      </c>
      <c r="N34" t="s">
        <v>2381</v>
      </c>
    </row>
    <row r="35" spans="1:14">
      <c r="A35" s="9" t="s">
        <v>1723</v>
      </c>
      <c r="B35" t="s">
        <v>528</v>
      </c>
      <c r="C35" s="5" t="s">
        <v>530</v>
      </c>
      <c r="D35" s="5" t="s">
        <v>2363</v>
      </c>
      <c r="E35" s="5" t="s">
        <v>2364</v>
      </c>
      <c r="F35" s="25"/>
      <c r="G35" s="1">
        <v>6343.01</v>
      </c>
      <c r="H35" s="1">
        <v>1228.57</v>
      </c>
      <c r="K35" s="11">
        <f t="shared" si="11"/>
        <v>7571.58</v>
      </c>
      <c r="L35" s="26">
        <v>1</v>
      </c>
      <c r="M35" s="29">
        <f t="shared" si="12"/>
        <v>7571.58</v>
      </c>
      <c r="N35" t="s">
        <v>2382</v>
      </c>
    </row>
    <row r="36" spans="1:14">
      <c r="A36" s="9" t="s">
        <v>1097</v>
      </c>
      <c r="B36" t="s">
        <v>330</v>
      </c>
      <c r="C36" s="5" t="s">
        <v>332</v>
      </c>
      <c r="D36" s="5" t="s">
        <v>1966</v>
      </c>
      <c r="E36" s="5" t="s">
        <v>1967</v>
      </c>
      <c r="F36" s="25"/>
      <c r="G36" s="1">
        <v>59391.839999999997</v>
      </c>
      <c r="K36" s="11">
        <f t="shared" si="11"/>
        <v>59391.839999999997</v>
      </c>
      <c r="L36" s="26">
        <v>1</v>
      </c>
      <c r="M36" s="29">
        <f t="shared" si="12"/>
        <v>59391.839999999997</v>
      </c>
      <c r="N36" t="s">
        <v>2377</v>
      </c>
    </row>
    <row r="37" spans="1:14">
      <c r="A37" s="9" t="s">
        <v>1715</v>
      </c>
      <c r="B37" t="s">
        <v>330</v>
      </c>
      <c r="C37" s="5" t="s">
        <v>332</v>
      </c>
      <c r="D37" s="5" t="s">
        <v>1966</v>
      </c>
      <c r="E37" s="5" t="s">
        <v>1967</v>
      </c>
      <c r="F37" s="25"/>
      <c r="H37" s="1">
        <v>2217.69</v>
      </c>
      <c r="K37" s="11">
        <f t="shared" si="11"/>
        <v>2217.69</v>
      </c>
      <c r="L37" s="26">
        <v>1</v>
      </c>
      <c r="M37" s="29">
        <f t="shared" si="12"/>
        <v>2217.69</v>
      </c>
      <c r="N37" t="s">
        <v>2377</v>
      </c>
    </row>
    <row r="38" spans="1:14">
      <c r="A38" s="9" t="s">
        <v>1715</v>
      </c>
      <c r="B38" t="s">
        <v>657</v>
      </c>
      <c r="C38" s="5" t="s">
        <v>659</v>
      </c>
      <c r="D38" s="5" t="s">
        <v>1961</v>
      </c>
      <c r="E38" s="5" t="s">
        <v>2246</v>
      </c>
      <c r="F38" s="25"/>
      <c r="G38" s="1">
        <v>22130.75</v>
      </c>
      <c r="H38" s="1">
        <v>1588.06</v>
      </c>
      <c r="K38" s="11">
        <f t="shared" si="11"/>
        <v>23718.81</v>
      </c>
      <c r="L38" s="26">
        <v>1</v>
      </c>
      <c r="M38" s="29">
        <f t="shared" si="12"/>
        <v>23718.81</v>
      </c>
      <c r="N38" t="s">
        <v>2383</v>
      </c>
    </row>
    <row r="39" spans="1:14">
      <c r="A39" s="9" t="s">
        <v>1723</v>
      </c>
      <c r="B39" t="s">
        <v>657</v>
      </c>
      <c r="C39" s="5" t="s">
        <v>659</v>
      </c>
      <c r="D39" s="5" t="s">
        <v>1961</v>
      </c>
      <c r="E39" s="5" t="s">
        <v>2246</v>
      </c>
      <c r="F39" s="25"/>
      <c r="G39" s="1">
        <v>145174.73000000001</v>
      </c>
      <c r="H39" s="1">
        <v>79117.67</v>
      </c>
      <c r="K39" s="11">
        <f t="shared" si="11"/>
        <v>224292.40000000002</v>
      </c>
      <c r="L39" s="26">
        <v>1</v>
      </c>
      <c r="M39" s="29">
        <f t="shared" si="12"/>
        <v>224292.40000000002</v>
      </c>
      <c r="N39" t="s">
        <v>2383</v>
      </c>
    </row>
    <row r="40" spans="1:14">
      <c r="A40" s="9" t="s">
        <v>1715</v>
      </c>
      <c r="B40" t="s">
        <v>120</v>
      </c>
      <c r="C40" s="5" t="s">
        <v>122</v>
      </c>
      <c r="D40" s="5" t="s">
        <v>2284</v>
      </c>
      <c r="E40" s="5" t="s">
        <v>2285</v>
      </c>
      <c r="F40" s="25"/>
      <c r="G40" s="1">
        <v>3585</v>
      </c>
      <c r="K40" s="11">
        <f t="shared" si="11"/>
        <v>3585</v>
      </c>
      <c r="L40" s="26">
        <v>1</v>
      </c>
      <c r="M40" s="29">
        <f t="shared" si="12"/>
        <v>3585</v>
      </c>
      <c r="N40" t="s">
        <v>2384</v>
      </c>
    </row>
  </sheetData>
  <autoFilter ref="A5:N40" xr:uid="{B07C8A20-786D-42CF-92B3-697EAEE4CD7A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2D4C-EA25-4988-94BE-2F21A1FC5FD8}">
  <dimension ref="A1:S347"/>
  <sheetViews>
    <sheetView topLeftCell="E1" zoomScale="80" zoomScaleNormal="80" zoomScaleSheetLayoutView="86" workbookViewId="0">
      <pane ySplit="5" topLeftCell="A6" activePane="bottomLeft" state="frozen"/>
      <selection activeCell="C1" sqref="C1"/>
      <selection pane="bottomLeft" activeCell="O4" sqref="O4"/>
    </sheetView>
  </sheetViews>
  <sheetFormatPr defaultRowHeight="15"/>
  <cols>
    <col min="1" max="1" width="27.42578125" bestFit="1" customWidth="1"/>
    <col min="2" max="2" width="22.5703125" customWidth="1"/>
    <col min="3" max="3" width="99.5703125" customWidth="1"/>
    <col min="4" max="4" width="83.5703125" bestFit="1" customWidth="1"/>
    <col min="5" max="5" width="59.5703125" bestFit="1" customWidth="1"/>
    <col min="6" max="6" width="15.140625" customWidth="1"/>
    <col min="7" max="7" width="1.42578125" customWidth="1"/>
    <col min="8" max="11" width="15.140625" customWidth="1"/>
    <col min="12" max="12" width="14.5703125" customWidth="1"/>
    <col min="14" max="14" width="17.85546875" bestFit="1" customWidth="1"/>
    <col min="15" max="15" width="17.42578125" bestFit="1" customWidth="1"/>
    <col min="16" max="16" width="13" customWidth="1"/>
    <col min="17" max="17" width="16" bestFit="1" customWidth="1"/>
    <col min="18" max="18" width="17.140625" customWidth="1"/>
    <col min="19" max="19" width="11.85546875" customWidth="1"/>
  </cols>
  <sheetData>
    <row r="1" spans="1:19" ht="48" customHeight="1">
      <c r="A1" s="6" t="s">
        <v>0</v>
      </c>
      <c r="Q1" s="27" t="s">
        <v>1917</v>
      </c>
      <c r="R1" s="28">
        <v>0.15</v>
      </c>
    </row>
    <row r="2" spans="1:19" ht="21.75" customHeight="1">
      <c r="A2" s="7" t="s">
        <v>1</v>
      </c>
    </row>
    <row r="3" spans="1:19" ht="18">
      <c r="A3" s="8" t="s">
        <v>2</v>
      </c>
    </row>
    <row r="4" spans="1:19">
      <c r="F4" s="24">
        <f>SUM(F6:F347)</f>
        <v>0</v>
      </c>
      <c r="G4" s="11"/>
      <c r="H4" s="11">
        <f>SUM(H6:H347)</f>
        <v>5280683.5200000005</v>
      </c>
      <c r="I4" s="11">
        <f>SUM(I6:I347)</f>
        <v>1977549.4299999997</v>
      </c>
      <c r="J4" s="11">
        <f>SUM(J6:J347)</f>
        <v>538140.62</v>
      </c>
      <c r="K4" s="11">
        <f>SUM(K6:K347)</f>
        <v>56090.030000000006</v>
      </c>
      <c r="L4" s="23">
        <f>SUM(L6:L347)</f>
        <v>7852463.6000000071</v>
      </c>
      <c r="N4" s="43">
        <f>SUM(N6:N347)</f>
        <v>5215162.5000999998</v>
      </c>
      <c r="O4" s="43">
        <f t="shared" ref="O4:P4" si="0">SUM(O6:O347)</f>
        <v>2000359.2345</v>
      </c>
      <c r="P4" s="43">
        <f t="shared" si="0"/>
        <v>529884.87045000016</v>
      </c>
      <c r="Q4" s="23">
        <f>SUM(Q6:Q347)</f>
        <v>7745406.605050005</v>
      </c>
      <c r="R4" s="23">
        <f>SUM(R6:R347)</f>
        <v>8907217.595807502</v>
      </c>
    </row>
    <row r="5" spans="1:19" ht="42" customHeight="1">
      <c r="A5" s="18" t="s">
        <v>1899</v>
      </c>
      <c r="B5" s="18" t="s">
        <v>9</v>
      </c>
      <c r="C5" s="18" t="s">
        <v>10</v>
      </c>
      <c r="D5" s="18" t="s">
        <v>2367</v>
      </c>
      <c r="E5" s="18" t="s">
        <v>2368</v>
      </c>
      <c r="F5" s="19" t="s">
        <v>5</v>
      </c>
      <c r="G5" s="41"/>
      <c r="H5" s="18" t="s">
        <v>3</v>
      </c>
      <c r="I5" s="18" t="s">
        <v>4</v>
      </c>
      <c r="J5" s="18" t="s">
        <v>6</v>
      </c>
      <c r="K5" s="18" t="s">
        <v>7</v>
      </c>
      <c r="L5" s="18" t="s">
        <v>1911</v>
      </c>
      <c r="M5" s="20" t="s">
        <v>1912</v>
      </c>
      <c r="N5" s="42" t="s">
        <v>2618</v>
      </c>
      <c r="O5" s="42" t="s">
        <v>2619</v>
      </c>
      <c r="P5" s="42" t="s">
        <v>2620</v>
      </c>
      <c r="Q5" s="21" t="s">
        <v>1913</v>
      </c>
      <c r="R5" s="22" t="s">
        <v>1914</v>
      </c>
      <c r="S5" s="22" t="s">
        <v>1915</v>
      </c>
    </row>
    <row r="6" spans="1:19">
      <c r="A6" s="9" t="s">
        <v>1473</v>
      </c>
      <c r="B6" t="s">
        <v>1610</v>
      </c>
      <c r="C6" s="5" t="s">
        <v>1612</v>
      </c>
      <c r="D6" s="5" t="s">
        <v>2144</v>
      </c>
      <c r="E6" s="5" t="s">
        <v>2145</v>
      </c>
      <c r="F6" s="25"/>
      <c r="H6" s="1">
        <v>1485</v>
      </c>
      <c r="L6" s="11">
        <f>SUM(H6:K6)</f>
        <v>1485</v>
      </c>
      <c r="M6" s="26">
        <v>1</v>
      </c>
      <c r="N6" s="11">
        <f>+H6*M6</f>
        <v>1485</v>
      </c>
      <c r="O6" s="11">
        <f>+(+I6+K6)*M6</f>
        <v>0</v>
      </c>
      <c r="P6" s="11">
        <f>+J6*M6</f>
        <v>0</v>
      </c>
      <c r="Q6" s="29">
        <f>+L6*M6</f>
        <v>1485</v>
      </c>
      <c r="R6" s="29">
        <f>+Q6+(+Q6*$R$1)</f>
        <v>1707.75</v>
      </c>
      <c r="S6" t="s">
        <v>2369</v>
      </c>
    </row>
    <row r="7" spans="1:19">
      <c r="A7" s="9" t="s">
        <v>1473</v>
      </c>
      <c r="B7" t="s">
        <v>1517</v>
      </c>
      <c r="C7" s="5" t="s">
        <v>1519</v>
      </c>
      <c r="D7" s="5" t="s">
        <v>2070</v>
      </c>
      <c r="E7" s="5" t="s">
        <v>2071</v>
      </c>
      <c r="F7" s="25"/>
      <c r="H7" s="1">
        <v>760</v>
      </c>
      <c r="J7" s="1">
        <v>1008.475</v>
      </c>
      <c r="L7" s="11">
        <f t="shared" ref="L7:L70" si="1">SUM(H7:K7)</f>
        <v>1768.4749999999999</v>
      </c>
      <c r="M7" s="26">
        <v>1</v>
      </c>
      <c r="N7" s="11">
        <f t="shared" ref="N7:N70" si="2">+H7*M7</f>
        <v>760</v>
      </c>
      <c r="O7" s="11">
        <f t="shared" ref="O7:O70" si="3">+(+I7+K7)*M7</f>
        <v>0</v>
      </c>
      <c r="P7" s="11">
        <f t="shared" ref="P7:P70" si="4">+J7*M7</f>
        <v>1008.475</v>
      </c>
      <c r="Q7" s="29">
        <f t="shared" ref="Q7:Q70" si="5">+L7*M7</f>
        <v>1768.4749999999999</v>
      </c>
      <c r="R7" s="29">
        <f t="shared" ref="R7:R70" si="6">+Q7+(+Q7*$R$1)</f>
        <v>2033.7462499999999</v>
      </c>
      <c r="S7" t="s">
        <v>2369</v>
      </c>
    </row>
    <row r="8" spans="1:19">
      <c r="A8" s="9" t="s">
        <v>1399</v>
      </c>
      <c r="B8" t="s">
        <v>1470</v>
      </c>
      <c r="C8" s="5" t="s">
        <v>1472</v>
      </c>
      <c r="D8" s="5" t="s">
        <v>2029</v>
      </c>
      <c r="E8" s="5" t="s">
        <v>2030</v>
      </c>
      <c r="F8" s="25"/>
      <c r="H8" s="1">
        <v>220</v>
      </c>
      <c r="L8" s="11">
        <f t="shared" si="1"/>
        <v>220</v>
      </c>
      <c r="M8" s="26">
        <v>1</v>
      </c>
      <c r="N8" s="11">
        <f t="shared" si="2"/>
        <v>220</v>
      </c>
      <c r="O8" s="11">
        <f t="shared" si="3"/>
        <v>0</v>
      </c>
      <c r="P8" s="11">
        <f t="shared" si="4"/>
        <v>0</v>
      </c>
      <c r="Q8" s="29">
        <f t="shared" si="5"/>
        <v>220</v>
      </c>
      <c r="R8" s="29">
        <f t="shared" si="6"/>
        <v>253</v>
      </c>
      <c r="S8" t="s">
        <v>2369</v>
      </c>
    </row>
    <row r="9" spans="1:19">
      <c r="A9" s="9" t="s">
        <v>1473</v>
      </c>
      <c r="B9" t="s">
        <v>1470</v>
      </c>
      <c r="C9" s="5" t="s">
        <v>1472</v>
      </c>
      <c r="D9" s="5" t="s">
        <v>2029</v>
      </c>
      <c r="E9" s="5" t="s">
        <v>2030</v>
      </c>
      <c r="F9" s="25"/>
      <c r="H9" s="1">
        <v>15000</v>
      </c>
      <c r="J9" s="1">
        <v>1127.095</v>
      </c>
      <c r="L9" s="11">
        <f t="shared" si="1"/>
        <v>16127.094999999999</v>
      </c>
      <c r="M9" s="26">
        <v>1</v>
      </c>
      <c r="N9" s="11">
        <f t="shared" si="2"/>
        <v>15000</v>
      </c>
      <c r="O9" s="11">
        <f t="shared" si="3"/>
        <v>0</v>
      </c>
      <c r="P9" s="11">
        <f t="shared" si="4"/>
        <v>1127.095</v>
      </c>
      <c r="Q9" s="29">
        <f t="shared" si="5"/>
        <v>16127.094999999999</v>
      </c>
      <c r="R9" s="29">
        <f t="shared" si="6"/>
        <v>18546.159250000001</v>
      </c>
      <c r="S9" t="s">
        <v>2369</v>
      </c>
    </row>
    <row r="10" spans="1:19">
      <c r="A10" s="9" t="s">
        <v>1881</v>
      </c>
      <c r="B10" t="s">
        <v>1470</v>
      </c>
      <c r="C10" s="5" t="s">
        <v>1472</v>
      </c>
      <c r="D10" s="5" t="s">
        <v>2029</v>
      </c>
      <c r="E10" s="5" t="s">
        <v>2030</v>
      </c>
      <c r="F10" s="25"/>
      <c r="J10" s="1">
        <v>6811.83</v>
      </c>
      <c r="L10" s="11">
        <f t="shared" si="1"/>
        <v>6811.83</v>
      </c>
      <c r="M10" s="26">
        <v>1</v>
      </c>
      <c r="N10" s="11">
        <f t="shared" si="2"/>
        <v>0</v>
      </c>
      <c r="O10" s="11">
        <f t="shared" si="3"/>
        <v>0</v>
      </c>
      <c r="P10" s="11">
        <f t="shared" si="4"/>
        <v>6811.83</v>
      </c>
      <c r="Q10" s="29">
        <f t="shared" si="5"/>
        <v>6811.83</v>
      </c>
      <c r="R10" s="29">
        <f t="shared" si="6"/>
        <v>7833.6044999999995</v>
      </c>
      <c r="S10" t="s">
        <v>2369</v>
      </c>
    </row>
    <row r="11" spans="1:19">
      <c r="A11" s="9" t="s">
        <v>1473</v>
      </c>
      <c r="B11" t="s">
        <v>1502</v>
      </c>
      <c r="C11" s="5" t="s">
        <v>1504</v>
      </c>
      <c r="D11" s="5" t="s">
        <v>2058</v>
      </c>
      <c r="E11" s="5" t="s">
        <v>2059</v>
      </c>
      <c r="F11" s="25"/>
      <c r="H11" s="1">
        <v>7589.77</v>
      </c>
      <c r="J11" s="1">
        <v>797.78</v>
      </c>
      <c r="L11" s="11">
        <f t="shared" si="1"/>
        <v>8387.5500000000011</v>
      </c>
      <c r="M11" s="26">
        <v>1</v>
      </c>
      <c r="N11" s="11">
        <f t="shared" si="2"/>
        <v>7589.77</v>
      </c>
      <c r="O11" s="11">
        <f t="shared" si="3"/>
        <v>0</v>
      </c>
      <c r="P11" s="11">
        <f t="shared" si="4"/>
        <v>797.78</v>
      </c>
      <c r="Q11" s="29">
        <f t="shared" si="5"/>
        <v>8387.5500000000011</v>
      </c>
      <c r="R11" s="29">
        <f t="shared" si="6"/>
        <v>9645.6825000000008</v>
      </c>
      <c r="S11" t="s">
        <v>2369</v>
      </c>
    </row>
    <row r="12" spans="1:19">
      <c r="A12" s="9" t="s">
        <v>1473</v>
      </c>
      <c r="B12" t="s">
        <v>1526</v>
      </c>
      <c r="C12" s="5" t="s">
        <v>1528</v>
      </c>
      <c r="D12" s="5" t="s">
        <v>2076</v>
      </c>
      <c r="E12" s="5" t="s">
        <v>2077</v>
      </c>
      <c r="F12" s="25"/>
      <c r="H12" s="1">
        <v>4800</v>
      </c>
      <c r="L12" s="11">
        <f t="shared" si="1"/>
        <v>4800</v>
      </c>
      <c r="M12" s="26">
        <v>1</v>
      </c>
      <c r="N12" s="11">
        <f t="shared" si="2"/>
        <v>4800</v>
      </c>
      <c r="O12" s="11">
        <f t="shared" si="3"/>
        <v>0</v>
      </c>
      <c r="P12" s="11">
        <f t="shared" si="4"/>
        <v>0</v>
      </c>
      <c r="Q12" s="29">
        <f t="shared" si="5"/>
        <v>4800</v>
      </c>
      <c r="R12" s="29">
        <f t="shared" si="6"/>
        <v>5520</v>
      </c>
      <c r="S12" t="s">
        <v>2369</v>
      </c>
    </row>
    <row r="13" spans="1:19">
      <c r="A13" s="9" t="s">
        <v>1715</v>
      </c>
      <c r="B13" t="s">
        <v>54</v>
      </c>
      <c r="C13" s="5" t="s">
        <v>56</v>
      </c>
      <c r="D13" s="5" t="s">
        <v>2076</v>
      </c>
      <c r="E13" s="5" t="s">
        <v>2292</v>
      </c>
      <c r="F13" s="25"/>
      <c r="J13" s="1">
        <v>1292.43</v>
      </c>
      <c r="K13" s="1">
        <v>346.32</v>
      </c>
      <c r="L13" s="11">
        <f t="shared" si="1"/>
        <v>1638.75</v>
      </c>
      <c r="M13" s="26">
        <v>1</v>
      </c>
      <c r="N13" s="11">
        <f t="shared" si="2"/>
        <v>0</v>
      </c>
      <c r="O13" s="11">
        <f t="shared" si="3"/>
        <v>346.32</v>
      </c>
      <c r="P13" s="11">
        <f t="shared" si="4"/>
        <v>1292.43</v>
      </c>
      <c r="Q13" s="29">
        <f t="shared" si="5"/>
        <v>1638.75</v>
      </c>
      <c r="R13" s="29">
        <f t="shared" si="6"/>
        <v>1884.5625</v>
      </c>
      <c r="S13" t="s">
        <v>2369</v>
      </c>
    </row>
    <row r="14" spans="1:19">
      <c r="A14" s="9" t="s">
        <v>1723</v>
      </c>
      <c r="B14" t="s">
        <v>54</v>
      </c>
      <c r="C14" s="5" t="s">
        <v>56</v>
      </c>
      <c r="D14" s="5" t="s">
        <v>2076</v>
      </c>
      <c r="E14" s="5" t="s">
        <v>2292</v>
      </c>
      <c r="F14" s="25"/>
      <c r="H14" s="1">
        <v>18200</v>
      </c>
      <c r="L14" s="11">
        <f t="shared" si="1"/>
        <v>18200</v>
      </c>
      <c r="M14" s="26">
        <v>1</v>
      </c>
      <c r="N14" s="11">
        <f t="shared" si="2"/>
        <v>18200</v>
      </c>
      <c r="O14" s="11">
        <f t="shared" si="3"/>
        <v>0</v>
      </c>
      <c r="P14" s="11">
        <f t="shared" si="4"/>
        <v>0</v>
      </c>
      <c r="Q14" s="29">
        <f t="shared" si="5"/>
        <v>18200</v>
      </c>
      <c r="R14" s="29">
        <f t="shared" si="6"/>
        <v>20930</v>
      </c>
      <c r="S14" t="s">
        <v>2369</v>
      </c>
    </row>
    <row r="15" spans="1:19">
      <c r="A15" s="9" t="s">
        <v>1715</v>
      </c>
      <c r="B15" t="s">
        <v>45</v>
      </c>
      <c r="C15" s="5" t="s">
        <v>47</v>
      </c>
      <c r="D15" s="5" t="s">
        <v>2261</v>
      </c>
      <c r="E15" s="5" t="s">
        <v>2262</v>
      </c>
      <c r="F15" s="25"/>
      <c r="J15" s="1">
        <v>1270.8599999999999</v>
      </c>
      <c r="L15" s="11">
        <f t="shared" si="1"/>
        <v>1270.8599999999999</v>
      </c>
      <c r="M15" s="26">
        <v>1</v>
      </c>
      <c r="N15" s="11">
        <f t="shared" si="2"/>
        <v>0</v>
      </c>
      <c r="O15" s="11">
        <f t="shared" si="3"/>
        <v>0</v>
      </c>
      <c r="P15" s="11">
        <f t="shared" si="4"/>
        <v>1270.8599999999999</v>
      </c>
      <c r="Q15" s="29">
        <f t="shared" si="5"/>
        <v>1270.8599999999999</v>
      </c>
      <c r="R15" s="29">
        <f t="shared" si="6"/>
        <v>1461.4889999999998</v>
      </c>
      <c r="S15" t="s">
        <v>2370</v>
      </c>
    </row>
    <row r="16" spans="1:19">
      <c r="A16" s="9" t="s">
        <v>1723</v>
      </c>
      <c r="B16" t="s">
        <v>45</v>
      </c>
      <c r="C16" s="5" t="s">
        <v>47</v>
      </c>
      <c r="D16" s="5" t="s">
        <v>2261</v>
      </c>
      <c r="E16" s="5" t="s">
        <v>2262</v>
      </c>
      <c r="F16" s="25"/>
      <c r="H16" s="1">
        <v>15600</v>
      </c>
      <c r="L16" s="11">
        <f t="shared" si="1"/>
        <v>15600</v>
      </c>
      <c r="M16" s="26">
        <v>1</v>
      </c>
      <c r="N16" s="11">
        <f t="shared" si="2"/>
        <v>15600</v>
      </c>
      <c r="O16" s="11">
        <f t="shared" si="3"/>
        <v>0</v>
      </c>
      <c r="P16" s="11">
        <f t="shared" si="4"/>
        <v>0</v>
      </c>
      <c r="Q16" s="29">
        <f t="shared" si="5"/>
        <v>15600</v>
      </c>
      <c r="R16" s="29">
        <f t="shared" si="6"/>
        <v>17940</v>
      </c>
      <c r="S16" t="s">
        <v>2370</v>
      </c>
    </row>
    <row r="17" spans="1:19">
      <c r="A17" s="9" t="s">
        <v>1473</v>
      </c>
      <c r="B17" t="s">
        <v>1523</v>
      </c>
      <c r="C17" s="5" t="s">
        <v>1525</v>
      </c>
      <c r="D17" s="5" t="s">
        <v>2074</v>
      </c>
      <c r="E17" s="5" t="s">
        <v>2075</v>
      </c>
      <c r="F17" s="25"/>
      <c r="H17" s="1">
        <v>3424.5</v>
      </c>
      <c r="L17" s="11">
        <f t="shared" si="1"/>
        <v>3424.5</v>
      </c>
      <c r="M17" s="26">
        <v>1</v>
      </c>
      <c r="N17" s="11">
        <f t="shared" si="2"/>
        <v>3424.5</v>
      </c>
      <c r="O17" s="11">
        <f t="shared" si="3"/>
        <v>0</v>
      </c>
      <c r="P17" s="11">
        <f t="shared" si="4"/>
        <v>0</v>
      </c>
      <c r="Q17" s="29">
        <f t="shared" si="5"/>
        <v>3424.5</v>
      </c>
      <c r="R17" s="29">
        <f t="shared" si="6"/>
        <v>3938.1750000000002</v>
      </c>
      <c r="S17" t="s">
        <v>2369</v>
      </c>
    </row>
    <row r="18" spans="1:19">
      <c r="A18" s="9" t="s">
        <v>1399</v>
      </c>
      <c r="B18" t="s">
        <v>1449</v>
      </c>
      <c r="C18" s="5" t="s">
        <v>1451</v>
      </c>
      <c r="D18" s="5" t="s">
        <v>2015</v>
      </c>
      <c r="E18" s="5" t="s">
        <v>2016</v>
      </c>
      <c r="F18" s="25"/>
      <c r="J18" s="1">
        <v>2196.1799999999998</v>
      </c>
      <c r="L18" s="11">
        <f t="shared" si="1"/>
        <v>2196.1799999999998</v>
      </c>
      <c r="M18" s="26">
        <v>1</v>
      </c>
      <c r="N18" s="11">
        <f t="shared" si="2"/>
        <v>0</v>
      </c>
      <c r="O18" s="11">
        <f t="shared" si="3"/>
        <v>0</v>
      </c>
      <c r="P18" s="11">
        <f t="shared" si="4"/>
        <v>2196.1799999999998</v>
      </c>
      <c r="Q18" s="29">
        <f t="shared" si="5"/>
        <v>2196.1799999999998</v>
      </c>
      <c r="R18" s="29">
        <f t="shared" si="6"/>
        <v>2525.607</v>
      </c>
      <c r="S18" t="s">
        <v>2369</v>
      </c>
    </row>
    <row r="19" spans="1:19">
      <c r="A19" s="9" t="s">
        <v>1473</v>
      </c>
      <c r="B19" t="s">
        <v>1449</v>
      </c>
      <c r="C19" s="5" t="s">
        <v>1451</v>
      </c>
      <c r="D19" s="5" t="s">
        <v>2015</v>
      </c>
      <c r="E19" s="5" t="s">
        <v>2016</v>
      </c>
      <c r="F19" s="25"/>
      <c r="H19" s="1">
        <v>800</v>
      </c>
      <c r="J19" s="1">
        <v>2117.5700000000002</v>
      </c>
      <c r="L19" s="11">
        <f t="shared" si="1"/>
        <v>2917.57</v>
      </c>
      <c r="M19" s="26">
        <v>1</v>
      </c>
      <c r="N19" s="11">
        <f t="shared" si="2"/>
        <v>800</v>
      </c>
      <c r="O19" s="11">
        <f t="shared" si="3"/>
        <v>0</v>
      </c>
      <c r="P19" s="11">
        <f t="shared" si="4"/>
        <v>2117.5700000000002</v>
      </c>
      <c r="Q19" s="29">
        <f t="shared" si="5"/>
        <v>2917.57</v>
      </c>
      <c r="R19" s="29">
        <f t="shared" si="6"/>
        <v>3355.2055</v>
      </c>
      <c r="S19" t="s">
        <v>2369</v>
      </c>
    </row>
    <row r="20" spans="1:19">
      <c r="A20" s="9" t="s">
        <v>1715</v>
      </c>
      <c r="B20" t="s">
        <v>162</v>
      </c>
      <c r="C20" s="5" t="s">
        <v>164</v>
      </c>
      <c r="D20" s="5" t="s">
        <v>2328</v>
      </c>
      <c r="E20" s="5" t="s">
        <v>2329</v>
      </c>
      <c r="F20" s="25"/>
      <c r="H20" s="1">
        <v>2951.75</v>
      </c>
      <c r="L20" s="11">
        <f t="shared" si="1"/>
        <v>2951.75</v>
      </c>
      <c r="M20" s="26">
        <v>1</v>
      </c>
      <c r="N20" s="11">
        <f t="shared" si="2"/>
        <v>2951.75</v>
      </c>
      <c r="O20" s="11">
        <f t="shared" si="3"/>
        <v>0</v>
      </c>
      <c r="P20" s="11">
        <f t="shared" si="4"/>
        <v>0</v>
      </c>
      <c r="Q20" s="29">
        <f t="shared" si="5"/>
        <v>2951.75</v>
      </c>
      <c r="R20" s="29">
        <f t="shared" si="6"/>
        <v>3394.5124999999998</v>
      </c>
      <c r="S20" t="s">
        <v>2369</v>
      </c>
    </row>
    <row r="21" spans="1:19">
      <c r="A21" s="9" t="s">
        <v>1715</v>
      </c>
      <c r="B21" t="s">
        <v>513</v>
      </c>
      <c r="C21" s="5" t="s">
        <v>515</v>
      </c>
      <c r="D21" s="5" t="s">
        <v>2154</v>
      </c>
      <c r="E21" s="5" t="s">
        <v>2155</v>
      </c>
      <c r="F21" s="25"/>
      <c r="J21" s="1">
        <v>143.33000000000001</v>
      </c>
      <c r="L21" s="11">
        <f t="shared" si="1"/>
        <v>143.33000000000001</v>
      </c>
      <c r="M21" s="26">
        <v>1</v>
      </c>
      <c r="N21" s="11">
        <f t="shared" si="2"/>
        <v>0</v>
      </c>
      <c r="O21" s="11">
        <f t="shared" si="3"/>
        <v>0</v>
      </c>
      <c r="P21" s="11">
        <f t="shared" si="4"/>
        <v>143.33000000000001</v>
      </c>
      <c r="Q21" s="29">
        <f t="shared" si="5"/>
        <v>143.33000000000001</v>
      </c>
      <c r="R21" s="29">
        <f t="shared" si="6"/>
        <v>164.82950000000002</v>
      </c>
      <c r="S21" t="s">
        <v>2370</v>
      </c>
    </row>
    <row r="22" spans="1:19">
      <c r="A22" s="9" t="s">
        <v>1715</v>
      </c>
      <c r="B22" t="s">
        <v>513</v>
      </c>
      <c r="C22" s="5" t="s">
        <v>515</v>
      </c>
      <c r="D22" s="5" t="s">
        <v>2154</v>
      </c>
      <c r="E22" s="5" t="s">
        <v>2155</v>
      </c>
      <c r="F22" s="25"/>
      <c r="H22" s="1">
        <v>500</v>
      </c>
      <c r="I22" s="1">
        <v>-3376.6</v>
      </c>
      <c r="J22" s="1">
        <v>21677.505000000001</v>
      </c>
      <c r="K22" s="1">
        <v>1628.11</v>
      </c>
      <c r="L22" s="11">
        <f t="shared" si="1"/>
        <v>20429.015000000003</v>
      </c>
      <c r="M22" s="26">
        <v>1</v>
      </c>
      <c r="N22" s="11">
        <f t="shared" si="2"/>
        <v>500</v>
      </c>
      <c r="O22" s="11">
        <f t="shared" si="3"/>
        <v>-1748.49</v>
      </c>
      <c r="P22" s="11">
        <f t="shared" si="4"/>
        <v>21677.505000000001</v>
      </c>
      <c r="Q22" s="29">
        <f t="shared" si="5"/>
        <v>20429.015000000003</v>
      </c>
      <c r="R22" s="29">
        <f t="shared" si="6"/>
        <v>23493.367250000003</v>
      </c>
      <c r="S22" t="s">
        <v>2370</v>
      </c>
    </row>
    <row r="23" spans="1:19">
      <c r="A23" s="9" t="s">
        <v>1723</v>
      </c>
      <c r="B23" t="s">
        <v>513</v>
      </c>
      <c r="C23" s="5" t="s">
        <v>515</v>
      </c>
      <c r="D23" s="5" t="s">
        <v>2154</v>
      </c>
      <c r="E23" s="5" t="s">
        <v>2155</v>
      </c>
      <c r="F23" s="25"/>
      <c r="H23" s="1">
        <v>2144</v>
      </c>
      <c r="I23" s="1">
        <v>24940.89</v>
      </c>
      <c r="L23" s="11">
        <f t="shared" si="1"/>
        <v>27084.89</v>
      </c>
      <c r="M23" s="26">
        <v>1</v>
      </c>
      <c r="N23" s="11">
        <f t="shared" si="2"/>
        <v>2144</v>
      </c>
      <c r="O23" s="11">
        <f t="shared" si="3"/>
        <v>24940.89</v>
      </c>
      <c r="P23" s="11">
        <f t="shared" si="4"/>
        <v>0</v>
      </c>
      <c r="Q23" s="29">
        <f t="shared" si="5"/>
        <v>27084.89</v>
      </c>
      <c r="R23" s="29">
        <f t="shared" si="6"/>
        <v>31147.623499999998</v>
      </c>
      <c r="S23" t="s">
        <v>2370</v>
      </c>
    </row>
    <row r="24" spans="1:19">
      <c r="A24" s="9" t="s">
        <v>1715</v>
      </c>
      <c r="B24" t="s">
        <v>285</v>
      </c>
      <c r="C24" s="5" t="s">
        <v>287</v>
      </c>
      <c r="D24" s="5" t="s">
        <v>2257</v>
      </c>
      <c r="E24" s="5" t="s">
        <v>2258</v>
      </c>
      <c r="F24" s="25"/>
      <c r="H24" s="1">
        <v>6416.35</v>
      </c>
      <c r="I24" s="1">
        <v>6225.49</v>
      </c>
      <c r="J24" s="1">
        <v>21836.305</v>
      </c>
      <c r="K24" s="1">
        <v>827.57</v>
      </c>
      <c r="L24" s="11">
        <f t="shared" si="1"/>
        <v>35305.715000000004</v>
      </c>
      <c r="M24" s="26">
        <v>1</v>
      </c>
      <c r="N24" s="11">
        <f t="shared" si="2"/>
        <v>6416.35</v>
      </c>
      <c r="O24" s="11">
        <f t="shared" si="3"/>
        <v>7053.0599999999995</v>
      </c>
      <c r="P24" s="11">
        <f t="shared" si="4"/>
        <v>21836.305</v>
      </c>
      <c r="Q24" s="29">
        <f t="shared" si="5"/>
        <v>35305.715000000004</v>
      </c>
      <c r="R24" s="29">
        <f t="shared" si="6"/>
        <v>40601.572250000005</v>
      </c>
      <c r="S24" t="s">
        <v>2369</v>
      </c>
    </row>
    <row r="25" spans="1:19">
      <c r="A25" s="9" t="s">
        <v>1723</v>
      </c>
      <c r="B25" t="s">
        <v>285</v>
      </c>
      <c r="C25" s="5" t="s">
        <v>287</v>
      </c>
      <c r="D25" s="5" t="s">
        <v>2257</v>
      </c>
      <c r="E25" s="5" t="s">
        <v>2258</v>
      </c>
      <c r="F25" s="25"/>
      <c r="H25" s="1">
        <v>16365</v>
      </c>
      <c r="I25" s="1">
        <v>7584.95</v>
      </c>
      <c r="L25" s="11">
        <f t="shared" si="1"/>
        <v>23949.95</v>
      </c>
      <c r="M25" s="26">
        <v>1</v>
      </c>
      <c r="N25" s="11">
        <f t="shared" si="2"/>
        <v>16365</v>
      </c>
      <c r="O25" s="11">
        <f t="shared" si="3"/>
        <v>7584.95</v>
      </c>
      <c r="P25" s="11">
        <f t="shared" si="4"/>
        <v>0</v>
      </c>
      <c r="Q25" s="29">
        <f t="shared" si="5"/>
        <v>23949.95</v>
      </c>
      <c r="R25" s="29">
        <f t="shared" si="6"/>
        <v>27542.442500000001</v>
      </c>
      <c r="S25" t="s">
        <v>2369</v>
      </c>
    </row>
    <row r="26" spans="1:19">
      <c r="A26" s="9" t="s">
        <v>1715</v>
      </c>
      <c r="B26" t="s">
        <v>291</v>
      </c>
      <c r="C26" s="5" t="s">
        <v>293</v>
      </c>
      <c r="D26" s="5" t="s">
        <v>2319</v>
      </c>
      <c r="E26" s="5" t="s">
        <v>2320</v>
      </c>
      <c r="F26" s="25"/>
      <c r="H26" s="1">
        <v>715.42</v>
      </c>
      <c r="L26" s="11">
        <f t="shared" si="1"/>
        <v>715.42</v>
      </c>
      <c r="M26" s="26">
        <v>1</v>
      </c>
      <c r="N26" s="11">
        <f t="shared" si="2"/>
        <v>715.42</v>
      </c>
      <c r="O26" s="11">
        <f t="shared" si="3"/>
        <v>0</v>
      </c>
      <c r="P26" s="11">
        <f t="shared" si="4"/>
        <v>0</v>
      </c>
      <c r="Q26" s="29">
        <f t="shared" si="5"/>
        <v>715.42</v>
      </c>
      <c r="R26" s="29">
        <f t="shared" si="6"/>
        <v>822.73299999999995</v>
      </c>
      <c r="S26" t="s">
        <v>2370</v>
      </c>
    </row>
    <row r="27" spans="1:19">
      <c r="A27" s="9" t="s">
        <v>1723</v>
      </c>
      <c r="B27" t="s">
        <v>291</v>
      </c>
      <c r="C27" s="5" t="s">
        <v>293</v>
      </c>
      <c r="D27" s="5" t="s">
        <v>2319</v>
      </c>
      <c r="E27" s="5" t="s">
        <v>2320</v>
      </c>
      <c r="F27" s="25"/>
      <c r="H27" s="1">
        <v>5007.9399999999996</v>
      </c>
      <c r="I27" s="1">
        <v>12774</v>
      </c>
      <c r="L27" s="11">
        <f t="shared" si="1"/>
        <v>17781.939999999999</v>
      </c>
      <c r="M27" s="26">
        <v>1</v>
      </c>
      <c r="N27" s="11">
        <f t="shared" si="2"/>
        <v>5007.9399999999996</v>
      </c>
      <c r="O27" s="11">
        <f t="shared" si="3"/>
        <v>12774</v>
      </c>
      <c r="P27" s="11">
        <f t="shared" si="4"/>
        <v>0</v>
      </c>
      <c r="Q27" s="29">
        <f t="shared" si="5"/>
        <v>17781.939999999999</v>
      </c>
      <c r="R27" s="29">
        <f t="shared" si="6"/>
        <v>20449.231</v>
      </c>
      <c r="S27" t="s">
        <v>2370</v>
      </c>
    </row>
    <row r="28" spans="1:19">
      <c r="A28" s="9" t="s">
        <v>1473</v>
      </c>
      <c r="B28" t="s">
        <v>1658</v>
      </c>
      <c r="C28" s="5" t="s">
        <v>1660</v>
      </c>
      <c r="D28" s="5" t="s">
        <v>2179</v>
      </c>
      <c r="E28" s="5" t="s">
        <v>2180</v>
      </c>
      <c r="F28" s="25"/>
      <c r="H28" s="1">
        <v>1300</v>
      </c>
      <c r="L28" s="11">
        <f t="shared" si="1"/>
        <v>1300</v>
      </c>
      <c r="M28" s="26">
        <v>1</v>
      </c>
      <c r="N28" s="11">
        <f t="shared" si="2"/>
        <v>1300</v>
      </c>
      <c r="O28" s="11">
        <f t="shared" si="3"/>
        <v>0</v>
      </c>
      <c r="P28" s="11">
        <f t="shared" si="4"/>
        <v>0</v>
      </c>
      <c r="Q28" s="29">
        <f t="shared" si="5"/>
        <v>1300</v>
      </c>
      <c r="R28" s="29">
        <f t="shared" si="6"/>
        <v>1495</v>
      </c>
      <c r="S28" t="s">
        <v>2369</v>
      </c>
    </row>
    <row r="29" spans="1:19">
      <c r="A29" s="9" t="s">
        <v>1715</v>
      </c>
      <c r="B29" t="s">
        <v>30</v>
      </c>
      <c r="C29" s="5" t="s">
        <v>32</v>
      </c>
      <c r="D29" s="5" t="s">
        <v>2179</v>
      </c>
      <c r="E29" s="5" t="s">
        <v>2327</v>
      </c>
      <c r="F29" s="25"/>
      <c r="H29" s="1">
        <v>5541.5</v>
      </c>
      <c r="J29" s="1">
        <v>268.66000000000003</v>
      </c>
      <c r="L29" s="11">
        <f t="shared" si="1"/>
        <v>5810.16</v>
      </c>
      <c r="M29" s="26">
        <v>1</v>
      </c>
      <c r="N29" s="11">
        <f t="shared" si="2"/>
        <v>5541.5</v>
      </c>
      <c r="O29" s="11">
        <f t="shared" si="3"/>
        <v>0</v>
      </c>
      <c r="P29" s="11">
        <f t="shared" si="4"/>
        <v>268.66000000000003</v>
      </c>
      <c r="Q29" s="29">
        <f t="shared" si="5"/>
        <v>5810.16</v>
      </c>
      <c r="R29" s="29">
        <f t="shared" si="6"/>
        <v>6681.6840000000002</v>
      </c>
      <c r="S29" t="s">
        <v>2371</v>
      </c>
    </row>
    <row r="30" spans="1:19">
      <c r="A30" s="9" t="s">
        <v>1723</v>
      </c>
      <c r="B30" t="s">
        <v>30</v>
      </c>
      <c r="C30" s="5" t="s">
        <v>32</v>
      </c>
      <c r="D30" s="5" t="s">
        <v>2179</v>
      </c>
      <c r="E30" s="5" t="s">
        <v>2327</v>
      </c>
      <c r="F30" s="25"/>
      <c r="H30" s="1">
        <v>22155.75</v>
      </c>
      <c r="I30" s="1">
        <v>13364.16</v>
      </c>
      <c r="L30" s="11">
        <f t="shared" si="1"/>
        <v>35519.910000000003</v>
      </c>
      <c r="M30" s="26">
        <v>1</v>
      </c>
      <c r="N30" s="11">
        <f t="shared" si="2"/>
        <v>22155.75</v>
      </c>
      <c r="O30" s="11">
        <f t="shared" si="3"/>
        <v>13364.16</v>
      </c>
      <c r="P30" s="11">
        <f t="shared" si="4"/>
        <v>0</v>
      </c>
      <c r="Q30" s="29">
        <f t="shared" si="5"/>
        <v>35519.910000000003</v>
      </c>
      <c r="R30" s="29">
        <f t="shared" si="6"/>
        <v>40847.896500000003</v>
      </c>
      <c r="S30" t="s">
        <v>2371</v>
      </c>
    </row>
    <row r="31" spans="1:19">
      <c r="A31" s="9" t="s">
        <v>1715</v>
      </c>
      <c r="B31" t="s">
        <v>498</v>
      </c>
      <c r="C31" s="5" t="s">
        <v>500</v>
      </c>
      <c r="D31" s="5" t="s">
        <v>2238</v>
      </c>
      <c r="E31" s="5" t="s">
        <v>2239</v>
      </c>
      <c r="F31" s="25"/>
      <c r="J31" s="1">
        <v>2682.68</v>
      </c>
      <c r="L31" s="11">
        <f t="shared" si="1"/>
        <v>2682.68</v>
      </c>
      <c r="M31" s="26">
        <v>1</v>
      </c>
      <c r="N31" s="11">
        <f t="shared" si="2"/>
        <v>0</v>
      </c>
      <c r="O31" s="11">
        <f t="shared" si="3"/>
        <v>0</v>
      </c>
      <c r="P31" s="11">
        <f t="shared" si="4"/>
        <v>2682.68</v>
      </c>
      <c r="Q31" s="29">
        <f t="shared" si="5"/>
        <v>2682.68</v>
      </c>
      <c r="R31" s="29">
        <f t="shared" si="6"/>
        <v>3085.0819999999999</v>
      </c>
      <c r="S31" t="s">
        <v>2372</v>
      </c>
    </row>
    <row r="32" spans="1:19">
      <c r="A32" s="9" t="s">
        <v>1723</v>
      </c>
      <c r="B32" t="s">
        <v>498</v>
      </c>
      <c r="C32" s="5" t="s">
        <v>500</v>
      </c>
      <c r="D32" s="5" t="s">
        <v>2238</v>
      </c>
      <c r="E32" s="5" t="s">
        <v>2239</v>
      </c>
      <c r="F32" s="25"/>
      <c r="H32" s="1">
        <v>5335.68</v>
      </c>
      <c r="L32" s="11">
        <f t="shared" si="1"/>
        <v>5335.68</v>
      </c>
      <c r="M32" s="26">
        <v>1</v>
      </c>
      <c r="N32" s="11">
        <f t="shared" si="2"/>
        <v>5335.68</v>
      </c>
      <c r="O32" s="11">
        <f t="shared" si="3"/>
        <v>0</v>
      </c>
      <c r="P32" s="11">
        <f t="shared" si="4"/>
        <v>0</v>
      </c>
      <c r="Q32" s="29">
        <f t="shared" si="5"/>
        <v>5335.68</v>
      </c>
      <c r="R32" s="29">
        <f t="shared" si="6"/>
        <v>6136.0320000000002</v>
      </c>
      <c r="S32" t="s">
        <v>2372</v>
      </c>
    </row>
    <row r="33" spans="1:19">
      <c r="A33" s="9" t="s">
        <v>1715</v>
      </c>
      <c r="B33" t="s">
        <v>78</v>
      </c>
      <c r="C33" s="5" t="s">
        <v>80</v>
      </c>
      <c r="D33" s="5" t="s">
        <v>2230</v>
      </c>
      <c r="E33" s="5" t="s">
        <v>2231</v>
      </c>
      <c r="F33" s="25"/>
      <c r="I33" s="1">
        <v>11379.78</v>
      </c>
      <c r="J33" s="1">
        <v>75.349999999999994</v>
      </c>
      <c r="L33" s="11">
        <f t="shared" si="1"/>
        <v>11455.130000000001</v>
      </c>
      <c r="M33" s="26">
        <v>1</v>
      </c>
      <c r="N33" s="11">
        <f t="shared" si="2"/>
        <v>0</v>
      </c>
      <c r="O33" s="11">
        <f t="shared" si="3"/>
        <v>11379.78</v>
      </c>
      <c r="P33" s="11">
        <f t="shared" si="4"/>
        <v>75.349999999999994</v>
      </c>
      <c r="Q33" s="29">
        <f t="shared" si="5"/>
        <v>11455.130000000001</v>
      </c>
      <c r="R33" s="29">
        <f t="shared" si="6"/>
        <v>13173.399500000001</v>
      </c>
      <c r="S33" t="s">
        <v>2369</v>
      </c>
    </row>
    <row r="34" spans="1:19">
      <c r="A34" s="9" t="s">
        <v>1473</v>
      </c>
      <c r="B34" t="s">
        <v>1499</v>
      </c>
      <c r="C34" s="5" t="s">
        <v>1501</v>
      </c>
      <c r="D34" s="5" t="s">
        <v>2054</v>
      </c>
      <c r="E34" s="5" t="s">
        <v>2055</v>
      </c>
      <c r="F34" s="25"/>
      <c r="H34" s="1">
        <v>13674.63</v>
      </c>
      <c r="J34" s="1">
        <v>807.875</v>
      </c>
      <c r="L34" s="11">
        <f t="shared" si="1"/>
        <v>14482.504999999999</v>
      </c>
      <c r="M34" s="26">
        <v>1</v>
      </c>
      <c r="N34" s="11">
        <f t="shared" si="2"/>
        <v>13674.63</v>
      </c>
      <c r="O34" s="11">
        <f t="shared" si="3"/>
        <v>0</v>
      </c>
      <c r="P34" s="11">
        <f t="shared" si="4"/>
        <v>807.875</v>
      </c>
      <c r="Q34" s="29">
        <f t="shared" si="5"/>
        <v>14482.504999999999</v>
      </c>
      <c r="R34" s="29">
        <f t="shared" si="6"/>
        <v>16654.88075</v>
      </c>
      <c r="S34" t="s">
        <v>2369</v>
      </c>
    </row>
    <row r="35" spans="1:19">
      <c r="A35" s="9" t="s">
        <v>1399</v>
      </c>
      <c r="B35" t="s">
        <v>1455</v>
      </c>
      <c r="C35" s="5" t="s">
        <v>1457</v>
      </c>
      <c r="D35" s="5" t="s">
        <v>2019</v>
      </c>
      <c r="E35" s="5" t="s">
        <v>2020</v>
      </c>
      <c r="F35" s="25"/>
      <c r="J35" s="1">
        <v>290.27999999999997</v>
      </c>
      <c r="L35" s="11">
        <f t="shared" si="1"/>
        <v>290.27999999999997</v>
      </c>
      <c r="M35" s="26">
        <v>1</v>
      </c>
      <c r="N35" s="11">
        <f t="shared" si="2"/>
        <v>0</v>
      </c>
      <c r="O35" s="11">
        <f t="shared" si="3"/>
        <v>0</v>
      </c>
      <c r="P35" s="11">
        <f t="shared" si="4"/>
        <v>290.27999999999997</v>
      </c>
      <c r="Q35" s="29">
        <f t="shared" si="5"/>
        <v>290.27999999999997</v>
      </c>
      <c r="R35" s="29">
        <f t="shared" si="6"/>
        <v>333.82199999999995</v>
      </c>
      <c r="S35" t="s">
        <v>2369</v>
      </c>
    </row>
    <row r="36" spans="1:19">
      <c r="A36" s="9" t="s">
        <v>1473</v>
      </c>
      <c r="B36" t="s">
        <v>1592</v>
      </c>
      <c r="C36" s="5" t="s">
        <v>1594</v>
      </c>
      <c r="D36" s="5" t="s">
        <v>2132</v>
      </c>
      <c r="E36" s="5" t="s">
        <v>2133</v>
      </c>
      <c r="F36" s="25"/>
      <c r="J36" s="1">
        <v>530.16</v>
      </c>
      <c r="L36" s="11">
        <f t="shared" si="1"/>
        <v>530.16</v>
      </c>
      <c r="M36" s="26">
        <v>1</v>
      </c>
      <c r="N36" s="11">
        <f t="shared" si="2"/>
        <v>0</v>
      </c>
      <c r="O36" s="11">
        <f t="shared" si="3"/>
        <v>0</v>
      </c>
      <c r="P36" s="11">
        <f t="shared" si="4"/>
        <v>530.16</v>
      </c>
      <c r="Q36" s="29">
        <f t="shared" si="5"/>
        <v>530.16</v>
      </c>
      <c r="R36" s="29">
        <f t="shared" si="6"/>
        <v>609.68399999999997</v>
      </c>
      <c r="S36" t="s">
        <v>2369</v>
      </c>
    </row>
    <row r="37" spans="1:19">
      <c r="A37" s="9" t="s">
        <v>1473</v>
      </c>
      <c r="B37" t="s">
        <v>1607</v>
      </c>
      <c r="C37" s="5" t="s">
        <v>1609</v>
      </c>
      <c r="D37" s="5" t="s">
        <v>2142</v>
      </c>
      <c r="E37" s="5" t="s">
        <v>2143</v>
      </c>
      <c r="F37" s="25"/>
      <c r="H37" s="1">
        <v>760</v>
      </c>
      <c r="J37" s="1">
        <v>1661.46</v>
      </c>
      <c r="L37" s="11">
        <f t="shared" si="1"/>
        <v>2421.46</v>
      </c>
      <c r="M37" s="26">
        <v>1</v>
      </c>
      <c r="N37" s="11">
        <f t="shared" si="2"/>
        <v>760</v>
      </c>
      <c r="O37" s="11">
        <f t="shared" si="3"/>
        <v>0</v>
      </c>
      <c r="P37" s="11">
        <f t="shared" si="4"/>
        <v>1661.46</v>
      </c>
      <c r="Q37" s="29">
        <f t="shared" si="5"/>
        <v>2421.46</v>
      </c>
      <c r="R37" s="29">
        <f t="shared" si="6"/>
        <v>2784.6790000000001</v>
      </c>
      <c r="S37" t="s">
        <v>2369</v>
      </c>
    </row>
    <row r="38" spans="1:19">
      <c r="A38" s="9" t="s">
        <v>1473</v>
      </c>
      <c r="B38" t="s">
        <v>1508</v>
      </c>
      <c r="C38" s="5" t="s">
        <v>1510</v>
      </c>
      <c r="D38" s="5" t="s">
        <v>2062</v>
      </c>
      <c r="E38" s="5" t="s">
        <v>2063</v>
      </c>
      <c r="F38" s="25"/>
      <c r="H38" s="1">
        <v>9342.4</v>
      </c>
      <c r="J38" s="1">
        <v>240.23</v>
      </c>
      <c r="L38" s="11">
        <f t="shared" si="1"/>
        <v>9582.6299999999992</v>
      </c>
      <c r="M38" s="26">
        <v>1</v>
      </c>
      <c r="N38" s="11">
        <f t="shared" si="2"/>
        <v>9342.4</v>
      </c>
      <c r="O38" s="11">
        <f t="shared" si="3"/>
        <v>0</v>
      </c>
      <c r="P38" s="11">
        <f t="shared" si="4"/>
        <v>240.23</v>
      </c>
      <c r="Q38" s="29">
        <f t="shared" si="5"/>
        <v>9582.6299999999992</v>
      </c>
      <c r="R38" s="29">
        <f t="shared" si="6"/>
        <v>11020.0245</v>
      </c>
      <c r="S38" t="s">
        <v>2369</v>
      </c>
    </row>
    <row r="39" spans="1:19">
      <c r="A39" s="9" t="s">
        <v>1723</v>
      </c>
      <c r="B39" t="s">
        <v>397</v>
      </c>
      <c r="C39" s="5" t="s">
        <v>399</v>
      </c>
      <c r="D39" s="5" t="s">
        <v>1953</v>
      </c>
      <c r="E39" s="5" t="s">
        <v>2359</v>
      </c>
      <c r="F39" s="25"/>
      <c r="H39" s="1">
        <v>800</v>
      </c>
      <c r="L39" s="11">
        <f t="shared" si="1"/>
        <v>800</v>
      </c>
      <c r="M39" s="26">
        <v>1</v>
      </c>
      <c r="N39" s="11">
        <f t="shared" si="2"/>
        <v>800</v>
      </c>
      <c r="O39" s="11">
        <f t="shared" si="3"/>
        <v>0</v>
      </c>
      <c r="P39" s="11">
        <f t="shared" si="4"/>
        <v>0</v>
      </c>
      <c r="Q39" s="29">
        <f t="shared" si="5"/>
        <v>800</v>
      </c>
      <c r="R39" s="29">
        <f t="shared" si="6"/>
        <v>920</v>
      </c>
      <c r="S39" t="s">
        <v>2369</v>
      </c>
    </row>
    <row r="40" spans="1:19">
      <c r="A40" s="9" t="s">
        <v>1715</v>
      </c>
      <c r="B40" t="s">
        <v>225</v>
      </c>
      <c r="C40" s="5" t="s">
        <v>227</v>
      </c>
      <c r="D40" s="5" t="s">
        <v>2286</v>
      </c>
      <c r="E40" s="5" t="s">
        <v>2287</v>
      </c>
      <c r="F40" s="25"/>
      <c r="I40" s="1">
        <v>1578.49</v>
      </c>
      <c r="J40" s="1">
        <v>223.28</v>
      </c>
      <c r="L40" s="11">
        <f t="shared" si="1"/>
        <v>1801.77</v>
      </c>
      <c r="M40" s="26">
        <v>1</v>
      </c>
      <c r="N40" s="11">
        <f t="shared" si="2"/>
        <v>0</v>
      </c>
      <c r="O40" s="11">
        <f t="shared" si="3"/>
        <v>1578.49</v>
      </c>
      <c r="P40" s="11">
        <f t="shared" si="4"/>
        <v>223.28</v>
      </c>
      <c r="Q40" s="29">
        <f t="shared" si="5"/>
        <v>1801.77</v>
      </c>
      <c r="R40" s="29">
        <f t="shared" si="6"/>
        <v>2072.0355</v>
      </c>
      <c r="S40" t="s">
        <v>2369</v>
      </c>
    </row>
    <row r="41" spans="1:19">
      <c r="A41" s="9" t="s">
        <v>1723</v>
      </c>
      <c r="B41" t="s">
        <v>225</v>
      </c>
      <c r="C41" s="5" t="s">
        <v>227</v>
      </c>
      <c r="D41" s="5" t="s">
        <v>2286</v>
      </c>
      <c r="E41" s="5" t="s">
        <v>2287</v>
      </c>
      <c r="F41" s="25"/>
      <c r="H41" s="1">
        <v>12000</v>
      </c>
      <c r="L41" s="11">
        <f t="shared" si="1"/>
        <v>12000</v>
      </c>
      <c r="M41" s="26">
        <v>1</v>
      </c>
      <c r="N41" s="11">
        <f t="shared" si="2"/>
        <v>12000</v>
      </c>
      <c r="O41" s="11">
        <f t="shared" si="3"/>
        <v>0</v>
      </c>
      <c r="P41" s="11">
        <f t="shared" si="4"/>
        <v>0</v>
      </c>
      <c r="Q41" s="29">
        <f t="shared" si="5"/>
        <v>12000</v>
      </c>
      <c r="R41" s="29">
        <f t="shared" si="6"/>
        <v>13800</v>
      </c>
      <c r="S41" t="s">
        <v>2369</v>
      </c>
    </row>
    <row r="42" spans="1:19">
      <c r="A42" s="9" t="s">
        <v>1473</v>
      </c>
      <c r="B42" t="s">
        <v>1700</v>
      </c>
      <c r="C42" s="5" t="s">
        <v>1702</v>
      </c>
      <c r="D42" s="5" t="s">
        <v>2209</v>
      </c>
      <c r="E42" s="5" t="s">
        <v>2210</v>
      </c>
      <c r="F42" s="25"/>
      <c r="H42" s="1">
        <v>10400</v>
      </c>
      <c r="L42" s="11">
        <f t="shared" si="1"/>
        <v>10400</v>
      </c>
      <c r="M42" s="26">
        <v>1</v>
      </c>
      <c r="N42" s="11">
        <f t="shared" si="2"/>
        <v>10400</v>
      </c>
      <c r="O42" s="11">
        <f t="shared" si="3"/>
        <v>0</v>
      </c>
      <c r="P42" s="11">
        <f t="shared" si="4"/>
        <v>0</v>
      </c>
      <c r="Q42" s="29">
        <f t="shared" si="5"/>
        <v>10400</v>
      </c>
      <c r="R42" s="29">
        <f t="shared" si="6"/>
        <v>11960</v>
      </c>
      <c r="S42" t="s">
        <v>2369</v>
      </c>
    </row>
    <row r="43" spans="1:19">
      <c r="A43" s="9" t="s">
        <v>1473</v>
      </c>
      <c r="B43" t="s">
        <v>1292</v>
      </c>
      <c r="C43" s="5" t="s">
        <v>1294</v>
      </c>
      <c r="D43" s="5" t="s">
        <v>2108</v>
      </c>
      <c r="E43" s="5" t="s">
        <v>2109</v>
      </c>
      <c r="F43" s="25"/>
      <c r="H43" s="1">
        <v>1267</v>
      </c>
      <c r="J43" s="1">
        <v>3451.77</v>
      </c>
      <c r="L43" s="11">
        <f t="shared" si="1"/>
        <v>4718.7700000000004</v>
      </c>
      <c r="M43" s="26">
        <v>1</v>
      </c>
      <c r="N43" s="11">
        <f t="shared" si="2"/>
        <v>1267</v>
      </c>
      <c r="O43" s="11">
        <f t="shared" si="3"/>
        <v>0</v>
      </c>
      <c r="P43" s="11">
        <f t="shared" si="4"/>
        <v>3451.77</v>
      </c>
      <c r="Q43" s="29">
        <f t="shared" si="5"/>
        <v>4718.7700000000004</v>
      </c>
      <c r="R43" s="29">
        <f t="shared" si="6"/>
        <v>5426.5855000000001</v>
      </c>
      <c r="S43" t="s">
        <v>2369</v>
      </c>
    </row>
    <row r="44" spans="1:19">
      <c r="A44" s="9" t="s">
        <v>1715</v>
      </c>
      <c r="B44" t="s">
        <v>1292</v>
      </c>
      <c r="C44" s="5" t="s">
        <v>1294</v>
      </c>
      <c r="D44" s="5" t="s">
        <v>2108</v>
      </c>
      <c r="E44" s="5" t="s">
        <v>2109</v>
      </c>
      <c r="F44" s="25"/>
      <c r="H44" s="1">
        <v>61823.88</v>
      </c>
      <c r="L44" s="11">
        <f t="shared" si="1"/>
        <v>61823.88</v>
      </c>
      <c r="M44" s="26">
        <v>1</v>
      </c>
      <c r="N44" s="11">
        <f t="shared" si="2"/>
        <v>61823.88</v>
      </c>
      <c r="O44" s="11">
        <f t="shared" si="3"/>
        <v>0</v>
      </c>
      <c r="P44" s="11">
        <f t="shared" si="4"/>
        <v>0</v>
      </c>
      <c r="Q44" s="29">
        <f t="shared" si="5"/>
        <v>61823.88</v>
      </c>
      <c r="R44" s="29">
        <f t="shared" si="6"/>
        <v>71097.462</v>
      </c>
      <c r="S44" t="s">
        <v>2369</v>
      </c>
    </row>
    <row r="45" spans="1:19">
      <c r="A45" s="9" t="s">
        <v>1715</v>
      </c>
      <c r="B45" t="s">
        <v>388</v>
      </c>
      <c r="C45" s="5" t="s">
        <v>390</v>
      </c>
      <c r="D45" s="5" t="s">
        <v>2293</v>
      </c>
      <c r="E45" s="5" t="s">
        <v>2294</v>
      </c>
      <c r="F45" s="25"/>
      <c r="J45" s="1">
        <v>1616.4649999999999</v>
      </c>
      <c r="K45" s="1">
        <v>709.59</v>
      </c>
      <c r="L45" s="11">
        <f t="shared" si="1"/>
        <v>2326.0549999999998</v>
      </c>
      <c r="M45" s="26">
        <v>1</v>
      </c>
      <c r="N45" s="11">
        <f t="shared" si="2"/>
        <v>0</v>
      </c>
      <c r="O45" s="11">
        <f t="shared" si="3"/>
        <v>709.59</v>
      </c>
      <c r="P45" s="11">
        <f t="shared" si="4"/>
        <v>1616.4649999999999</v>
      </c>
      <c r="Q45" s="29">
        <f t="shared" si="5"/>
        <v>2326.0549999999998</v>
      </c>
      <c r="R45" s="29">
        <f t="shared" si="6"/>
        <v>2674.9632499999998</v>
      </c>
      <c r="S45" t="s">
        <v>2369</v>
      </c>
    </row>
    <row r="46" spans="1:19">
      <c r="A46" s="9" t="s">
        <v>1723</v>
      </c>
      <c r="B46" t="s">
        <v>388</v>
      </c>
      <c r="C46" s="5" t="s">
        <v>390</v>
      </c>
      <c r="D46" s="5" t="s">
        <v>2293</v>
      </c>
      <c r="E46" s="5" t="s">
        <v>2294</v>
      </c>
      <c r="F46" s="25"/>
      <c r="H46" s="1">
        <v>1478.75</v>
      </c>
      <c r="L46" s="11">
        <f t="shared" si="1"/>
        <v>1478.75</v>
      </c>
      <c r="M46" s="26">
        <v>1</v>
      </c>
      <c r="N46" s="11">
        <f t="shared" si="2"/>
        <v>1478.75</v>
      </c>
      <c r="O46" s="11">
        <f t="shared" si="3"/>
        <v>0</v>
      </c>
      <c r="P46" s="11">
        <f t="shared" si="4"/>
        <v>0</v>
      </c>
      <c r="Q46" s="29">
        <f t="shared" si="5"/>
        <v>1478.75</v>
      </c>
      <c r="R46" s="29">
        <f t="shared" si="6"/>
        <v>1700.5625</v>
      </c>
      <c r="S46" t="s">
        <v>2369</v>
      </c>
    </row>
    <row r="47" spans="1:19">
      <c r="A47" s="9" t="s">
        <v>1097</v>
      </c>
      <c r="B47" t="s">
        <v>636</v>
      </c>
      <c r="C47" s="5" t="s">
        <v>638</v>
      </c>
      <c r="D47" s="5" t="s">
        <v>1927</v>
      </c>
      <c r="E47" s="5" t="s">
        <v>1928</v>
      </c>
      <c r="F47" s="25"/>
      <c r="H47" s="1">
        <v>39258.92</v>
      </c>
      <c r="I47" s="1">
        <v>25703.59</v>
      </c>
      <c r="L47" s="11">
        <f t="shared" si="1"/>
        <v>64962.509999999995</v>
      </c>
      <c r="M47" s="26">
        <v>1</v>
      </c>
      <c r="N47" s="11">
        <f t="shared" si="2"/>
        <v>39258.92</v>
      </c>
      <c r="O47" s="11">
        <f t="shared" si="3"/>
        <v>25703.59</v>
      </c>
      <c r="P47" s="11">
        <f t="shared" si="4"/>
        <v>0</v>
      </c>
      <c r="Q47" s="29">
        <f t="shared" si="5"/>
        <v>64962.509999999995</v>
      </c>
      <c r="R47" s="29">
        <f t="shared" si="6"/>
        <v>74706.886499999993</v>
      </c>
      <c r="S47" t="s">
        <v>2370</v>
      </c>
    </row>
    <row r="48" spans="1:19">
      <c r="A48" s="9" t="s">
        <v>1097</v>
      </c>
      <c r="B48" t="s">
        <v>486</v>
      </c>
      <c r="C48" s="5" t="s">
        <v>488</v>
      </c>
      <c r="D48" s="5" t="s">
        <v>1927</v>
      </c>
      <c r="E48" s="5" t="s">
        <v>1941</v>
      </c>
      <c r="F48" s="25"/>
      <c r="H48" s="1">
        <v>109209.91</v>
      </c>
      <c r="L48" s="11">
        <f t="shared" si="1"/>
        <v>109209.91</v>
      </c>
      <c r="M48" s="26">
        <v>1</v>
      </c>
      <c r="N48" s="11">
        <f t="shared" si="2"/>
        <v>109209.91</v>
      </c>
      <c r="O48" s="11">
        <f t="shared" si="3"/>
        <v>0</v>
      </c>
      <c r="P48" s="11">
        <f t="shared" si="4"/>
        <v>0</v>
      </c>
      <c r="Q48" s="29">
        <f t="shared" si="5"/>
        <v>109209.91</v>
      </c>
      <c r="R48" s="29">
        <f t="shared" si="6"/>
        <v>125591.3965</v>
      </c>
      <c r="S48" t="s">
        <v>2370</v>
      </c>
    </row>
    <row r="49" spans="1:19">
      <c r="A49" s="9" t="s">
        <v>1097</v>
      </c>
      <c r="B49" t="s">
        <v>1138</v>
      </c>
      <c r="C49" s="5" t="s">
        <v>1140</v>
      </c>
      <c r="D49" s="5" t="s">
        <v>1927</v>
      </c>
      <c r="E49" s="5" t="s">
        <v>1959</v>
      </c>
      <c r="F49" s="25"/>
      <c r="H49" s="1">
        <v>205501.81</v>
      </c>
      <c r="L49" s="11">
        <f t="shared" si="1"/>
        <v>205501.81</v>
      </c>
      <c r="M49" s="26">
        <v>1</v>
      </c>
      <c r="N49" s="11">
        <f t="shared" si="2"/>
        <v>205501.81</v>
      </c>
      <c r="O49" s="11">
        <f t="shared" si="3"/>
        <v>0</v>
      </c>
      <c r="P49" s="11">
        <f t="shared" si="4"/>
        <v>0</v>
      </c>
      <c r="Q49" s="29">
        <f t="shared" si="5"/>
        <v>205501.81</v>
      </c>
      <c r="R49" s="29">
        <f t="shared" si="6"/>
        <v>236327.0815</v>
      </c>
      <c r="S49" t="s">
        <v>2370</v>
      </c>
    </row>
    <row r="50" spans="1:19">
      <c r="A50" s="9" t="s">
        <v>1097</v>
      </c>
      <c r="B50" t="s">
        <v>1141</v>
      </c>
      <c r="C50" s="5" t="s">
        <v>1143</v>
      </c>
      <c r="D50" s="5" t="s">
        <v>1927</v>
      </c>
      <c r="E50" s="5" t="s">
        <v>1960</v>
      </c>
      <c r="F50" s="25"/>
      <c r="H50" s="1">
        <v>166791.60999999999</v>
      </c>
      <c r="L50" s="11">
        <f t="shared" si="1"/>
        <v>166791.60999999999</v>
      </c>
      <c r="M50" s="26">
        <v>1</v>
      </c>
      <c r="N50" s="11">
        <f t="shared" si="2"/>
        <v>166791.60999999999</v>
      </c>
      <c r="O50" s="11">
        <f t="shared" si="3"/>
        <v>0</v>
      </c>
      <c r="P50" s="11">
        <f t="shared" si="4"/>
        <v>0</v>
      </c>
      <c r="Q50" s="29">
        <f t="shared" si="5"/>
        <v>166791.60999999999</v>
      </c>
      <c r="R50" s="29">
        <f t="shared" si="6"/>
        <v>191810.35149999999</v>
      </c>
      <c r="S50" t="s">
        <v>2370</v>
      </c>
    </row>
    <row r="51" spans="1:19">
      <c r="A51" s="9" t="s">
        <v>1097</v>
      </c>
      <c r="B51" t="s">
        <v>741</v>
      </c>
      <c r="C51" s="5" t="s">
        <v>743</v>
      </c>
      <c r="D51" s="5" t="s">
        <v>1927</v>
      </c>
      <c r="E51" s="5" t="s">
        <v>1972</v>
      </c>
      <c r="F51" s="25"/>
      <c r="H51" s="1">
        <v>231696.82</v>
      </c>
      <c r="L51" s="11">
        <f t="shared" si="1"/>
        <v>231696.82</v>
      </c>
      <c r="M51" s="26">
        <v>1</v>
      </c>
      <c r="N51" s="11">
        <f t="shared" si="2"/>
        <v>231696.82</v>
      </c>
      <c r="O51" s="11">
        <f t="shared" si="3"/>
        <v>0</v>
      </c>
      <c r="P51" s="11">
        <f t="shared" si="4"/>
        <v>0</v>
      </c>
      <c r="Q51" s="29">
        <f t="shared" si="5"/>
        <v>231696.82</v>
      </c>
      <c r="R51" s="29">
        <f t="shared" si="6"/>
        <v>266451.34299999999</v>
      </c>
      <c r="S51" t="s">
        <v>2370</v>
      </c>
    </row>
    <row r="52" spans="1:19">
      <c r="A52" s="9" t="s">
        <v>1715</v>
      </c>
      <c r="B52" t="s">
        <v>636</v>
      </c>
      <c r="C52" s="5" t="s">
        <v>638</v>
      </c>
      <c r="D52" s="5" t="s">
        <v>1927</v>
      </c>
      <c r="E52" s="5" t="s">
        <v>1928</v>
      </c>
      <c r="F52" s="25"/>
      <c r="H52" s="1">
        <v>14052.8</v>
      </c>
      <c r="J52" s="1">
        <v>6365.61</v>
      </c>
      <c r="K52" s="1">
        <v>840</v>
      </c>
      <c r="L52" s="11">
        <f t="shared" si="1"/>
        <v>21258.41</v>
      </c>
      <c r="M52" s="26">
        <v>1</v>
      </c>
      <c r="N52" s="11">
        <f t="shared" si="2"/>
        <v>14052.8</v>
      </c>
      <c r="O52" s="11">
        <f t="shared" si="3"/>
        <v>840</v>
      </c>
      <c r="P52" s="11">
        <f t="shared" si="4"/>
        <v>6365.61</v>
      </c>
      <c r="Q52" s="29">
        <f t="shared" si="5"/>
        <v>21258.41</v>
      </c>
      <c r="R52" s="29">
        <f t="shared" si="6"/>
        <v>24447.1715</v>
      </c>
      <c r="S52" t="s">
        <v>2370</v>
      </c>
    </row>
    <row r="53" spans="1:19">
      <c r="A53" s="9" t="s">
        <v>1715</v>
      </c>
      <c r="B53" t="s">
        <v>636</v>
      </c>
      <c r="C53" s="5" t="s">
        <v>638</v>
      </c>
      <c r="D53" s="5" t="s">
        <v>1927</v>
      </c>
      <c r="E53" s="5" t="s">
        <v>1928</v>
      </c>
      <c r="F53" s="25"/>
      <c r="J53" s="1">
        <v>95.44</v>
      </c>
      <c r="L53" s="11">
        <f t="shared" si="1"/>
        <v>95.44</v>
      </c>
      <c r="M53" s="26">
        <v>1</v>
      </c>
      <c r="N53" s="11">
        <f t="shared" si="2"/>
        <v>0</v>
      </c>
      <c r="O53" s="11">
        <f t="shared" si="3"/>
        <v>0</v>
      </c>
      <c r="P53" s="11">
        <f t="shared" si="4"/>
        <v>95.44</v>
      </c>
      <c r="Q53" s="29">
        <f t="shared" si="5"/>
        <v>95.44</v>
      </c>
      <c r="R53" s="29">
        <f t="shared" si="6"/>
        <v>109.756</v>
      </c>
      <c r="S53" t="s">
        <v>2370</v>
      </c>
    </row>
    <row r="54" spans="1:19">
      <c r="A54" s="9" t="s">
        <v>1399</v>
      </c>
      <c r="B54" t="s">
        <v>1404</v>
      </c>
      <c r="C54" s="5" t="s">
        <v>1406</v>
      </c>
      <c r="D54" s="5" t="s">
        <v>1981</v>
      </c>
      <c r="E54" s="5" t="s">
        <v>1982</v>
      </c>
      <c r="F54" s="25"/>
      <c r="J54" s="1">
        <v>973.83</v>
      </c>
      <c r="L54" s="11">
        <f t="shared" si="1"/>
        <v>973.83</v>
      </c>
      <c r="M54" s="26">
        <v>1</v>
      </c>
      <c r="N54" s="11">
        <f t="shared" si="2"/>
        <v>0</v>
      </c>
      <c r="O54" s="11">
        <f t="shared" si="3"/>
        <v>0</v>
      </c>
      <c r="P54" s="11">
        <f t="shared" si="4"/>
        <v>973.83</v>
      </c>
      <c r="Q54" s="29">
        <f t="shared" si="5"/>
        <v>973.83</v>
      </c>
      <c r="R54" s="29">
        <f t="shared" si="6"/>
        <v>1119.9045000000001</v>
      </c>
      <c r="S54" t="s">
        <v>2369</v>
      </c>
    </row>
    <row r="55" spans="1:19">
      <c r="A55" s="9" t="s">
        <v>1473</v>
      </c>
      <c r="B55" t="s">
        <v>1637</v>
      </c>
      <c r="C55" s="5" t="s">
        <v>1639</v>
      </c>
      <c r="D55" s="5" t="s">
        <v>2165</v>
      </c>
      <c r="E55" s="5" t="s">
        <v>2166</v>
      </c>
      <c r="F55" s="25"/>
      <c r="H55" s="1">
        <v>1546</v>
      </c>
      <c r="J55" s="1">
        <v>5156.915</v>
      </c>
      <c r="L55" s="11">
        <f t="shared" si="1"/>
        <v>6702.915</v>
      </c>
      <c r="M55" s="26">
        <v>1</v>
      </c>
      <c r="N55" s="11">
        <f t="shared" si="2"/>
        <v>1546</v>
      </c>
      <c r="O55" s="11">
        <f t="shared" si="3"/>
        <v>0</v>
      </c>
      <c r="P55" s="11">
        <f t="shared" si="4"/>
        <v>5156.915</v>
      </c>
      <c r="Q55" s="29">
        <f t="shared" si="5"/>
        <v>6702.915</v>
      </c>
      <c r="R55" s="29">
        <f t="shared" si="6"/>
        <v>7708.3522499999999</v>
      </c>
      <c r="S55" t="s">
        <v>2369</v>
      </c>
    </row>
    <row r="56" spans="1:19">
      <c r="A56" s="9" t="s">
        <v>1473</v>
      </c>
      <c r="B56" t="s">
        <v>114</v>
      </c>
      <c r="C56" s="5" t="s">
        <v>116</v>
      </c>
      <c r="D56" s="5" t="s">
        <v>2066</v>
      </c>
      <c r="E56" s="5" t="s">
        <v>2067</v>
      </c>
      <c r="F56" s="25"/>
      <c r="H56" s="1">
        <v>16800</v>
      </c>
      <c r="L56" s="11">
        <f t="shared" si="1"/>
        <v>16800</v>
      </c>
      <c r="M56" s="26">
        <v>1</v>
      </c>
      <c r="N56" s="11">
        <f t="shared" si="2"/>
        <v>16800</v>
      </c>
      <c r="O56" s="11">
        <f t="shared" si="3"/>
        <v>0</v>
      </c>
      <c r="P56" s="11">
        <f t="shared" si="4"/>
        <v>0</v>
      </c>
      <c r="Q56" s="29">
        <f t="shared" si="5"/>
        <v>16800</v>
      </c>
      <c r="R56" s="29">
        <f t="shared" si="6"/>
        <v>19320</v>
      </c>
      <c r="S56" t="s">
        <v>2369</v>
      </c>
    </row>
    <row r="57" spans="1:19">
      <c r="A57" s="9" t="s">
        <v>1473</v>
      </c>
      <c r="B57" t="s">
        <v>1520</v>
      </c>
      <c r="C57" s="5" t="s">
        <v>1522</v>
      </c>
      <c r="D57" s="5" t="s">
        <v>2072</v>
      </c>
      <c r="E57" s="5" t="s">
        <v>2073</v>
      </c>
      <c r="F57" s="25"/>
      <c r="H57" s="1">
        <v>45276.9</v>
      </c>
      <c r="J57" s="1">
        <v>769.36500000000001</v>
      </c>
      <c r="L57" s="11">
        <f t="shared" si="1"/>
        <v>46046.264999999999</v>
      </c>
      <c r="M57" s="26">
        <v>1</v>
      </c>
      <c r="N57" s="11">
        <f t="shared" si="2"/>
        <v>45276.9</v>
      </c>
      <c r="O57" s="11">
        <f t="shared" si="3"/>
        <v>0</v>
      </c>
      <c r="P57" s="11">
        <f t="shared" si="4"/>
        <v>769.36500000000001</v>
      </c>
      <c r="Q57" s="29">
        <f t="shared" si="5"/>
        <v>46046.264999999999</v>
      </c>
      <c r="R57" s="29">
        <f t="shared" si="6"/>
        <v>52953.204749999997</v>
      </c>
      <c r="S57" t="s">
        <v>2369</v>
      </c>
    </row>
    <row r="58" spans="1:19">
      <c r="A58" s="9" t="s">
        <v>1715</v>
      </c>
      <c r="B58" t="s">
        <v>771</v>
      </c>
      <c r="C58" s="5" t="s">
        <v>773</v>
      </c>
      <c r="D58" s="5" t="s">
        <v>2278</v>
      </c>
      <c r="E58" s="5" t="s">
        <v>2279</v>
      </c>
      <c r="F58" s="25"/>
      <c r="H58" s="1">
        <v>150</v>
      </c>
      <c r="J58" s="1">
        <v>1462.645</v>
      </c>
      <c r="K58" s="1">
        <v>155.76</v>
      </c>
      <c r="L58" s="11">
        <f t="shared" si="1"/>
        <v>1768.405</v>
      </c>
      <c r="M58" s="26">
        <v>0.9</v>
      </c>
      <c r="N58" s="11">
        <f t="shared" si="2"/>
        <v>135</v>
      </c>
      <c r="O58" s="11">
        <f t="shared" si="3"/>
        <v>140.184</v>
      </c>
      <c r="P58" s="11">
        <f t="shared" si="4"/>
        <v>1316.3805</v>
      </c>
      <c r="Q58" s="29">
        <f t="shared" si="5"/>
        <v>1591.5645</v>
      </c>
      <c r="R58" s="29">
        <f t="shared" si="6"/>
        <v>1830.2991749999999</v>
      </c>
      <c r="S58" t="s">
        <v>2370</v>
      </c>
    </row>
    <row r="59" spans="1:19">
      <c r="A59" s="9" t="s">
        <v>1723</v>
      </c>
      <c r="B59" t="s">
        <v>771</v>
      </c>
      <c r="C59" s="5" t="s">
        <v>773</v>
      </c>
      <c r="D59" s="5" t="s">
        <v>2278</v>
      </c>
      <c r="E59" s="5" t="s">
        <v>2279</v>
      </c>
      <c r="F59" s="25"/>
      <c r="I59" s="1">
        <v>8423.0499999999993</v>
      </c>
      <c r="L59" s="11">
        <f t="shared" si="1"/>
        <v>8423.0499999999993</v>
      </c>
      <c r="M59" s="26">
        <v>0.9</v>
      </c>
      <c r="N59" s="11">
        <f t="shared" si="2"/>
        <v>0</v>
      </c>
      <c r="O59" s="11">
        <f t="shared" si="3"/>
        <v>7580.7449999999999</v>
      </c>
      <c r="P59" s="11">
        <f t="shared" si="4"/>
        <v>0</v>
      </c>
      <c r="Q59" s="29">
        <f t="shared" si="5"/>
        <v>7580.7449999999999</v>
      </c>
      <c r="R59" s="29">
        <f t="shared" si="6"/>
        <v>8717.856749999999</v>
      </c>
      <c r="S59" t="s">
        <v>2370</v>
      </c>
    </row>
    <row r="60" spans="1:19">
      <c r="A60" s="9" t="s">
        <v>1473</v>
      </c>
      <c r="B60" t="s">
        <v>1493</v>
      </c>
      <c r="C60" s="5" t="s">
        <v>1495</v>
      </c>
      <c r="D60" s="5" t="s">
        <v>2048</v>
      </c>
      <c r="E60" s="5" t="s">
        <v>2049</v>
      </c>
      <c r="F60" s="25"/>
      <c r="H60" s="1">
        <v>50</v>
      </c>
      <c r="J60" s="1">
        <v>1490.925</v>
      </c>
      <c r="K60" s="1">
        <v>236.53</v>
      </c>
      <c r="L60" s="11">
        <f t="shared" si="1"/>
        <v>1777.4549999999999</v>
      </c>
      <c r="M60" s="26">
        <v>1</v>
      </c>
      <c r="N60" s="11">
        <f t="shared" si="2"/>
        <v>50</v>
      </c>
      <c r="O60" s="11">
        <f t="shared" si="3"/>
        <v>236.53</v>
      </c>
      <c r="P60" s="11">
        <f t="shared" si="4"/>
        <v>1490.925</v>
      </c>
      <c r="Q60" s="29">
        <f t="shared" si="5"/>
        <v>1777.4549999999999</v>
      </c>
      <c r="R60" s="29">
        <f t="shared" si="6"/>
        <v>2044.0732499999999</v>
      </c>
      <c r="S60" t="s">
        <v>2369</v>
      </c>
    </row>
    <row r="61" spans="1:19">
      <c r="A61" s="9" t="s">
        <v>1723</v>
      </c>
      <c r="B61" t="s">
        <v>394</v>
      </c>
      <c r="C61" s="5" t="s">
        <v>396</v>
      </c>
      <c r="D61" s="5" t="s">
        <v>2336</v>
      </c>
      <c r="E61" s="5" t="s">
        <v>2337</v>
      </c>
      <c r="F61" s="25"/>
      <c r="H61" s="1">
        <v>600</v>
      </c>
      <c r="L61" s="11">
        <f t="shared" si="1"/>
        <v>600</v>
      </c>
      <c r="M61" s="26">
        <v>1</v>
      </c>
      <c r="N61" s="11">
        <f t="shared" si="2"/>
        <v>600</v>
      </c>
      <c r="O61" s="11">
        <f t="shared" si="3"/>
        <v>0</v>
      </c>
      <c r="P61" s="11">
        <f t="shared" si="4"/>
        <v>0</v>
      </c>
      <c r="Q61" s="29">
        <f t="shared" si="5"/>
        <v>600</v>
      </c>
      <c r="R61" s="29">
        <f t="shared" si="6"/>
        <v>690</v>
      </c>
      <c r="S61" t="s">
        <v>2371</v>
      </c>
    </row>
    <row r="62" spans="1:19">
      <c r="A62" s="9" t="s">
        <v>1097</v>
      </c>
      <c r="B62" t="s">
        <v>186</v>
      </c>
      <c r="C62" s="5" t="s">
        <v>188</v>
      </c>
      <c r="D62" s="5" t="s">
        <v>1957</v>
      </c>
      <c r="E62" s="5" t="s">
        <v>1958</v>
      </c>
      <c r="F62" s="25"/>
      <c r="H62" s="1">
        <v>0</v>
      </c>
      <c r="L62" s="11">
        <f t="shared" si="1"/>
        <v>0</v>
      </c>
      <c r="M62" s="26">
        <v>1</v>
      </c>
      <c r="N62" s="11">
        <f t="shared" si="2"/>
        <v>0</v>
      </c>
      <c r="O62" s="11">
        <f t="shared" si="3"/>
        <v>0</v>
      </c>
      <c r="P62" s="11">
        <f t="shared" si="4"/>
        <v>0</v>
      </c>
      <c r="Q62" s="29">
        <f t="shared" si="5"/>
        <v>0</v>
      </c>
      <c r="R62" s="29">
        <f t="shared" si="6"/>
        <v>0</v>
      </c>
      <c r="S62" t="s">
        <v>2370</v>
      </c>
    </row>
    <row r="63" spans="1:19">
      <c r="A63" s="9" t="s">
        <v>1715</v>
      </c>
      <c r="B63" t="s">
        <v>186</v>
      </c>
      <c r="C63" s="5" t="s">
        <v>188</v>
      </c>
      <c r="D63" s="5" t="s">
        <v>1957</v>
      </c>
      <c r="E63" s="5" t="s">
        <v>1958</v>
      </c>
      <c r="F63" s="25"/>
      <c r="J63" s="1">
        <v>772.8</v>
      </c>
      <c r="L63" s="11">
        <f t="shared" si="1"/>
        <v>772.8</v>
      </c>
      <c r="M63" s="26">
        <v>1</v>
      </c>
      <c r="N63" s="11">
        <f t="shared" si="2"/>
        <v>0</v>
      </c>
      <c r="O63" s="11">
        <f t="shared" si="3"/>
        <v>0</v>
      </c>
      <c r="P63" s="11">
        <f t="shared" si="4"/>
        <v>772.8</v>
      </c>
      <c r="Q63" s="29">
        <f t="shared" si="5"/>
        <v>772.8</v>
      </c>
      <c r="R63" s="29">
        <f t="shared" si="6"/>
        <v>888.71999999999991</v>
      </c>
      <c r="S63" t="s">
        <v>2370</v>
      </c>
    </row>
    <row r="64" spans="1:19">
      <c r="A64" s="9" t="s">
        <v>1715</v>
      </c>
      <c r="B64" t="s">
        <v>186</v>
      </c>
      <c r="C64" s="5" t="s">
        <v>188</v>
      </c>
      <c r="D64" s="5" t="s">
        <v>1957</v>
      </c>
      <c r="E64" s="5" t="s">
        <v>1958</v>
      </c>
      <c r="F64" s="25"/>
      <c r="H64" s="1">
        <v>3028.95</v>
      </c>
      <c r="I64" s="1">
        <v>61.58</v>
      </c>
      <c r="J64" s="1">
        <v>3727.7350000000001</v>
      </c>
      <c r="K64" s="1">
        <v>409.82</v>
      </c>
      <c r="L64" s="11">
        <f t="shared" si="1"/>
        <v>7228.0849999999991</v>
      </c>
      <c r="M64" s="26">
        <v>1</v>
      </c>
      <c r="N64" s="11">
        <f t="shared" si="2"/>
        <v>3028.95</v>
      </c>
      <c r="O64" s="11">
        <f t="shared" si="3"/>
        <v>471.4</v>
      </c>
      <c r="P64" s="11">
        <f t="shared" si="4"/>
        <v>3727.7350000000001</v>
      </c>
      <c r="Q64" s="29">
        <f t="shared" si="5"/>
        <v>7228.0849999999991</v>
      </c>
      <c r="R64" s="29">
        <f t="shared" si="6"/>
        <v>8312.2977499999997</v>
      </c>
      <c r="S64" t="s">
        <v>2370</v>
      </c>
    </row>
    <row r="65" spans="1:19">
      <c r="A65" s="9" t="s">
        <v>1723</v>
      </c>
      <c r="B65" t="s">
        <v>186</v>
      </c>
      <c r="C65" s="5" t="s">
        <v>188</v>
      </c>
      <c r="D65" s="5" t="s">
        <v>1957</v>
      </c>
      <c r="E65" s="5" t="s">
        <v>1958</v>
      </c>
      <c r="F65" s="25"/>
      <c r="H65" s="1">
        <v>28514.32</v>
      </c>
      <c r="I65" s="1">
        <v>-1399.01</v>
      </c>
      <c r="L65" s="11">
        <f t="shared" si="1"/>
        <v>27115.31</v>
      </c>
      <c r="M65" s="26">
        <v>1</v>
      </c>
      <c r="N65" s="11">
        <f t="shared" si="2"/>
        <v>28514.32</v>
      </c>
      <c r="O65" s="11">
        <f t="shared" si="3"/>
        <v>-1399.01</v>
      </c>
      <c r="P65" s="11">
        <f t="shared" si="4"/>
        <v>0</v>
      </c>
      <c r="Q65" s="29">
        <f t="shared" si="5"/>
        <v>27115.31</v>
      </c>
      <c r="R65" s="29">
        <f t="shared" si="6"/>
        <v>31182.606500000002</v>
      </c>
      <c r="S65" t="s">
        <v>2370</v>
      </c>
    </row>
    <row r="66" spans="1:19">
      <c r="A66" s="9" t="s">
        <v>1473</v>
      </c>
      <c r="B66" t="s">
        <v>1544</v>
      </c>
      <c r="C66" s="5" t="s">
        <v>1546</v>
      </c>
      <c r="D66" s="5" t="s">
        <v>2092</v>
      </c>
      <c r="E66" s="5" t="s">
        <v>2093</v>
      </c>
      <c r="F66" s="25"/>
      <c r="H66" s="1">
        <v>500</v>
      </c>
      <c r="L66" s="11">
        <f t="shared" si="1"/>
        <v>500</v>
      </c>
      <c r="M66" s="26">
        <v>1</v>
      </c>
      <c r="N66" s="11">
        <f t="shared" si="2"/>
        <v>500</v>
      </c>
      <c r="O66" s="11">
        <f t="shared" si="3"/>
        <v>0</v>
      </c>
      <c r="P66" s="11">
        <f t="shared" si="4"/>
        <v>0</v>
      </c>
      <c r="Q66" s="29">
        <f t="shared" si="5"/>
        <v>500</v>
      </c>
      <c r="R66" s="29">
        <f t="shared" si="6"/>
        <v>575</v>
      </c>
      <c r="S66" t="s">
        <v>2369</v>
      </c>
    </row>
    <row r="67" spans="1:19">
      <c r="A67" s="9" t="s">
        <v>1723</v>
      </c>
      <c r="B67" t="s">
        <v>660</v>
      </c>
      <c r="C67" s="5" t="s">
        <v>662</v>
      </c>
      <c r="D67" s="5" t="s">
        <v>2334</v>
      </c>
      <c r="E67" s="5" t="s">
        <v>2335</v>
      </c>
      <c r="F67" s="25"/>
      <c r="H67" s="1">
        <v>1500</v>
      </c>
      <c r="L67" s="11">
        <f t="shared" si="1"/>
        <v>1500</v>
      </c>
      <c r="M67" s="26">
        <v>1</v>
      </c>
      <c r="N67" s="11">
        <f t="shared" si="2"/>
        <v>1500</v>
      </c>
      <c r="O67" s="11">
        <f t="shared" si="3"/>
        <v>0</v>
      </c>
      <c r="P67" s="11">
        <f t="shared" si="4"/>
        <v>0</v>
      </c>
      <c r="Q67" s="29">
        <f t="shared" si="5"/>
        <v>1500</v>
      </c>
      <c r="R67" s="29">
        <f t="shared" si="6"/>
        <v>1725</v>
      </c>
      <c r="S67" t="s">
        <v>2369</v>
      </c>
    </row>
    <row r="68" spans="1:19">
      <c r="A68" s="9" t="s">
        <v>1097</v>
      </c>
      <c r="B68" t="s">
        <v>81</v>
      </c>
      <c r="C68" s="5" t="s">
        <v>83</v>
      </c>
      <c r="D68" s="5" t="s">
        <v>1939</v>
      </c>
      <c r="E68" s="5" t="s">
        <v>1940</v>
      </c>
      <c r="F68" s="25"/>
      <c r="H68" s="1">
        <v>4061.97</v>
      </c>
      <c r="I68" s="1">
        <v>8.9</v>
      </c>
      <c r="L68" s="11">
        <f t="shared" si="1"/>
        <v>4070.87</v>
      </c>
      <c r="M68" s="26">
        <v>1</v>
      </c>
      <c r="N68" s="11">
        <f t="shared" si="2"/>
        <v>4061.97</v>
      </c>
      <c r="O68" s="11">
        <f t="shared" si="3"/>
        <v>8.9</v>
      </c>
      <c r="P68" s="11">
        <f t="shared" si="4"/>
        <v>0</v>
      </c>
      <c r="Q68" s="29">
        <f t="shared" si="5"/>
        <v>4070.87</v>
      </c>
      <c r="R68" s="29">
        <f t="shared" si="6"/>
        <v>4681.5005000000001</v>
      </c>
      <c r="S68" t="s">
        <v>2370</v>
      </c>
    </row>
    <row r="69" spans="1:19">
      <c r="A69" s="9" t="s">
        <v>1715</v>
      </c>
      <c r="B69" t="s">
        <v>81</v>
      </c>
      <c r="C69" s="5" t="s">
        <v>83</v>
      </c>
      <c r="D69" s="5" t="s">
        <v>1939</v>
      </c>
      <c r="E69" s="5" t="s">
        <v>1940</v>
      </c>
      <c r="F69" s="25"/>
      <c r="H69" s="1">
        <v>1056.01</v>
      </c>
      <c r="L69" s="11">
        <f t="shared" si="1"/>
        <v>1056.01</v>
      </c>
      <c r="M69" s="26">
        <v>1</v>
      </c>
      <c r="N69" s="11">
        <f t="shared" si="2"/>
        <v>1056.01</v>
      </c>
      <c r="O69" s="11">
        <f t="shared" si="3"/>
        <v>0</v>
      </c>
      <c r="P69" s="11">
        <f t="shared" si="4"/>
        <v>0</v>
      </c>
      <c r="Q69" s="29">
        <f t="shared" si="5"/>
        <v>1056.01</v>
      </c>
      <c r="R69" s="29">
        <f t="shared" si="6"/>
        <v>1214.4114999999999</v>
      </c>
      <c r="S69" t="s">
        <v>2370</v>
      </c>
    </row>
    <row r="70" spans="1:19">
      <c r="A70" s="9" t="s">
        <v>1715</v>
      </c>
      <c r="B70" t="s">
        <v>81</v>
      </c>
      <c r="C70" s="5" t="s">
        <v>83</v>
      </c>
      <c r="D70" s="5" t="s">
        <v>1939</v>
      </c>
      <c r="E70" s="5" t="s">
        <v>1940</v>
      </c>
      <c r="F70" s="25"/>
      <c r="H70" s="1">
        <v>7800</v>
      </c>
      <c r="J70" s="1">
        <v>1901.0050000000001</v>
      </c>
      <c r="K70" s="1">
        <v>64.05</v>
      </c>
      <c r="L70" s="11">
        <f t="shared" si="1"/>
        <v>9765.0550000000003</v>
      </c>
      <c r="M70" s="26">
        <v>1</v>
      </c>
      <c r="N70" s="11">
        <f t="shared" si="2"/>
        <v>7800</v>
      </c>
      <c r="O70" s="11">
        <f t="shared" si="3"/>
        <v>64.05</v>
      </c>
      <c r="P70" s="11">
        <f t="shared" si="4"/>
        <v>1901.0050000000001</v>
      </c>
      <c r="Q70" s="29">
        <f t="shared" si="5"/>
        <v>9765.0550000000003</v>
      </c>
      <c r="R70" s="29">
        <f t="shared" si="6"/>
        <v>11229.813250000001</v>
      </c>
      <c r="S70" t="s">
        <v>2370</v>
      </c>
    </row>
    <row r="71" spans="1:19">
      <c r="A71" s="9" t="s">
        <v>1723</v>
      </c>
      <c r="B71" t="s">
        <v>81</v>
      </c>
      <c r="C71" s="5" t="s">
        <v>83</v>
      </c>
      <c r="D71" s="5" t="s">
        <v>1939</v>
      </c>
      <c r="E71" s="5" t="s">
        <v>1940</v>
      </c>
      <c r="F71" s="25"/>
      <c r="H71" s="1">
        <v>1163.6400000000001</v>
      </c>
      <c r="L71" s="11">
        <f t="shared" ref="L71:L134" si="7">SUM(H71:K71)</f>
        <v>1163.6400000000001</v>
      </c>
      <c r="M71" s="26">
        <v>1</v>
      </c>
      <c r="N71" s="11">
        <f t="shared" ref="N71:N134" si="8">+H71*M71</f>
        <v>1163.6400000000001</v>
      </c>
      <c r="O71" s="11">
        <f t="shared" ref="O71:O134" si="9">+(+I71+K71)*M71</f>
        <v>0</v>
      </c>
      <c r="P71" s="11">
        <f t="shared" ref="P71:P134" si="10">+J71*M71</f>
        <v>0</v>
      </c>
      <c r="Q71" s="29">
        <f t="shared" ref="Q71:Q134" si="11">+L71*M71</f>
        <v>1163.6400000000001</v>
      </c>
      <c r="R71" s="29">
        <f t="shared" ref="R71:R134" si="12">+Q71+(+Q71*$R$1)</f>
        <v>1338.1860000000001</v>
      </c>
      <c r="S71" t="s">
        <v>2370</v>
      </c>
    </row>
    <row r="72" spans="1:19">
      <c r="A72" s="9" t="s">
        <v>1097</v>
      </c>
      <c r="B72" t="s">
        <v>804</v>
      </c>
      <c r="C72" s="5" t="s">
        <v>806</v>
      </c>
      <c r="D72" s="5" t="s">
        <v>1945</v>
      </c>
      <c r="E72" s="5" t="s">
        <v>1946</v>
      </c>
      <c r="F72" s="25"/>
      <c r="H72" s="1">
        <v>45689.22</v>
      </c>
      <c r="I72" s="1">
        <v>-1478.08</v>
      </c>
      <c r="L72" s="11">
        <f t="shared" si="7"/>
        <v>44211.14</v>
      </c>
      <c r="M72" s="26">
        <v>1</v>
      </c>
      <c r="N72" s="11">
        <f t="shared" si="8"/>
        <v>45689.22</v>
      </c>
      <c r="O72" s="11">
        <f t="shared" si="9"/>
        <v>-1478.08</v>
      </c>
      <c r="P72" s="11">
        <f t="shared" si="10"/>
        <v>0</v>
      </c>
      <c r="Q72" s="29">
        <f t="shared" si="11"/>
        <v>44211.14</v>
      </c>
      <c r="R72" s="29">
        <f t="shared" si="12"/>
        <v>50842.811000000002</v>
      </c>
      <c r="S72" t="s">
        <v>2370</v>
      </c>
    </row>
    <row r="73" spans="1:19">
      <c r="A73" s="9" t="s">
        <v>1715</v>
      </c>
      <c r="B73" t="s">
        <v>804</v>
      </c>
      <c r="C73" s="5" t="s">
        <v>806</v>
      </c>
      <c r="D73" s="5" t="s">
        <v>1945</v>
      </c>
      <c r="E73" s="5" t="s">
        <v>1946</v>
      </c>
      <c r="F73" s="25"/>
      <c r="H73" s="1">
        <v>3500</v>
      </c>
      <c r="I73" s="1">
        <v>272</v>
      </c>
      <c r="J73" s="1">
        <v>3523.8850000000002</v>
      </c>
      <c r="K73" s="1">
        <v>100.1</v>
      </c>
      <c r="L73" s="11">
        <f t="shared" si="7"/>
        <v>7395.9850000000006</v>
      </c>
      <c r="M73" s="26">
        <v>1</v>
      </c>
      <c r="N73" s="11">
        <f t="shared" si="8"/>
        <v>3500</v>
      </c>
      <c r="O73" s="11">
        <f t="shared" si="9"/>
        <v>372.1</v>
      </c>
      <c r="P73" s="11">
        <f t="shared" si="10"/>
        <v>3523.8850000000002</v>
      </c>
      <c r="Q73" s="29">
        <f t="shared" si="11"/>
        <v>7395.9850000000006</v>
      </c>
      <c r="R73" s="29">
        <f t="shared" si="12"/>
        <v>8505.3827500000007</v>
      </c>
      <c r="S73" t="s">
        <v>2370</v>
      </c>
    </row>
    <row r="74" spans="1:19">
      <c r="A74" s="9" t="s">
        <v>1715</v>
      </c>
      <c r="B74" t="s">
        <v>624</v>
      </c>
      <c r="C74" s="5" t="s">
        <v>626</v>
      </c>
      <c r="D74" s="5" t="s">
        <v>2251</v>
      </c>
      <c r="E74" s="5" t="s">
        <v>2252</v>
      </c>
      <c r="F74" s="25"/>
      <c r="H74" s="1">
        <v>10000</v>
      </c>
      <c r="J74" s="1">
        <v>7116.9</v>
      </c>
      <c r="K74" s="1">
        <v>2576.4499999999998</v>
      </c>
      <c r="L74" s="11">
        <f t="shared" si="7"/>
        <v>19693.350000000002</v>
      </c>
      <c r="M74" s="26">
        <v>1</v>
      </c>
      <c r="N74" s="11">
        <f t="shared" si="8"/>
        <v>10000</v>
      </c>
      <c r="O74" s="11">
        <f t="shared" si="9"/>
        <v>2576.4499999999998</v>
      </c>
      <c r="P74" s="11">
        <f t="shared" si="10"/>
        <v>7116.9</v>
      </c>
      <c r="Q74" s="29">
        <f t="shared" si="11"/>
        <v>19693.350000000002</v>
      </c>
      <c r="R74" s="29">
        <f t="shared" si="12"/>
        <v>22647.352500000001</v>
      </c>
      <c r="S74" t="s">
        <v>2371</v>
      </c>
    </row>
    <row r="75" spans="1:19">
      <c r="A75" s="9" t="s">
        <v>1723</v>
      </c>
      <c r="B75" t="s">
        <v>624</v>
      </c>
      <c r="C75" s="5" t="s">
        <v>626</v>
      </c>
      <c r="D75" s="5" t="s">
        <v>2251</v>
      </c>
      <c r="E75" s="5" t="s">
        <v>2252</v>
      </c>
      <c r="F75" s="25"/>
      <c r="H75" s="1">
        <v>4185</v>
      </c>
      <c r="I75" s="1">
        <v>4154.3999999999996</v>
      </c>
      <c r="L75" s="11">
        <f t="shared" si="7"/>
        <v>8339.4</v>
      </c>
      <c r="M75" s="26">
        <v>1</v>
      </c>
      <c r="N75" s="11">
        <f t="shared" si="8"/>
        <v>4185</v>
      </c>
      <c r="O75" s="11">
        <f t="shared" si="9"/>
        <v>4154.3999999999996</v>
      </c>
      <c r="P75" s="11">
        <f t="shared" si="10"/>
        <v>0</v>
      </c>
      <c r="Q75" s="29">
        <f t="shared" si="11"/>
        <v>8339.4</v>
      </c>
      <c r="R75" s="29">
        <f t="shared" si="12"/>
        <v>9590.31</v>
      </c>
      <c r="S75" t="s">
        <v>2371</v>
      </c>
    </row>
    <row r="76" spans="1:19">
      <c r="A76" s="9" t="s">
        <v>1473</v>
      </c>
      <c r="B76" t="s">
        <v>1598</v>
      </c>
      <c r="C76" s="5" t="s">
        <v>1600</v>
      </c>
      <c r="D76" s="5" t="s">
        <v>2136</v>
      </c>
      <c r="E76" s="5" t="s">
        <v>2137</v>
      </c>
      <c r="F76" s="25"/>
      <c r="H76" s="1">
        <v>2777.04</v>
      </c>
      <c r="L76" s="11">
        <f t="shared" si="7"/>
        <v>2777.04</v>
      </c>
      <c r="M76" s="26">
        <v>1</v>
      </c>
      <c r="N76" s="11">
        <f t="shared" si="8"/>
        <v>2777.04</v>
      </c>
      <c r="O76" s="11">
        <f t="shared" si="9"/>
        <v>0</v>
      </c>
      <c r="P76" s="11">
        <f t="shared" si="10"/>
        <v>0</v>
      </c>
      <c r="Q76" s="29">
        <f t="shared" si="11"/>
        <v>2777.04</v>
      </c>
      <c r="R76" s="29">
        <f t="shared" si="12"/>
        <v>3193.596</v>
      </c>
      <c r="S76" t="s">
        <v>2369</v>
      </c>
    </row>
    <row r="77" spans="1:19">
      <c r="A77" s="9" t="s">
        <v>1399</v>
      </c>
      <c r="B77" t="s">
        <v>1419</v>
      </c>
      <c r="C77" s="5" t="s">
        <v>1421</v>
      </c>
      <c r="D77" s="5" t="s">
        <v>1991</v>
      </c>
      <c r="E77" s="5" t="s">
        <v>1992</v>
      </c>
      <c r="F77" s="25"/>
      <c r="H77" s="1">
        <v>18</v>
      </c>
      <c r="J77" s="1">
        <v>933.86</v>
      </c>
      <c r="L77" s="11">
        <f t="shared" si="7"/>
        <v>951.86</v>
      </c>
      <c r="M77" s="26">
        <v>1</v>
      </c>
      <c r="N77" s="11">
        <f t="shared" si="8"/>
        <v>18</v>
      </c>
      <c r="O77" s="11">
        <f t="shared" si="9"/>
        <v>0</v>
      </c>
      <c r="P77" s="11">
        <f t="shared" si="10"/>
        <v>933.86</v>
      </c>
      <c r="Q77" s="29">
        <f t="shared" si="11"/>
        <v>951.86</v>
      </c>
      <c r="R77" s="29">
        <f t="shared" si="12"/>
        <v>1094.6390000000001</v>
      </c>
      <c r="S77" t="s">
        <v>2369</v>
      </c>
    </row>
    <row r="78" spans="1:19">
      <c r="A78" s="9" t="s">
        <v>1399</v>
      </c>
      <c r="B78" t="s">
        <v>1413</v>
      </c>
      <c r="C78" s="5" t="s">
        <v>1415</v>
      </c>
      <c r="D78" s="5" t="s">
        <v>1987</v>
      </c>
      <c r="E78" s="5" t="s">
        <v>1988</v>
      </c>
      <c r="F78" s="25"/>
      <c r="H78" s="1">
        <v>2500</v>
      </c>
      <c r="L78" s="11">
        <f t="shared" si="7"/>
        <v>2500</v>
      </c>
      <c r="M78" s="26">
        <v>1</v>
      </c>
      <c r="N78" s="11">
        <f t="shared" si="8"/>
        <v>2500</v>
      </c>
      <c r="O78" s="11">
        <f t="shared" si="9"/>
        <v>0</v>
      </c>
      <c r="P78" s="11">
        <f t="shared" si="10"/>
        <v>0</v>
      </c>
      <c r="Q78" s="29">
        <f t="shared" si="11"/>
        <v>2500</v>
      </c>
      <c r="R78" s="29">
        <f t="shared" si="12"/>
        <v>2875</v>
      </c>
      <c r="S78" t="s">
        <v>2369</v>
      </c>
    </row>
    <row r="79" spans="1:19">
      <c r="A79" s="9" t="s">
        <v>1097</v>
      </c>
      <c r="B79" t="s">
        <v>439</v>
      </c>
      <c r="C79" s="5" t="s">
        <v>441</v>
      </c>
      <c r="D79" s="5" t="s">
        <v>1968</v>
      </c>
      <c r="E79" s="5" t="s">
        <v>1969</v>
      </c>
      <c r="F79" s="25"/>
      <c r="I79" s="1">
        <v>670</v>
      </c>
      <c r="L79" s="11">
        <f t="shared" si="7"/>
        <v>670</v>
      </c>
      <c r="M79" s="26">
        <v>1</v>
      </c>
      <c r="N79" s="11">
        <f t="shared" si="8"/>
        <v>0</v>
      </c>
      <c r="O79" s="11">
        <f t="shared" si="9"/>
        <v>670</v>
      </c>
      <c r="P79" s="11">
        <f t="shared" si="10"/>
        <v>0</v>
      </c>
      <c r="Q79" s="29">
        <f t="shared" si="11"/>
        <v>670</v>
      </c>
      <c r="R79" s="29">
        <f t="shared" si="12"/>
        <v>770.5</v>
      </c>
      <c r="S79" t="s">
        <v>2369</v>
      </c>
    </row>
    <row r="80" spans="1:19">
      <c r="A80" s="9" t="s">
        <v>1715</v>
      </c>
      <c r="B80" t="s">
        <v>552</v>
      </c>
      <c r="C80" s="5" t="s">
        <v>554</v>
      </c>
      <c r="D80" s="5" t="s">
        <v>2234</v>
      </c>
      <c r="E80" s="5" t="s">
        <v>2235</v>
      </c>
      <c r="F80" s="25"/>
      <c r="J80" s="1">
        <v>1083.5999999999999</v>
      </c>
      <c r="L80" s="11">
        <f t="shared" si="7"/>
        <v>1083.5999999999999</v>
      </c>
      <c r="M80" s="26">
        <v>1</v>
      </c>
      <c r="N80" s="11">
        <f t="shared" si="8"/>
        <v>0</v>
      </c>
      <c r="O80" s="11">
        <f t="shared" si="9"/>
        <v>0</v>
      </c>
      <c r="P80" s="11">
        <f t="shared" si="10"/>
        <v>1083.5999999999999</v>
      </c>
      <c r="Q80" s="29">
        <f t="shared" si="11"/>
        <v>1083.5999999999999</v>
      </c>
      <c r="R80" s="29">
        <f t="shared" si="12"/>
        <v>1246.1399999999999</v>
      </c>
      <c r="S80" t="s">
        <v>2374</v>
      </c>
    </row>
    <row r="81" spans="1:19">
      <c r="A81" s="9" t="s">
        <v>1723</v>
      </c>
      <c r="B81" t="s">
        <v>552</v>
      </c>
      <c r="C81" s="5" t="s">
        <v>554</v>
      </c>
      <c r="D81" s="5" t="s">
        <v>2234</v>
      </c>
      <c r="E81" s="5" t="s">
        <v>2235</v>
      </c>
      <c r="F81" s="25"/>
      <c r="H81" s="1">
        <v>2250</v>
      </c>
      <c r="I81" s="1">
        <v>4839.8500000000004</v>
      </c>
      <c r="L81" s="11">
        <f t="shared" si="7"/>
        <v>7089.85</v>
      </c>
      <c r="M81" s="26">
        <v>1</v>
      </c>
      <c r="N81" s="11">
        <f t="shared" si="8"/>
        <v>2250</v>
      </c>
      <c r="O81" s="11">
        <f t="shared" si="9"/>
        <v>4839.8500000000004</v>
      </c>
      <c r="P81" s="11">
        <f t="shared" si="10"/>
        <v>0</v>
      </c>
      <c r="Q81" s="29">
        <f t="shared" si="11"/>
        <v>7089.85</v>
      </c>
      <c r="R81" s="29">
        <f t="shared" si="12"/>
        <v>8153.3275000000003</v>
      </c>
      <c r="S81" t="s">
        <v>2374</v>
      </c>
    </row>
    <row r="82" spans="1:19">
      <c r="A82" s="9" t="s">
        <v>1715</v>
      </c>
      <c r="B82" t="s">
        <v>699</v>
      </c>
      <c r="C82" s="5" t="s">
        <v>701</v>
      </c>
      <c r="D82" s="5" t="s">
        <v>2301</v>
      </c>
      <c r="E82" s="5" t="s">
        <v>2302</v>
      </c>
      <c r="F82" s="25"/>
      <c r="J82" s="1">
        <v>750.72500000000002</v>
      </c>
      <c r="L82" s="11">
        <f t="shared" si="7"/>
        <v>750.72500000000002</v>
      </c>
      <c r="M82" s="26">
        <v>1</v>
      </c>
      <c r="N82" s="11">
        <f t="shared" si="8"/>
        <v>0</v>
      </c>
      <c r="O82" s="11">
        <f t="shared" si="9"/>
        <v>0</v>
      </c>
      <c r="P82" s="11">
        <f t="shared" si="10"/>
        <v>750.72500000000002</v>
      </c>
      <c r="Q82" s="29">
        <f t="shared" si="11"/>
        <v>750.72500000000002</v>
      </c>
      <c r="R82" s="29">
        <f t="shared" si="12"/>
        <v>863.33375000000001</v>
      </c>
      <c r="S82" t="s">
        <v>2369</v>
      </c>
    </row>
    <row r="83" spans="1:19">
      <c r="A83" s="9" t="s">
        <v>1473</v>
      </c>
      <c r="B83" t="s">
        <v>1571</v>
      </c>
      <c r="C83" s="5" t="s">
        <v>1573</v>
      </c>
      <c r="D83" s="5" t="s">
        <v>2112</v>
      </c>
      <c r="E83" s="5" t="s">
        <v>2113</v>
      </c>
      <c r="F83" s="25"/>
      <c r="H83" s="1">
        <v>3411.9</v>
      </c>
      <c r="L83" s="11">
        <f t="shared" si="7"/>
        <v>3411.9</v>
      </c>
      <c r="M83" s="26">
        <v>1</v>
      </c>
      <c r="N83" s="11">
        <f t="shared" si="8"/>
        <v>3411.9</v>
      </c>
      <c r="O83" s="11">
        <f t="shared" si="9"/>
        <v>0</v>
      </c>
      <c r="P83" s="11">
        <f t="shared" si="10"/>
        <v>0</v>
      </c>
      <c r="Q83" s="29">
        <f t="shared" si="11"/>
        <v>3411.9</v>
      </c>
      <c r="R83" s="29">
        <f t="shared" si="12"/>
        <v>3923.6849999999999</v>
      </c>
      <c r="S83" t="s">
        <v>2369</v>
      </c>
    </row>
    <row r="84" spans="1:19">
      <c r="A84" s="9" t="s">
        <v>1715</v>
      </c>
      <c r="B84" t="s">
        <v>612</v>
      </c>
      <c r="C84" s="5" t="s">
        <v>614</v>
      </c>
      <c r="D84" s="5" t="s">
        <v>2249</v>
      </c>
      <c r="E84" s="5" t="s">
        <v>2250</v>
      </c>
      <c r="F84" s="25"/>
      <c r="H84" s="1">
        <v>0</v>
      </c>
      <c r="L84" s="11">
        <f t="shared" si="7"/>
        <v>0</v>
      </c>
      <c r="M84" s="26">
        <v>1</v>
      </c>
      <c r="N84" s="11">
        <f t="shared" si="8"/>
        <v>0</v>
      </c>
      <c r="O84" s="11">
        <f t="shared" si="9"/>
        <v>0</v>
      </c>
      <c r="P84" s="11">
        <f t="shared" si="10"/>
        <v>0</v>
      </c>
      <c r="Q84" s="29">
        <f t="shared" si="11"/>
        <v>0</v>
      </c>
      <c r="R84" s="29">
        <f t="shared" si="12"/>
        <v>0</v>
      </c>
      <c r="S84" t="s">
        <v>2369</v>
      </c>
    </row>
    <row r="85" spans="1:19">
      <c r="A85" s="9" t="s">
        <v>1723</v>
      </c>
      <c r="B85" t="s">
        <v>612</v>
      </c>
      <c r="C85" s="5" t="s">
        <v>614</v>
      </c>
      <c r="D85" s="5" t="s">
        <v>2249</v>
      </c>
      <c r="E85" s="5" t="s">
        <v>2250</v>
      </c>
      <c r="F85" s="25"/>
      <c r="H85" s="1">
        <v>2000</v>
      </c>
      <c r="L85" s="11">
        <f t="shared" si="7"/>
        <v>2000</v>
      </c>
      <c r="M85" s="26">
        <v>1</v>
      </c>
      <c r="N85" s="11">
        <f t="shared" si="8"/>
        <v>2000</v>
      </c>
      <c r="O85" s="11">
        <f t="shared" si="9"/>
        <v>0</v>
      </c>
      <c r="P85" s="11">
        <f t="shared" si="10"/>
        <v>0</v>
      </c>
      <c r="Q85" s="29">
        <f t="shared" si="11"/>
        <v>2000</v>
      </c>
      <c r="R85" s="29">
        <f t="shared" si="12"/>
        <v>2300</v>
      </c>
      <c r="S85" t="s">
        <v>2369</v>
      </c>
    </row>
    <row r="86" spans="1:19">
      <c r="A86" s="9" t="s">
        <v>1399</v>
      </c>
      <c r="B86" t="s">
        <v>1443</v>
      </c>
      <c r="C86" s="5" t="s">
        <v>1445</v>
      </c>
      <c r="D86" s="5" t="s">
        <v>2009</v>
      </c>
      <c r="E86" s="5" t="s">
        <v>2010</v>
      </c>
      <c r="F86" s="25"/>
      <c r="H86" s="1">
        <v>95992</v>
      </c>
      <c r="J86" s="1">
        <v>74.959999999999994</v>
      </c>
      <c r="L86" s="11">
        <f t="shared" si="7"/>
        <v>96066.96</v>
      </c>
      <c r="M86" s="26">
        <v>1</v>
      </c>
      <c r="N86" s="11">
        <f t="shared" si="8"/>
        <v>95992</v>
      </c>
      <c r="O86" s="11">
        <f t="shared" si="9"/>
        <v>0</v>
      </c>
      <c r="P86" s="11">
        <f t="shared" si="10"/>
        <v>74.959999999999994</v>
      </c>
      <c r="Q86" s="29">
        <f t="shared" si="11"/>
        <v>96066.96</v>
      </c>
      <c r="R86" s="29">
        <f t="shared" si="12"/>
        <v>110477.004</v>
      </c>
      <c r="S86" t="s">
        <v>2369</v>
      </c>
    </row>
    <row r="87" spans="1:19">
      <c r="A87" s="9" t="s">
        <v>1473</v>
      </c>
      <c r="B87" t="s">
        <v>1443</v>
      </c>
      <c r="C87" s="5" t="s">
        <v>1445</v>
      </c>
      <c r="D87" s="5" t="s">
        <v>2009</v>
      </c>
      <c r="E87" s="5" t="s">
        <v>2010</v>
      </c>
      <c r="F87" s="25"/>
      <c r="H87" s="1">
        <v>7670</v>
      </c>
      <c r="J87" s="1">
        <v>1911.2</v>
      </c>
      <c r="L87" s="11">
        <f t="shared" si="7"/>
        <v>9581.2000000000007</v>
      </c>
      <c r="M87" s="26">
        <v>1</v>
      </c>
      <c r="N87" s="11">
        <f t="shared" si="8"/>
        <v>7670</v>
      </c>
      <c r="O87" s="11">
        <f t="shared" si="9"/>
        <v>0</v>
      </c>
      <c r="P87" s="11">
        <f t="shared" si="10"/>
        <v>1911.2</v>
      </c>
      <c r="Q87" s="29">
        <f t="shared" si="11"/>
        <v>9581.2000000000007</v>
      </c>
      <c r="R87" s="29">
        <f t="shared" si="12"/>
        <v>11018.380000000001</v>
      </c>
      <c r="S87" t="s">
        <v>2369</v>
      </c>
    </row>
    <row r="88" spans="1:19">
      <c r="A88" s="9" t="s">
        <v>1723</v>
      </c>
      <c r="B88" t="s">
        <v>297</v>
      </c>
      <c r="C88" s="5" t="s">
        <v>299</v>
      </c>
      <c r="D88" s="5" t="s">
        <v>2346</v>
      </c>
      <c r="E88" s="5" t="s">
        <v>2347</v>
      </c>
      <c r="F88" s="25"/>
      <c r="H88" s="1">
        <v>19500</v>
      </c>
      <c r="L88" s="11">
        <f t="shared" si="7"/>
        <v>19500</v>
      </c>
      <c r="M88" s="26">
        <v>1</v>
      </c>
      <c r="N88" s="11">
        <f t="shared" si="8"/>
        <v>19500</v>
      </c>
      <c r="O88" s="11">
        <f t="shared" si="9"/>
        <v>0</v>
      </c>
      <c r="P88" s="11">
        <f t="shared" si="10"/>
        <v>0</v>
      </c>
      <c r="Q88" s="29">
        <f t="shared" si="11"/>
        <v>19500</v>
      </c>
      <c r="R88" s="29">
        <f t="shared" si="12"/>
        <v>22425</v>
      </c>
      <c r="S88" t="s">
        <v>2369</v>
      </c>
    </row>
    <row r="89" spans="1:19">
      <c r="A89" s="9" t="s">
        <v>1715</v>
      </c>
      <c r="B89" t="s">
        <v>48</v>
      </c>
      <c r="C89" s="5" t="s">
        <v>50</v>
      </c>
      <c r="D89" s="5" t="s">
        <v>2228</v>
      </c>
      <c r="E89" s="5" t="s">
        <v>2229</v>
      </c>
      <c r="F89" s="25"/>
      <c r="H89" s="1">
        <v>250</v>
      </c>
      <c r="J89" s="1">
        <v>739.89</v>
      </c>
      <c r="K89" s="1">
        <v>137.02000000000001</v>
      </c>
      <c r="L89" s="11">
        <f t="shared" si="7"/>
        <v>1126.9100000000001</v>
      </c>
      <c r="M89" s="26">
        <v>1</v>
      </c>
      <c r="N89" s="11">
        <f t="shared" si="8"/>
        <v>250</v>
      </c>
      <c r="O89" s="11">
        <f t="shared" si="9"/>
        <v>137.02000000000001</v>
      </c>
      <c r="P89" s="11">
        <f t="shared" si="10"/>
        <v>739.89</v>
      </c>
      <c r="Q89" s="29">
        <f t="shared" si="11"/>
        <v>1126.9100000000001</v>
      </c>
      <c r="R89" s="29">
        <f t="shared" si="12"/>
        <v>1295.9465</v>
      </c>
      <c r="S89" t="s">
        <v>2370</v>
      </c>
    </row>
    <row r="90" spans="1:19">
      <c r="A90" s="9" t="s">
        <v>1723</v>
      </c>
      <c r="B90" t="s">
        <v>48</v>
      </c>
      <c r="C90" s="5" t="s">
        <v>50</v>
      </c>
      <c r="D90" s="5" t="s">
        <v>2228</v>
      </c>
      <c r="E90" s="5" t="s">
        <v>2229</v>
      </c>
      <c r="F90" s="25"/>
      <c r="H90" s="1">
        <v>8320</v>
      </c>
      <c r="L90" s="11">
        <f t="shared" si="7"/>
        <v>8320</v>
      </c>
      <c r="M90" s="26">
        <v>1</v>
      </c>
      <c r="N90" s="11">
        <f t="shared" si="8"/>
        <v>8320</v>
      </c>
      <c r="O90" s="11">
        <f t="shared" si="9"/>
        <v>0</v>
      </c>
      <c r="P90" s="11">
        <f t="shared" si="10"/>
        <v>0</v>
      </c>
      <c r="Q90" s="29">
        <f t="shared" si="11"/>
        <v>8320</v>
      </c>
      <c r="R90" s="29">
        <f t="shared" si="12"/>
        <v>9568</v>
      </c>
      <c r="S90" t="s">
        <v>2370</v>
      </c>
    </row>
    <row r="91" spans="1:19">
      <c r="A91" s="9" t="s">
        <v>1473</v>
      </c>
      <c r="B91" t="s">
        <v>1481</v>
      </c>
      <c r="C91" s="5" t="s">
        <v>1483</v>
      </c>
      <c r="D91" s="5" t="s">
        <v>2042</v>
      </c>
      <c r="E91" s="5" t="s">
        <v>2043</v>
      </c>
      <c r="F91" s="25"/>
      <c r="H91" s="1">
        <v>8583.7000000000007</v>
      </c>
      <c r="J91" s="1">
        <v>467.005</v>
      </c>
      <c r="L91" s="11">
        <f t="shared" si="7"/>
        <v>9050.7049999999999</v>
      </c>
      <c r="M91" s="26">
        <v>1</v>
      </c>
      <c r="N91" s="11">
        <f t="shared" si="8"/>
        <v>8583.7000000000007</v>
      </c>
      <c r="O91" s="11">
        <f t="shared" si="9"/>
        <v>0</v>
      </c>
      <c r="P91" s="11">
        <f t="shared" si="10"/>
        <v>467.005</v>
      </c>
      <c r="Q91" s="29">
        <f t="shared" si="11"/>
        <v>9050.7049999999999</v>
      </c>
      <c r="R91" s="29">
        <f t="shared" si="12"/>
        <v>10408.310750000001</v>
      </c>
      <c r="S91" t="s">
        <v>2369</v>
      </c>
    </row>
    <row r="92" spans="1:19">
      <c r="A92" s="9" t="s">
        <v>1473</v>
      </c>
      <c r="B92" t="s">
        <v>1511</v>
      </c>
      <c r="C92" s="5" t="s">
        <v>1513</v>
      </c>
      <c r="D92" s="5" t="s">
        <v>2064</v>
      </c>
      <c r="E92" s="5" t="s">
        <v>2065</v>
      </c>
      <c r="F92" s="25"/>
      <c r="H92" s="1">
        <v>800</v>
      </c>
      <c r="L92" s="11">
        <f t="shared" si="7"/>
        <v>800</v>
      </c>
      <c r="M92" s="26">
        <v>1</v>
      </c>
      <c r="N92" s="11">
        <f t="shared" si="8"/>
        <v>800</v>
      </c>
      <c r="O92" s="11">
        <f t="shared" si="9"/>
        <v>0</v>
      </c>
      <c r="P92" s="11">
        <f t="shared" si="10"/>
        <v>0</v>
      </c>
      <c r="Q92" s="29">
        <f t="shared" si="11"/>
        <v>800</v>
      </c>
      <c r="R92" s="29">
        <f t="shared" si="12"/>
        <v>920</v>
      </c>
      <c r="S92" t="s">
        <v>2369</v>
      </c>
    </row>
    <row r="93" spans="1:19">
      <c r="A93" s="9" t="s">
        <v>1473</v>
      </c>
      <c r="B93" t="s">
        <v>1676</v>
      </c>
      <c r="C93" s="5" t="s">
        <v>1678</v>
      </c>
      <c r="D93" s="5" t="s">
        <v>2191</v>
      </c>
      <c r="E93" s="5" t="s">
        <v>2192</v>
      </c>
      <c r="F93" s="25"/>
      <c r="H93" s="1">
        <v>4173.84</v>
      </c>
      <c r="L93" s="11">
        <f t="shared" si="7"/>
        <v>4173.84</v>
      </c>
      <c r="M93" s="26">
        <v>1</v>
      </c>
      <c r="N93" s="11">
        <f t="shared" si="8"/>
        <v>4173.84</v>
      </c>
      <c r="O93" s="11">
        <f t="shared" si="9"/>
        <v>0</v>
      </c>
      <c r="P93" s="11">
        <f t="shared" si="10"/>
        <v>0</v>
      </c>
      <c r="Q93" s="29">
        <f t="shared" si="11"/>
        <v>4173.84</v>
      </c>
      <c r="R93" s="29">
        <f t="shared" si="12"/>
        <v>4799.9160000000002</v>
      </c>
      <c r="S93" t="s">
        <v>2369</v>
      </c>
    </row>
    <row r="94" spans="1:19">
      <c r="A94" s="9" t="s">
        <v>1473</v>
      </c>
      <c r="B94" t="s">
        <v>1565</v>
      </c>
      <c r="C94" s="5" t="s">
        <v>1567</v>
      </c>
      <c r="D94" s="5" t="s">
        <v>2106</v>
      </c>
      <c r="E94" s="5" t="s">
        <v>2107</v>
      </c>
      <c r="F94" s="25"/>
      <c r="H94" s="1">
        <v>19239.400000000001</v>
      </c>
      <c r="J94" s="1">
        <v>961.29</v>
      </c>
      <c r="L94" s="11">
        <f t="shared" si="7"/>
        <v>20200.690000000002</v>
      </c>
      <c r="M94" s="26">
        <v>1</v>
      </c>
      <c r="N94" s="11">
        <f t="shared" si="8"/>
        <v>19239.400000000001</v>
      </c>
      <c r="O94" s="11">
        <f t="shared" si="9"/>
        <v>0</v>
      </c>
      <c r="P94" s="11">
        <f t="shared" si="10"/>
        <v>961.29</v>
      </c>
      <c r="Q94" s="29">
        <f t="shared" si="11"/>
        <v>20200.690000000002</v>
      </c>
      <c r="R94" s="29">
        <f t="shared" si="12"/>
        <v>23230.793500000003</v>
      </c>
      <c r="S94" t="s">
        <v>2369</v>
      </c>
    </row>
    <row r="95" spans="1:19">
      <c r="A95" s="9" t="s">
        <v>1473</v>
      </c>
      <c r="B95" t="s">
        <v>627</v>
      </c>
      <c r="C95" s="5" t="s">
        <v>629</v>
      </c>
      <c r="D95" s="5" t="s">
        <v>2130</v>
      </c>
      <c r="E95" s="5" t="s">
        <v>2131</v>
      </c>
      <c r="F95" s="25"/>
      <c r="J95" s="1">
        <v>144.55000000000001</v>
      </c>
      <c r="L95" s="11">
        <f t="shared" si="7"/>
        <v>144.55000000000001</v>
      </c>
      <c r="M95" s="26">
        <v>1</v>
      </c>
      <c r="N95" s="11">
        <f t="shared" si="8"/>
        <v>0</v>
      </c>
      <c r="O95" s="11">
        <f t="shared" si="9"/>
        <v>0</v>
      </c>
      <c r="P95" s="11">
        <f t="shared" si="10"/>
        <v>144.55000000000001</v>
      </c>
      <c r="Q95" s="29">
        <f t="shared" si="11"/>
        <v>144.55000000000001</v>
      </c>
      <c r="R95" s="29">
        <f t="shared" si="12"/>
        <v>166.23250000000002</v>
      </c>
      <c r="S95" t="s">
        <v>2369</v>
      </c>
    </row>
    <row r="96" spans="1:19">
      <c r="A96" s="9" t="s">
        <v>1715</v>
      </c>
      <c r="B96" t="s">
        <v>627</v>
      </c>
      <c r="C96" s="5" t="s">
        <v>629</v>
      </c>
      <c r="D96" s="5" t="s">
        <v>2130</v>
      </c>
      <c r="E96" s="5" t="s">
        <v>2131</v>
      </c>
      <c r="F96" s="25"/>
      <c r="I96" s="1">
        <v>1894.91</v>
      </c>
      <c r="J96" s="1">
        <v>4756.3999999999996</v>
      </c>
      <c r="L96" s="11">
        <f t="shared" si="7"/>
        <v>6651.3099999999995</v>
      </c>
      <c r="M96" s="26">
        <v>1</v>
      </c>
      <c r="N96" s="11">
        <f t="shared" si="8"/>
        <v>0</v>
      </c>
      <c r="O96" s="11">
        <f t="shared" si="9"/>
        <v>1894.91</v>
      </c>
      <c r="P96" s="11">
        <f t="shared" si="10"/>
        <v>4756.3999999999996</v>
      </c>
      <c r="Q96" s="29">
        <f t="shared" si="11"/>
        <v>6651.3099999999995</v>
      </c>
      <c r="R96" s="29">
        <f t="shared" si="12"/>
        <v>7649.0064999999995</v>
      </c>
      <c r="S96" t="s">
        <v>2369</v>
      </c>
    </row>
    <row r="97" spans="1:19">
      <c r="A97" s="9" t="s">
        <v>1723</v>
      </c>
      <c r="B97" t="s">
        <v>627</v>
      </c>
      <c r="C97" s="5" t="s">
        <v>629</v>
      </c>
      <c r="D97" s="5" t="s">
        <v>2130</v>
      </c>
      <c r="E97" s="5" t="s">
        <v>2131</v>
      </c>
      <c r="F97" s="25"/>
      <c r="I97" s="1">
        <v>3498.75</v>
      </c>
      <c r="L97" s="11">
        <f t="shared" si="7"/>
        <v>3498.75</v>
      </c>
      <c r="M97" s="26">
        <v>1</v>
      </c>
      <c r="N97" s="11">
        <f t="shared" si="8"/>
        <v>0</v>
      </c>
      <c r="O97" s="11">
        <f t="shared" si="9"/>
        <v>3498.75</v>
      </c>
      <c r="P97" s="11">
        <f t="shared" si="10"/>
        <v>0</v>
      </c>
      <c r="Q97" s="29">
        <f t="shared" si="11"/>
        <v>3498.75</v>
      </c>
      <c r="R97" s="29">
        <f t="shared" si="12"/>
        <v>4023.5625</v>
      </c>
      <c r="S97" t="s">
        <v>2369</v>
      </c>
    </row>
    <row r="98" spans="1:19">
      <c r="A98" s="9" t="s">
        <v>1723</v>
      </c>
      <c r="B98" t="s">
        <v>87</v>
      </c>
      <c r="C98" s="5" t="s">
        <v>89</v>
      </c>
      <c r="D98" s="5" t="s">
        <v>2033</v>
      </c>
      <c r="E98" s="5" t="s">
        <v>2360</v>
      </c>
      <c r="F98" s="25"/>
      <c r="H98" s="1">
        <v>9000</v>
      </c>
      <c r="L98" s="11">
        <f t="shared" si="7"/>
        <v>9000</v>
      </c>
      <c r="M98" s="26">
        <v>1</v>
      </c>
      <c r="N98" s="11">
        <f t="shared" si="8"/>
        <v>9000</v>
      </c>
      <c r="O98" s="11">
        <f t="shared" si="9"/>
        <v>0</v>
      </c>
      <c r="P98" s="11">
        <f t="shared" si="10"/>
        <v>0</v>
      </c>
      <c r="Q98" s="29">
        <f t="shared" si="11"/>
        <v>9000</v>
      </c>
      <c r="R98" s="29">
        <f t="shared" si="12"/>
        <v>10350</v>
      </c>
      <c r="S98" t="s">
        <v>2369</v>
      </c>
    </row>
    <row r="99" spans="1:19">
      <c r="A99" s="9" t="s">
        <v>1715</v>
      </c>
      <c r="B99" t="s">
        <v>1717</v>
      </c>
      <c r="C99" s="5" t="s">
        <v>1719</v>
      </c>
      <c r="D99" s="5" t="s">
        <v>2280</v>
      </c>
      <c r="E99" s="5" t="s">
        <v>2281</v>
      </c>
      <c r="F99" s="25"/>
      <c r="J99" s="1">
        <v>60.96</v>
      </c>
      <c r="L99" s="11">
        <f t="shared" si="7"/>
        <v>60.96</v>
      </c>
      <c r="M99" s="26">
        <v>1</v>
      </c>
      <c r="N99" s="11">
        <f t="shared" si="8"/>
        <v>0</v>
      </c>
      <c r="O99" s="11">
        <f t="shared" si="9"/>
        <v>0</v>
      </c>
      <c r="P99" s="11">
        <f t="shared" si="10"/>
        <v>60.96</v>
      </c>
      <c r="Q99" s="29">
        <f t="shared" si="11"/>
        <v>60.96</v>
      </c>
      <c r="R99" s="29">
        <f t="shared" si="12"/>
        <v>70.103999999999999</v>
      </c>
      <c r="S99" t="s">
        <v>2371</v>
      </c>
    </row>
    <row r="100" spans="1:19">
      <c r="A100" s="9" t="s">
        <v>1399</v>
      </c>
      <c r="B100" t="s">
        <v>681</v>
      </c>
      <c r="C100" s="5" t="s">
        <v>683</v>
      </c>
      <c r="D100" s="5" t="s">
        <v>1999</v>
      </c>
      <c r="E100" s="5" t="s">
        <v>2000</v>
      </c>
      <c r="F100" s="25"/>
      <c r="J100" s="1">
        <v>1551.7049999999999</v>
      </c>
      <c r="L100" s="11">
        <f t="shared" si="7"/>
        <v>1551.7049999999999</v>
      </c>
      <c r="M100" s="26">
        <v>1</v>
      </c>
      <c r="N100" s="11">
        <f t="shared" si="8"/>
        <v>0</v>
      </c>
      <c r="O100" s="11">
        <f t="shared" si="9"/>
        <v>0</v>
      </c>
      <c r="P100" s="11">
        <f t="shared" si="10"/>
        <v>1551.7049999999999</v>
      </c>
      <c r="Q100" s="29">
        <f t="shared" si="11"/>
        <v>1551.7049999999999</v>
      </c>
      <c r="R100" s="29">
        <f t="shared" si="12"/>
        <v>1784.46075</v>
      </c>
      <c r="S100" t="s">
        <v>2369</v>
      </c>
    </row>
    <row r="101" spans="1:19">
      <c r="A101" s="9" t="s">
        <v>1473</v>
      </c>
      <c r="B101" t="s">
        <v>681</v>
      </c>
      <c r="C101" s="5" t="s">
        <v>683</v>
      </c>
      <c r="D101" s="5" t="s">
        <v>1999</v>
      </c>
      <c r="E101" s="5" t="s">
        <v>2000</v>
      </c>
      <c r="F101" s="25"/>
      <c r="H101" s="1">
        <v>10857.08</v>
      </c>
      <c r="J101" s="1">
        <v>423.69</v>
      </c>
      <c r="L101" s="11">
        <f t="shared" si="7"/>
        <v>11280.77</v>
      </c>
      <c r="M101" s="26">
        <v>1</v>
      </c>
      <c r="N101" s="11">
        <f t="shared" si="8"/>
        <v>10857.08</v>
      </c>
      <c r="O101" s="11">
        <f t="shared" si="9"/>
        <v>0</v>
      </c>
      <c r="P101" s="11">
        <f t="shared" si="10"/>
        <v>423.69</v>
      </c>
      <c r="Q101" s="29">
        <f t="shared" si="11"/>
        <v>11280.77</v>
      </c>
      <c r="R101" s="29">
        <f t="shared" si="12"/>
        <v>12972.8855</v>
      </c>
      <c r="S101" t="s">
        <v>2369</v>
      </c>
    </row>
    <row r="102" spans="1:19">
      <c r="A102" s="9" t="s">
        <v>1715</v>
      </c>
      <c r="B102" t="s">
        <v>681</v>
      </c>
      <c r="C102" s="5" t="s">
        <v>683</v>
      </c>
      <c r="D102" s="5" t="s">
        <v>1999</v>
      </c>
      <c r="E102" s="5" t="s">
        <v>2000</v>
      </c>
      <c r="F102" s="25"/>
      <c r="I102" s="1">
        <v>5210.9399999999996</v>
      </c>
      <c r="J102" s="1">
        <v>396.18</v>
      </c>
      <c r="L102" s="11">
        <f t="shared" si="7"/>
        <v>5607.12</v>
      </c>
      <c r="M102" s="26">
        <v>1</v>
      </c>
      <c r="N102" s="11">
        <f t="shared" si="8"/>
        <v>0</v>
      </c>
      <c r="O102" s="11">
        <f t="shared" si="9"/>
        <v>5210.9399999999996</v>
      </c>
      <c r="P102" s="11">
        <f t="shared" si="10"/>
        <v>396.18</v>
      </c>
      <c r="Q102" s="29">
        <f t="shared" si="11"/>
        <v>5607.12</v>
      </c>
      <c r="R102" s="29">
        <f t="shared" si="12"/>
        <v>6448.1880000000001</v>
      </c>
      <c r="S102" t="s">
        <v>2369</v>
      </c>
    </row>
    <row r="103" spans="1:19">
      <c r="A103" s="9" t="s">
        <v>1723</v>
      </c>
      <c r="B103" t="s">
        <v>681</v>
      </c>
      <c r="C103" s="5" t="s">
        <v>683</v>
      </c>
      <c r="D103" s="5" t="s">
        <v>1999</v>
      </c>
      <c r="E103" s="5" t="s">
        <v>2000</v>
      </c>
      <c r="F103" s="25"/>
      <c r="I103" s="1">
        <v>536.4</v>
      </c>
      <c r="L103" s="11">
        <f t="shared" si="7"/>
        <v>536.4</v>
      </c>
      <c r="M103" s="26">
        <v>1</v>
      </c>
      <c r="N103" s="11">
        <f t="shared" si="8"/>
        <v>0</v>
      </c>
      <c r="O103" s="11">
        <f t="shared" si="9"/>
        <v>536.4</v>
      </c>
      <c r="P103" s="11">
        <f t="shared" si="10"/>
        <v>0</v>
      </c>
      <c r="Q103" s="29">
        <f t="shared" si="11"/>
        <v>536.4</v>
      </c>
      <c r="R103" s="29">
        <f t="shared" si="12"/>
        <v>616.86</v>
      </c>
      <c r="S103" t="s">
        <v>2369</v>
      </c>
    </row>
    <row r="104" spans="1:19">
      <c r="A104" s="9" t="s">
        <v>1715</v>
      </c>
      <c r="B104" t="s">
        <v>654</v>
      </c>
      <c r="C104" s="5" t="s">
        <v>656</v>
      </c>
      <c r="D104" s="5" t="s">
        <v>2225</v>
      </c>
      <c r="E104" s="5" t="s">
        <v>2226</v>
      </c>
      <c r="F104" s="25"/>
      <c r="I104" s="1">
        <v>3036.72</v>
      </c>
      <c r="J104" s="1">
        <v>5398.085</v>
      </c>
      <c r="L104" s="11">
        <f t="shared" si="7"/>
        <v>8434.8050000000003</v>
      </c>
      <c r="M104" s="26">
        <v>0.9</v>
      </c>
      <c r="N104" s="11">
        <f t="shared" si="8"/>
        <v>0</v>
      </c>
      <c r="O104" s="11">
        <f t="shared" si="9"/>
        <v>2733.0479999999998</v>
      </c>
      <c r="P104" s="11">
        <f t="shared" si="10"/>
        <v>4858.2764999999999</v>
      </c>
      <c r="Q104" s="29">
        <f t="shared" si="11"/>
        <v>7591.3245000000006</v>
      </c>
      <c r="R104" s="29">
        <f t="shared" si="12"/>
        <v>8730.0231750000003</v>
      </c>
      <c r="S104" t="s">
        <v>2370</v>
      </c>
    </row>
    <row r="105" spans="1:19">
      <c r="A105" s="9" t="s">
        <v>1723</v>
      </c>
      <c r="B105" t="s">
        <v>654</v>
      </c>
      <c r="C105" s="5" t="s">
        <v>656</v>
      </c>
      <c r="D105" s="5" t="s">
        <v>2225</v>
      </c>
      <c r="E105" s="5" t="s">
        <v>2226</v>
      </c>
      <c r="F105" s="25"/>
      <c r="H105" s="1">
        <v>20868.97</v>
      </c>
      <c r="I105" s="1">
        <v>10662.92</v>
      </c>
      <c r="L105" s="11">
        <f t="shared" si="7"/>
        <v>31531.89</v>
      </c>
      <c r="M105" s="26">
        <v>0.9</v>
      </c>
      <c r="N105" s="11">
        <f t="shared" si="8"/>
        <v>18782.073</v>
      </c>
      <c r="O105" s="11">
        <f t="shared" si="9"/>
        <v>9596.6280000000006</v>
      </c>
      <c r="P105" s="11">
        <f t="shared" si="10"/>
        <v>0</v>
      </c>
      <c r="Q105" s="29">
        <f t="shared" si="11"/>
        <v>28378.701000000001</v>
      </c>
      <c r="R105" s="29">
        <f t="shared" si="12"/>
        <v>32635.506150000001</v>
      </c>
      <c r="S105" t="s">
        <v>2370</v>
      </c>
    </row>
    <row r="106" spans="1:19">
      <c r="A106" s="9" t="s">
        <v>1473</v>
      </c>
      <c r="B106" t="s">
        <v>1514</v>
      </c>
      <c r="C106" s="5" t="s">
        <v>1516</v>
      </c>
      <c r="D106" s="5" t="s">
        <v>2068</v>
      </c>
      <c r="E106" s="5" t="s">
        <v>2069</v>
      </c>
      <c r="F106" s="25"/>
      <c r="H106" s="1">
        <v>500</v>
      </c>
      <c r="L106" s="11">
        <f t="shared" si="7"/>
        <v>500</v>
      </c>
      <c r="M106" s="26">
        <v>1</v>
      </c>
      <c r="N106" s="11">
        <f t="shared" si="8"/>
        <v>500</v>
      </c>
      <c r="O106" s="11">
        <f t="shared" si="9"/>
        <v>0</v>
      </c>
      <c r="P106" s="11">
        <f t="shared" si="10"/>
        <v>0</v>
      </c>
      <c r="Q106" s="29">
        <f t="shared" si="11"/>
        <v>500</v>
      </c>
      <c r="R106" s="29">
        <f t="shared" si="12"/>
        <v>575</v>
      </c>
      <c r="S106" t="s">
        <v>2369</v>
      </c>
    </row>
    <row r="107" spans="1:19">
      <c r="A107" s="9" t="s">
        <v>1097</v>
      </c>
      <c r="B107" t="s">
        <v>459</v>
      </c>
      <c r="C107" s="5" t="s">
        <v>461</v>
      </c>
      <c r="D107" s="5" t="s">
        <v>1951</v>
      </c>
      <c r="E107" s="5" t="s">
        <v>1952</v>
      </c>
      <c r="F107" s="25"/>
      <c r="H107" s="1">
        <v>77130.23</v>
      </c>
      <c r="I107" s="1">
        <v>-35476.47</v>
      </c>
      <c r="L107" s="11">
        <f t="shared" si="7"/>
        <v>41653.759999999995</v>
      </c>
      <c r="M107" s="26">
        <v>1</v>
      </c>
      <c r="N107" s="11">
        <f t="shared" si="8"/>
        <v>77130.23</v>
      </c>
      <c r="O107" s="11">
        <f t="shared" si="9"/>
        <v>-35476.47</v>
      </c>
      <c r="P107" s="11">
        <f t="shared" si="10"/>
        <v>0</v>
      </c>
      <c r="Q107" s="29">
        <f t="shared" si="11"/>
        <v>41653.759999999995</v>
      </c>
      <c r="R107" s="29">
        <f t="shared" si="12"/>
        <v>47901.823999999993</v>
      </c>
      <c r="S107" t="s">
        <v>2370</v>
      </c>
    </row>
    <row r="108" spans="1:19">
      <c r="A108" s="9" t="s">
        <v>1715</v>
      </c>
      <c r="B108" t="s">
        <v>459</v>
      </c>
      <c r="C108" s="5" t="s">
        <v>461</v>
      </c>
      <c r="D108" s="5" t="s">
        <v>1951</v>
      </c>
      <c r="E108" s="5" t="s">
        <v>1952</v>
      </c>
      <c r="F108" s="25"/>
      <c r="H108" s="1">
        <v>34147.78</v>
      </c>
      <c r="I108" s="1">
        <v>3497.7</v>
      </c>
      <c r="J108" s="1">
        <v>9075.1350000000002</v>
      </c>
      <c r="K108" s="1">
        <v>336.66</v>
      </c>
      <c r="L108" s="11">
        <f t="shared" si="7"/>
        <v>47057.275000000001</v>
      </c>
      <c r="M108" s="26">
        <v>1</v>
      </c>
      <c r="N108" s="11">
        <f t="shared" si="8"/>
        <v>34147.78</v>
      </c>
      <c r="O108" s="11">
        <f t="shared" si="9"/>
        <v>3834.3599999999997</v>
      </c>
      <c r="P108" s="11">
        <f t="shared" si="10"/>
        <v>9075.1350000000002</v>
      </c>
      <c r="Q108" s="29">
        <f t="shared" si="11"/>
        <v>47057.275000000001</v>
      </c>
      <c r="R108" s="29">
        <f t="shared" si="12"/>
        <v>54115.866249999999</v>
      </c>
      <c r="S108" t="s">
        <v>2370</v>
      </c>
    </row>
    <row r="109" spans="1:19">
      <c r="A109" s="9" t="s">
        <v>1723</v>
      </c>
      <c r="B109" t="s">
        <v>459</v>
      </c>
      <c r="C109" s="5" t="s">
        <v>461</v>
      </c>
      <c r="D109" s="5" t="s">
        <v>1951</v>
      </c>
      <c r="E109" s="5" t="s">
        <v>1952</v>
      </c>
      <c r="F109" s="25"/>
      <c r="H109" s="1">
        <v>20383.64</v>
      </c>
      <c r="I109" s="1">
        <v>554.66999999999996</v>
      </c>
      <c r="L109" s="11">
        <f t="shared" si="7"/>
        <v>20938.309999999998</v>
      </c>
      <c r="M109" s="26">
        <v>1</v>
      </c>
      <c r="N109" s="11">
        <f t="shared" si="8"/>
        <v>20383.64</v>
      </c>
      <c r="O109" s="11">
        <f t="shared" si="9"/>
        <v>554.66999999999996</v>
      </c>
      <c r="P109" s="11">
        <f t="shared" si="10"/>
        <v>0</v>
      </c>
      <c r="Q109" s="29">
        <f t="shared" si="11"/>
        <v>20938.309999999998</v>
      </c>
      <c r="R109" s="29">
        <f t="shared" si="12"/>
        <v>24079.056499999999</v>
      </c>
      <c r="S109" t="s">
        <v>2370</v>
      </c>
    </row>
    <row r="110" spans="1:19">
      <c r="A110" s="9" t="s">
        <v>1715</v>
      </c>
      <c r="B110" t="s">
        <v>108</v>
      </c>
      <c r="C110" s="5" t="s">
        <v>110</v>
      </c>
      <c r="D110" s="5" t="s">
        <v>2317</v>
      </c>
      <c r="E110" s="5" t="s">
        <v>2318</v>
      </c>
      <c r="F110" s="25"/>
      <c r="J110" s="1">
        <v>7969.34</v>
      </c>
      <c r="L110" s="11">
        <f t="shared" si="7"/>
        <v>7969.34</v>
      </c>
      <c r="M110" s="26">
        <v>1</v>
      </c>
      <c r="N110" s="11">
        <f t="shared" si="8"/>
        <v>0</v>
      </c>
      <c r="O110" s="11">
        <f t="shared" si="9"/>
        <v>0</v>
      </c>
      <c r="P110" s="11">
        <f t="shared" si="10"/>
        <v>7969.34</v>
      </c>
      <c r="Q110" s="29">
        <f t="shared" si="11"/>
        <v>7969.34</v>
      </c>
      <c r="R110" s="29">
        <f t="shared" si="12"/>
        <v>9164.741</v>
      </c>
      <c r="S110" t="s">
        <v>2372</v>
      </c>
    </row>
    <row r="111" spans="1:19">
      <c r="A111" s="9" t="s">
        <v>1723</v>
      </c>
      <c r="B111" t="s">
        <v>108</v>
      </c>
      <c r="C111" s="5" t="s">
        <v>110</v>
      </c>
      <c r="D111" s="5" t="s">
        <v>2317</v>
      </c>
      <c r="E111" s="5" t="s">
        <v>2318</v>
      </c>
      <c r="F111" s="25"/>
      <c r="H111" s="1">
        <v>2355.4</v>
      </c>
      <c r="I111" s="1">
        <v>4108</v>
      </c>
      <c r="L111" s="11">
        <f t="shared" si="7"/>
        <v>6463.4</v>
      </c>
      <c r="M111" s="26">
        <v>1</v>
      </c>
      <c r="N111" s="11">
        <f t="shared" si="8"/>
        <v>2355.4</v>
      </c>
      <c r="O111" s="11">
        <f t="shared" si="9"/>
        <v>4108</v>
      </c>
      <c r="P111" s="11">
        <f t="shared" si="10"/>
        <v>0</v>
      </c>
      <c r="Q111" s="29">
        <f t="shared" si="11"/>
        <v>6463.4</v>
      </c>
      <c r="R111" s="29">
        <f t="shared" si="12"/>
        <v>7432.91</v>
      </c>
      <c r="S111" t="s">
        <v>2372</v>
      </c>
    </row>
    <row r="112" spans="1:19">
      <c r="A112" s="9" t="s">
        <v>1715</v>
      </c>
      <c r="B112" t="s">
        <v>630</v>
      </c>
      <c r="C112" s="5" t="s">
        <v>632</v>
      </c>
      <c r="D112" s="5" t="s">
        <v>2031</v>
      </c>
      <c r="E112" s="5" t="s">
        <v>2032</v>
      </c>
      <c r="F112" s="25"/>
      <c r="J112" s="1">
        <v>216.72</v>
      </c>
      <c r="L112" s="11">
        <f t="shared" si="7"/>
        <v>216.72</v>
      </c>
      <c r="M112" s="26">
        <v>1</v>
      </c>
      <c r="N112" s="11">
        <f t="shared" si="8"/>
        <v>0</v>
      </c>
      <c r="O112" s="11">
        <f t="shared" si="9"/>
        <v>0</v>
      </c>
      <c r="P112" s="11">
        <f t="shared" si="10"/>
        <v>216.72</v>
      </c>
      <c r="Q112" s="29">
        <f t="shared" si="11"/>
        <v>216.72</v>
      </c>
      <c r="R112" s="29">
        <f t="shared" si="12"/>
        <v>249.22800000000001</v>
      </c>
      <c r="S112" t="s">
        <v>2371</v>
      </c>
    </row>
    <row r="113" spans="1:19">
      <c r="A113" s="9" t="s">
        <v>1715</v>
      </c>
      <c r="B113" t="s">
        <v>630</v>
      </c>
      <c r="C113" s="5" t="s">
        <v>632</v>
      </c>
      <c r="D113" s="5" t="s">
        <v>2031</v>
      </c>
      <c r="E113" s="5" t="s">
        <v>2032</v>
      </c>
      <c r="F113" s="25"/>
      <c r="H113" s="1">
        <v>372.17</v>
      </c>
      <c r="J113" s="1">
        <v>67.72</v>
      </c>
      <c r="L113" s="11">
        <f t="shared" si="7"/>
        <v>439.89</v>
      </c>
      <c r="M113" s="26">
        <v>1</v>
      </c>
      <c r="N113" s="11">
        <f t="shared" si="8"/>
        <v>372.17</v>
      </c>
      <c r="O113" s="11">
        <f t="shared" si="9"/>
        <v>0</v>
      </c>
      <c r="P113" s="11">
        <f t="shared" si="10"/>
        <v>67.72</v>
      </c>
      <c r="Q113" s="29">
        <f t="shared" si="11"/>
        <v>439.89</v>
      </c>
      <c r="R113" s="29">
        <f t="shared" si="12"/>
        <v>505.87349999999998</v>
      </c>
      <c r="S113" t="s">
        <v>2371</v>
      </c>
    </row>
    <row r="114" spans="1:19">
      <c r="A114" s="9" t="s">
        <v>1723</v>
      </c>
      <c r="B114" t="s">
        <v>630</v>
      </c>
      <c r="C114" s="5" t="s">
        <v>632</v>
      </c>
      <c r="D114" s="5" t="s">
        <v>2031</v>
      </c>
      <c r="E114" s="5" t="s">
        <v>2032</v>
      </c>
      <c r="F114" s="25"/>
      <c r="H114" s="1">
        <v>21233.26</v>
      </c>
      <c r="I114" s="1">
        <v>16384.240000000002</v>
      </c>
      <c r="L114" s="11">
        <f t="shared" si="7"/>
        <v>37617.5</v>
      </c>
      <c r="M114" s="26">
        <v>1</v>
      </c>
      <c r="N114" s="11">
        <f t="shared" si="8"/>
        <v>21233.26</v>
      </c>
      <c r="O114" s="11">
        <f t="shared" si="9"/>
        <v>16384.240000000002</v>
      </c>
      <c r="P114" s="11">
        <f t="shared" si="10"/>
        <v>0</v>
      </c>
      <c r="Q114" s="29">
        <f t="shared" si="11"/>
        <v>37617.5</v>
      </c>
      <c r="R114" s="29">
        <f t="shared" si="12"/>
        <v>43260.125</v>
      </c>
      <c r="S114" t="s">
        <v>2371</v>
      </c>
    </row>
    <row r="115" spans="1:19">
      <c r="A115" s="9" t="s">
        <v>1715</v>
      </c>
      <c r="B115" t="s">
        <v>412</v>
      </c>
      <c r="C115" s="5" t="s">
        <v>414</v>
      </c>
      <c r="D115" s="5" t="s">
        <v>2056</v>
      </c>
      <c r="E115" s="5" t="s">
        <v>2057</v>
      </c>
      <c r="F115" s="25"/>
      <c r="J115" s="1">
        <v>78.180000000000007</v>
      </c>
      <c r="L115" s="11">
        <f t="shared" si="7"/>
        <v>78.180000000000007</v>
      </c>
      <c r="M115" s="26">
        <v>1</v>
      </c>
      <c r="N115" s="11">
        <f t="shared" si="8"/>
        <v>0</v>
      </c>
      <c r="O115" s="11">
        <f t="shared" si="9"/>
        <v>0</v>
      </c>
      <c r="P115" s="11">
        <f t="shared" si="10"/>
        <v>78.180000000000007</v>
      </c>
      <c r="Q115" s="29">
        <f t="shared" si="11"/>
        <v>78.180000000000007</v>
      </c>
      <c r="R115" s="29">
        <f t="shared" si="12"/>
        <v>89.907000000000011</v>
      </c>
      <c r="S115" t="s">
        <v>2369</v>
      </c>
    </row>
    <row r="116" spans="1:19">
      <c r="A116" s="9" t="s">
        <v>1715</v>
      </c>
      <c r="B116" t="s">
        <v>412</v>
      </c>
      <c r="C116" s="5" t="s">
        <v>414</v>
      </c>
      <c r="D116" s="5" t="s">
        <v>2056</v>
      </c>
      <c r="E116" s="5" t="s">
        <v>2057</v>
      </c>
      <c r="F116" s="25"/>
      <c r="J116" s="1">
        <v>215.87</v>
      </c>
      <c r="L116" s="11">
        <f t="shared" si="7"/>
        <v>215.87</v>
      </c>
      <c r="M116" s="26">
        <v>1</v>
      </c>
      <c r="N116" s="11">
        <f t="shared" si="8"/>
        <v>0</v>
      </c>
      <c r="O116" s="11">
        <f t="shared" si="9"/>
        <v>0</v>
      </c>
      <c r="P116" s="11">
        <f t="shared" si="10"/>
        <v>215.87</v>
      </c>
      <c r="Q116" s="29">
        <f t="shared" si="11"/>
        <v>215.87</v>
      </c>
      <c r="R116" s="29">
        <f t="shared" si="12"/>
        <v>248.25049999999999</v>
      </c>
      <c r="S116" t="s">
        <v>2369</v>
      </c>
    </row>
    <row r="117" spans="1:19">
      <c r="A117" s="9" t="s">
        <v>1715</v>
      </c>
      <c r="B117" t="s">
        <v>240</v>
      </c>
      <c r="C117" s="5" t="s">
        <v>242</v>
      </c>
      <c r="D117" s="5" t="s">
        <v>2240</v>
      </c>
      <c r="E117" s="5" t="s">
        <v>2241</v>
      </c>
      <c r="F117" s="25"/>
      <c r="J117" s="1">
        <v>142.02000000000001</v>
      </c>
      <c r="K117" s="1">
        <v>68.5</v>
      </c>
      <c r="L117" s="11">
        <f t="shared" si="7"/>
        <v>210.52</v>
      </c>
      <c r="M117" s="26">
        <v>1</v>
      </c>
      <c r="N117" s="11">
        <f t="shared" si="8"/>
        <v>0</v>
      </c>
      <c r="O117" s="11">
        <f t="shared" si="9"/>
        <v>68.5</v>
      </c>
      <c r="P117" s="11">
        <f t="shared" si="10"/>
        <v>142.02000000000001</v>
      </c>
      <c r="Q117" s="29">
        <f t="shared" si="11"/>
        <v>210.52</v>
      </c>
      <c r="R117" s="29">
        <f t="shared" si="12"/>
        <v>242.09800000000001</v>
      </c>
      <c r="S117" t="s">
        <v>2369</v>
      </c>
    </row>
    <row r="118" spans="1:19">
      <c r="A118" s="9" t="s">
        <v>1723</v>
      </c>
      <c r="B118" t="s">
        <v>240</v>
      </c>
      <c r="C118" s="5" t="s">
        <v>242</v>
      </c>
      <c r="D118" s="5" t="s">
        <v>2240</v>
      </c>
      <c r="E118" s="5" t="s">
        <v>2241</v>
      </c>
      <c r="F118" s="25"/>
      <c r="H118" s="1">
        <v>3000</v>
      </c>
      <c r="L118" s="11">
        <f t="shared" si="7"/>
        <v>3000</v>
      </c>
      <c r="M118" s="26">
        <v>1</v>
      </c>
      <c r="N118" s="11">
        <f t="shared" si="8"/>
        <v>3000</v>
      </c>
      <c r="O118" s="11">
        <f t="shared" si="9"/>
        <v>0</v>
      </c>
      <c r="P118" s="11">
        <f t="shared" si="10"/>
        <v>0</v>
      </c>
      <c r="Q118" s="29">
        <f t="shared" si="11"/>
        <v>3000</v>
      </c>
      <c r="R118" s="29">
        <f t="shared" si="12"/>
        <v>3450</v>
      </c>
      <c r="S118" t="s">
        <v>2369</v>
      </c>
    </row>
    <row r="119" spans="1:19">
      <c r="A119" s="9" t="s">
        <v>1473</v>
      </c>
      <c r="B119" t="s">
        <v>1703</v>
      </c>
      <c r="C119" s="5" t="s">
        <v>1705</v>
      </c>
      <c r="D119" s="5" t="s">
        <v>2211</v>
      </c>
      <c r="E119" s="5" t="s">
        <v>2212</v>
      </c>
      <c r="F119" s="25"/>
      <c r="H119" s="1">
        <v>18241.3</v>
      </c>
      <c r="L119" s="11">
        <f t="shared" si="7"/>
        <v>18241.3</v>
      </c>
      <c r="M119" s="26">
        <v>1</v>
      </c>
      <c r="N119" s="11">
        <f t="shared" si="8"/>
        <v>18241.3</v>
      </c>
      <c r="O119" s="11">
        <f t="shared" si="9"/>
        <v>0</v>
      </c>
      <c r="P119" s="11">
        <f t="shared" si="10"/>
        <v>0</v>
      </c>
      <c r="Q119" s="29">
        <f t="shared" si="11"/>
        <v>18241.3</v>
      </c>
      <c r="R119" s="29">
        <f t="shared" si="12"/>
        <v>20977.494999999999</v>
      </c>
      <c r="S119" t="s">
        <v>2369</v>
      </c>
    </row>
    <row r="120" spans="1:19">
      <c r="A120" s="9" t="s">
        <v>1473</v>
      </c>
      <c r="B120" t="s">
        <v>1622</v>
      </c>
      <c r="C120" s="5" t="s">
        <v>1624</v>
      </c>
      <c r="D120" s="5" t="s">
        <v>2152</v>
      </c>
      <c r="E120" s="5" t="s">
        <v>2153</v>
      </c>
      <c r="F120" s="25"/>
      <c r="H120" s="1">
        <v>2126.25</v>
      </c>
      <c r="L120" s="11">
        <f t="shared" si="7"/>
        <v>2126.25</v>
      </c>
      <c r="M120" s="26">
        <v>1</v>
      </c>
      <c r="N120" s="11">
        <f t="shared" si="8"/>
        <v>2126.25</v>
      </c>
      <c r="O120" s="11">
        <f t="shared" si="9"/>
        <v>0</v>
      </c>
      <c r="P120" s="11">
        <f t="shared" si="10"/>
        <v>0</v>
      </c>
      <c r="Q120" s="29">
        <f t="shared" si="11"/>
        <v>2126.25</v>
      </c>
      <c r="R120" s="29">
        <f t="shared" si="12"/>
        <v>2445.1875</v>
      </c>
      <c r="S120" t="s">
        <v>2369</v>
      </c>
    </row>
    <row r="121" spans="1:19">
      <c r="A121" s="9" t="s">
        <v>1097</v>
      </c>
      <c r="B121" t="s">
        <v>415</v>
      </c>
      <c r="C121" s="5" t="s">
        <v>417</v>
      </c>
      <c r="D121" s="5" t="s">
        <v>1943</v>
      </c>
      <c r="E121" s="5" t="s">
        <v>1944</v>
      </c>
      <c r="F121" s="25"/>
      <c r="H121" s="1">
        <v>0</v>
      </c>
      <c r="L121" s="11">
        <f t="shared" si="7"/>
        <v>0</v>
      </c>
      <c r="M121" s="26">
        <v>1</v>
      </c>
      <c r="N121" s="11">
        <f t="shared" si="8"/>
        <v>0</v>
      </c>
      <c r="O121" s="11">
        <f t="shared" si="9"/>
        <v>0</v>
      </c>
      <c r="P121" s="11">
        <f t="shared" si="10"/>
        <v>0</v>
      </c>
      <c r="Q121" s="29">
        <f t="shared" si="11"/>
        <v>0</v>
      </c>
      <c r="R121" s="29">
        <f t="shared" si="12"/>
        <v>0</v>
      </c>
      <c r="S121" t="s">
        <v>2371</v>
      </c>
    </row>
    <row r="122" spans="1:19">
      <c r="A122" s="9" t="s">
        <v>1715</v>
      </c>
      <c r="B122" t="s">
        <v>415</v>
      </c>
      <c r="C122" s="5" t="s">
        <v>417</v>
      </c>
      <c r="D122" s="5" t="s">
        <v>1943</v>
      </c>
      <c r="E122" s="5" t="s">
        <v>1944</v>
      </c>
      <c r="F122" s="25"/>
      <c r="J122" s="1">
        <v>6221.33</v>
      </c>
      <c r="L122" s="11">
        <f t="shared" si="7"/>
        <v>6221.33</v>
      </c>
      <c r="M122" s="26">
        <v>1</v>
      </c>
      <c r="N122" s="11">
        <f t="shared" si="8"/>
        <v>0</v>
      </c>
      <c r="O122" s="11">
        <f t="shared" si="9"/>
        <v>0</v>
      </c>
      <c r="P122" s="11">
        <f t="shared" si="10"/>
        <v>6221.33</v>
      </c>
      <c r="Q122" s="29">
        <f t="shared" si="11"/>
        <v>6221.33</v>
      </c>
      <c r="R122" s="29">
        <f t="shared" si="12"/>
        <v>7154.5294999999996</v>
      </c>
      <c r="S122" t="s">
        <v>2371</v>
      </c>
    </row>
    <row r="123" spans="1:19">
      <c r="A123" s="9" t="s">
        <v>1723</v>
      </c>
      <c r="B123" t="s">
        <v>415</v>
      </c>
      <c r="C123" s="5" t="s">
        <v>417</v>
      </c>
      <c r="D123" s="5" t="s">
        <v>1943</v>
      </c>
      <c r="E123" s="5" t="s">
        <v>1944</v>
      </c>
      <c r="F123" s="25"/>
      <c r="H123" s="1">
        <v>13193.3</v>
      </c>
      <c r="L123" s="11">
        <f t="shared" si="7"/>
        <v>13193.3</v>
      </c>
      <c r="M123" s="26">
        <v>1</v>
      </c>
      <c r="N123" s="11">
        <f t="shared" si="8"/>
        <v>13193.3</v>
      </c>
      <c r="O123" s="11">
        <f t="shared" si="9"/>
        <v>0</v>
      </c>
      <c r="P123" s="11">
        <f t="shared" si="10"/>
        <v>0</v>
      </c>
      <c r="Q123" s="29">
        <f t="shared" si="11"/>
        <v>13193.3</v>
      </c>
      <c r="R123" s="29">
        <f t="shared" si="12"/>
        <v>15172.294999999998</v>
      </c>
      <c r="S123" t="s">
        <v>2371</v>
      </c>
    </row>
    <row r="124" spans="1:19">
      <c r="A124" s="9" t="s">
        <v>1399</v>
      </c>
      <c r="B124" t="s">
        <v>1467</v>
      </c>
      <c r="C124" s="5" t="s">
        <v>1469</v>
      </c>
      <c r="D124" s="5" t="s">
        <v>2027</v>
      </c>
      <c r="E124" s="5" t="s">
        <v>2028</v>
      </c>
      <c r="F124" s="25"/>
      <c r="H124" s="1">
        <v>2643.9</v>
      </c>
      <c r="L124" s="11">
        <f t="shared" si="7"/>
        <v>2643.9</v>
      </c>
      <c r="M124" s="26">
        <v>1</v>
      </c>
      <c r="N124" s="11">
        <f t="shared" si="8"/>
        <v>2643.9</v>
      </c>
      <c r="O124" s="11">
        <f t="shared" si="9"/>
        <v>0</v>
      </c>
      <c r="P124" s="11">
        <f t="shared" si="10"/>
        <v>0</v>
      </c>
      <c r="Q124" s="29">
        <f t="shared" si="11"/>
        <v>2643.9</v>
      </c>
      <c r="R124" s="29">
        <f t="shared" si="12"/>
        <v>3040.4850000000001</v>
      </c>
      <c r="S124" t="s">
        <v>2369</v>
      </c>
    </row>
    <row r="125" spans="1:19">
      <c r="A125" s="9" t="s">
        <v>1473</v>
      </c>
      <c r="B125" t="s">
        <v>1628</v>
      </c>
      <c r="C125" s="5" t="s">
        <v>1630</v>
      </c>
      <c r="D125" s="5" t="s">
        <v>2159</v>
      </c>
      <c r="E125" s="5" t="s">
        <v>2160</v>
      </c>
      <c r="F125" s="25"/>
      <c r="H125" s="1">
        <v>800</v>
      </c>
      <c r="J125" s="1">
        <v>408.05500000000001</v>
      </c>
      <c r="L125" s="11">
        <f t="shared" si="7"/>
        <v>1208.0550000000001</v>
      </c>
      <c r="M125" s="26">
        <v>1</v>
      </c>
      <c r="N125" s="11">
        <f t="shared" si="8"/>
        <v>800</v>
      </c>
      <c r="O125" s="11">
        <f t="shared" si="9"/>
        <v>0</v>
      </c>
      <c r="P125" s="11">
        <f t="shared" si="10"/>
        <v>408.05500000000001</v>
      </c>
      <c r="Q125" s="29">
        <f t="shared" si="11"/>
        <v>1208.0550000000001</v>
      </c>
      <c r="R125" s="29">
        <f t="shared" si="12"/>
        <v>1389.26325</v>
      </c>
      <c r="S125" t="s">
        <v>2369</v>
      </c>
    </row>
    <row r="126" spans="1:19">
      <c r="A126" s="9" t="s">
        <v>1399</v>
      </c>
      <c r="B126" t="s">
        <v>1425</v>
      </c>
      <c r="C126" s="5" t="s">
        <v>1427</v>
      </c>
      <c r="D126" s="5" t="s">
        <v>1995</v>
      </c>
      <c r="E126" s="5" t="s">
        <v>1996</v>
      </c>
      <c r="F126" s="25"/>
      <c r="H126" s="1">
        <v>290</v>
      </c>
      <c r="J126" s="1">
        <v>1482.37</v>
      </c>
      <c r="L126" s="11">
        <f t="shared" si="7"/>
        <v>1772.37</v>
      </c>
      <c r="M126" s="26">
        <v>1</v>
      </c>
      <c r="N126" s="11">
        <f t="shared" si="8"/>
        <v>290</v>
      </c>
      <c r="O126" s="11">
        <f t="shared" si="9"/>
        <v>0</v>
      </c>
      <c r="P126" s="11">
        <f t="shared" si="10"/>
        <v>1482.37</v>
      </c>
      <c r="Q126" s="29">
        <f t="shared" si="11"/>
        <v>1772.37</v>
      </c>
      <c r="R126" s="29">
        <f t="shared" si="12"/>
        <v>2038.2254999999998</v>
      </c>
      <c r="S126" t="s">
        <v>2369</v>
      </c>
    </row>
    <row r="127" spans="1:19">
      <c r="A127" s="9" t="s">
        <v>1473</v>
      </c>
      <c r="B127" t="s">
        <v>1425</v>
      </c>
      <c r="C127" s="5" t="s">
        <v>1427</v>
      </c>
      <c r="D127" s="5" t="s">
        <v>1995</v>
      </c>
      <c r="E127" s="5" t="s">
        <v>1996</v>
      </c>
      <c r="F127" s="25"/>
      <c r="H127" s="1">
        <v>517</v>
      </c>
      <c r="J127" s="1">
        <v>2478.59</v>
      </c>
      <c r="L127" s="11">
        <f t="shared" si="7"/>
        <v>2995.59</v>
      </c>
      <c r="M127" s="26">
        <v>1</v>
      </c>
      <c r="N127" s="11">
        <f t="shared" si="8"/>
        <v>517</v>
      </c>
      <c r="O127" s="11">
        <f t="shared" si="9"/>
        <v>0</v>
      </c>
      <c r="P127" s="11">
        <f t="shared" si="10"/>
        <v>2478.59</v>
      </c>
      <c r="Q127" s="29">
        <f t="shared" si="11"/>
        <v>2995.59</v>
      </c>
      <c r="R127" s="29">
        <f t="shared" si="12"/>
        <v>3444.9285</v>
      </c>
      <c r="S127" t="s">
        <v>2369</v>
      </c>
    </row>
    <row r="128" spans="1:19">
      <c r="A128" s="9" t="s">
        <v>1893</v>
      </c>
      <c r="B128" t="s">
        <v>1425</v>
      </c>
      <c r="C128" s="5" t="s">
        <v>1427</v>
      </c>
      <c r="D128" s="5" t="s">
        <v>1995</v>
      </c>
      <c r="E128" s="5" t="s">
        <v>1996</v>
      </c>
      <c r="F128" s="25"/>
      <c r="H128" s="1">
        <v>800</v>
      </c>
      <c r="L128" s="11">
        <f t="shared" si="7"/>
        <v>800</v>
      </c>
      <c r="M128" s="26">
        <v>1</v>
      </c>
      <c r="N128" s="11">
        <f t="shared" si="8"/>
        <v>800</v>
      </c>
      <c r="O128" s="11">
        <f t="shared" si="9"/>
        <v>0</v>
      </c>
      <c r="P128" s="11">
        <f t="shared" si="10"/>
        <v>0</v>
      </c>
      <c r="Q128" s="29">
        <f t="shared" si="11"/>
        <v>800</v>
      </c>
      <c r="R128" s="29">
        <f t="shared" si="12"/>
        <v>920</v>
      </c>
      <c r="S128" t="s">
        <v>2369</v>
      </c>
    </row>
    <row r="129" spans="1:19">
      <c r="A129" s="9" t="s">
        <v>1473</v>
      </c>
      <c r="B129" t="s">
        <v>1559</v>
      </c>
      <c r="C129" s="5" t="s">
        <v>1561</v>
      </c>
      <c r="D129" s="5" t="s">
        <v>2102</v>
      </c>
      <c r="E129" s="5" t="s">
        <v>2103</v>
      </c>
      <c r="F129" s="25"/>
      <c r="J129" s="1">
        <v>431.04</v>
      </c>
      <c r="L129" s="11">
        <f t="shared" si="7"/>
        <v>431.04</v>
      </c>
      <c r="M129" s="26">
        <v>1</v>
      </c>
      <c r="N129" s="11">
        <f t="shared" si="8"/>
        <v>0</v>
      </c>
      <c r="O129" s="11">
        <f t="shared" si="9"/>
        <v>0</v>
      </c>
      <c r="P129" s="11">
        <f t="shared" si="10"/>
        <v>431.04</v>
      </c>
      <c r="Q129" s="29">
        <f t="shared" si="11"/>
        <v>431.04</v>
      </c>
      <c r="R129" s="29">
        <f t="shared" si="12"/>
        <v>495.69600000000003</v>
      </c>
      <c r="S129" t="s">
        <v>2369</v>
      </c>
    </row>
    <row r="130" spans="1:19">
      <c r="A130" s="9" t="s">
        <v>1473</v>
      </c>
      <c r="B130" t="s">
        <v>1613</v>
      </c>
      <c r="C130" s="5" t="s">
        <v>1615</v>
      </c>
      <c r="D130" s="5" t="s">
        <v>2146</v>
      </c>
      <c r="E130" s="5" t="s">
        <v>2147</v>
      </c>
      <c r="F130" s="25"/>
      <c r="H130" s="1">
        <v>20000</v>
      </c>
      <c r="L130" s="11">
        <f t="shared" si="7"/>
        <v>20000</v>
      </c>
      <c r="M130" s="26">
        <v>1</v>
      </c>
      <c r="N130" s="11">
        <f t="shared" si="8"/>
        <v>20000</v>
      </c>
      <c r="O130" s="11">
        <f t="shared" si="9"/>
        <v>0</v>
      </c>
      <c r="P130" s="11">
        <f t="shared" si="10"/>
        <v>0</v>
      </c>
      <c r="Q130" s="29">
        <f t="shared" si="11"/>
        <v>20000</v>
      </c>
      <c r="R130" s="29">
        <f t="shared" si="12"/>
        <v>23000</v>
      </c>
      <c r="S130" t="s">
        <v>2369</v>
      </c>
    </row>
    <row r="131" spans="1:19">
      <c r="A131" s="9" t="s">
        <v>1473</v>
      </c>
      <c r="B131" t="s">
        <v>1688</v>
      </c>
      <c r="C131" s="5" t="s">
        <v>1690</v>
      </c>
      <c r="D131" s="5" t="s">
        <v>2201</v>
      </c>
      <c r="E131" s="5" t="s">
        <v>2202</v>
      </c>
      <c r="F131" s="25"/>
      <c r="H131" s="1">
        <v>38199.699999999997</v>
      </c>
      <c r="L131" s="11">
        <f t="shared" si="7"/>
        <v>38199.699999999997</v>
      </c>
      <c r="M131" s="26">
        <v>1</v>
      </c>
      <c r="N131" s="11">
        <f t="shared" si="8"/>
        <v>38199.699999999997</v>
      </c>
      <c r="O131" s="11">
        <f t="shared" si="9"/>
        <v>0</v>
      </c>
      <c r="P131" s="11">
        <f t="shared" si="10"/>
        <v>0</v>
      </c>
      <c r="Q131" s="29">
        <f t="shared" si="11"/>
        <v>38199.699999999997</v>
      </c>
      <c r="R131" s="29">
        <f t="shared" si="12"/>
        <v>43929.654999999999</v>
      </c>
      <c r="S131" t="s">
        <v>2369</v>
      </c>
    </row>
    <row r="132" spans="1:19">
      <c r="A132" s="9" t="s">
        <v>1473</v>
      </c>
      <c r="B132" t="s">
        <v>1553</v>
      </c>
      <c r="C132" s="5" t="s">
        <v>1555</v>
      </c>
      <c r="D132" s="5" t="s">
        <v>2098</v>
      </c>
      <c r="E132" s="5" t="s">
        <v>2099</v>
      </c>
      <c r="F132" s="25"/>
      <c r="H132" s="1">
        <v>6669.6</v>
      </c>
      <c r="J132" s="1">
        <v>247.065</v>
      </c>
      <c r="L132" s="11">
        <f t="shared" si="7"/>
        <v>6916.665</v>
      </c>
      <c r="M132" s="26">
        <v>1</v>
      </c>
      <c r="N132" s="11">
        <f t="shared" si="8"/>
        <v>6669.6</v>
      </c>
      <c r="O132" s="11">
        <f t="shared" si="9"/>
        <v>0</v>
      </c>
      <c r="P132" s="11">
        <f t="shared" si="10"/>
        <v>247.065</v>
      </c>
      <c r="Q132" s="29">
        <f t="shared" si="11"/>
        <v>6916.665</v>
      </c>
      <c r="R132" s="29">
        <f t="shared" si="12"/>
        <v>7954.1647499999999</v>
      </c>
      <c r="S132" t="s">
        <v>2369</v>
      </c>
    </row>
    <row r="133" spans="1:19">
      <c r="A133" s="9" t="s">
        <v>1399</v>
      </c>
      <c r="B133" t="s">
        <v>1461</v>
      </c>
      <c r="C133" s="5" t="s">
        <v>1463</v>
      </c>
      <c r="D133" s="5" t="s">
        <v>2023</v>
      </c>
      <c r="E133" s="5" t="s">
        <v>2024</v>
      </c>
      <c r="F133" s="25"/>
      <c r="J133" s="1">
        <v>119.92</v>
      </c>
      <c r="L133" s="11">
        <f t="shared" si="7"/>
        <v>119.92</v>
      </c>
      <c r="M133" s="26">
        <v>1</v>
      </c>
      <c r="N133" s="11">
        <f t="shared" si="8"/>
        <v>0</v>
      </c>
      <c r="O133" s="11">
        <f t="shared" si="9"/>
        <v>0</v>
      </c>
      <c r="P133" s="11">
        <f t="shared" si="10"/>
        <v>119.92</v>
      </c>
      <c r="Q133" s="29">
        <f t="shared" si="11"/>
        <v>119.92</v>
      </c>
      <c r="R133" s="29">
        <f t="shared" si="12"/>
        <v>137.90800000000002</v>
      </c>
      <c r="S133" t="s">
        <v>2369</v>
      </c>
    </row>
    <row r="134" spans="1:19">
      <c r="A134" s="9" t="s">
        <v>1473</v>
      </c>
      <c r="B134" t="s">
        <v>1577</v>
      </c>
      <c r="C134" s="5" t="s">
        <v>1579</v>
      </c>
      <c r="D134" s="5" t="s">
        <v>2118</v>
      </c>
      <c r="E134" s="5" t="s">
        <v>2119</v>
      </c>
      <c r="F134" s="25"/>
      <c r="H134" s="1">
        <v>833</v>
      </c>
      <c r="L134" s="11">
        <f t="shared" si="7"/>
        <v>833</v>
      </c>
      <c r="M134" s="26">
        <v>1</v>
      </c>
      <c r="N134" s="11">
        <f t="shared" si="8"/>
        <v>833</v>
      </c>
      <c r="O134" s="11">
        <f t="shared" si="9"/>
        <v>0</v>
      </c>
      <c r="P134" s="11">
        <f t="shared" si="10"/>
        <v>0</v>
      </c>
      <c r="Q134" s="29">
        <f t="shared" si="11"/>
        <v>833</v>
      </c>
      <c r="R134" s="29">
        <f t="shared" si="12"/>
        <v>957.95</v>
      </c>
      <c r="S134" t="s">
        <v>2369</v>
      </c>
    </row>
    <row r="135" spans="1:19">
      <c r="A135" s="9" t="s">
        <v>1881</v>
      </c>
      <c r="B135" t="s">
        <v>1577</v>
      </c>
      <c r="C135" s="5" t="s">
        <v>1579</v>
      </c>
      <c r="D135" s="5" t="s">
        <v>2118</v>
      </c>
      <c r="E135" s="5" t="s">
        <v>2119</v>
      </c>
      <c r="F135" s="25"/>
      <c r="J135" s="1">
        <v>1468.22</v>
      </c>
      <c r="L135" s="11">
        <f t="shared" ref="L135:L198" si="13">SUM(H135:K135)</f>
        <v>1468.22</v>
      </c>
      <c r="M135" s="26">
        <v>1</v>
      </c>
      <c r="N135" s="11">
        <f t="shared" ref="N135:N198" si="14">+H135*M135</f>
        <v>0</v>
      </c>
      <c r="O135" s="11">
        <f t="shared" ref="O135:O198" si="15">+(+I135+K135)*M135</f>
        <v>0</v>
      </c>
      <c r="P135" s="11">
        <f t="shared" ref="P135:P198" si="16">+J135*M135</f>
        <v>1468.22</v>
      </c>
      <c r="Q135" s="29">
        <f t="shared" ref="Q135:Q198" si="17">+L135*M135</f>
        <v>1468.22</v>
      </c>
      <c r="R135" s="29">
        <f t="shared" ref="R135:R198" si="18">+Q135+(+Q135*$R$1)</f>
        <v>1688.453</v>
      </c>
      <c r="S135" t="s">
        <v>2369</v>
      </c>
    </row>
    <row r="136" spans="1:19">
      <c r="A136" s="9" t="s">
        <v>1723</v>
      </c>
      <c r="B136" t="s">
        <v>165</v>
      </c>
      <c r="C136" s="5" t="s">
        <v>167</v>
      </c>
      <c r="D136" s="5" t="s">
        <v>2355</v>
      </c>
      <c r="E136" s="5" t="s">
        <v>2356</v>
      </c>
      <c r="F136" s="25"/>
      <c r="H136" s="1">
        <v>17125.490000000002</v>
      </c>
      <c r="L136" s="11">
        <f t="shared" si="13"/>
        <v>17125.490000000002</v>
      </c>
      <c r="M136" s="26">
        <v>1</v>
      </c>
      <c r="N136" s="11">
        <f t="shared" si="14"/>
        <v>17125.490000000002</v>
      </c>
      <c r="O136" s="11">
        <f t="shared" si="15"/>
        <v>0</v>
      </c>
      <c r="P136" s="11">
        <f t="shared" si="16"/>
        <v>0</v>
      </c>
      <c r="Q136" s="29">
        <f t="shared" si="17"/>
        <v>17125.490000000002</v>
      </c>
      <c r="R136" s="29">
        <f t="shared" si="18"/>
        <v>19694.3135</v>
      </c>
      <c r="S136" t="s">
        <v>2371</v>
      </c>
    </row>
    <row r="137" spans="1:19">
      <c r="A137" s="9" t="s">
        <v>1473</v>
      </c>
      <c r="B137" t="s">
        <v>1532</v>
      </c>
      <c r="C137" s="5" t="s">
        <v>1534</v>
      </c>
      <c r="D137" s="5" t="s">
        <v>2080</v>
      </c>
      <c r="E137" s="5" t="s">
        <v>2081</v>
      </c>
      <c r="F137" s="25"/>
      <c r="J137" s="1">
        <v>302.93</v>
      </c>
      <c r="L137" s="11">
        <f t="shared" si="13"/>
        <v>302.93</v>
      </c>
      <c r="M137" s="26">
        <v>1</v>
      </c>
      <c r="N137" s="11">
        <f t="shared" si="14"/>
        <v>0</v>
      </c>
      <c r="O137" s="11">
        <f t="shared" si="15"/>
        <v>0</v>
      </c>
      <c r="P137" s="11">
        <f t="shared" si="16"/>
        <v>302.93</v>
      </c>
      <c r="Q137" s="29">
        <f t="shared" si="17"/>
        <v>302.93</v>
      </c>
      <c r="R137" s="29">
        <f t="shared" si="18"/>
        <v>348.36950000000002</v>
      </c>
      <c r="S137" t="s">
        <v>2369</v>
      </c>
    </row>
    <row r="138" spans="1:19">
      <c r="A138" s="9" t="s">
        <v>1881</v>
      </c>
      <c r="B138" t="s">
        <v>1532</v>
      </c>
      <c r="C138" s="5" t="s">
        <v>1534</v>
      </c>
      <c r="D138" s="5" t="s">
        <v>2080</v>
      </c>
      <c r="E138" s="5" t="s">
        <v>2081</v>
      </c>
      <c r="F138" s="25"/>
      <c r="J138" s="1">
        <v>398.72</v>
      </c>
      <c r="L138" s="11">
        <f t="shared" si="13"/>
        <v>398.72</v>
      </c>
      <c r="M138" s="26">
        <v>1</v>
      </c>
      <c r="N138" s="11">
        <f t="shared" si="14"/>
        <v>0</v>
      </c>
      <c r="O138" s="11">
        <f t="shared" si="15"/>
        <v>0</v>
      </c>
      <c r="P138" s="11">
        <f t="shared" si="16"/>
        <v>398.72</v>
      </c>
      <c r="Q138" s="29">
        <f t="shared" si="17"/>
        <v>398.72</v>
      </c>
      <c r="R138" s="29">
        <f t="shared" si="18"/>
        <v>458.52800000000002</v>
      </c>
      <c r="S138" t="s">
        <v>2369</v>
      </c>
    </row>
    <row r="139" spans="1:19">
      <c r="A139" s="9" t="s">
        <v>1723</v>
      </c>
      <c r="B139" t="s">
        <v>376</v>
      </c>
      <c r="C139" s="5" t="s">
        <v>378</v>
      </c>
      <c r="D139" s="5" t="s">
        <v>2344</v>
      </c>
      <c r="E139" s="5" t="s">
        <v>2345</v>
      </c>
      <c r="F139" s="25"/>
      <c r="H139" s="1">
        <v>3172.12</v>
      </c>
      <c r="L139" s="11">
        <f t="shared" si="13"/>
        <v>3172.12</v>
      </c>
      <c r="M139" s="26">
        <v>1</v>
      </c>
      <c r="N139" s="11">
        <f t="shared" si="14"/>
        <v>3172.12</v>
      </c>
      <c r="O139" s="11">
        <f t="shared" si="15"/>
        <v>0</v>
      </c>
      <c r="P139" s="11">
        <f t="shared" si="16"/>
        <v>0</v>
      </c>
      <c r="Q139" s="29">
        <f t="shared" si="17"/>
        <v>3172.12</v>
      </c>
      <c r="R139" s="29">
        <f t="shared" si="18"/>
        <v>3647.9380000000001</v>
      </c>
      <c r="S139" t="s">
        <v>2369</v>
      </c>
    </row>
    <row r="140" spans="1:19">
      <c r="A140" s="9" t="s">
        <v>1715</v>
      </c>
      <c r="B140" t="s">
        <v>24</v>
      </c>
      <c r="C140" s="5" t="s">
        <v>26</v>
      </c>
      <c r="D140" s="5" t="s">
        <v>2305</v>
      </c>
      <c r="E140" s="5" t="s">
        <v>2306</v>
      </c>
      <c r="F140" s="25"/>
      <c r="H140" s="1">
        <v>0</v>
      </c>
      <c r="L140" s="11">
        <f t="shared" si="13"/>
        <v>0</v>
      </c>
      <c r="M140" s="26">
        <v>1</v>
      </c>
      <c r="N140" s="11">
        <f t="shared" si="14"/>
        <v>0</v>
      </c>
      <c r="O140" s="11">
        <f t="shared" si="15"/>
        <v>0</v>
      </c>
      <c r="P140" s="11">
        <f t="shared" si="16"/>
        <v>0</v>
      </c>
      <c r="Q140" s="29">
        <f t="shared" si="17"/>
        <v>0</v>
      </c>
      <c r="R140" s="29">
        <f t="shared" si="18"/>
        <v>0</v>
      </c>
      <c r="S140" t="s">
        <v>2369</v>
      </c>
    </row>
    <row r="141" spans="1:19">
      <c r="A141" s="9" t="s">
        <v>1723</v>
      </c>
      <c r="B141" t="s">
        <v>24</v>
      </c>
      <c r="C141" s="5" t="s">
        <v>26</v>
      </c>
      <c r="D141" s="5" t="s">
        <v>2305</v>
      </c>
      <c r="E141" s="5" t="s">
        <v>2306</v>
      </c>
      <c r="F141" s="25"/>
      <c r="H141" s="1">
        <v>1700</v>
      </c>
      <c r="L141" s="11">
        <f t="shared" si="13"/>
        <v>1700</v>
      </c>
      <c r="M141" s="26">
        <v>1</v>
      </c>
      <c r="N141" s="11">
        <f t="shared" si="14"/>
        <v>1700</v>
      </c>
      <c r="O141" s="11">
        <f t="shared" si="15"/>
        <v>0</v>
      </c>
      <c r="P141" s="11">
        <f t="shared" si="16"/>
        <v>0</v>
      </c>
      <c r="Q141" s="29">
        <f t="shared" si="17"/>
        <v>1700</v>
      </c>
      <c r="R141" s="29">
        <f t="shared" si="18"/>
        <v>1955</v>
      </c>
      <c r="S141" t="s">
        <v>2369</v>
      </c>
    </row>
    <row r="142" spans="1:19">
      <c r="A142" s="9" t="s">
        <v>1715</v>
      </c>
      <c r="B142" t="s">
        <v>258</v>
      </c>
      <c r="C142" s="5" t="s">
        <v>260</v>
      </c>
      <c r="D142" s="5" t="s">
        <v>2264</v>
      </c>
      <c r="E142" s="5" t="s">
        <v>2265</v>
      </c>
      <c r="F142" s="25"/>
      <c r="I142" s="1">
        <v>1252.93</v>
      </c>
      <c r="J142" s="1">
        <v>52014.625</v>
      </c>
      <c r="K142" s="1">
        <v>11633.17</v>
      </c>
      <c r="L142" s="11">
        <f t="shared" si="13"/>
        <v>64900.724999999999</v>
      </c>
      <c r="M142" s="26">
        <v>1</v>
      </c>
      <c r="N142" s="11">
        <f t="shared" si="14"/>
        <v>0</v>
      </c>
      <c r="O142" s="11">
        <f t="shared" si="15"/>
        <v>12886.1</v>
      </c>
      <c r="P142" s="11">
        <f t="shared" si="16"/>
        <v>52014.625</v>
      </c>
      <c r="Q142" s="29">
        <f t="shared" si="17"/>
        <v>64900.724999999999</v>
      </c>
      <c r="R142" s="29">
        <f t="shared" si="18"/>
        <v>74635.833749999991</v>
      </c>
      <c r="S142" t="s">
        <v>2370</v>
      </c>
    </row>
    <row r="143" spans="1:19">
      <c r="A143" s="9" t="s">
        <v>1723</v>
      </c>
      <c r="B143" t="s">
        <v>258</v>
      </c>
      <c r="C143" s="5" t="s">
        <v>260</v>
      </c>
      <c r="D143" s="5" t="s">
        <v>2264</v>
      </c>
      <c r="E143" s="5" t="s">
        <v>2265</v>
      </c>
      <c r="F143" s="25"/>
      <c r="I143" s="1">
        <v>5283.82</v>
      </c>
      <c r="L143" s="11">
        <f t="shared" si="13"/>
        <v>5283.82</v>
      </c>
      <c r="M143" s="26">
        <v>1</v>
      </c>
      <c r="N143" s="11">
        <f t="shared" si="14"/>
        <v>0</v>
      </c>
      <c r="O143" s="11">
        <f t="shared" si="15"/>
        <v>5283.82</v>
      </c>
      <c r="P143" s="11">
        <f t="shared" si="16"/>
        <v>0</v>
      </c>
      <c r="Q143" s="29">
        <f t="shared" si="17"/>
        <v>5283.82</v>
      </c>
      <c r="R143" s="29">
        <f t="shared" si="18"/>
        <v>6076.393</v>
      </c>
      <c r="S143" t="s">
        <v>2370</v>
      </c>
    </row>
    <row r="144" spans="1:19">
      <c r="A144" s="9" t="s">
        <v>1473</v>
      </c>
      <c r="B144" t="s">
        <v>1601</v>
      </c>
      <c r="C144" s="5" t="s">
        <v>1603</v>
      </c>
      <c r="D144" s="5" t="s">
        <v>2138</v>
      </c>
      <c r="E144" s="5" t="s">
        <v>2139</v>
      </c>
      <c r="F144" s="25"/>
      <c r="H144" s="1">
        <v>18811.099999999999</v>
      </c>
      <c r="L144" s="11">
        <f t="shared" si="13"/>
        <v>18811.099999999999</v>
      </c>
      <c r="M144" s="26">
        <v>1</v>
      </c>
      <c r="N144" s="11">
        <f t="shared" si="14"/>
        <v>18811.099999999999</v>
      </c>
      <c r="O144" s="11">
        <f t="shared" si="15"/>
        <v>0</v>
      </c>
      <c r="P144" s="11">
        <f t="shared" si="16"/>
        <v>0</v>
      </c>
      <c r="Q144" s="29">
        <f t="shared" si="17"/>
        <v>18811.099999999999</v>
      </c>
      <c r="R144" s="29">
        <f t="shared" si="18"/>
        <v>21632.764999999999</v>
      </c>
      <c r="S144" t="s">
        <v>2369</v>
      </c>
    </row>
    <row r="145" spans="1:19">
      <c r="A145" s="9" t="s">
        <v>1097</v>
      </c>
      <c r="B145" t="s">
        <v>516</v>
      </c>
      <c r="C145" s="5" t="s">
        <v>518</v>
      </c>
      <c r="D145" s="5" t="s">
        <v>1931</v>
      </c>
      <c r="E145" s="5" t="s">
        <v>1932</v>
      </c>
      <c r="F145" s="25"/>
      <c r="H145" s="1">
        <v>93431.89</v>
      </c>
      <c r="I145" s="1">
        <v>6355.77</v>
      </c>
      <c r="L145" s="11">
        <f t="shared" si="13"/>
        <v>99787.66</v>
      </c>
      <c r="M145" s="26">
        <v>1</v>
      </c>
      <c r="N145" s="11">
        <f t="shared" si="14"/>
        <v>93431.89</v>
      </c>
      <c r="O145" s="11">
        <f t="shared" si="15"/>
        <v>6355.77</v>
      </c>
      <c r="P145" s="11">
        <f t="shared" si="16"/>
        <v>0</v>
      </c>
      <c r="Q145" s="29">
        <f t="shared" si="17"/>
        <v>99787.66</v>
      </c>
      <c r="R145" s="29">
        <f t="shared" si="18"/>
        <v>114755.80900000001</v>
      </c>
      <c r="S145" t="s">
        <v>2369</v>
      </c>
    </row>
    <row r="146" spans="1:19">
      <c r="A146" s="9" t="s">
        <v>1715</v>
      </c>
      <c r="B146" t="s">
        <v>516</v>
      </c>
      <c r="C146" s="5" t="s">
        <v>518</v>
      </c>
      <c r="D146" s="5" t="s">
        <v>1931</v>
      </c>
      <c r="E146" s="5" t="s">
        <v>1932</v>
      </c>
      <c r="F146" s="25"/>
      <c r="H146" s="1">
        <v>4035.51</v>
      </c>
      <c r="I146" s="1">
        <v>782.17</v>
      </c>
      <c r="J146" s="1">
        <v>25298.28</v>
      </c>
      <c r="K146" s="1">
        <v>8026.88</v>
      </c>
      <c r="L146" s="11">
        <f t="shared" si="13"/>
        <v>38142.839999999997</v>
      </c>
      <c r="M146" s="26">
        <v>1</v>
      </c>
      <c r="N146" s="11">
        <f t="shared" si="14"/>
        <v>4035.51</v>
      </c>
      <c r="O146" s="11">
        <f t="shared" si="15"/>
        <v>8809.0499999999993</v>
      </c>
      <c r="P146" s="11">
        <f t="shared" si="16"/>
        <v>25298.28</v>
      </c>
      <c r="Q146" s="29">
        <f t="shared" si="17"/>
        <v>38142.839999999997</v>
      </c>
      <c r="R146" s="29">
        <f t="shared" si="18"/>
        <v>43864.265999999996</v>
      </c>
      <c r="S146" t="s">
        <v>2369</v>
      </c>
    </row>
    <row r="147" spans="1:19">
      <c r="A147" s="9" t="s">
        <v>1715</v>
      </c>
      <c r="B147" t="s">
        <v>207</v>
      </c>
      <c r="C147" s="5" t="s">
        <v>209</v>
      </c>
      <c r="D147" s="5" t="s">
        <v>2282</v>
      </c>
      <c r="E147" s="5" t="s">
        <v>2283</v>
      </c>
      <c r="F147" s="25"/>
      <c r="J147" s="1">
        <v>4490.79</v>
      </c>
      <c r="K147" s="1">
        <v>1122.72</v>
      </c>
      <c r="L147" s="11">
        <f t="shared" si="13"/>
        <v>5613.51</v>
      </c>
      <c r="M147" s="26">
        <v>1</v>
      </c>
      <c r="N147" s="11">
        <f t="shared" si="14"/>
        <v>0</v>
      </c>
      <c r="O147" s="11">
        <f t="shared" si="15"/>
        <v>1122.72</v>
      </c>
      <c r="P147" s="11">
        <f t="shared" si="16"/>
        <v>4490.79</v>
      </c>
      <c r="Q147" s="29">
        <f t="shared" si="17"/>
        <v>5613.51</v>
      </c>
      <c r="R147" s="29">
        <f t="shared" si="18"/>
        <v>6455.5365000000002</v>
      </c>
      <c r="S147" t="s">
        <v>2370</v>
      </c>
    </row>
    <row r="148" spans="1:19">
      <c r="A148" s="9" t="s">
        <v>1723</v>
      </c>
      <c r="B148" t="s">
        <v>207</v>
      </c>
      <c r="C148" s="5" t="s">
        <v>209</v>
      </c>
      <c r="D148" s="5" t="s">
        <v>2282</v>
      </c>
      <c r="E148" s="5" t="s">
        <v>2283</v>
      </c>
      <c r="F148" s="25"/>
      <c r="H148" s="1">
        <v>564</v>
      </c>
      <c r="I148" s="1">
        <v>3383.08</v>
      </c>
      <c r="L148" s="11">
        <f t="shared" si="13"/>
        <v>3947.08</v>
      </c>
      <c r="M148" s="26">
        <v>1</v>
      </c>
      <c r="N148" s="11">
        <f t="shared" si="14"/>
        <v>564</v>
      </c>
      <c r="O148" s="11">
        <f t="shared" si="15"/>
        <v>3383.08</v>
      </c>
      <c r="P148" s="11">
        <f t="shared" si="16"/>
        <v>0</v>
      </c>
      <c r="Q148" s="29">
        <f t="shared" si="17"/>
        <v>3947.08</v>
      </c>
      <c r="R148" s="29">
        <f t="shared" si="18"/>
        <v>4539.1419999999998</v>
      </c>
      <c r="S148" t="s">
        <v>2370</v>
      </c>
    </row>
    <row r="149" spans="1:19">
      <c r="A149" s="9" t="s">
        <v>1473</v>
      </c>
      <c r="B149" t="s">
        <v>1478</v>
      </c>
      <c r="C149" s="5" t="s">
        <v>1480</v>
      </c>
      <c r="D149" s="5" t="s">
        <v>2040</v>
      </c>
      <c r="E149" s="5" t="s">
        <v>2041</v>
      </c>
      <c r="F149" s="25"/>
      <c r="H149" s="1">
        <v>11940</v>
      </c>
      <c r="L149" s="11">
        <f t="shared" si="13"/>
        <v>11940</v>
      </c>
      <c r="M149" s="26">
        <v>1</v>
      </c>
      <c r="N149" s="11">
        <f t="shared" si="14"/>
        <v>11940</v>
      </c>
      <c r="O149" s="11">
        <f t="shared" si="15"/>
        <v>0</v>
      </c>
      <c r="P149" s="11">
        <f t="shared" si="16"/>
        <v>0</v>
      </c>
      <c r="Q149" s="29">
        <f t="shared" si="17"/>
        <v>11940</v>
      </c>
      <c r="R149" s="29">
        <f t="shared" si="18"/>
        <v>13731</v>
      </c>
      <c r="S149" t="s">
        <v>2369</v>
      </c>
    </row>
    <row r="150" spans="1:19">
      <c r="A150" s="9" t="s">
        <v>1473</v>
      </c>
      <c r="B150" t="s">
        <v>1697</v>
      </c>
      <c r="C150" s="5" t="s">
        <v>1699</v>
      </c>
      <c r="D150" s="5" t="s">
        <v>2205</v>
      </c>
      <c r="E150" s="5" t="s">
        <v>2206</v>
      </c>
      <c r="F150" s="25"/>
      <c r="H150" s="1">
        <v>7029.38</v>
      </c>
      <c r="L150" s="11">
        <f t="shared" si="13"/>
        <v>7029.38</v>
      </c>
      <c r="M150" s="26">
        <v>1</v>
      </c>
      <c r="N150" s="11">
        <f t="shared" si="14"/>
        <v>7029.38</v>
      </c>
      <c r="O150" s="11">
        <f t="shared" si="15"/>
        <v>0</v>
      </c>
      <c r="P150" s="11">
        <f t="shared" si="16"/>
        <v>0</v>
      </c>
      <c r="Q150" s="29">
        <f t="shared" si="17"/>
        <v>7029.38</v>
      </c>
      <c r="R150" s="29">
        <f t="shared" si="18"/>
        <v>8083.7870000000003</v>
      </c>
      <c r="S150" t="s">
        <v>2369</v>
      </c>
    </row>
    <row r="151" spans="1:19">
      <c r="A151" s="9" t="s">
        <v>1473</v>
      </c>
      <c r="B151" t="s">
        <v>1679</v>
      </c>
      <c r="C151" s="5" t="s">
        <v>1681</v>
      </c>
      <c r="D151" s="5" t="s">
        <v>2193</v>
      </c>
      <c r="E151" s="5" t="s">
        <v>2194</v>
      </c>
      <c r="F151" s="25"/>
      <c r="H151" s="1">
        <v>500</v>
      </c>
      <c r="L151" s="11">
        <f t="shared" si="13"/>
        <v>500</v>
      </c>
      <c r="M151" s="26">
        <v>1</v>
      </c>
      <c r="N151" s="11">
        <f t="shared" si="14"/>
        <v>500</v>
      </c>
      <c r="O151" s="11">
        <f t="shared" si="15"/>
        <v>0</v>
      </c>
      <c r="P151" s="11">
        <f t="shared" si="16"/>
        <v>0</v>
      </c>
      <c r="Q151" s="29">
        <f t="shared" si="17"/>
        <v>500</v>
      </c>
      <c r="R151" s="29">
        <f t="shared" si="18"/>
        <v>575</v>
      </c>
      <c r="S151" t="s">
        <v>2369</v>
      </c>
    </row>
    <row r="152" spans="1:19">
      <c r="A152" s="9" t="s">
        <v>1473</v>
      </c>
      <c r="B152" t="s">
        <v>1625</v>
      </c>
      <c r="C152" s="5" t="s">
        <v>1627</v>
      </c>
      <c r="D152" s="5" t="s">
        <v>2157</v>
      </c>
      <c r="E152" s="5" t="s">
        <v>2158</v>
      </c>
      <c r="F152" s="25"/>
      <c r="H152" s="1">
        <v>1520</v>
      </c>
      <c r="J152" s="1">
        <v>61.38</v>
      </c>
      <c r="L152" s="11">
        <f t="shared" si="13"/>
        <v>1581.38</v>
      </c>
      <c r="M152" s="26">
        <v>1</v>
      </c>
      <c r="N152" s="11">
        <f t="shared" si="14"/>
        <v>1520</v>
      </c>
      <c r="O152" s="11">
        <f t="shared" si="15"/>
        <v>0</v>
      </c>
      <c r="P152" s="11">
        <f t="shared" si="16"/>
        <v>61.38</v>
      </c>
      <c r="Q152" s="29">
        <f t="shared" si="17"/>
        <v>1581.38</v>
      </c>
      <c r="R152" s="29">
        <f t="shared" si="18"/>
        <v>1818.587</v>
      </c>
      <c r="S152" t="s">
        <v>2369</v>
      </c>
    </row>
    <row r="153" spans="1:19">
      <c r="A153" s="9" t="s">
        <v>1097</v>
      </c>
      <c r="B153" t="s">
        <v>303</v>
      </c>
      <c r="C153" s="5" t="s">
        <v>305</v>
      </c>
      <c r="D153" s="5" t="s">
        <v>1962</v>
      </c>
      <c r="E153" s="5" t="s">
        <v>1963</v>
      </c>
      <c r="F153" s="25"/>
      <c r="H153" s="1">
        <v>9787.6200000000008</v>
      </c>
      <c r="I153" s="1">
        <v>2036.65</v>
      </c>
      <c r="L153" s="11">
        <f t="shared" si="13"/>
        <v>11824.27</v>
      </c>
      <c r="M153" s="26">
        <v>1</v>
      </c>
      <c r="N153" s="11">
        <f t="shared" si="14"/>
        <v>9787.6200000000008</v>
      </c>
      <c r="O153" s="11">
        <f t="shared" si="15"/>
        <v>2036.65</v>
      </c>
      <c r="P153" s="11">
        <f t="shared" si="16"/>
        <v>0</v>
      </c>
      <c r="Q153" s="29">
        <f t="shared" si="17"/>
        <v>11824.27</v>
      </c>
      <c r="R153" s="29">
        <f t="shared" si="18"/>
        <v>13597.9105</v>
      </c>
      <c r="S153" t="s">
        <v>2371</v>
      </c>
    </row>
    <row r="154" spans="1:19">
      <c r="A154" s="9" t="s">
        <v>1715</v>
      </c>
      <c r="B154" t="s">
        <v>303</v>
      </c>
      <c r="C154" s="5" t="s">
        <v>305</v>
      </c>
      <c r="D154" s="5" t="s">
        <v>1962</v>
      </c>
      <c r="E154" s="5" t="s">
        <v>1963</v>
      </c>
      <c r="F154" s="25"/>
      <c r="H154" s="1">
        <v>146300</v>
      </c>
      <c r="I154" s="1">
        <v>730.4</v>
      </c>
      <c r="J154" s="1">
        <v>10702.08</v>
      </c>
      <c r="L154" s="11">
        <f t="shared" si="13"/>
        <v>157732.47999999998</v>
      </c>
      <c r="M154" s="26">
        <v>1</v>
      </c>
      <c r="N154" s="11">
        <f t="shared" si="14"/>
        <v>146300</v>
      </c>
      <c r="O154" s="11">
        <f t="shared" si="15"/>
        <v>730.4</v>
      </c>
      <c r="P154" s="11">
        <f t="shared" si="16"/>
        <v>10702.08</v>
      </c>
      <c r="Q154" s="29">
        <f t="shared" si="17"/>
        <v>157732.47999999998</v>
      </c>
      <c r="R154" s="29">
        <f t="shared" si="18"/>
        <v>181392.35199999998</v>
      </c>
      <c r="S154" t="s">
        <v>2371</v>
      </c>
    </row>
    <row r="155" spans="1:19">
      <c r="A155" s="9" t="s">
        <v>1723</v>
      </c>
      <c r="B155" t="s">
        <v>303</v>
      </c>
      <c r="C155" s="5" t="s">
        <v>305</v>
      </c>
      <c r="D155" s="5" t="s">
        <v>1962</v>
      </c>
      <c r="E155" s="5" t="s">
        <v>1963</v>
      </c>
      <c r="F155" s="25"/>
      <c r="H155" s="1">
        <v>85</v>
      </c>
      <c r="L155" s="11">
        <f t="shared" si="13"/>
        <v>85</v>
      </c>
      <c r="M155" s="26">
        <v>1</v>
      </c>
      <c r="N155" s="11">
        <f t="shared" si="14"/>
        <v>85</v>
      </c>
      <c r="O155" s="11">
        <f t="shared" si="15"/>
        <v>0</v>
      </c>
      <c r="P155" s="11">
        <f t="shared" si="16"/>
        <v>0</v>
      </c>
      <c r="Q155" s="29">
        <f t="shared" si="17"/>
        <v>85</v>
      </c>
      <c r="R155" s="29">
        <f t="shared" si="18"/>
        <v>97.75</v>
      </c>
      <c r="S155" t="s">
        <v>2371</v>
      </c>
    </row>
    <row r="156" spans="1:19">
      <c r="A156" s="9" t="s">
        <v>1715</v>
      </c>
      <c r="B156" t="s">
        <v>303</v>
      </c>
      <c r="C156" s="5" t="s">
        <v>305</v>
      </c>
      <c r="D156" s="5" t="s">
        <v>1962</v>
      </c>
      <c r="E156" s="5" t="s">
        <v>1963</v>
      </c>
      <c r="F156" s="25"/>
      <c r="I156" s="1">
        <v>57650.86</v>
      </c>
      <c r="L156" s="11">
        <f t="shared" si="13"/>
        <v>57650.86</v>
      </c>
      <c r="M156" s="26">
        <v>1</v>
      </c>
      <c r="N156" s="11">
        <f t="shared" si="14"/>
        <v>0</v>
      </c>
      <c r="O156" s="11">
        <f t="shared" si="15"/>
        <v>57650.86</v>
      </c>
      <c r="P156" s="11">
        <f t="shared" si="16"/>
        <v>0</v>
      </c>
      <c r="Q156" s="29">
        <f t="shared" si="17"/>
        <v>57650.86</v>
      </c>
      <c r="R156" s="29">
        <f t="shared" si="18"/>
        <v>66298.489000000001</v>
      </c>
      <c r="S156" t="s">
        <v>2371</v>
      </c>
    </row>
    <row r="157" spans="1:19">
      <c r="A157" s="9" t="s">
        <v>1473</v>
      </c>
      <c r="B157" t="s">
        <v>1664</v>
      </c>
      <c r="C157" s="5" t="s">
        <v>1666</v>
      </c>
      <c r="D157" s="5" t="s">
        <v>2183</v>
      </c>
      <c r="E157" s="5" t="s">
        <v>2184</v>
      </c>
      <c r="F157" s="25"/>
      <c r="H157" s="1">
        <v>760</v>
      </c>
      <c r="J157" s="1">
        <v>254.095</v>
      </c>
      <c r="L157" s="11">
        <f t="shared" si="13"/>
        <v>1014.095</v>
      </c>
      <c r="M157" s="26">
        <v>1</v>
      </c>
      <c r="N157" s="11">
        <f t="shared" si="14"/>
        <v>760</v>
      </c>
      <c r="O157" s="11">
        <f t="shared" si="15"/>
        <v>0</v>
      </c>
      <c r="P157" s="11">
        <f t="shared" si="16"/>
        <v>254.095</v>
      </c>
      <c r="Q157" s="29">
        <f t="shared" si="17"/>
        <v>1014.095</v>
      </c>
      <c r="R157" s="29">
        <f t="shared" si="18"/>
        <v>1166.2092500000001</v>
      </c>
      <c r="S157" t="s">
        <v>2369</v>
      </c>
    </row>
    <row r="158" spans="1:19">
      <c r="A158" s="9" t="s">
        <v>1473</v>
      </c>
      <c r="B158" t="s">
        <v>1640</v>
      </c>
      <c r="C158" s="5" t="s">
        <v>1642</v>
      </c>
      <c r="D158" s="5" t="s">
        <v>2167</v>
      </c>
      <c r="E158" s="5" t="s">
        <v>2168</v>
      </c>
      <c r="F158" s="25"/>
      <c r="H158" s="1">
        <v>16959</v>
      </c>
      <c r="J158" s="1">
        <v>622.46</v>
      </c>
      <c r="L158" s="11">
        <f t="shared" si="13"/>
        <v>17581.46</v>
      </c>
      <c r="M158" s="26">
        <v>1</v>
      </c>
      <c r="N158" s="11">
        <f t="shared" si="14"/>
        <v>16959</v>
      </c>
      <c r="O158" s="11">
        <f t="shared" si="15"/>
        <v>0</v>
      </c>
      <c r="P158" s="11">
        <f t="shared" si="16"/>
        <v>622.46</v>
      </c>
      <c r="Q158" s="29">
        <f t="shared" si="17"/>
        <v>17581.46</v>
      </c>
      <c r="R158" s="29">
        <f t="shared" si="18"/>
        <v>20218.679</v>
      </c>
      <c r="S158" t="s">
        <v>2369</v>
      </c>
    </row>
    <row r="159" spans="1:19">
      <c r="A159" s="9" t="s">
        <v>1473</v>
      </c>
      <c r="B159" t="s">
        <v>243</v>
      </c>
      <c r="C159" s="5" t="s">
        <v>245</v>
      </c>
      <c r="D159" s="5" t="s">
        <v>2199</v>
      </c>
      <c r="E159" s="5" t="s">
        <v>2200</v>
      </c>
      <c r="F159" s="25"/>
      <c r="H159" s="1">
        <v>500</v>
      </c>
      <c r="J159" s="1">
        <v>780.67499999999995</v>
      </c>
      <c r="L159" s="11">
        <f t="shared" si="13"/>
        <v>1280.675</v>
      </c>
      <c r="M159" s="26">
        <v>1</v>
      </c>
      <c r="N159" s="11">
        <f t="shared" si="14"/>
        <v>500</v>
      </c>
      <c r="O159" s="11">
        <f t="shared" si="15"/>
        <v>0</v>
      </c>
      <c r="P159" s="11">
        <f t="shared" si="16"/>
        <v>780.67499999999995</v>
      </c>
      <c r="Q159" s="29">
        <f t="shared" si="17"/>
        <v>1280.675</v>
      </c>
      <c r="R159" s="29">
        <f t="shared" si="18"/>
        <v>1472.7762499999999</v>
      </c>
      <c r="S159" t="s">
        <v>2369</v>
      </c>
    </row>
    <row r="160" spans="1:19">
      <c r="A160" s="9" t="s">
        <v>1715</v>
      </c>
      <c r="B160" t="s">
        <v>180</v>
      </c>
      <c r="C160" s="5" t="s">
        <v>182</v>
      </c>
      <c r="D160" s="5" t="s">
        <v>2270</v>
      </c>
      <c r="E160" s="5" t="s">
        <v>2271</v>
      </c>
      <c r="F160" s="25"/>
      <c r="H160" s="1">
        <v>0</v>
      </c>
      <c r="J160" s="1">
        <v>4726.76</v>
      </c>
      <c r="K160" s="1">
        <v>373.1</v>
      </c>
      <c r="L160" s="11">
        <f t="shared" si="13"/>
        <v>5099.8600000000006</v>
      </c>
      <c r="M160" s="26">
        <v>1</v>
      </c>
      <c r="N160" s="11">
        <f t="shared" si="14"/>
        <v>0</v>
      </c>
      <c r="O160" s="11">
        <f t="shared" si="15"/>
        <v>373.1</v>
      </c>
      <c r="P160" s="11">
        <f t="shared" si="16"/>
        <v>4726.76</v>
      </c>
      <c r="Q160" s="29">
        <f t="shared" si="17"/>
        <v>5099.8600000000006</v>
      </c>
      <c r="R160" s="29">
        <f t="shared" si="18"/>
        <v>5864.8390000000009</v>
      </c>
      <c r="S160" t="s">
        <v>2370</v>
      </c>
    </row>
    <row r="161" spans="1:19">
      <c r="A161" s="9" t="s">
        <v>1723</v>
      </c>
      <c r="B161" t="s">
        <v>180</v>
      </c>
      <c r="C161" s="5" t="s">
        <v>182</v>
      </c>
      <c r="D161" s="5" t="s">
        <v>2270</v>
      </c>
      <c r="E161" s="5" t="s">
        <v>2271</v>
      </c>
      <c r="F161" s="25"/>
      <c r="H161" s="1">
        <v>24980.36</v>
      </c>
      <c r="I161" s="1">
        <v>10565.54</v>
      </c>
      <c r="L161" s="11">
        <f t="shared" si="13"/>
        <v>35545.9</v>
      </c>
      <c r="M161" s="26">
        <v>1</v>
      </c>
      <c r="N161" s="11">
        <f t="shared" si="14"/>
        <v>24980.36</v>
      </c>
      <c r="O161" s="11">
        <f t="shared" si="15"/>
        <v>10565.54</v>
      </c>
      <c r="P161" s="11">
        <f t="shared" si="16"/>
        <v>0</v>
      </c>
      <c r="Q161" s="29">
        <f t="shared" si="17"/>
        <v>35545.9</v>
      </c>
      <c r="R161" s="29">
        <f t="shared" si="18"/>
        <v>40877.785000000003</v>
      </c>
      <c r="S161" t="s">
        <v>2370</v>
      </c>
    </row>
    <row r="162" spans="1:19">
      <c r="A162" s="9" t="s">
        <v>1885</v>
      </c>
      <c r="B162" t="s">
        <v>180</v>
      </c>
      <c r="C162" s="5" t="s">
        <v>182</v>
      </c>
      <c r="D162" s="5" t="s">
        <v>2270</v>
      </c>
      <c r="E162" s="5" t="s">
        <v>2271</v>
      </c>
      <c r="F162" s="25"/>
      <c r="J162" s="1">
        <v>786.25</v>
      </c>
      <c r="K162" s="1">
        <v>441.91</v>
      </c>
      <c r="L162" s="11">
        <f t="shared" si="13"/>
        <v>1228.1600000000001</v>
      </c>
      <c r="M162" s="26">
        <v>1</v>
      </c>
      <c r="N162" s="11">
        <f t="shared" si="14"/>
        <v>0</v>
      </c>
      <c r="O162" s="11">
        <f t="shared" si="15"/>
        <v>441.91</v>
      </c>
      <c r="P162" s="11">
        <f t="shared" si="16"/>
        <v>786.25</v>
      </c>
      <c r="Q162" s="29">
        <f t="shared" si="17"/>
        <v>1228.1600000000001</v>
      </c>
      <c r="R162" s="29">
        <f t="shared" si="18"/>
        <v>1412.384</v>
      </c>
      <c r="S162" t="s">
        <v>2370</v>
      </c>
    </row>
    <row r="163" spans="1:19">
      <c r="A163" s="9" t="s">
        <v>1473</v>
      </c>
      <c r="B163" t="s">
        <v>1655</v>
      </c>
      <c r="C163" s="5" t="s">
        <v>1657</v>
      </c>
      <c r="D163" s="5" t="s">
        <v>2177</v>
      </c>
      <c r="E163" s="5" t="s">
        <v>2178</v>
      </c>
      <c r="F163" s="25"/>
      <c r="H163" s="1">
        <v>34144</v>
      </c>
      <c r="J163" s="1">
        <v>319.36</v>
      </c>
      <c r="L163" s="11">
        <f t="shared" si="13"/>
        <v>34463.360000000001</v>
      </c>
      <c r="M163" s="26">
        <v>1</v>
      </c>
      <c r="N163" s="11">
        <f t="shared" si="14"/>
        <v>34144</v>
      </c>
      <c r="O163" s="11">
        <f t="shared" si="15"/>
        <v>0</v>
      </c>
      <c r="P163" s="11">
        <f t="shared" si="16"/>
        <v>319.36</v>
      </c>
      <c r="Q163" s="29">
        <f t="shared" si="17"/>
        <v>34463.360000000001</v>
      </c>
      <c r="R163" s="29">
        <f t="shared" si="18"/>
        <v>39632.864000000001</v>
      </c>
      <c r="S163" t="s">
        <v>2369</v>
      </c>
    </row>
    <row r="164" spans="1:19">
      <c r="A164" s="9" t="s">
        <v>1715</v>
      </c>
      <c r="B164" t="s">
        <v>504</v>
      </c>
      <c r="C164" s="5" t="s">
        <v>506</v>
      </c>
      <c r="D164" s="5" t="s">
        <v>2232</v>
      </c>
      <c r="E164" s="5" t="s">
        <v>2233</v>
      </c>
      <c r="F164" s="25"/>
      <c r="H164" s="1">
        <v>1500</v>
      </c>
      <c r="J164" s="1">
        <v>3040.4650000000001</v>
      </c>
      <c r="L164" s="11">
        <f t="shared" si="13"/>
        <v>4540.4650000000001</v>
      </c>
      <c r="M164" s="26">
        <v>0.21</v>
      </c>
      <c r="N164" s="11">
        <f t="shared" si="14"/>
        <v>315</v>
      </c>
      <c r="O164" s="11">
        <f t="shared" si="15"/>
        <v>0</v>
      </c>
      <c r="P164" s="11">
        <f t="shared" si="16"/>
        <v>638.49765000000002</v>
      </c>
      <c r="Q164" s="29">
        <f t="shared" si="17"/>
        <v>953.49765000000002</v>
      </c>
      <c r="R164" s="29">
        <f t="shared" si="18"/>
        <v>1096.5222974999999</v>
      </c>
      <c r="S164" t="s">
        <v>2370</v>
      </c>
    </row>
    <row r="165" spans="1:19">
      <c r="A165" s="9" t="s">
        <v>1723</v>
      </c>
      <c r="B165" t="s">
        <v>504</v>
      </c>
      <c r="C165" s="5" t="s">
        <v>506</v>
      </c>
      <c r="D165" s="5" t="s">
        <v>2232</v>
      </c>
      <c r="E165" s="5" t="s">
        <v>2233</v>
      </c>
      <c r="F165" s="25"/>
      <c r="H165" s="1">
        <v>22250.99</v>
      </c>
      <c r="I165" s="1">
        <v>21714.82</v>
      </c>
      <c r="L165" s="11">
        <f t="shared" si="13"/>
        <v>43965.81</v>
      </c>
      <c r="M165" s="26">
        <v>0.21</v>
      </c>
      <c r="N165" s="11">
        <f t="shared" si="14"/>
        <v>4672.7079000000003</v>
      </c>
      <c r="O165" s="11">
        <f t="shared" si="15"/>
        <v>4560.1121999999996</v>
      </c>
      <c r="P165" s="11">
        <f t="shared" si="16"/>
        <v>0</v>
      </c>
      <c r="Q165" s="29">
        <f t="shared" si="17"/>
        <v>9232.820099999999</v>
      </c>
      <c r="R165" s="29">
        <f t="shared" si="18"/>
        <v>10617.743114999999</v>
      </c>
      <c r="S165" t="s">
        <v>2370</v>
      </c>
    </row>
    <row r="166" spans="1:19">
      <c r="A166" s="9" t="s">
        <v>1473</v>
      </c>
      <c r="B166" t="s">
        <v>1670</v>
      </c>
      <c r="C166" s="5" t="s">
        <v>1672</v>
      </c>
      <c r="D166" s="5" t="s">
        <v>2187</v>
      </c>
      <c r="E166" s="5" t="s">
        <v>2188</v>
      </c>
      <c r="F166" s="25"/>
      <c r="H166" s="1">
        <v>2183.64</v>
      </c>
      <c r="L166" s="11">
        <f t="shared" si="13"/>
        <v>2183.64</v>
      </c>
      <c r="M166" s="26">
        <v>1</v>
      </c>
      <c r="N166" s="11">
        <f t="shared" si="14"/>
        <v>2183.64</v>
      </c>
      <c r="O166" s="11">
        <f t="shared" si="15"/>
        <v>0</v>
      </c>
      <c r="P166" s="11">
        <f t="shared" si="16"/>
        <v>0</v>
      </c>
      <c r="Q166" s="29">
        <f t="shared" si="17"/>
        <v>2183.64</v>
      </c>
      <c r="R166" s="29">
        <f t="shared" si="18"/>
        <v>2511.1859999999997</v>
      </c>
      <c r="S166" t="s">
        <v>2369</v>
      </c>
    </row>
    <row r="167" spans="1:19">
      <c r="A167" s="9" t="s">
        <v>1907</v>
      </c>
      <c r="B167" t="s">
        <v>99</v>
      </c>
      <c r="C167" s="5" t="s">
        <v>101</v>
      </c>
      <c r="D167" s="5" t="s">
        <v>2207</v>
      </c>
      <c r="E167" s="5" t="s">
        <v>2208</v>
      </c>
      <c r="F167" s="25"/>
      <c r="J167" s="1">
        <v>276.48</v>
      </c>
      <c r="L167" s="11">
        <f t="shared" si="13"/>
        <v>276.48</v>
      </c>
      <c r="M167" s="26">
        <v>1</v>
      </c>
      <c r="N167" s="11">
        <f t="shared" si="14"/>
        <v>0</v>
      </c>
      <c r="O167" s="11">
        <f t="shared" si="15"/>
        <v>0</v>
      </c>
      <c r="P167" s="11">
        <f t="shared" si="16"/>
        <v>276.48</v>
      </c>
      <c r="Q167" s="29">
        <f t="shared" si="17"/>
        <v>276.48</v>
      </c>
      <c r="R167" s="29">
        <f t="shared" si="18"/>
        <v>317.952</v>
      </c>
      <c r="S167" t="s">
        <v>2369</v>
      </c>
    </row>
    <row r="168" spans="1:19">
      <c r="A168" s="9" t="s">
        <v>1715</v>
      </c>
      <c r="B168" t="s">
        <v>99</v>
      </c>
      <c r="C168" s="5" t="s">
        <v>101</v>
      </c>
      <c r="D168" s="5" t="s">
        <v>2207</v>
      </c>
      <c r="E168" s="5" t="s">
        <v>2208</v>
      </c>
      <c r="F168" s="25"/>
      <c r="J168" s="1">
        <v>14755.004999999999</v>
      </c>
      <c r="K168" s="1">
        <v>1941.03</v>
      </c>
      <c r="L168" s="11">
        <f t="shared" si="13"/>
        <v>16696.035</v>
      </c>
      <c r="M168" s="26">
        <v>1</v>
      </c>
      <c r="N168" s="11">
        <f t="shared" si="14"/>
        <v>0</v>
      </c>
      <c r="O168" s="11">
        <f t="shared" si="15"/>
        <v>1941.03</v>
      </c>
      <c r="P168" s="11">
        <f t="shared" si="16"/>
        <v>14755.004999999999</v>
      </c>
      <c r="Q168" s="29">
        <f t="shared" si="17"/>
        <v>16696.035</v>
      </c>
      <c r="R168" s="29">
        <f t="shared" si="18"/>
        <v>19200.44025</v>
      </c>
      <c r="S168" t="s">
        <v>2369</v>
      </c>
    </row>
    <row r="169" spans="1:19">
      <c r="A169" s="9" t="s">
        <v>1723</v>
      </c>
      <c r="B169" t="s">
        <v>99</v>
      </c>
      <c r="C169" s="5" t="s">
        <v>101</v>
      </c>
      <c r="D169" s="5" t="s">
        <v>2207</v>
      </c>
      <c r="E169" s="5" t="s">
        <v>2208</v>
      </c>
      <c r="F169" s="25"/>
      <c r="H169" s="1">
        <v>22500</v>
      </c>
      <c r="I169" s="1">
        <v>35237.32</v>
      </c>
      <c r="L169" s="11">
        <f t="shared" si="13"/>
        <v>57737.32</v>
      </c>
      <c r="M169" s="26">
        <v>1</v>
      </c>
      <c r="N169" s="11">
        <f t="shared" si="14"/>
        <v>22500</v>
      </c>
      <c r="O169" s="11">
        <f t="shared" si="15"/>
        <v>35237.32</v>
      </c>
      <c r="P169" s="11">
        <f t="shared" si="16"/>
        <v>0</v>
      </c>
      <c r="Q169" s="29">
        <f t="shared" si="17"/>
        <v>57737.32</v>
      </c>
      <c r="R169" s="29">
        <f t="shared" si="18"/>
        <v>66397.918000000005</v>
      </c>
      <c r="S169" t="s">
        <v>2369</v>
      </c>
    </row>
    <row r="170" spans="1:19">
      <c r="A170" s="9" t="s">
        <v>1399</v>
      </c>
      <c r="B170" t="s">
        <v>1464</v>
      </c>
      <c r="C170" s="5" t="s">
        <v>1466</v>
      </c>
      <c r="D170" s="5" t="s">
        <v>2025</v>
      </c>
      <c r="E170" s="5" t="s">
        <v>2026</v>
      </c>
      <c r="F170" s="25"/>
      <c r="H170" s="1">
        <v>0</v>
      </c>
      <c r="L170" s="11">
        <f t="shared" si="13"/>
        <v>0</v>
      </c>
      <c r="M170" s="26">
        <v>1</v>
      </c>
      <c r="N170" s="11">
        <f t="shared" si="14"/>
        <v>0</v>
      </c>
      <c r="O170" s="11">
        <f t="shared" si="15"/>
        <v>0</v>
      </c>
      <c r="P170" s="11">
        <f t="shared" si="16"/>
        <v>0</v>
      </c>
      <c r="Q170" s="29">
        <f t="shared" si="17"/>
        <v>0</v>
      </c>
      <c r="R170" s="29">
        <f t="shared" si="18"/>
        <v>0</v>
      </c>
      <c r="S170" t="s">
        <v>2369</v>
      </c>
    </row>
    <row r="171" spans="1:19">
      <c r="A171" s="9" t="s">
        <v>1473</v>
      </c>
      <c r="B171" t="s">
        <v>1464</v>
      </c>
      <c r="C171" s="5" t="s">
        <v>1466</v>
      </c>
      <c r="D171" s="5" t="s">
        <v>2025</v>
      </c>
      <c r="E171" s="5" t="s">
        <v>2026</v>
      </c>
      <c r="F171" s="25"/>
      <c r="H171" s="1">
        <v>1551</v>
      </c>
      <c r="L171" s="11">
        <f t="shared" si="13"/>
        <v>1551</v>
      </c>
      <c r="M171" s="26">
        <v>1</v>
      </c>
      <c r="N171" s="11">
        <f t="shared" si="14"/>
        <v>1551</v>
      </c>
      <c r="O171" s="11">
        <f t="shared" si="15"/>
        <v>0</v>
      </c>
      <c r="P171" s="11">
        <f t="shared" si="16"/>
        <v>0</v>
      </c>
      <c r="Q171" s="29">
        <f t="shared" si="17"/>
        <v>1551</v>
      </c>
      <c r="R171" s="29">
        <f t="shared" si="18"/>
        <v>1783.65</v>
      </c>
      <c r="S171" t="s">
        <v>2369</v>
      </c>
    </row>
    <row r="172" spans="1:19">
      <c r="A172" s="9" t="s">
        <v>1715</v>
      </c>
      <c r="B172" t="s">
        <v>159</v>
      </c>
      <c r="C172" s="5" t="s">
        <v>161</v>
      </c>
      <c r="D172" s="5" t="s">
        <v>2223</v>
      </c>
      <c r="E172" s="5" t="s">
        <v>2224</v>
      </c>
      <c r="F172" s="25"/>
      <c r="H172" s="1">
        <v>3770.08</v>
      </c>
      <c r="J172" s="1">
        <v>132.06</v>
      </c>
      <c r="L172" s="11">
        <f t="shared" si="13"/>
        <v>3902.14</v>
      </c>
      <c r="M172" s="26">
        <v>1</v>
      </c>
      <c r="N172" s="11">
        <f t="shared" si="14"/>
        <v>3770.08</v>
      </c>
      <c r="O172" s="11">
        <f t="shared" si="15"/>
        <v>0</v>
      </c>
      <c r="P172" s="11">
        <f t="shared" si="16"/>
        <v>132.06</v>
      </c>
      <c r="Q172" s="29">
        <f t="shared" si="17"/>
        <v>3902.14</v>
      </c>
      <c r="R172" s="29">
        <f t="shared" si="18"/>
        <v>4487.4609999999993</v>
      </c>
      <c r="S172" t="s">
        <v>2371</v>
      </c>
    </row>
    <row r="173" spans="1:19">
      <c r="A173" s="9" t="s">
        <v>1723</v>
      </c>
      <c r="B173" t="s">
        <v>159</v>
      </c>
      <c r="C173" s="5" t="s">
        <v>161</v>
      </c>
      <c r="D173" s="5" t="s">
        <v>2223</v>
      </c>
      <c r="E173" s="5" t="s">
        <v>2224</v>
      </c>
      <c r="F173" s="25"/>
      <c r="H173" s="1">
        <v>9204</v>
      </c>
      <c r="I173" s="1">
        <v>1155.2</v>
      </c>
      <c r="L173" s="11">
        <f t="shared" si="13"/>
        <v>10359.200000000001</v>
      </c>
      <c r="M173" s="26">
        <v>1</v>
      </c>
      <c r="N173" s="11">
        <f t="shared" si="14"/>
        <v>9204</v>
      </c>
      <c r="O173" s="11">
        <f t="shared" si="15"/>
        <v>1155.2</v>
      </c>
      <c r="P173" s="11">
        <f t="shared" si="16"/>
        <v>0</v>
      </c>
      <c r="Q173" s="29">
        <f t="shared" si="17"/>
        <v>10359.200000000001</v>
      </c>
      <c r="R173" s="29">
        <f t="shared" si="18"/>
        <v>11913.080000000002</v>
      </c>
      <c r="S173" t="s">
        <v>2371</v>
      </c>
    </row>
    <row r="174" spans="1:19">
      <c r="A174" s="9" t="s">
        <v>1715</v>
      </c>
      <c r="B174" t="s">
        <v>373</v>
      </c>
      <c r="C174" s="5" t="s">
        <v>375</v>
      </c>
      <c r="D174" s="5" t="s">
        <v>2034</v>
      </c>
      <c r="E174" s="5" t="s">
        <v>2035</v>
      </c>
      <c r="F174" s="25"/>
      <c r="J174" s="1">
        <v>552</v>
      </c>
      <c r="L174" s="11">
        <f t="shared" si="13"/>
        <v>552</v>
      </c>
      <c r="M174" s="26">
        <v>1</v>
      </c>
      <c r="N174" s="11">
        <f t="shared" si="14"/>
        <v>0</v>
      </c>
      <c r="O174" s="11">
        <f t="shared" si="15"/>
        <v>0</v>
      </c>
      <c r="P174" s="11">
        <f t="shared" si="16"/>
        <v>552</v>
      </c>
      <c r="Q174" s="29">
        <f t="shared" si="17"/>
        <v>552</v>
      </c>
      <c r="R174" s="29">
        <f t="shared" si="18"/>
        <v>634.79999999999995</v>
      </c>
      <c r="S174" t="s">
        <v>2370</v>
      </c>
    </row>
    <row r="175" spans="1:19">
      <c r="A175" s="9" t="s">
        <v>1715</v>
      </c>
      <c r="B175" t="s">
        <v>373</v>
      </c>
      <c r="C175" s="5" t="s">
        <v>375</v>
      </c>
      <c r="D175" s="5" t="s">
        <v>2034</v>
      </c>
      <c r="E175" s="5" t="s">
        <v>2035</v>
      </c>
      <c r="F175" s="25"/>
      <c r="H175" s="1">
        <v>10516.34</v>
      </c>
      <c r="I175" s="1">
        <v>420</v>
      </c>
      <c r="J175" s="1">
        <v>214.9</v>
      </c>
      <c r="L175" s="11">
        <f t="shared" si="13"/>
        <v>11151.24</v>
      </c>
      <c r="M175" s="26">
        <v>1</v>
      </c>
      <c r="N175" s="11">
        <f t="shared" si="14"/>
        <v>10516.34</v>
      </c>
      <c r="O175" s="11">
        <f t="shared" si="15"/>
        <v>420</v>
      </c>
      <c r="P175" s="11">
        <f t="shared" si="16"/>
        <v>214.9</v>
      </c>
      <c r="Q175" s="29">
        <f t="shared" si="17"/>
        <v>11151.24</v>
      </c>
      <c r="R175" s="29">
        <f t="shared" si="18"/>
        <v>12823.925999999999</v>
      </c>
      <c r="S175" t="s">
        <v>2370</v>
      </c>
    </row>
    <row r="176" spans="1:19">
      <c r="A176" s="9" t="s">
        <v>1723</v>
      </c>
      <c r="B176" t="s">
        <v>373</v>
      </c>
      <c r="C176" s="5" t="s">
        <v>375</v>
      </c>
      <c r="D176" s="5" t="s">
        <v>2034</v>
      </c>
      <c r="E176" s="5" t="s">
        <v>2035</v>
      </c>
      <c r="F176" s="25"/>
      <c r="H176" s="1">
        <v>2129.19</v>
      </c>
      <c r="I176" s="1">
        <v>16916.310000000001</v>
      </c>
      <c r="L176" s="11">
        <f t="shared" si="13"/>
        <v>19045.5</v>
      </c>
      <c r="M176" s="26">
        <v>1</v>
      </c>
      <c r="N176" s="11">
        <f t="shared" si="14"/>
        <v>2129.19</v>
      </c>
      <c r="O176" s="11">
        <f t="shared" si="15"/>
        <v>16916.310000000001</v>
      </c>
      <c r="P176" s="11">
        <f t="shared" si="16"/>
        <v>0</v>
      </c>
      <c r="Q176" s="29">
        <f t="shared" si="17"/>
        <v>19045.5</v>
      </c>
      <c r="R176" s="29">
        <f t="shared" si="18"/>
        <v>21902.325000000001</v>
      </c>
      <c r="S176" t="s">
        <v>2370</v>
      </c>
    </row>
    <row r="177" spans="1:19">
      <c r="A177" s="9" t="s">
        <v>1473</v>
      </c>
      <c r="B177" t="s">
        <v>1616</v>
      </c>
      <c r="C177" s="5" t="s">
        <v>1618</v>
      </c>
      <c r="D177" s="5" t="s">
        <v>2148</v>
      </c>
      <c r="E177" s="5" t="s">
        <v>2149</v>
      </c>
      <c r="F177" s="25"/>
      <c r="H177" s="1">
        <v>9828</v>
      </c>
      <c r="L177" s="11">
        <f t="shared" si="13"/>
        <v>9828</v>
      </c>
      <c r="M177" s="26">
        <v>1</v>
      </c>
      <c r="N177" s="11">
        <f t="shared" si="14"/>
        <v>9828</v>
      </c>
      <c r="O177" s="11">
        <f t="shared" si="15"/>
        <v>0</v>
      </c>
      <c r="P177" s="11">
        <f t="shared" si="16"/>
        <v>0</v>
      </c>
      <c r="Q177" s="29">
        <f t="shared" si="17"/>
        <v>9828</v>
      </c>
      <c r="R177" s="29">
        <f t="shared" si="18"/>
        <v>11302.2</v>
      </c>
      <c r="S177" t="s">
        <v>2369</v>
      </c>
    </row>
    <row r="178" spans="1:19">
      <c r="A178" s="9" t="s">
        <v>1881</v>
      </c>
      <c r="B178" t="s">
        <v>1616</v>
      </c>
      <c r="C178" s="5" t="s">
        <v>1618</v>
      </c>
      <c r="D178" s="5" t="s">
        <v>2148</v>
      </c>
      <c r="E178" s="5" t="s">
        <v>2149</v>
      </c>
      <c r="F178" s="25"/>
      <c r="H178" s="1">
        <v>9280</v>
      </c>
      <c r="L178" s="11">
        <f t="shared" si="13"/>
        <v>9280</v>
      </c>
      <c r="M178" s="26">
        <v>1</v>
      </c>
      <c r="N178" s="11">
        <f t="shared" si="14"/>
        <v>9280</v>
      </c>
      <c r="O178" s="11">
        <f t="shared" si="15"/>
        <v>0</v>
      </c>
      <c r="P178" s="11">
        <f t="shared" si="16"/>
        <v>0</v>
      </c>
      <c r="Q178" s="29">
        <f t="shared" si="17"/>
        <v>9280</v>
      </c>
      <c r="R178" s="29">
        <f t="shared" si="18"/>
        <v>10672</v>
      </c>
      <c r="S178" t="s">
        <v>2369</v>
      </c>
    </row>
    <row r="179" spans="1:19">
      <c r="A179" s="9" t="s">
        <v>1473</v>
      </c>
      <c r="B179" t="s">
        <v>1706</v>
      </c>
      <c r="C179" s="5" t="s">
        <v>1708</v>
      </c>
      <c r="D179" s="5" t="s">
        <v>2215</v>
      </c>
      <c r="E179" s="5" t="s">
        <v>2216</v>
      </c>
      <c r="F179" s="25"/>
      <c r="H179" s="1">
        <v>27495.58</v>
      </c>
      <c r="L179" s="11">
        <f t="shared" si="13"/>
        <v>27495.58</v>
      </c>
      <c r="M179" s="26">
        <v>1</v>
      </c>
      <c r="N179" s="11">
        <f t="shared" si="14"/>
        <v>27495.58</v>
      </c>
      <c r="O179" s="11">
        <f t="shared" si="15"/>
        <v>0</v>
      </c>
      <c r="P179" s="11">
        <f t="shared" si="16"/>
        <v>0</v>
      </c>
      <c r="Q179" s="29">
        <f t="shared" si="17"/>
        <v>27495.58</v>
      </c>
      <c r="R179" s="29">
        <f t="shared" si="18"/>
        <v>31619.917000000001</v>
      </c>
      <c r="S179" t="s">
        <v>2369</v>
      </c>
    </row>
    <row r="180" spans="1:19">
      <c r="A180" s="9" t="s">
        <v>1097</v>
      </c>
      <c r="B180" t="s">
        <v>558</v>
      </c>
      <c r="C180" s="5" t="s">
        <v>560</v>
      </c>
      <c r="D180" s="5" t="s">
        <v>1937</v>
      </c>
      <c r="E180" s="5" t="s">
        <v>1938</v>
      </c>
      <c r="F180" s="25"/>
      <c r="H180" s="1">
        <v>0</v>
      </c>
      <c r="L180" s="11">
        <f t="shared" si="13"/>
        <v>0</v>
      </c>
      <c r="M180" s="26">
        <v>1</v>
      </c>
      <c r="N180" s="11">
        <f t="shared" si="14"/>
        <v>0</v>
      </c>
      <c r="O180" s="11">
        <f t="shared" si="15"/>
        <v>0</v>
      </c>
      <c r="P180" s="11">
        <f t="shared" si="16"/>
        <v>0</v>
      </c>
      <c r="Q180" s="29">
        <f t="shared" si="17"/>
        <v>0</v>
      </c>
      <c r="R180" s="29">
        <f t="shared" si="18"/>
        <v>0</v>
      </c>
      <c r="S180" t="s">
        <v>2369</v>
      </c>
    </row>
    <row r="181" spans="1:19">
      <c r="A181" s="9" t="s">
        <v>1473</v>
      </c>
      <c r="B181" t="s">
        <v>558</v>
      </c>
      <c r="C181" s="5" t="s">
        <v>560</v>
      </c>
      <c r="D181" s="5" t="s">
        <v>1937</v>
      </c>
      <c r="E181" s="5" t="s">
        <v>1938</v>
      </c>
      <c r="F181" s="25"/>
      <c r="J181" s="1">
        <v>6.5149999999999997</v>
      </c>
      <c r="L181" s="11">
        <f t="shared" si="13"/>
        <v>6.5149999999999997</v>
      </c>
      <c r="M181" s="26">
        <v>1</v>
      </c>
      <c r="N181" s="11">
        <f t="shared" si="14"/>
        <v>0</v>
      </c>
      <c r="O181" s="11">
        <f t="shared" si="15"/>
        <v>0</v>
      </c>
      <c r="P181" s="11">
        <f t="shared" si="16"/>
        <v>6.5149999999999997</v>
      </c>
      <c r="Q181" s="29">
        <f t="shared" si="17"/>
        <v>6.5149999999999997</v>
      </c>
      <c r="R181" s="29">
        <f t="shared" si="18"/>
        <v>7.4922499999999994</v>
      </c>
      <c r="S181" t="s">
        <v>2369</v>
      </c>
    </row>
    <row r="182" spans="1:19">
      <c r="A182" s="9" t="s">
        <v>1715</v>
      </c>
      <c r="B182" t="s">
        <v>558</v>
      </c>
      <c r="C182" s="5" t="s">
        <v>560</v>
      </c>
      <c r="D182" s="5" t="s">
        <v>1937</v>
      </c>
      <c r="E182" s="5" t="s">
        <v>1938</v>
      </c>
      <c r="F182" s="25"/>
      <c r="J182" s="1">
        <v>16705.345000000001</v>
      </c>
      <c r="L182" s="11">
        <f t="shared" si="13"/>
        <v>16705.345000000001</v>
      </c>
      <c r="M182" s="26">
        <v>1</v>
      </c>
      <c r="N182" s="11">
        <f t="shared" si="14"/>
        <v>0</v>
      </c>
      <c r="O182" s="11">
        <f t="shared" si="15"/>
        <v>0</v>
      </c>
      <c r="P182" s="11">
        <f t="shared" si="16"/>
        <v>16705.345000000001</v>
      </c>
      <c r="Q182" s="29">
        <f t="shared" si="17"/>
        <v>16705.345000000001</v>
      </c>
      <c r="R182" s="29">
        <f t="shared" si="18"/>
        <v>19211.14675</v>
      </c>
      <c r="S182" t="s">
        <v>2369</v>
      </c>
    </row>
    <row r="183" spans="1:19">
      <c r="A183" s="9" t="s">
        <v>1723</v>
      </c>
      <c r="B183" t="s">
        <v>558</v>
      </c>
      <c r="C183" s="5" t="s">
        <v>560</v>
      </c>
      <c r="D183" s="5" t="s">
        <v>1937</v>
      </c>
      <c r="E183" s="5" t="s">
        <v>1938</v>
      </c>
      <c r="F183" s="25"/>
      <c r="H183" s="1">
        <v>26237.279999999999</v>
      </c>
      <c r="I183" s="1">
        <v>-1191.49</v>
      </c>
      <c r="L183" s="11">
        <f t="shared" si="13"/>
        <v>25045.789999999997</v>
      </c>
      <c r="M183" s="26">
        <v>1</v>
      </c>
      <c r="N183" s="11">
        <f t="shared" si="14"/>
        <v>26237.279999999999</v>
      </c>
      <c r="O183" s="11">
        <f t="shared" si="15"/>
        <v>-1191.49</v>
      </c>
      <c r="P183" s="11">
        <f t="shared" si="16"/>
        <v>0</v>
      </c>
      <c r="Q183" s="29">
        <f t="shared" si="17"/>
        <v>25045.789999999997</v>
      </c>
      <c r="R183" s="29">
        <f t="shared" si="18"/>
        <v>28802.658499999998</v>
      </c>
      <c r="S183" t="s">
        <v>2369</v>
      </c>
    </row>
    <row r="184" spans="1:19">
      <c r="A184" s="9" t="s">
        <v>1715</v>
      </c>
      <c r="B184" t="s">
        <v>558</v>
      </c>
      <c r="C184" s="5" t="s">
        <v>560</v>
      </c>
      <c r="D184" s="5" t="s">
        <v>1937</v>
      </c>
      <c r="E184" s="5" t="s">
        <v>1938</v>
      </c>
      <c r="F184" s="25"/>
      <c r="J184" s="1">
        <v>211.92</v>
      </c>
      <c r="L184" s="11">
        <f t="shared" si="13"/>
        <v>211.92</v>
      </c>
      <c r="M184" s="26">
        <v>1</v>
      </c>
      <c r="N184" s="11">
        <f t="shared" si="14"/>
        <v>0</v>
      </c>
      <c r="O184" s="11">
        <f t="shared" si="15"/>
        <v>0</v>
      </c>
      <c r="P184" s="11">
        <f t="shared" si="16"/>
        <v>211.92</v>
      </c>
      <c r="Q184" s="29">
        <f t="shared" si="17"/>
        <v>211.92</v>
      </c>
      <c r="R184" s="29">
        <f t="shared" si="18"/>
        <v>243.70799999999997</v>
      </c>
      <c r="S184" t="s">
        <v>2369</v>
      </c>
    </row>
    <row r="185" spans="1:19">
      <c r="A185" s="9" t="s">
        <v>1715</v>
      </c>
      <c r="B185" t="s">
        <v>315</v>
      </c>
      <c r="C185" s="5" t="s">
        <v>317</v>
      </c>
      <c r="D185" s="5" t="s">
        <v>2274</v>
      </c>
      <c r="E185" s="5" t="s">
        <v>2275</v>
      </c>
      <c r="F185" s="25"/>
      <c r="I185" s="1">
        <v>794.71</v>
      </c>
      <c r="J185" s="1">
        <v>24121.96</v>
      </c>
      <c r="K185" s="1">
        <v>9257.52</v>
      </c>
      <c r="L185" s="11">
        <f t="shared" si="13"/>
        <v>34174.19</v>
      </c>
      <c r="M185" s="26">
        <v>1</v>
      </c>
      <c r="N185" s="11">
        <f t="shared" si="14"/>
        <v>0</v>
      </c>
      <c r="O185" s="11">
        <f t="shared" si="15"/>
        <v>10052.23</v>
      </c>
      <c r="P185" s="11">
        <f t="shared" si="16"/>
        <v>24121.96</v>
      </c>
      <c r="Q185" s="29">
        <f t="shared" si="17"/>
        <v>34174.19</v>
      </c>
      <c r="R185" s="29">
        <f t="shared" si="18"/>
        <v>39300.318500000001</v>
      </c>
      <c r="S185" t="s">
        <v>2370</v>
      </c>
    </row>
    <row r="186" spans="1:19">
      <c r="A186" s="9" t="s">
        <v>1723</v>
      </c>
      <c r="B186" t="s">
        <v>315</v>
      </c>
      <c r="C186" s="5" t="s">
        <v>317</v>
      </c>
      <c r="D186" s="5" t="s">
        <v>2274</v>
      </c>
      <c r="E186" s="5" t="s">
        <v>2275</v>
      </c>
      <c r="F186" s="25"/>
      <c r="H186" s="1">
        <v>59281.47</v>
      </c>
      <c r="I186" s="1">
        <v>18437.669999999998</v>
      </c>
      <c r="L186" s="11">
        <f t="shared" si="13"/>
        <v>77719.14</v>
      </c>
      <c r="M186" s="26">
        <v>1</v>
      </c>
      <c r="N186" s="11">
        <f t="shared" si="14"/>
        <v>59281.47</v>
      </c>
      <c r="O186" s="11">
        <f t="shared" si="15"/>
        <v>18437.669999999998</v>
      </c>
      <c r="P186" s="11">
        <f t="shared" si="16"/>
        <v>0</v>
      </c>
      <c r="Q186" s="29">
        <f t="shared" si="17"/>
        <v>77719.14</v>
      </c>
      <c r="R186" s="29">
        <f t="shared" si="18"/>
        <v>89377.010999999999</v>
      </c>
      <c r="S186" t="s">
        <v>2370</v>
      </c>
    </row>
    <row r="187" spans="1:19">
      <c r="A187" s="9" t="s">
        <v>1399</v>
      </c>
      <c r="B187" t="s">
        <v>1410</v>
      </c>
      <c r="C187" s="5" t="s">
        <v>1412</v>
      </c>
      <c r="D187" s="5" t="s">
        <v>1985</v>
      </c>
      <c r="E187" s="5" t="s">
        <v>1986</v>
      </c>
      <c r="F187" s="25"/>
      <c r="H187" s="1">
        <v>9413.7999999999993</v>
      </c>
      <c r="L187" s="11">
        <f t="shared" si="13"/>
        <v>9413.7999999999993</v>
      </c>
      <c r="M187" s="26">
        <v>1</v>
      </c>
      <c r="N187" s="11">
        <f t="shared" si="14"/>
        <v>9413.7999999999993</v>
      </c>
      <c r="O187" s="11">
        <f t="shared" si="15"/>
        <v>0</v>
      </c>
      <c r="P187" s="11">
        <f t="shared" si="16"/>
        <v>0</v>
      </c>
      <c r="Q187" s="29">
        <f t="shared" si="17"/>
        <v>9413.7999999999993</v>
      </c>
      <c r="R187" s="29">
        <f t="shared" si="18"/>
        <v>10825.869999999999</v>
      </c>
      <c r="S187" t="s">
        <v>2369</v>
      </c>
    </row>
    <row r="188" spans="1:19">
      <c r="A188" s="9" t="s">
        <v>1723</v>
      </c>
      <c r="B188" t="s">
        <v>27</v>
      </c>
      <c r="C188" s="5" t="s">
        <v>29</v>
      </c>
      <c r="D188" s="5" t="s">
        <v>2353</v>
      </c>
      <c r="E188" s="5" t="s">
        <v>2354</v>
      </c>
      <c r="F188" s="25"/>
      <c r="H188" s="1">
        <v>620.20000000000005</v>
      </c>
      <c r="L188" s="11">
        <f t="shared" si="13"/>
        <v>620.20000000000005</v>
      </c>
      <c r="M188" s="26">
        <v>1</v>
      </c>
      <c r="N188" s="11">
        <f t="shared" si="14"/>
        <v>620.20000000000005</v>
      </c>
      <c r="O188" s="11">
        <f t="shared" si="15"/>
        <v>0</v>
      </c>
      <c r="P188" s="11">
        <f t="shared" si="16"/>
        <v>0</v>
      </c>
      <c r="Q188" s="29">
        <f t="shared" si="17"/>
        <v>620.20000000000005</v>
      </c>
      <c r="R188" s="29">
        <f t="shared" si="18"/>
        <v>713.23</v>
      </c>
      <c r="S188" t="s">
        <v>2369</v>
      </c>
    </row>
    <row r="189" spans="1:19">
      <c r="A189" s="9" t="s">
        <v>1715</v>
      </c>
      <c r="B189" t="s">
        <v>72</v>
      </c>
      <c r="C189" s="5" t="s">
        <v>74</v>
      </c>
      <c r="D189" s="5" t="s">
        <v>2011</v>
      </c>
      <c r="E189" s="5" t="s">
        <v>2012</v>
      </c>
      <c r="F189" s="25"/>
      <c r="J189" s="1">
        <v>60.95</v>
      </c>
      <c r="L189" s="11">
        <f t="shared" si="13"/>
        <v>60.95</v>
      </c>
      <c r="M189" s="26">
        <v>1</v>
      </c>
      <c r="N189" s="11">
        <f t="shared" si="14"/>
        <v>0</v>
      </c>
      <c r="O189" s="11">
        <f t="shared" si="15"/>
        <v>0</v>
      </c>
      <c r="P189" s="11">
        <f t="shared" si="16"/>
        <v>60.95</v>
      </c>
      <c r="Q189" s="29">
        <f t="shared" si="17"/>
        <v>60.95</v>
      </c>
      <c r="R189" s="29">
        <f t="shared" si="18"/>
        <v>70.092500000000001</v>
      </c>
      <c r="S189" t="s">
        <v>2369</v>
      </c>
    </row>
    <row r="190" spans="1:19">
      <c r="A190" s="9" t="s">
        <v>1715</v>
      </c>
      <c r="B190" t="s">
        <v>72</v>
      </c>
      <c r="C190" s="5" t="s">
        <v>74</v>
      </c>
      <c r="D190" s="5" t="s">
        <v>2011</v>
      </c>
      <c r="E190" s="5" t="s">
        <v>2012</v>
      </c>
      <c r="F190" s="25"/>
      <c r="J190" s="1">
        <v>67.72</v>
      </c>
      <c r="L190" s="11">
        <f t="shared" si="13"/>
        <v>67.72</v>
      </c>
      <c r="M190" s="26">
        <v>1</v>
      </c>
      <c r="N190" s="11">
        <f t="shared" si="14"/>
        <v>0</v>
      </c>
      <c r="O190" s="11">
        <f t="shared" si="15"/>
        <v>0</v>
      </c>
      <c r="P190" s="11">
        <f t="shared" si="16"/>
        <v>67.72</v>
      </c>
      <c r="Q190" s="29">
        <f t="shared" si="17"/>
        <v>67.72</v>
      </c>
      <c r="R190" s="29">
        <f t="shared" si="18"/>
        <v>77.878</v>
      </c>
      <c r="S190" t="s">
        <v>2369</v>
      </c>
    </row>
    <row r="191" spans="1:19">
      <c r="A191" s="9" t="s">
        <v>1723</v>
      </c>
      <c r="B191" t="s">
        <v>72</v>
      </c>
      <c r="C191" s="5" t="s">
        <v>74</v>
      </c>
      <c r="D191" s="5" t="s">
        <v>2011</v>
      </c>
      <c r="E191" s="5" t="s">
        <v>2012</v>
      </c>
      <c r="F191" s="25"/>
      <c r="H191" s="1">
        <v>9860</v>
      </c>
      <c r="I191" s="1">
        <v>20310.5</v>
      </c>
      <c r="L191" s="11">
        <f t="shared" si="13"/>
        <v>30170.5</v>
      </c>
      <c r="M191" s="26">
        <v>1</v>
      </c>
      <c r="N191" s="11">
        <f t="shared" si="14"/>
        <v>9860</v>
      </c>
      <c r="O191" s="11">
        <f t="shared" si="15"/>
        <v>20310.5</v>
      </c>
      <c r="P191" s="11">
        <f t="shared" si="16"/>
        <v>0</v>
      </c>
      <c r="Q191" s="29">
        <f t="shared" si="17"/>
        <v>30170.5</v>
      </c>
      <c r="R191" s="29">
        <f t="shared" si="18"/>
        <v>34696.074999999997</v>
      </c>
      <c r="S191" t="s">
        <v>2369</v>
      </c>
    </row>
    <row r="192" spans="1:19">
      <c r="A192" s="9" t="s">
        <v>1715</v>
      </c>
      <c r="B192" t="s">
        <v>156</v>
      </c>
      <c r="C192" s="5" t="s">
        <v>158</v>
      </c>
      <c r="D192" s="5" t="s">
        <v>2299</v>
      </c>
      <c r="E192" s="5" t="s">
        <v>2300</v>
      </c>
      <c r="F192" s="25"/>
      <c r="I192" s="1">
        <v>22631.119999999999</v>
      </c>
      <c r="L192" s="11">
        <f t="shared" si="13"/>
        <v>22631.119999999999</v>
      </c>
      <c r="M192" s="26">
        <v>1</v>
      </c>
      <c r="N192" s="11">
        <f t="shared" si="14"/>
        <v>0</v>
      </c>
      <c r="O192" s="11">
        <f t="shared" si="15"/>
        <v>22631.119999999999</v>
      </c>
      <c r="P192" s="11">
        <f t="shared" si="16"/>
        <v>0</v>
      </c>
      <c r="Q192" s="29">
        <f t="shared" si="17"/>
        <v>22631.119999999999</v>
      </c>
      <c r="R192" s="29">
        <f t="shared" si="18"/>
        <v>26025.788</v>
      </c>
      <c r="S192" t="s">
        <v>2369</v>
      </c>
    </row>
    <row r="193" spans="1:19">
      <c r="A193" s="9" t="s">
        <v>1723</v>
      </c>
      <c r="B193" t="s">
        <v>156</v>
      </c>
      <c r="C193" s="5" t="s">
        <v>158</v>
      </c>
      <c r="D193" s="5" t="s">
        <v>2299</v>
      </c>
      <c r="E193" s="5" t="s">
        <v>2300</v>
      </c>
      <c r="F193" s="25"/>
      <c r="H193" s="1">
        <v>71939.990000000005</v>
      </c>
      <c r="I193" s="1">
        <v>1132.8699999999999</v>
      </c>
      <c r="L193" s="11">
        <f t="shared" si="13"/>
        <v>73072.86</v>
      </c>
      <c r="M193" s="26">
        <v>1</v>
      </c>
      <c r="N193" s="11">
        <f t="shared" si="14"/>
        <v>71939.990000000005</v>
      </c>
      <c r="O193" s="11">
        <f t="shared" si="15"/>
        <v>1132.8699999999999</v>
      </c>
      <c r="P193" s="11">
        <f t="shared" si="16"/>
        <v>0</v>
      </c>
      <c r="Q193" s="29">
        <f t="shared" si="17"/>
        <v>73072.86</v>
      </c>
      <c r="R193" s="29">
        <f t="shared" si="18"/>
        <v>84033.789000000004</v>
      </c>
      <c r="S193" t="s">
        <v>2369</v>
      </c>
    </row>
    <row r="194" spans="1:19">
      <c r="A194" s="9" t="s">
        <v>1715</v>
      </c>
      <c r="B194" t="s">
        <v>507</v>
      </c>
      <c r="C194" s="5" t="s">
        <v>509</v>
      </c>
      <c r="D194" s="5" t="s">
        <v>2330</v>
      </c>
      <c r="E194" s="5" t="s">
        <v>2331</v>
      </c>
      <c r="F194" s="25"/>
      <c r="J194" s="1">
        <v>4065.94</v>
      </c>
      <c r="L194" s="11">
        <f t="shared" si="13"/>
        <v>4065.94</v>
      </c>
      <c r="M194" s="26">
        <v>0.21</v>
      </c>
      <c r="N194" s="11">
        <f t="shared" si="14"/>
        <v>0</v>
      </c>
      <c r="O194" s="11">
        <f t="shared" si="15"/>
        <v>0</v>
      </c>
      <c r="P194" s="11">
        <f t="shared" si="16"/>
        <v>853.84739999999999</v>
      </c>
      <c r="Q194" s="29">
        <f t="shared" si="17"/>
        <v>853.84739999999999</v>
      </c>
      <c r="R194" s="29">
        <f t="shared" si="18"/>
        <v>981.92451000000005</v>
      </c>
      <c r="S194" t="s">
        <v>2370</v>
      </c>
    </row>
    <row r="195" spans="1:19">
      <c r="A195" s="9" t="s">
        <v>1723</v>
      </c>
      <c r="B195" t="s">
        <v>507</v>
      </c>
      <c r="C195" s="5" t="s">
        <v>509</v>
      </c>
      <c r="D195" s="5" t="s">
        <v>2330</v>
      </c>
      <c r="E195" s="5" t="s">
        <v>2331</v>
      </c>
      <c r="F195" s="25"/>
      <c r="H195" s="1">
        <v>3389.82</v>
      </c>
      <c r="I195" s="1">
        <v>2252.33</v>
      </c>
      <c r="L195" s="11">
        <f t="shared" si="13"/>
        <v>5642.15</v>
      </c>
      <c r="M195" s="26">
        <v>0.21</v>
      </c>
      <c r="N195" s="11">
        <f t="shared" si="14"/>
        <v>711.86220000000003</v>
      </c>
      <c r="O195" s="11">
        <f t="shared" si="15"/>
        <v>472.98929999999996</v>
      </c>
      <c r="P195" s="11">
        <f t="shared" si="16"/>
        <v>0</v>
      </c>
      <c r="Q195" s="29">
        <f t="shared" si="17"/>
        <v>1184.8515</v>
      </c>
      <c r="R195" s="29">
        <f t="shared" si="18"/>
        <v>1362.579225</v>
      </c>
      <c r="S195" t="s">
        <v>2370</v>
      </c>
    </row>
    <row r="196" spans="1:19">
      <c r="A196" s="9" t="s">
        <v>1715</v>
      </c>
      <c r="B196" t="s">
        <v>210</v>
      </c>
      <c r="C196" s="5" t="s">
        <v>212</v>
      </c>
      <c r="D196" s="5" t="s">
        <v>2311</v>
      </c>
      <c r="E196" s="5" t="s">
        <v>2312</v>
      </c>
      <c r="F196" s="25"/>
      <c r="J196" s="1">
        <v>115.12</v>
      </c>
      <c r="L196" s="11">
        <f t="shared" si="13"/>
        <v>115.12</v>
      </c>
      <c r="M196" s="26">
        <v>1</v>
      </c>
      <c r="N196" s="11">
        <f t="shared" si="14"/>
        <v>0</v>
      </c>
      <c r="O196" s="11">
        <f t="shared" si="15"/>
        <v>0</v>
      </c>
      <c r="P196" s="11">
        <f t="shared" si="16"/>
        <v>115.12</v>
      </c>
      <c r="Q196" s="29">
        <f t="shared" si="17"/>
        <v>115.12</v>
      </c>
      <c r="R196" s="29">
        <f t="shared" si="18"/>
        <v>132.38800000000001</v>
      </c>
      <c r="S196" t="s">
        <v>2371</v>
      </c>
    </row>
    <row r="197" spans="1:19">
      <c r="A197" s="9" t="s">
        <v>1723</v>
      </c>
      <c r="B197" t="s">
        <v>210</v>
      </c>
      <c r="C197" s="5" t="s">
        <v>212</v>
      </c>
      <c r="D197" s="5" t="s">
        <v>2311</v>
      </c>
      <c r="E197" s="5" t="s">
        <v>2312</v>
      </c>
      <c r="F197" s="25"/>
      <c r="H197" s="1">
        <v>6050</v>
      </c>
      <c r="L197" s="11">
        <f t="shared" si="13"/>
        <v>6050</v>
      </c>
      <c r="M197" s="26">
        <v>1</v>
      </c>
      <c r="N197" s="11">
        <f t="shared" si="14"/>
        <v>6050</v>
      </c>
      <c r="O197" s="11">
        <f t="shared" si="15"/>
        <v>0</v>
      </c>
      <c r="P197" s="11">
        <f t="shared" si="16"/>
        <v>0</v>
      </c>
      <c r="Q197" s="29">
        <f t="shared" si="17"/>
        <v>6050</v>
      </c>
      <c r="R197" s="29">
        <f t="shared" si="18"/>
        <v>6957.5</v>
      </c>
      <c r="S197" t="s">
        <v>2371</v>
      </c>
    </row>
    <row r="198" spans="1:19">
      <c r="A198" s="9" t="s">
        <v>1473</v>
      </c>
      <c r="B198" t="s">
        <v>1682</v>
      </c>
      <c r="C198" s="5" t="s">
        <v>1684</v>
      </c>
      <c r="D198" s="5" t="s">
        <v>2195</v>
      </c>
      <c r="E198" s="5" t="s">
        <v>2196</v>
      </c>
      <c r="F198" s="25"/>
      <c r="H198" s="1">
        <v>500</v>
      </c>
      <c r="L198" s="11">
        <f t="shared" si="13"/>
        <v>500</v>
      </c>
      <c r="M198" s="26">
        <v>1</v>
      </c>
      <c r="N198" s="11">
        <f t="shared" si="14"/>
        <v>500</v>
      </c>
      <c r="O198" s="11">
        <f t="shared" si="15"/>
        <v>0</v>
      </c>
      <c r="P198" s="11">
        <f t="shared" si="16"/>
        <v>0</v>
      </c>
      <c r="Q198" s="29">
        <f t="shared" si="17"/>
        <v>500</v>
      </c>
      <c r="R198" s="29">
        <f t="shared" si="18"/>
        <v>575</v>
      </c>
      <c r="S198" t="s">
        <v>2369</v>
      </c>
    </row>
    <row r="199" spans="1:19">
      <c r="A199" s="9" t="s">
        <v>1399</v>
      </c>
      <c r="B199" t="s">
        <v>1437</v>
      </c>
      <c r="C199" s="5" t="s">
        <v>1439</v>
      </c>
      <c r="D199" s="5" t="s">
        <v>2005</v>
      </c>
      <c r="E199" s="5" t="s">
        <v>2006</v>
      </c>
      <c r="F199" s="25"/>
      <c r="H199" s="1">
        <v>7280</v>
      </c>
      <c r="L199" s="11">
        <f t="shared" ref="L199:L262" si="19">SUM(H199:K199)</f>
        <v>7280</v>
      </c>
      <c r="M199" s="26">
        <v>1</v>
      </c>
      <c r="N199" s="11">
        <f t="shared" ref="N199:N262" si="20">+H199*M199</f>
        <v>7280</v>
      </c>
      <c r="O199" s="11">
        <f t="shared" ref="O199:O262" si="21">+(+I199+K199)*M199</f>
        <v>0</v>
      </c>
      <c r="P199" s="11">
        <f t="shared" ref="P199:P262" si="22">+J199*M199</f>
        <v>0</v>
      </c>
      <c r="Q199" s="29">
        <f t="shared" ref="Q199:Q262" si="23">+L199*M199</f>
        <v>7280</v>
      </c>
      <c r="R199" s="29">
        <f t="shared" ref="R199:R262" si="24">+Q199+(+Q199*$R$1)</f>
        <v>8372</v>
      </c>
      <c r="S199" t="s">
        <v>2369</v>
      </c>
    </row>
    <row r="200" spans="1:19">
      <c r="A200" s="9" t="s">
        <v>1473</v>
      </c>
      <c r="B200" t="s">
        <v>1437</v>
      </c>
      <c r="C200" s="5" t="s">
        <v>1439</v>
      </c>
      <c r="D200" s="5" t="s">
        <v>2005</v>
      </c>
      <c r="E200" s="5" t="s">
        <v>2006</v>
      </c>
      <c r="F200" s="25"/>
      <c r="H200" s="1">
        <v>3000</v>
      </c>
      <c r="L200" s="11">
        <f t="shared" si="19"/>
        <v>3000</v>
      </c>
      <c r="M200" s="26">
        <v>1</v>
      </c>
      <c r="N200" s="11">
        <f t="shared" si="20"/>
        <v>3000</v>
      </c>
      <c r="O200" s="11">
        <f t="shared" si="21"/>
        <v>0</v>
      </c>
      <c r="P200" s="11">
        <f t="shared" si="22"/>
        <v>0</v>
      </c>
      <c r="Q200" s="29">
        <f t="shared" si="23"/>
        <v>3000</v>
      </c>
      <c r="R200" s="29">
        <f t="shared" si="24"/>
        <v>3450</v>
      </c>
      <c r="S200" t="s">
        <v>2369</v>
      </c>
    </row>
    <row r="201" spans="1:19">
      <c r="A201" s="9" t="s">
        <v>1715</v>
      </c>
      <c r="B201" t="s">
        <v>370</v>
      </c>
      <c r="C201" s="5" t="s">
        <v>372</v>
      </c>
      <c r="D201" s="5" t="s">
        <v>2005</v>
      </c>
      <c r="E201" s="5" t="s">
        <v>2227</v>
      </c>
      <c r="F201" s="25"/>
      <c r="J201" s="1">
        <v>3284.71</v>
      </c>
      <c r="K201" s="1">
        <v>1819.52</v>
      </c>
      <c r="L201" s="11">
        <f t="shared" si="19"/>
        <v>5104.2299999999996</v>
      </c>
      <c r="M201" s="26">
        <v>1</v>
      </c>
      <c r="N201" s="11">
        <f t="shared" si="20"/>
        <v>0</v>
      </c>
      <c r="O201" s="11">
        <f t="shared" si="21"/>
        <v>1819.52</v>
      </c>
      <c r="P201" s="11">
        <f t="shared" si="22"/>
        <v>3284.71</v>
      </c>
      <c r="Q201" s="29">
        <f t="shared" si="23"/>
        <v>5104.2299999999996</v>
      </c>
      <c r="R201" s="29">
        <f t="shared" si="24"/>
        <v>5869.8644999999997</v>
      </c>
      <c r="S201" t="s">
        <v>2369</v>
      </c>
    </row>
    <row r="202" spans="1:19">
      <c r="A202" s="9" t="s">
        <v>1723</v>
      </c>
      <c r="B202" t="s">
        <v>370</v>
      </c>
      <c r="C202" s="5" t="s">
        <v>372</v>
      </c>
      <c r="D202" s="5" t="s">
        <v>2005</v>
      </c>
      <c r="E202" s="5" t="s">
        <v>2227</v>
      </c>
      <c r="F202" s="25"/>
      <c r="H202" s="1">
        <v>0</v>
      </c>
      <c r="I202" s="1">
        <v>450</v>
      </c>
      <c r="L202" s="11">
        <f t="shared" si="19"/>
        <v>450</v>
      </c>
      <c r="M202" s="26">
        <v>1</v>
      </c>
      <c r="N202" s="11">
        <f t="shared" si="20"/>
        <v>0</v>
      </c>
      <c r="O202" s="11">
        <f t="shared" si="21"/>
        <v>450</v>
      </c>
      <c r="P202" s="11">
        <f t="shared" si="22"/>
        <v>0</v>
      </c>
      <c r="Q202" s="29">
        <f t="shared" si="23"/>
        <v>450</v>
      </c>
      <c r="R202" s="29">
        <f t="shared" si="24"/>
        <v>517.5</v>
      </c>
      <c r="S202" t="s">
        <v>2369</v>
      </c>
    </row>
    <row r="203" spans="1:19">
      <c r="A203" s="9" t="s">
        <v>1473</v>
      </c>
      <c r="B203" t="s">
        <v>1496</v>
      </c>
      <c r="C203" s="5" t="s">
        <v>1498</v>
      </c>
      <c r="D203" s="5" t="s">
        <v>2050</v>
      </c>
      <c r="E203" s="5" t="s">
        <v>2051</v>
      </c>
      <c r="F203" s="25"/>
      <c r="H203" s="1">
        <v>7622.89</v>
      </c>
      <c r="L203" s="11">
        <f t="shared" si="19"/>
        <v>7622.89</v>
      </c>
      <c r="M203" s="26">
        <v>1</v>
      </c>
      <c r="N203" s="11">
        <f t="shared" si="20"/>
        <v>7622.89</v>
      </c>
      <c r="O203" s="11">
        <f t="shared" si="21"/>
        <v>0</v>
      </c>
      <c r="P203" s="11">
        <f t="shared" si="22"/>
        <v>0</v>
      </c>
      <c r="Q203" s="29">
        <f t="shared" si="23"/>
        <v>7622.89</v>
      </c>
      <c r="R203" s="29">
        <f t="shared" si="24"/>
        <v>8766.3235000000004</v>
      </c>
      <c r="S203" t="s">
        <v>2369</v>
      </c>
    </row>
    <row r="204" spans="1:19">
      <c r="A204" s="9" t="s">
        <v>1473</v>
      </c>
      <c r="B204" t="s">
        <v>1574</v>
      </c>
      <c r="C204" s="5" t="s">
        <v>1576</v>
      </c>
      <c r="D204" s="5" t="s">
        <v>2116</v>
      </c>
      <c r="E204" s="5" t="s">
        <v>2117</v>
      </c>
      <c r="F204" s="25"/>
      <c r="H204" s="1">
        <v>19333.64</v>
      </c>
      <c r="L204" s="11">
        <f t="shared" si="19"/>
        <v>19333.64</v>
      </c>
      <c r="M204" s="26">
        <v>1</v>
      </c>
      <c r="N204" s="11">
        <f t="shared" si="20"/>
        <v>19333.64</v>
      </c>
      <c r="O204" s="11">
        <f t="shared" si="21"/>
        <v>0</v>
      </c>
      <c r="P204" s="11">
        <f t="shared" si="22"/>
        <v>0</v>
      </c>
      <c r="Q204" s="29">
        <f t="shared" si="23"/>
        <v>19333.64</v>
      </c>
      <c r="R204" s="29">
        <f t="shared" si="24"/>
        <v>22233.685999999998</v>
      </c>
      <c r="S204" t="s">
        <v>2369</v>
      </c>
    </row>
    <row r="205" spans="1:19">
      <c r="A205" s="9" t="s">
        <v>1473</v>
      </c>
      <c r="B205" t="s">
        <v>147</v>
      </c>
      <c r="C205" s="5" t="s">
        <v>149</v>
      </c>
      <c r="D205" s="5" t="s">
        <v>2126</v>
      </c>
      <c r="E205" s="5" t="s">
        <v>2127</v>
      </c>
      <c r="F205" s="25"/>
      <c r="H205" s="1">
        <v>760</v>
      </c>
      <c r="J205" s="1">
        <v>151.82</v>
      </c>
      <c r="L205" s="11">
        <f t="shared" si="19"/>
        <v>911.81999999999994</v>
      </c>
      <c r="M205" s="26">
        <v>1</v>
      </c>
      <c r="N205" s="11">
        <f t="shared" si="20"/>
        <v>760</v>
      </c>
      <c r="O205" s="11">
        <f t="shared" si="21"/>
        <v>0</v>
      </c>
      <c r="P205" s="11">
        <f t="shared" si="22"/>
        <v>151.82</v>
      </c>
      <c r="Q205" s="29">
        <f t="shared" si="23"/>
        <v>911.81999999999994</v>
      </c>
      <c r="R205" s="29">
        <f t="shared" si="24"/>
        <v>1048.5929999999998</v>
      </c>
      <c r="S205" t="s">
        <v>2369</v>
      </c>
    </row>
    <row r="206" spans="1:19">
      <c r="A206" s="9" t="s">
        <v>1715</v>
      </c>
      <c r="B206" t="s">
        <v>18</v>
      </c>
      <c r="C206" s="5" t="s">
        <v>20</v>
      </c>
      <c r="D206" s="5" t="s">
        <v>2236</v>
      </c>
      <c r="E206" s="5" t="s">
        <v>2237</v>
      </c>
      <c r="F206" s="25"/>
      <c r="J206" s="1">
        <v>963.2</v>
      </c>
      <c r="L206" s="11">
        <f t="shared" si="19"/>
        <v>963.2</v>
      </c>
      <c r="M206" s="26">
        <v>1</v>
      </c>
      <c r="N206" s="11">
        <f t="shared" si="20"/>
        <v>0</v>
      </c>
      <c r="O206" s="11">
        <f t="shared" si="21"/>
        <v>0</v>
      </c>
      <c r="P206" s="11">
        <f t="shared" si="22"/>
        <v>963.2</v>
      </c>
      <c r="Q206" s="29">
        <f t="shared" si="23"/>
        <v>963.2</v>
      </c>
      <c r="R206" s="29">
        <f t="shared" si="24"/>
        <v>1107.68</v>
      </c>
      <c r="S206" t="s">
        <v>2369</v>
      </c>
    </row>
    <row r="207" spans="1:19">
      <c r="A207" s="9" t="s">
        <v>1473</v>
      </c>
      <c r="B207" t="s">
        <v>1562</v>
      </c>
      <c r="C207" s="5" t="s">
        <v>1564</v>
      </c>
      <c r="D207" s="5" t="s">
        <v>2104</v>
      </c>
      <c r="E207" s="5" t="s">
        <v>2105</v>
      </c>
      <c r="F207" s="25"/>
      <c r="J207" s="1">
        <v>2272.1950000000002</v>
      </c>
      <c r="L207" s="11">
        <f t="shared" si="19"/>
        <v>2272.1950000000002</v>
      </c>
      <c r="M207" s="26">
        <v>1</v>
      </c>
      <c r="N207" s="11">
        <f t="shared" si="20"/>
        <v>0</v>
      </c>
      <c r="O207" s="11">
        <f t="shared" si="21"/>
        <v>0</v>
      </c>
      <c r="P207" s="11">
        <f t="shared" si="22"/>
        <v>2272.1950000000002</v>
      </c>
      <c r="Q207" s="29">
        <f t="shared" si="23"/>
        <v>2272.1950000000002</v>
      </c>
      <c r="R207" s="29">
        <f t="shared" si="24"/>
        <v>2613.0242500000004</v>
      </c>
      <c r="S207" t="s">
        <v>2369</v>
      </c>
    </row>
    <row r="208" spans="1:19">
      <c r="A208" s="9" t="s">
        <v>1097</v>
      </c>
      <c r="B208" t="s">
        <v>195</v>
      </c>
      <c r="C208" s="5" t="s">
        <v>197</v>
      </c>
      <c r="D208" s="5" t="s">
        <v>1929</v>
      </c>
      <c r="E208" s="5" t="s">
        <v>1930</v>
      </c>
      <c r="F208" s="25"/>
      <c r="H208" s="1">
        <v>0</v>
      </c>
      <c r="L208" s="11">
        <f t="shared" si="19"/>
        <v>0</v>
      </c>
      <c r="M208" s="26">
        <v>1</v>
      </c>
      <c r="N208" s="11">
        <f t="shared" si="20"/>
        <v>0</v>
      </c>
      <c r="O208" s="11">
        <f t="shared" si="21"/>
        <v>0</v>
      </c>
      <c r="P208" s="11">
        <f t="shared" si="22"/>
        <v>0</v>
      </c>
      <c r="Q208" s="29">
        <f t="shared" si="23"/>
        <v>0</v>
      </c>
      <c r="R208" s="29">
        <f t="shared" si="24"/>
        <v>0</v>
      </c>
      <c r="S208" t="s">
        <v>2369</v>
      </c>
    </row>
    <row r="209" spans="1:19">
      <c r="A209" s="9" t="s">
        <v>1715</v>
      </c>
      <c r="B209" t="s">
        <v>195</v>
      </c>
      <c r="C209" s="5" t="s">
        <v>197</v>
      </c>
      <c r="D209" s="5" t="s">
        <v>1929</v>
      </c>
      <c r="E209" s="5" t="s">
        <v>1930</v>
      </c>
      <c r="F209" s="25"/>
      <c r="H209" s="1">
        <v>525</v>
      </c>
      <c r="J209" s="1">
        <v>1083.5999999999999</v>
      </c>
      <c r="L209" s="11">
        <f t="shared" si="19"/>
        <v>1608.6</v>
      </c>
      <c r="M209" s="26">
        <v>1</v>
      </c>
      <c r="N209" s="11">
        <f t="shared" si="20"/>
        <v>525</v>
      </c>
      <c r="O209" s="11">
        <f t="shared" si="21"/>
        <v>0</v>
      </c>
      <c r="P209" s="11">
        <f t="shared" si="22"/>
        <v>1083.5999999999999</v>
      </c>
      <c r="Q209" s="29">
        <f t="shared" si="23"/>
        <v>1608.6</v>
      </c>
      <c r="R209" s="29">
        <f t="shared" si="24"/>
        <v>1849.8899999999999</v>
      </c>
      <c r="S209" t="s">
        <v>2369</v>
      </c>
    </row>
    <row r="210" spans="1:19">
      <c r="A210" s="9" t="s">
        <v>1723</v>
      </c>
      <c r="B210" t="s">
        <v>195</v>
      </c>
      <c r="C210" s="5" t="s">
        <v>197</v>
      </c>
      <c r="D210" s="5" t="s">
        <v>1929</v>
      </c>
      <c r="E210" s="5" t="s">
        <v>1930</v>
      </c>
      <c r="F210" s="25"/>
      <c r="H210" s="1">
        <v>1298</v>
      </c>
      <c r="I210" s="1">
        <v>1042.52</v>
      </c>
      <c r="L210" s="11">
        <f t="shared" si="19"/>
        <v>2340.52</v>
      </c>
      <c r="M210" s="26">
        <v>1</v>
      </c>
      <c r="N210" s="11">
        <f t="shared" si="20"/>
        <v>1298</v>
      </c>
      <c r="O210" s="11">
        <f t="shared" si="21"/>
        <v>1042.52</v>
      </c>
      <c r="P210" s="11">
        <f t="shared" si="22"/>
        <v>0</v>
      </c>
      <c r="Q210" s="29">
        <f t="shared" si="23"/>
        <v>2340.52</v>
      </c>
      <c r="R210" s="29">
        <f t="shared" si="24"/>
        <v>2691.598</v>
      </c>
      <c r="S210" t="s">
        <v>2369</v>
      </c>
    </row>
    <row r="211" spans="1:19">
      <c r="A211" s="9" t="s">
        <v>1723</v>
      </c>
      <c r="B211" t="s">
        <v>765</v>
      </c>
      <c r="C211" s="5" t="s">
        <v>767</v>
      </c>
      <c r="D211" s="5" t="s">
        <v>2357</v>
      </c>
      <c r="E211" s="5" t="s">
        <v>2358</v>
      </c>
      <c r="F211" s="25"/>
      <c r="H211" s="1">
        <v>1396</v>
      </c>
      <c r="I211" s="1">
        <v>951.81</v>
      </c>
      <c r="L211" s="11">
        <f t="shared" si="19"/>
        <v>2347.81</v>
      </c>
      <c r="M211" s="26">
        <v>1</v>
      </c>
      <c r="N211" s="11">
        <f t="shared" si="20"/>
        <v>1396</v>
      </c>
      <c r="O211" s="11">
        <f t="shared" si="21"/>
        <v>951.81</v>
      </c>
      <c r="P211" s="11">
        <f t="shared" si="22"/>
        <v>0</v>
      </c>
      <c r="Q211" s="29">
        <f t="shared" si="23"/>
        <v>2347.81</v>
      </c>
      <c r="R211" s="29">
        <f t="shared" si="24"/>
        <v>2699.9814999999999</v>
      </c>
      <c r="S211" t="s">
        <v>2369</v>
      </c>
    </row>
    <row r="212" spans="1:19">
      <c r="A212" s="9" t="s">
        <v>1473</v>
      </c>
      <c r="B212" t="s">
        <v>1487</v>
      </c>
      <c r="C212" s="5" t="s">
        <v>1489</v>
      </c>
      <c r="D212" s="5" t="s">
        <v>2046</v>
      </c>
      <c r="E212" s="5" t="s">
        <v>2047</v>
      </c>
      <c r="F212" s="25"/>
      <c r="H212" s="1">
        <v>2600</v>
      </c>
      <c r="L212" s="11">
        <f t="shared" si="19"/>
        <v>2600</v>
      </c>
      <c r="M212" s="26">
        <v>1</v>
      </c>
      <c r="N212" s="11">
        <f t="shared" si="20"/>
        <v>2600</v>
      </c>
      <c r="O212" s="11">
        <f t="shared" si="21"/>
        <v>0</v>
      </c>
      <c r="P212" s="11">
        <f t="shared" si="22"/>
        <v>0</v>
      </c>
      <c r="Q212" s="29">
        <f t="shared" si="23"/>
        <v>2600</v>
      </c>
      <c r="R212" s="29">
        <f t="shared" si="24"/>
        <v>2990</v>
      </c>
      <c r="S212" t="s">
        <v>2369</v>
      </c>
    </row>
    <row r="213" spans="1:19">
      <c r="A213" s="9" t="s">
        <v>1473</v>
      </c>
      <c r="B213" t="s">
        <v>75</v>
      </c>
      <c r="C213" s="5" t="s">
        <v>77</v>
      </c>
      <c r="D213" s="5" t="s">
        <v>2046</v>
      </c>
      <c r="E213" s="5" t="s">
        <v>2156</v>
      </c>
      <c r="F213" s="25"/>
      <c r="J213" s="1">
        <v>1234.585</v>
      </c>
      <c r="L213" s="11">
        <f t="shared" si="19"/>
        <v>1234.585</v>
      </c>
      <c r="M213" s="26">
        <v>1</v>
      </c>
      <c r="N213" s="11">
        <f t="shared" si="20"/>
        <v>0</v>
      </c>
      <c r="O213" s="11">
        <f t="shared" si="21"/>
        <v>0</v>
      </c>
      <c r="P213" s="11">
        <f t="shared" si="22"/>
        <v>1234.585</v>
      </c>
      <c r="Q213" s="29">
        <f t="shared" si="23"/>
        <v>1234.585</v>
      </c>
      <c r="R213" s="29">
        <f t="shared" si="24"/>
        <v>1419.7727500000001</v>
      </c>
      <c r="S213" t="s">
        <v>2369</v>
      </c>
    </row>
    <row r="214" spans="1:19">
      <c r="A214" s="9" t="s">
        <v>1399</v>
      </c>
      <c r="B214" t="s">
        <v>1416</v>
      </c>
      <c r="C214" s="5" t="s">
        <v>1418</v>
      </c>
      <c r="D214" s="5" t="s">
        <v>1989</v>
      </c>
      <c r="E214" s="5" t="s">
        <v>1990</v>
      </c>
      <c r="F214" s="25"/>
      <c r="J214" s="1">
        <v>239.84</v>
      </c>
      <c r="L214" s="11">
        <f t="shared" si="19"/>
        <v>239.84</v>
      </c>
      <c r="M214" s="26">
        <v>1</v>
      </c>
      <c r="N214" s="11">
        <f t="shared" si="20"/>
        <v>0</v>
      </c>
      <c r="O214" s="11">
        <f t="shared" si="21"/>
        <v>0</v>
      </c>
      <c r="P214" s="11">
        <f t="shared" si="22"/>
        <v>239.84</v>
      </c>
      <c r="Q214" s="29">
        <f t="shared" si="23"/>
        <v>239.84</v>
      </c>
      <c r="R214" s="29">
        <f t="shared" si="24"/>
        <v>275.81600000000003</v>
      </c>
      <c r="S214" t="s">
        <v>2369</v>
      </c>
    </row>
    <row r="215" spans="1:19">
      <c r="A215" s="9" t="s">
        <v>1473</v>
      </c>
      <c r="B215" t="s">
        <v>1416</v>
      </c>
      <c r="C215" s="5" t="s">
        <v>1418</v>
      </c>
      <c r="D215" s="5" t="s">
        <v>1989</v>
      </c>
      <c r="E215" s="5" t="s">
        <v>1990</v>
      </c>
      <c r="F215" s="25"/>
      <c r="H215" s="1">
        <v>10315.700000000001</v>
      </c>
      <c r="J215" s="1">
        <v>431.815</v>
      </c>
      <c r="L215" s="11">
        <f t="shared" si="19"/>
        <v>10747.515000000001</v>
      </c>
      <c r="M215" s="26">
        <v>1</v>
      </c>
      <c r="N215" s="11">
        <f t="shared" si="20"/>
        <v>10315.700000000001</v>
      </c>
      <c r="O215" s="11">
        <f t="shared" si="21"/>
        <v>0</v>
      </c>
      <c r="P215" s="11">
        <f t="shared" si="22"/>
        <v>431.815</v>
      </c>
      <c r="Q215" s="29">
        <f t="shared" si="23"/>
        <v>10747.515000000001</v>
      </c>
      <c r="R215" s="29">
        <f t="shared" si="24"/>
        <v>12359.642250000001</v>
      </c>
      <c r="S215" t="s">
        <v>2369</v>
      </c>
    </row>
    <row r="216" spans="1:19">
      <c r="A216" s="9" t="s">
        <v>1715</v>
      </c>
      <c r="B216" t="s">
        <v>264</v>
      </c>
      <c r="C216" s="5" t="s">
        <v>266</v>
      </c>
      <c r="D216" s="5" t="s">
        <v>2124</v>
      </c>
      <c r="E216" s="5" t="s">
        <v>2125</v>
      </c>
      <c r="F216" s="25"/>
      <c r="J216" s="1">
        <v>44.02</v>
      </c>
      <c r="L216" s="11">
        <f t="shared" si="19"/>
        <v>44.02</v>
      </c>
      <c r="M216" s="26">
        <v>1</v>
      </c>
      <c r="N216" s="11">
        <f t="shared" si="20"/>
        <v>0</v>
      </c>
      <c r="O216" s="11">
        <f t="shared" si="21"/>
        <v>0</v>
      </c>
      <c r="P216" s="11">
        <f t="shared" si="22"/>
        <v>44.02</v>
      </c>
      <c r="Q216" s="29">
        <f t="shared" si="23"/>
        <v>44.02</v>
      </c>
      <c r="R216" s="29">
        <f t="shared" si="24"/>
        <v>50.623000000000005</v>
      </c>
      <c r="S216" t="s">
        <v>2370</v>
      </c>
    </row>
    <row r="217" spans="1:19">
      <c r="A217" s="9" t="s">
        <v>1715</v>
      </c>
      <c r="B217" t="s">
        <v>264</v>
      </c>
      <c r="C217" s="5" t="s">
        <v>266</v>
      </c>
      <c r="D217" s="5" t="s">
        <v>2124</v>
      </c>
      <c r="E217" s="5" t="s">
        <v>2125</v>
      </c>
      <c r="F217" s="25"/>
      <c r="H217" s="1">
        <v>0</v>
      </c>
      <c r="I217" s="1">
        <v>22402.5</v>
      </c>
      <c r="J217" s="1">
        <v>89.625</v>
      </c>
      <c r="L217" s="11">
        <f t="shared" si="19"/>
        <v>22492.125</v>
      </c>
      <c r="M217" s="26">
        <v>1</v>
      </c>
      <c r="N217" s="11">
        <f t="shared" si="20"/>
        <v>0</v>
      </c>
      <c r="O217" s="11">
        <f t="shared" si="21"/>
        <v>22402.5</v>
      </c>
      <c r="P217" s="11">
        <f t="shared" si="22"/>
        <v>89.625</v>
      </c>
      <c r="Q217" s="29">
        <f t="shared" si="23"/>
        <v>22492.125</v>
      </c>
      <c r="R217" s="29">
        <f t="shared" si="24"/>
        <v>25865.943749999999</v>
      </c>
      <c r="S217" t="s">
        <v>2370</v>
      </c>
    </row>
    <row r="218" spans="1:19">
      <c r="A218" s="9" t="s">
        <v>1723</v>
      </c>
      <c r="B218" t="s">
        <v>264</v>
      </c>
      <c r="C218" s="5" t="s">
        <v>266</v>
      </c>
      <c r="D218" s="5" t="s">
        <v>2124</v>
      </c>
      <c r="E218" s="5" t="s">
        <v>2125</v>
      </c>
      <c r="F218" s="25"/>
      <c r="H218" s="1">
        <v>5275</v>
      </c>
      <c r="L218" s="11">
        <f t="shared" si="19"/>
        <v>5275</v>
      </c>
      <c r="M218" s="26">
        <v>1</v>
      </c>
      <c r="N218" s="11">
        <f t="shared" si="20"/>
        <v>5275</v>
      </c>
      <c r="O218" s="11">
        <f t="shared" si="21"/>
        <v>0</v>
      </c>
      <c r="P218" s="11">
        <f t="shared" si="22"/>
        <v>0</v>
      </c>
      <c r="Q218" s="29">
        <f t="shared" si="23"/>
        <v>5275</v>
      </c>
      <c r="R218" s="29">
        <f t="shared" si="24"/>
        <v>6066.25</v>
      </c>
      <c r="S218" t="s">
        <v>2370</v>
      </c>
    </row>
    <row r="219" spans="1:19">
      <c r="A219" s="9" t="s">
        <v>1473</v>
      </c>
      <c r="B219" t="s">
        <v>1583</v>
      </c>
      <c r="C219" s="5" t="s">
        <v>1585</v>
      </c>
      <c r="D219" s="5" t="s">
        <v>2120</v>
      </c>
      <c r="E219" s="5" t="s">
        <v>2121</v>
      </c>
      <c r="F219" s="25"/>
      <c r="H219" s="1">
        <v>455</v>
      </c>
      <c r="J219" s="1">
        <v>200.42</v>
      </c>
      <c r="L219" s="11">
        <f t="shared" si="19"/>
        <v>655.42</v>
      </c>
      <c r="M219" s="26">
        <v>1</v>
      </c>
      <c r="N219" s="11">
        <f t="shared" si="20"/>
        <v>455</v>
      </c>
      <c r="O219" s="11">
        <f t="shared" si="21"/>
        <v>0</v>
      </c>
      <c r="P219" s="11">
        <f t="shared" si="22"/>
        <v>200.42</v>
      </c>
      <c r="Q219" s="29">
        <f t="shared" si="23"/>
        <v>655.42</v>
      </c>
      <c r="R219" s="29">
        <f t="shared" si="24"/>
        <v>753.73299999999995</v>
      </c>
      <c r="S219" t="s">
        <v>2369</v>
      </c>
    </row>
    <row r="220" spans="1:19">
      <c r="A220" s="9" t="s">
        <v>1715</v>
      </c>
      <c r="B220" t="s">
        <v>69</v>
      </c>
      <c r="C220" s="5" t="s">
        <v>71</v>
      </c>
      <c r="D220" s="5" t="s">
        <v>2259</v>
      </c>
      <c r="E220" s="5" t="s">
        <v>2260</v>
      </c>
      <c r="F220" s="25"/>
      <c r="H220" s="1">
        <v>111561.7</v>
      </c>
      <c r="I220" s="1">
        <v>28731.16</v>
      </c>
      <c r="J220" s="1">
        <v>15976.76</v>
      </c>
      <c r="L220" s="11">
        <f t="shared" si="19"/>
        <v>156269.62</v>
      </c>
      <c r="M220" s="26">
        <v>0.9</v>
      </c>
      <c r="N220" s="11">
        <f t="shared" si="20"/>
        <v>100405.53</v>
      </c>
      <c r="O220" s="11">
        <f t="shared" si="21"/>
        <v>25858.044000000002</v>
      </c>
      <c r="P220" s="11">
        <f t="shared" si="22"/>
        <v>14379.084000000001</v>
      </c>
      <c r="Q220" s="29">
        <f t="shared" si="23"/>
        <v>140642.658</v>
      </c>
      <c r="R220" s="29">
        <f t="shared" si="24"/>
        <v>161739.05669999999</v>
      </c>
      <c r="S220" t="s">
        <v>2370</v>
      </c>
    </row>
    <row r="221" spans="1:19">
      <c r="A221" s="9" t="s">
        <v>1723</v>
      </c>
      <c r="B221" t="s">
        <v>69</v>
      </c>
      <c r="C221" s="5" t="s">
        <v>71</v>
      </c>
      <c r="D221" s="5" t="s">
        <v>2259</v>
      </c>
      <c r="E221" s="5" t="s">
        <v>2260</v>
      </c>
      <c r="F221" s="25"/>
      <c r="H221" s="1">
        <v>291392.86</v>
      </c>
      <c r="I221" s="1">
        <v>81643.72</v>
      </c>
      <c r="L221" s="11">
        <f t="shared" si="19"/>
        <v>373036.57999999996</v>
      </c>
      <c r="M221" s="26">
        <v>0.9</v>
      </c>
      <c r="N221" s="11">
        <f t="shared" si="20"/>
        <v>262253.57400000002</v>
      </c>
      <c r="O221" s="11">
        <f t="shared" si="21"/>
        <v>73479.347999999998</v>
      </c>
      <c r="P221" s="11">
        <f t="shared" si="22"/>
        <v>0</v>
      </c>
      <c r="Q221" s="29">
        <f t="shared" si="23"/>
        <v>335732.92199999996</v>
      </c>
      <c r="R221" s="29">
        <f t="shared" si="24"/>
        <v>386092.86029999994</v>
      </c>
      <c r="S221" t="s">
        <v>2370</v>
      </c>
    </row>
    <row r="222" spans="1:19">
      <c r="A222" s="9" t="s">
        <v>1399</v>
      </c>
      <c r="B222" t="s">
        <v>1244</v>
      </c>
      <c r="C222" s="5" t="s">
        <v>1246</v>
      </c>
      <c r="D222" s="5" t="s">
        <v>1979</v>
      </c>
      <c r="E222" s="5" t="s">
        <v>1980</v>
      </c>
      <c r="F222" s="25"/>
      <c r="J222" s="1">
        <v>337.13</v>
      </c>
      <c r="K222" s="1">
        <v>227.23</v>
      </c>
      <c r="L222" s="11">
        <f t="shared" si="19"/>
        <v>564.36</v>
      </c>
      <c r="M222" s="26">
        <v>1</v>
      </c>
      <c r="N222" s="11">
        <f t="shared" si="20"/>
        <v>0</v>
      </c>
      <c r="O222" s="11">
        <f t="shared" si="21"/>
        <v>227.23</v>
      </c>
      <c r="P222" s="11">
        <f t="shared" si="22"/>
        <v>337.13</v>
      </c>
      <c r="Q222" s="29">
        <f t="shared" si="23"/>
        <v>564.36</v>
      </c>
      <c r="R222" s="29">
        <f t="shared" si="24"/>
        <v>649.01400000000001</v>
      </c>
      <c r="S222" t="s">
        <v>2369</v>
      </c>
    </row>
    <row r="223" spans="1:19">
      <c r="A223" s="9" t="s">
        <v>1399</v>
      </c>
      <c r="B223" t="s">
        <v>1458</v>
      </c>
      <c r="C223" s="5" t="s">
        <v>1460</v>
      </c>
      <c r="D223" s="5" t="s">
        <v>2021</v>
      </c>
      <c r="E223" s="5" t="s">
        <v>2022</v>
      </c>
      <c r="F223" s="25"/>
      <c r="J223" s="1">
        <v>694.24</v>
      </c>
      <c r="L223" s="11">
        <f t="shared" si="19"/>
        <v>694.24</v>
      </c>
      <c r="M223" s="26">
        <v>1</v>
      </c>
      <c r="N223" s="11">
        <f t="shared" si="20"/>
        <v>0</v>
      </c>
      <c r="O223" s="11">
        <f t="shared" si="21"/>
        <v>0</v>
      </c>
      <c r="P223" s="11">
        <f t="shared" si="22"/>
        <v>694.24</v>
      </c>
      <c r="Q223" s="29">
        <f t="shared" si="23"/>
        <v>694.24</v>
      </c>
      <c r="R223" s="29">
        <f t="shared" si="24"/>
        <v>798.37599999999998</v>
      </c>
      <c r="S223" t="s">
        <v>2369</v>
      </c>
    </row>
    <row r="224" spans="1:19">
      <c r="A224" s="9" t="s">
        <v>1473</v>
      </c>
      <c r="B224" t="s">
        <v>1458</v>
      </c>
      <c r="C224" s="5" t="s">
        <v>1460</v>
      </c>
      <c r="D224" s="5" t="s">
        <v>2021</v>
      </c>
      <c r="E224" s="5" t="s">
        <v>2022</v>
      </c>
      <c r="F224" s="25"/>
      <c r="H224" s="1">
        <v>83</v>
      </c>
      <c r="L224" s="11">
        <f t="shared" si="19"/>
        <v>83</v>
      </c>
      <c r="M224" s="26">
        <v>1</v>
      </c>
      <c r="N224" s="11">
        <f t="shared" si="20"/>
        <v>83</v>
      </c>
      <c r="O224" s="11">
        <f t="shared" si="21"/>
        <v>0</v>
      </c>
      <c r="P224" s="11">
        <f t="shared" si="22"/>
        <v>0</v>
      </c>
      <c r="Q224" s="29">
        <f t="shared" si="23"/>
        <v>83</v>
      </c>
      <c r="R224" s="29">
        <f t="shared" si="24"/>
        <v>95.45</v>
      </c>
      <c r="S224" t="s">
        <v>2369</v>
      </c>
    </row>
    <row r="225" spans="1:19">
      <c r="A225" s="9" t="s">
        <v>1715</v>
      </c>
      <c r="B225" t="s">
        <v>418</v>
      </c>
      <c r="C225" s="5" t="s">
        <v>420</v>
      </c>
      <c r="D225" s="5" t="s">
        <v>2266</v>
      </c>
      <c r="E225" s="5" t="s">
        <v>2267</v>
      </c>
      <c r="F225" s="25"/>
      <c r="H225" s="1">
        <v>450</v>
      </c>
      <c r="J225" s="1">
        <v>211.92</v>
      </c>
      <c r="L225" s="11">
        <f t="shared" si="19"/>
        <v>661.92</v>
      </c>
      <c r="M225" s="26">
        <v>1</v>
      </c>
      <c r="N225" s="11">
        <f t="shared" si="20"/>
        <v>450</v>
      </c>
      <c r="O225" s="11">
        <f t="shared" si="21"/>
        <v>0</v>
      </c>
      <c r="P225" s="11">
        <f t="shared" si="22"/>
        <v>211.92</v>
      </c>
      <c r="Q225" s="29">
        <f t="shared" si="23"/>
        <v>661.92</v>
      </c>
      <c r="R225" s="29">
        <f t="shared" si="24"/>
        <v>761.20799999999997</v>
      </c>
      <c r="S225" t="s">
        <v>2369</v>
      </c>
    </row>
    <row r="226" spans="1:19">
      <c r="A226" s="9" t="s">
        <v>1723</v>
      </c>
      <c r="B226" t="s">
        <v>418</v>
      </c>
      <c r="C226" s="5" t="s">
        <v>420</v>
      </c>
      <c r="D226" s="5" t="s">
        <v>2266</v>
      </c>
      <c r="E226" s="5" t="s">
        <v>2267</v>
      </c>
      <c r="F226" s="25"/>
      <c r="H226" s="1">
        <v>0</v>
      </c>
      <c r="L226" s="11">
        <f t="shared" si="19"/>
        <v>0</v>
      </c>
      <c r="M226" s="26">
        <v>1</v>
      </c>
      <c r="N226" s="11">
        <f t="shared" si="20"/>
        <v>0</v>
      </c>
      <c r="O226" s="11">
        <f t="shared" si="21"/>
        <v>0</v>
      </c>
      <c r="P226" s="11">
        <f t="shared" si="22"/>
        <v>0</v>
      </c>
      <c r="Q226" s="29">
        <f t="shared" si="23"/>
        <v>0</v>
      </c>
      <c r="R226" s="29">
        <f t="shared" si="24"/>
        <v>0</v>
      </c>
      <c r="S226" t="s">
        <v>2369</v>
      </c>
    </row>
    <row r="227" spans="1:19">
      <c r="A227" s="9" t="s">
        <v>1399</v>
      </c>
      <c r="B227" t="s">
        <v>1440</v>
      </c>
      <c r="C227" s="5" t="s">
        <v>1442</v>
      </c>
      <c r="D227" s="5" t="s">
        <v>2007</v>
      </c>
      <c r="E227" s="5" t="s">
        <v>2008</v>
      </c>
      <c r="F227" s="25"/>
      <c r="H227" s="1">
        <v>16640</v>
      </c>
      <c r="L227" s="11">
        <f t="shared" si="19"/>
        <v>16640</v>
      </c>
      <c r="M227" s="26">
        <v>1</v>
      </c>
      <c r="N227" s="11">
        <f t="shared" si="20"/>
        <v>16640</v>
      </c>
      <c r="O227" s="11">
        <f t="shared" si="21"/>
        <v>0</v>
      </c>
      <c r="P227" s="11">
        <f t="shared" si="22"/>
        <v>0</v>
      </c>
      <c r="Q227" s="29">
        <f t="shared" si="23"/>
        <v>16640</v>
      </c>
      <c r="R227" s="29">
        <f t="shared" si="24"/>
        <v>19136</v>
      </c>
      <c r="S227" t="s">
        <v>2369</v>
      </c>
    </row>
    <row r="228" spans="1:19">
      <c r="A228" s="9" t="s">
        <v>1473</v>
      </c>
      <c r="B228" t="s">
        <v>1440</v>
      </c>
      <c r="C228" s="5" t="s">
        <v>1442</v>
      </c>
      <c r="D228" s="5" t="s">
        <v>2007</v>
      </c>
      <c r="E228" s="5" t="s">
        <v>2008</v>
      </c>
      <c r="F228" s="25"/>
      <c r="H228" s="1">
        <v>16640</v>
      </c>
      <c r="L228" s="11">
        <f t="shared" si="19"/>
        <v>16640</v>
      </c>
      <c r="M228" s="26">
        <v>1</v>
      </c>
      <c r="N228" s="11">
        <f t="shared" si="20"/>
        <v>16640</v>
      </c>
      <c r="O228" s="11">
        <f t="shared" si="21"/>
        <v>0</v>
      </c>
      <c r="P228" s="11">
        <f t="shared" si="22"/>
        <v>0</v>
      </c>
      <c r="Q228" s="29">
        <f t="shared" si="23"/>
        <v>16640</v>
      </c>
      <c r="R228" s="29">
        <f t="shared" si="24"/>
        <v>19136</v>
      </c>
      <c r="S228" t="s">
        <v>2369</v>
      </c>
    </row>
    <row r="229" spans="1:19">
      <c r="A229" s="9" t="s">
        <v>1473</v>
      </c>
      <c r="B229" t="s">
        <v>1484</v>
      </c>
      <c r="C229" s="5" t="s">
        <v>1486</v>
      </c>
      <c r="D229" s="5" t="s">
        <v>2044</v>
      </c>
      <c r="E229" s="5" t="s">
        <v>2045</v>
      </c>
      <c r="F229" s="25"/>
      <c r="H229" s="1">
        <v>19735</v>
      </c>
      <c r="J229" s="1">
        <v>671.66</v>
      </c>
      <c r="L229" s="11">
        <f t="shared" si="19"/>
        <v>20406.66</v>
      </c>
      <c r="M229" s="26">
        <v>1</v>
      </c>
      <c r="N229" s="11">
        <f t="shared" si="20"/>
        <v>19735</v>
      </c>
      <c r="O229" s="11">
        <f t="shared" si="21"/>
        <v>0</v>
      </c>
      <c r="P229" s="11">
        <f t="shared" si="22"/>
        <v>671.66</v>
      </c>
      <c r="Q229" s="29">
        <f t="shared" si="23"/>
        <v>20406.66</v>
      </c>
      <c r="R229" s="29">
        <f t="shared" si="24"/>
        <v>23467.659</v>
      </c>
      <c r="S229" t="s">
        <v>2369</v>
      </c>
    </row>
    <row r="230" spans="1:19">
      <c r="A230" s="9" t="s">
        <v>1097</v>
      </c>
      <c r="B230" t="s">
        <v>666</v>
      </c>
      <c r="C230" s="5" t="s">
        <v>668</v>
      </c>
      <c r="D230" s="5" t="s">
        <v>1964</v>
      </c>
      <c r="E230" s="5" t="s">
        <v>1965</v>
      </c>
      <c r="F230" s="25"/>
      <c r="H230" s="1">
        <v>0</v>
      </c>
      <c r="L230" s="11">
        <f t="shared" si="19"/>
        <v>0</v>
      </c>
      <c r="M230" s="26">
        <v>1</v>
      </c>
      <c r="N230" s="11">
        <f t="shared" si="20"/>
        <v>0</v>
      </c>
      <c r="O230" s="11">
        <f t="shared" si="21"/>
        <v>0</v>
      </c>
      <c r="P230" s="11">
        <f t="shared" si="22"/>
        <v>0</v>
      </c>
      <c r="Q230" s="29">
        <f t="shared" si="23"/>
        <v>0</v>
      </c>
      <c r="R230" s="29">
        <f t="shared" si="24"/>
        <v>0</v>
      </c>
      <c r="S230" t="s">
        <v>2371</v>
      </c>
    </row>
    <row r="231" spans="1:19">
      <c r="A231" s="9" t="s">
        <v>1715</v>
      </c>
      <c r="B231" t="s">
        <v>666</v>
      </c>
      <c r="C231" s="5" t="s">
        <v>668</v>
      </c>
      <c r="D231" s="5" t="s">
        <v>1964</v>
      </c>
      <c r="E231" s="5" t="s">
        <v>1965</v>
      </c>
      <c r="F231" s="25"/>
      <c r="J231" s="1">
        <v>14252.4</v>
      </c>
      <c r="L231" s="11">
        <f t="shared" si="19"/>
        <v>14252.4</v>
      </c>
      <c r="M231" s="26">
        <v>1</v>
      </c>
      <c r="N231" s="11">
        <f t="shared" si="20"/>
        <v>0</v>
      </c>
      <c r="O231" s="11">
        <f t="shared" si="21"/>
        <v>0</v>
      </c>
      <c r="P231" s="11">
        <f t="shared" si="22"/>
        <v>14252.4</v>
      </c>
      <c r="Q231" s="29">
        <f t="shared" si="23"/>
        <v>14252.4</v>
      </c>
      <c r="R231" s="29">
        <f t="shared" si="24"/>
        <v>16390.259999999998</v>
      </c>
      <c r="S231" t="s">
        <v>2371</v>
      </c>
    </row>
    <row r="232" spans="1:19">
      <c r="A232" s="9" t="s">
        <v>1723</v>
      </c>
      <c r="B232" t="s">
        <v>666</v>
      </c>
      <c r="C232" s="5" t="s">
        <v>668</v>
      </c>
      <c r="D232" s="5" t="s">
        <v>1964</v>
      </c>
      <c r="E232" s="5" t="s">
        <v>1965</v>
      </c>
      <c r="F232" s="25"/>
      <c r="H232" s="1">
        <v>76887.16</v>
      </c>
      <c r="I232" s="1">
        <v>51827.72</v>
      </c>
      <c r="L232" s="11">
        <f t="shared" si="19"/>
        <v>128714.88</v>
      </c>
      <c r="M232" s="26">
        <v>1</v>
      </c>
      <c r="N232" s="11">
        <f t="shared" si="20"/>
        <v>76887.16</v>
      </c>
      <c r="O232" s="11">
        <f t="shared" si="21"/>
        <v>51827.72</v>
      </c>
      <c r="P232" s="11">
        <f t="shared" si="22"/>
        <v>0</v>
      </c>
      <c r="Q232" s="29">
        <f t="shared" si="23"/>
        <v>128714.88</v>
      </c>
      <c r="R232" s="29">
        <f t="shared" si="24"/>
        <v>148022.11199999999</v>
      </c>
      <c r="S232" t="s">
        <v>2371</v>
      </c>
    </row>
    <row r="233" spans="1:19">
      <c r="A233" s="9" t="s">
        <v>1715</v>
      </c>
      <c r="B233" t="s">
        <v>666</v>
      </c>
      <c r="C233" s="5" t="s">
        <v>668</v>
      </c>
      <c r="D233" s="5" t="s">
        <v>1964</v>
      </c>
      <c r="E233" s="5" t="s">
        <v>1965</v>
      </c>
      <c r="F233" s="25"/>
      <c r="I233" s="1">
        <v>18197.89</v>
      </c>
      <c r="L233" s="11">
        <f t="shared" si="19"/>
        <v>18197.89</v>
      </c>
      <c r="M233" s="26">
        <v>1</v>
      </c>
      <c r="N233" s="11">
        <f t="shared" si="20"/>
        <v>0</v>
      </c>
      <c r="O233" s="11">
        <f t="shared" si="21"/>
        <v>18197.89</v>
      </c>
      <c r="P233" s="11">
        <f t="shared" si="22"/>
        <v>0</v>
      </c>
      <c r="Q233" s="29">
        <f t="shared" si="23"/>
        <v>18197.89</v>
      </c>
      <c r="R233" s="29">
        <f t="shared" si="24"/>
        <v>20927.573499999999</v>
      </c>
      <c r="S233" t="s">
        <v>2371</v>
      </c>
    </row>
    <row r="234" spans="1:19">
      <c r="A234" s="9" t="s">
        <v>1715</v>
      </c>
      <c r="B234" t="s">
        <v>468</v>
      </c>
      <c r="C234" s="5" t="s">
        <v>470</v>
      </c>
      <c r="D234" s="5" t="s">
        <v>2332</v>
      </c>
      <c r="E234" s="5" t="s">
        <v>2333</v>
      </c>
      <c r="F234" s="25"/>
      <c r="J234" s="1">
        <v>500.58</v>
      </c>
      <c r="K234" s="1">
        <v>811.72</v>
      </c>
      <c r="L234" s="11">
        <f t="shared" si="19"/>
        <v>1312.3</v>
      </c>
      <c r="M234" s="26">
        <v>1</v>
      </c>
      <c r="N234" s="11">
        <f t="shared" si="20"/>
        <v>0</v>
      </c>
      <c r="O234" s="11">
        <f t="shared" si="21"/>
        <v>811.72</v>
      </c>
      <c r="P234" s="11">
        <f t="shared" si="22"/>
        <v>500.58</v>
      </c>
      <c r="Q234" s="29">
        <f t="shared" si="23"/>
        <v>1312.3</v>
      </c>
      <c r="R234" s="29">
        <f t="shared" si="24"/>
        <v>1509.145</v>
      </c>
      <c r="S234" t="s">
        <v>2371</v>
      </c>
    </row>
    <row r="235" spans="1:19">
      <c r="A235" s="9" t="s">
        <v>1723</v>
      </c>
      <c r="B235" t="s">
        <v>468</v>
      </c>
      <c r="C235" s="5" t="s">
        <v>470</v>
      </c>
      <c r="D235" s="5" t="s">
        <v>2332</v>
      </c>
      <c r="E235" s="5" t="s">
        <v>2333</v>
      </c>
      <c r="F235" s="25"/>
      <c r="H235" s="1">
        <v>10740</v>
      </c>
      <c r="I235" s="1">
        <v>19723.3</v>
      </c>
      <c r="L235" s="11">
        <f t="shared" si="19"/>
        <v>30463.3</v>
      </c>
      <c r="M235" s="26">
        <v>1</v>
      </c>
      <c r="N235" s="11">
        <f t="shared" si="20"/>
        <v>10740</v>
      </c>
      <c r="O235" s="11">
        <f t="shared" si="21"/>
        <v>19723.3</v>
      </c>
      <c r="P235" s="11">
        <f t="shared" si="22"/>
        <v>0</v>
      </c>
      <c r="Q235" s="29">
        <f t="shared" si="23"/>
        <v>30463.3</v>
      </c>
      <c r="R235" s="29">
        <f t="shared" si="24"/>
        <v>35032.794999999998</v>
      </c>
      <c r="S235" t="s">
        <v>2371</v>
      </c>
    </row>
    <row r="236" spans="1:19">
      <c r="A236" s="9" t="s">
        <v>1715</v>
      </c>
      <c r="B236" t="s">
        <v>57</v>
      </c>
      <c r="C236" s="5" t="s">
        <v>59</v>
      </c>
      <c r="D236" s="5" t="s">
        <v>2244</v>
      </c>
      <c r="E236" s="5" t="s">
        <v>2245</v>
      </c>
      <c r="F236" s="25"/>
      <c r="H236" s="1">
        <v>2800</v>
      </c>
      <c r="L236" s="11">
        <f t="shared" si="19"/>
        <v>2800</v>
      </c>
      <c r="M236" s="26">
        <v>1</v>
      </c>
      <c r="N236" s="11">
        <f t="shared" si="20"/>
        <v>2800</v>
      </c>
      <c r="O236" s="11">
        <f t="shared" si="21"/>
        <v>0</v>
      </c>
      <c r="P236" s="11">
        <f t="shared" si="22"/>
        <v>0</v>
      </c>
      <c r="Q236" s="29">
        <f t="shared" si="23"/>
        <v>2800</v>
      </c>
      <c r="R236" s="29">
        <f t="shared" si="24"/>
        <v>3220</v>
      </c>
      <c r="S236" t="s">
        <v>2369</v>
      </c>
    </row>
    <row r="237" spans="1:19">
      <c r="A237" s="9" t="s">
        <v>1723</v>
      </c>
      <c r="B237" t="s">
        <v>57</v>
      </c>
      <c r="C237" s="5" t="s">
        <v>59</v>
      </c>
      <c r="D237" s="5" t="s">
        <v>2244</v>
      </c>
      <c r="E237" s="5" t="s">
        <v>2245</v>
      </c>
      <c r="F237" s="25"/>
      <c r="H237" s="1">
        <v>1571.66</v>
      </c>
      <c r="L237" s="11">
        <f t="shared" si="19"/>
        <v>1571.66</v>
      </c>
      <c r="M237" s="26">
        <v>1</v>
      </c>
      <c r="N237" s="11">
        <f t="shared" si="20"/>
        <v>1571.66</v>
      </c>
      <c r="O237" s="11">
        <f t="shared" si="21"/>
        <v>0</v>
      </c>
      <c r="P237" s="11">
        <f t="shared" si="22"/>
        <v>0</v>
      </c>
      <c r="Q237" s="29">
        <f t="shared" si="23"/>
        <v>1571.66</v>
      </c>
      <c r="R237" s="29">
        <f t="shared" si="24"/>
        <v>1807.4090000000001</v>
      </c>
      <c r="S237" t="s">
        <v>2369</v>
      </c>
    </row>
    <row r="238" spans="1:19">
      <c r="A238" s="9" t="s">
        <v>1715</v>
      </c>
      <c r="B238" t="s">
        <v>537</v>
      </c>
      <c r="C238" s="5" t="s">
        <v>539</v>
      </c>
      <c r="D238" s="5" t="s">
        <v>2323</v>
      </c>
      <c r="E238" s="5" t="s">
        <v>2324</v>
      </c>
      <c r="F238" s="25"/>
      <c r="H238" s="1">
        <v>0</v>
      </c>
      <c r="J238" s="1">
        <v>211.92</v>
      </c>
      <c r="L238" s="11">
        <f t="shared" si="19"/>
        <v>211.92</v>
      </c>
      <c r="M238" s="26">
        <v>1</v>
      </c>
      <c r="N238" s="11">
        <f t="shared" si="20"/>
        <v>0</v>
      </c>
      <c r="O238" s="11">
        <f t="shared" si="21"/>
        <v>0</v>
      </c>
      <c r="P238" s="11">
        <f t="shared" si="22"/>
        <v>211.92</v>
      </c>
      <c r="Q238" s="29">
        <f t="shared" si="23"/>
        <v>211.92</v>
      </c>
      <c r="R238" s="29">
        <f t="shared" si="24"/>
        <v>243.70799999999997</v>
      </c>
      <c r="S238" t="s">
        <v>2370</v>
      </c>
    </row>
    <row r="239" spans="1:19">
      <c r="A239" s="9" t="s">
        <v>1723</v>
      </c>
      <c r="B239" t="s">
        <v>537</v>
      </c>
      <c r="C239" s="5" t="s">
        <v>539</v>
      </c>
      <c r="D239" s="5" t="s">
        <v>2323</v>
      </c>
      <c r="E239" s="5" t="s">
        <v>2324</v>
      </c>
      <c r="F239" s="25"/>
      <c r="H239" s="1">
        <v>54374.99</v>
      </c>
      <c r="I239" s="1">
        <v>2954.3</v>
      </c>
      <c r="L239" s="11">
        <f t="shared" si="19"/>
        <v>57329.29</v>
      </c>
      <c r="M239" s="26">
        <v>1</v>
      </c>
      <c r="N239" s="11">
        <f t="shared" si="20"/>
        <v>54374.99</v>
      </c>
      <c r="O239" s="11">
        <f t="shared" si="21"/>
        <v>2954.3</v>
      </c>
      <c r="P239" s="11">
        <f t="shared" si="22"/>
        <v>0</v>
      </c>
      <c r="Q239" s="29">
        <f t="shared" si="23"/>
        <v>57329.29</v>
      </c>
      <c r="R239" s="29">
        <f t="shared" si="24"/>
        <v>65928.683499999999</v>
      </c>
      <c r="S239" t="s">
        <v>2370</v>
      </c>
    </row>
    <row r="240" spans="1:19">
      <c r="A240" s="9" t="s">
        <v>1473</v>
      </c>
      <c r="B240" t="s">
        <v>1631</v>
      </c>
      <c r="C240" s="5" t="s">
        <v>1633</v>
      </c>
      <c r="D240" s="5" t="s">
        <v>2161</v>
      </c>
      <c r="E240" s="5" t="s">
        <v>2162</v>
      </c>
      <c r="F240" s="25"/>
      <c r="H240" s="1">
        <v>4342.6000000000004</v>
      </c>
      <c r="J240" s="1">
        <v>837.07</v>
      </c>
      <c r="L240" s="11">
        <f t="shared" si="19"/>
        <v>5179.67</v>
      </c>
      <c r="M240" s="26">
        <v>1</v>
      </c>
      <c r="N240" s="11">
        <f t="shared" si="20"/>
        <v>4342.6000000000004</v>
      </c>
      <c r="O240" s="11">
        <f t="shared" si="21"/>
        <v>0</v>
      </c>
      <c r="P240" s="11">
        <f t="shared" si="22"/>
        <v>837.07</v>
      </c>
      <c r="Q240" s="29">
        <f t="shared" si="23"/>
        <v>5179.67</v>
      </c>
      <c r="R240" s="29">
        <f t="shared" si="24"/>
        <v>5956.6205</v>
      </c>
      <c r="S240" t="s">
        <v>2369</v>
      </c>
    </row>
    <row r="241" spans="1:19">
      <c r="A241" s="9" t="s">
        <v>1473</v>
      </c>
      <c r="B241" t="s">
        <v>1685</v>
      </c>
      <c r="C241" s="5" t="s">
        <v>1687</v>
      </c>
      <c r="D241" s="5" t="s">
        <v>2197</v>
      </c>
      <c r="E241" s="5" t="s">
        <v>2198</v>
      </c>
      <c r="F241" s="25"/>
      <c r="H241" s="1">
        <v>1144</v>
      </c>
      <c r="L241" s="11">
        <f t="shared" si="19"/>
        <v>1144</v>
      </c>
      <c r="M241" s="26">
        <v>1</v>
      </c>
      <c r="N241" s="11">
        <f t="shared" si="20"/>
        <v>1144</v>
      </c>
      <c r="O241" s="11">
        <f t="shared" si="21"/>
        <v>0</v>
      </c>
      <c r="P241" s="11">
        <f t="shared" si="22"/>
        <v>0</v>
      </c>
      <c r="Q241" s="29">
        <f t="shared" si="23"/>
        <v>1144</v>
      </c>
      <c r="R241" s="29">
        <f t="shared" si="24"/>
        <v>1315.6</v>
      </c>
      <c r="S241" t="s">
        <v>2369</v>
      </c>
    </row>
    <row r="242" spans="1:19">
      <c r="A242" s="9" t="s">
        <v>1715</v>
      </c>
      <c r="B242" t="s">
        <v>696</v>
      </c>
      <c r="C242" s="5" t="s">
        <v>698</v>
      </c>
      <c r="D242" s="5" t="s">
        <v>2255</v>
      </c>
      <c r="E242" s="5" t="s">
        <v>2256</v>
      </c>
      <c r="F242" s="25"/>
      <c r="I242" s="1">
        <v>7439.25</v>
      </c>
      <c r="J242" s="1">
        <v>14438.13</v>
      </c>
      <c r="K242" s="1">
        <v>712.63</v>
      </c>
      <c r="L242" s="11">
        <f t="shared" si="19"/>
        <v>22590.01</v>
      </c>
      <c r="M242" s="26">
        <v>1</v>
      </c>
      <c r="N242" s="11">
        <f t="shared" si="20"/>
        <v>0</v>
      </c>
      <c r="O242" s="11">
        <f t="shared" si="21"/>
        <v>8151.88</v>
      </c>
      <c r="P242" s="11">
        <f t="shared" si="22"/>
        <v>14438.13</v>
      </c>
      <c r="Q242" s="29">
        <f t="shared" si="23"/>
        <v>22590.01</v>
      </c>
      <c r="R242" s="29">
        <f t="shared" si="24"/>
        <v>25978.511499999997</v>
      </c>
      <c r="S242" t="s">
        <v>2369</v>
      </c>
    </row>
    <row r="243" spans="1:19">
      <c r="A243" s="9" t="s">
        <v>1723</v>
      </c>
      <c r="B243" t="s">
        <v>696</v>
      </c>
      <c r="C243" s="5" t="s">
        <v>698</v>
      </c>
      <c r="D243" s="5" t="s">
        <v>2255</v>
      </c>
      <c r="E243" s="5" t="s">
        <v>2256</v>
      </c>
      <c r="F243" s="25"/>
      <c r="H243" s="1">
        <v>34920.67</v>
      </c>
      <c r="I243" s="1">
        <v>-27117.77</v>
      </c>
      <c r="L243" s="11">
        <f t="shared" si="19"/>
        <v>7802.8999999999978</v>
      </c>
      <c r="M243" s="26">
        <v>1</v>
      </c>
      <c r="N243" s="11">
        <f t="shared" si="20"/>
        <v>34920.67</v>
      </c>
      <c r="O243" s="11">
        <f t="shared" si="21"/>
        <v>-27117.77</v>
      </c>
      <c r="P243" s="11">
        <f t="shared" si="22"/>
        <v>0</v>
      </c>
      <c r="Q243" s="29">
        <f t="shared" si="23"/>
        <v>7802.8999999999978</v>
      </c>
      <c r="R243" s="29">
        <f t="shared" si="24"/>
        <v>8973.3349999999973</v>
      </c>
      <c r="S243" t="s">
        <v>2369</v>
      </c>
    </row>
    <row r="244" spans="1:19">
      <c r="A244" s="9" t="s">
        <v>1473</v>
      </c>
      <c r="B244" t="s">
        <v>347</v>
      </c>
      <c r="C244" s="5" t="s">
        <v>349</v>
      </c>
      <c r="D244" s="5" t="s">
        <v>2114</v>
      </c>
      <c r="E244" s="5" t="s">
        <v>2115</v>
      </c>
      <c r="F244" s="25"/>
      <c r="H244" s="1">
        <v>61360</v>
      </c>
      <c r="J244" s="1">
        <v>1263.6600000000001</v>
      </c>
      <c r="L244" s="11">
        <f t="shared" si="19"/>
        <v>62623.66</v>
      </c>
      <c r="M244" s="26">
        <v>1</v>
      </c>
      <c r="N244" s="11">
        <f t="shared" si="20"/>
        <v>61360</v>
      </c>
      <c r="O244" s="11">
        <f t="shared" si="21"/>
        <v>0</v>
      </c>
      <c r="P244" s="11">
        <f t="shared" si="22"/>
        <v>1263.6600000000001</v>
      </c>
      <c r="Q244" s="29">
        <f t="shared" si="23"/>
        <v>62623.66</v>
      </c>
      <c r="R244" s="29">
        <f t="shared" si="24"/>
        <v>72017.209000000003</v>
      </c>
      <c r="S244" t="s">
        <v>2369</v>
      </c>
    </row>
    <row r="245" spans="1:19">
      <c r="A245" s="9" t="s">
        <v>1399</v>
      </c>
      <c r="B245" t="s">
        <v>1431</v>
      </c>
      <c r="C245" s="5" t="s">
        <v>1433</v>
      </c>
      <c r="D245" s="5" t="s">
        <v>2001</v>
      </c>
      <c r="E245" s="5" t="s">
        <v>2002</v>
      </c>
      <c r="F245" s="25"/>
      <c r="J245" s="1">
        <v>627.20000000000005</v>
      </c>
      <c r="L245" s="11">
        <f t="shared" si="19"/>
        <v>627.20000000000005</v>
      </c>
      <c r="M245" s="26">
        <v>1</v>
      </c>
      <c r="N245" s="11">
        <f t="shared" si="20"/>
        <v>0</v>
      </c>
      <c r="O245" s="11">
        <f t="shared" si="21"/>
        <v>0</v>
      </c>
      <c r="P245" s="11">
        <f t="shared" si="22"/>
        <v>627.20000000000005</v>
      </c>
      <c r="Q245" s="29">
        <f t="shared" si="23"/>
        <v>627.20000000000005</v>
      </c>
      <c r="R245" s="29">
        <f t="shared" si="24"/>
        <v>721.28000000000009</v>
      </c>
      <c r="S245" t="s">
        <v>2369</v>
      </c>
    </row>
    <row r="246" spans="1:19">
      <c r="A246" s="9" t="s">
        <v>1473</v>
      </c>
      <c r="B246" t="s">
        <v>1431</v>
      </c>
      <c r="C246" s="5" t="s">
        <v>1433</v>
      </c>
      <c r="D246" s="5" t="s">
        <v>2001</v>
      </c>
      <c r="E246" s="5" t="s">
        <v>2002</v>
      </c>
      <c r="F246" s="25"/>
      <c r="H246" s="1">
        <v>12961.9</v>
      </c>
      <c r="J246" s="1">
        <v>489.76</v>
      </c>
      <c r="L246" s="11">
        <f t="shared" si="19"/>
        <v>13451.66</v>
      </c>
      <c r="M246" s="26">
        <v>1</v>
      </c>
      <c r="N246" s="11">
        <f t="shared" si="20"/>
        <v>12961.9</v>
      </c>
      <c r="O246" s="11">
        <f t="shared" si="21"/>
        <v>0</v>
      </c>
      <c r="P246" s="11">
        <f t="shared" si="22"/>
        <v>489.76</v>
      </c>
      <c r="Q246" s="29">
        <f t="shared" si="23"/>
        <v>13451.66</v>
      </c>
      <c r="R246" s="29">
        <f t="shared" si="24"/>
        <v>15469.409</v>
      </c>
      <c r="S246" t="s">
        <v>2369</v>
      </c>
    </row>
    <row r="247" spans="1:19">
      <c r="A247" s="9" t="s">
        <v>1473</v>
      </c>
      <c r="B247" t="s">
        <v>1550</v>
      </c>
      <c r="C247" s="5" t="s">
        <v>1552</v>
      </c>
      <c r="D247" s="5" t="s">
        <v>2096</v>
      </c>
      <c r="E247" s="5" t="s">
        <v>2097</v>
      </c>
      <c r="F247" s="25"/>
      <c r="H247" s="1">
        <v>15667.2</v>
      </c>
      <c r="J247" s="1">
        <v>288.04000000000002</v>
      </c>
      <c r="L247" s="11">
        <f t="shared" si="19"/>
        <v>15955.240000000002</v>
      </c>
      <c r="M247" s="26">
        <v>1</v>
      </c>
      <c r="N247" s="11">
        <f t="shared" si="20"/>
        <v>15667.2</v>
      </c>
      <c r="O247" s="11">
        <f t="shared" si="21"/>
        <v>0</v>
      </c>
      <c r="P247" s="11">
        <f t="shared" si="22"/>
        <v>288.04000000000002</v>
      </c>
      <c r="Q247" s="29">
        <f t="shared" si="23"/>
        <v>15955.240000000002</v>
      </c>
      <c r="R247" s="29">
        <f t="shared" si="24"/>
        <v>18348.526000000002</v>
      </c>
      <c r="S247" t="s">
        <v>2369</v>
      </c>
    </row>
    <row r="248" spans="1:19">
      <c r="A248" s="9" t="s">
        <v>1715</v>
      </c>
      <c r="B248" t="s">
        <v>609</v>
      </c>
      <c r="C248" s="5" t="s">
        <v>611</v>
      </c>
      <c r="D248" s="5" t="s">
        <v>2288</v>
      </c>
      <c r="E248" s="5" t="s">
        <v>2289</v>
      </c>
      <c r="F248" s="25"/>
      <c r="I248" s="1">
        <v>420</v>
      </c>
      <c r="J248" s="1">
        <v>3164.29</v>
      </c>
      <c r="L248" s="11">
        <f t="shared" si="19"/>
        <v>3584.29</v>
      </c>
      <c r="M248" s="26">
        <v>0.9</v>
      </c>
      <c r="N248" s="11">
        <f t="shared" si="20"/>
        <v>0</v>
      </c>
      <c r="O248" s="11">
        <f t="shared" si="21"/>
        <v>378</v>
      </c>
      <c r="P248" s="11">
        <f t="shared" si="22"/>
        <v>2847.8609999999999</v>
      </c>
      <c r="Q248" s="29">
        <f t="shared" si="23"/>
        <v>3225.8609999999999</v>
      </c>
      <c r="R248" s="29">
        <f t="shared" si="24"/>
        <v>3709.7401499999996</v>
      </c>
      <c r="S248" t="s">
        <v>2370</v>
      </c>
    </row>
    <row r="249" spans="1:19">
      <c r="A249" s="9" t="s">
        <v>1723</v>
      </c>
      <c r="B249" t="s">
        <v>609</v>
      </c>
      <c r="C249" s="5" t="s">
        <v>611</v>
      </c>
      <c r="D249" s="5" t="s">
        <v>2288</v>
      </c>
      <c r="E249" s="5" t="s">
        <v>2289</v>
      </c>
      <c r="F249" s="25"/>
      <c r="H249" s="1">
        <v>12625.14</v>
      </c>
      <c r="I249" s="1">
        <v>10388.44</v>
      </c>
      <c r="L249" s="11">
        <f t="shared" si="19"/>
        <v>23013.58</v>
      </c>
      <c r="M249" s="26">
        <v>0.9</v>
      </c>
      <c r="N249" s="11">
        <f t="shared" si="20"/>
        <v>11362.626</v>
      </c>
      <c r="O249" s="11">
        <f t="shared" si="21"/>
        <v>9349.5960000000014</v>
      </c>
      <c r="P249" s="11">
        <f t="shared" si="22"/>
        <v>0</v>
      </c>
      <c r="Q249" s="29">
        <f t="shared" si="23"/>
        <v>20712.222000000002</v>
      </c>
      <c r="R249" s="29">
        <f t="shared" si="24"/>
        <v>23819.0553</v>
      </c>
      <c r="S249" t="s">
        <v>2370</v>
      </c>
    </row>
    <row r="250" spans="1:19">
      <c r="A250" s="9" t="s">
        <v>1723</v>
      </c>
      <c r="B250" t="s">
        <v>738</v>
      </c>
      <c r="C250" s="5" t="s">
        <v>740</v>
      </c>
      <c r="D250" s="5" t="s">
        <v>2351</v>
      </c>
      <c r="E250" s="5" t="s">
        <v>2352</v>
      </c>
      <c r="F250" s="25"/>
      <c r="H250" s="1">
        <v>10184.11</v>
      </c>
      <c r="L250" s="11">
        <f t="shared" si="19"/>
        <v>10184.11</v>
      </c>
      <c r="M250" s="26">
        <v>1</v>
      </c>
      <c r="N250" s="11">
        <f t="shared" si="20"/>
        <v>10184.11</v>
      </c>
      <c r="O250" s="11">
        <f t="shared" si="21"/>
        <v>0</v>
      </c>
      <c r="P250" s="11">
        <f t="shared" si="22"/>
        <v>0</v>
      </c>
      <c r="Q250" s="29">
        <f t="shared" si="23"/>
        <v>10184.11</v>
      </c>
      <c r="R250" s="29">
        <f t="shared" si="24"/>
        <v>11711.726500000001</v>
      </c>
      <c r="S250" t="s">
        <v>2370</v>
      </c>
    </row>
    <row r="251" spans="1:19">
      <c r="A251" s="9" t="s">
        <v>1715</v>
      </c>
      <c r="B251" t="s">
        <v>177</v>
      </c>
      <c r="C251" s="5" t="s">
        <v>179</v>
      </c>
      <c r="D251" s="5" t="s">
        <v>2303</v>
      </c>
      <c r="E251" s="5" t="s">
        <v>2304</v>
      </c>
      <c r="F251" s="25"/>
      <c r="J251" s="1">
        <v>772.26499999999999</v>
      </c>
      <c r="K251" s="1">
        <v>79.89</v>
      </c>
      <c r="L251" s="11">
        <f t="shared" si="19"/>
        <v>852.15499999999997</v>
      </c>
      <c r="M251" s="26">
        <v>1</v>
      </c>
      <c r="N251" s="11">
        <f t="shared" si="20"/>
        <v>0</v>
      </c>
      <c r="O251" s="11">
        <f t="shared" si="21"/>
        <v>79.89</v>
      </c>
      <c r="P251" s="11">
        <f t="shared" si="22"/>
        <v>772.26499999999999</v>
      </c>
      <c r="Q251" s="29">
        <f t="shared" si="23"/>
        <v>852.15499999999997</v>
      </c>
      <c r="R251" s="29">
        <f t="shared" si="24"/>
        <v>979.97825</v>
      </c>
      <c r="S251" t="s">
        <v>2370</v>
      </c>
    </row>
    <row r="252" spans="1:19">
      <c r="A252" s="9" t="s">
        <v>1723</v>
      </c>
      <c r="B252" t="s">
        <v>177</v>
      </c>
      <c r="C252" s="5" t="s">
        <v>179</v>
      </c>
      <c r="D252" s="5" t="s">
        <v>2303</v>
      </c>
      <c r="E252" s="5" t="s">
        <v>2304</v>
      </c>
      <c r="F252" s="25"/>
      <c r="H252" s="1">
        <v>6580</v>
      </c>
      <c r="I252" s="1">
        <v>1055.44</v>
      </c>
      <c r="L252" s="11">
        <f t="shared" si="19"/>
        <v>7635.4400000000005</v>
      </c>
      <c r="M252" s="26">
        <v>1</v>
      </c>
      <c r="N252" s="11">
        <f t="shared" si="20"/>
        <v>6580</v>
      </c>
      <c r="O252" s="11">
        <f t="shared" si="21"/>
        <v>1055.44</v>
      </c>
      <c r="P252" s="11">
        <f t="shared" si="22"/>
        <v>0</v>
      </c>
      <c r="Q252" s="29">
        <f t="shared" si="23"/>
        <v>7635.4400000000005</v>
      </c>
      <c r="R252" s="29">
        <f t="shared" si="24"/>
        <v>8780.7560000000012</v>
      </c>
      <c r="S252" t="s">
        <v>2370</v>
      </c>
    </row>
    <row r="253" spans="1:19">
      <c r="A253" s="9" t="s">
        <v>1473</v>
      </c>
      <c r="B253" t="s">
        <v>1595</v>
      </c>
      <c r="C253" s="5" t="s">
        <v>1597</v>
      </c>
      <c r="D253" s="5" t="s">
        <v>2134</v>
      </c>
      <c r="E253" s="5" t="s">
        <v>2135</v>
      </c>
      <c r="F253" s="25"/>
      <c r="H253" s="1">
        <v>34720</v>
      </c>
      <c r="J253" s="1">
        <v>347.12</v>
      </c>
      <c r="L253" s="11">
        <f t="shared" si="19"/>
        <v>35067.120000000003</v>
      </c>
      <c r="M253" s="26">
        <v>1</v>
      </c>
      <c r="N253" s="11">
        <f t="shared" si="20"/>
        <v>34720</v>
      </c>
      <c r="O253" s="11">
        <f t="shared" si="21"/>
        <v>0</v>
      </c>
      <c r="P253" s="11">
        <f t="shared" si="22"/>
        <v>347.12</v>
      </c>
      <c r="Q253" s="29">
        <f t="shared" si="23"/>
        <v>35067.120000000003</v>
      </c>
      <c r="R253" s="29">
        <f t="shared" si="24"/>
        <v>40327.188000000002</v>
      </c>
      <c r="S253" t="s">
        <v>2369</v>
      </c>
    </row>
    <row r="254" spans="1:19">
      <c r="A254" s="9" t="s">
        <v>1473</v>
      </c>
      <c r="B254" t="s">
        <v>1643</v>
      </c>
      <c r="C254" s="5" t="s">
        <v>1645</v>
      </c>
      <c r="D254" s="5" t="s">
        <v>2169</v>
      </c>
      <c r="E254" s="5" t="s">
        <v>2170</v>
      </c>
      <c r="F254" s="25"/>
      <c r="H254" s="1">
        <v>15000</v>
      </c>
      <c r="L254" s="11">
        <f t="shared" si="19"/>
        <v>15000</v>
      </c>
      <c r="M254" s="26">
        <v>1</v>
      </c>
      <c r="N254" s="11">
        <f t="shared" si="20"/>
        <v>15000</v>
      </c>
      <c r="O254" s="11">
        <f t="shared" si="21"/>
        <v>0</v>
      </c>
      <c r="P254" s="11">
        <f t="shared" si="22"/>
        <v>0</v>
      </c>
      <c r="Q254" s="29">
        <f t="shared" si="23"/>
        <v>15000</v>
      </c>
      <c r="R254" s="29">
        <f t="shared" si="24"/>
        <v>17250</v>
      </c>
      <c r="S254" t="s">
        <v>2369</v>
      </c>
    </row>
    <row r="255" spans="1:19">
      <c r="A255" s="9" t="s">
        <v>1473</v>
      </c>
      <c r="B255" t="s">
        <v>1652</v>
      </c>
      <c r="C255" s="5" t="s">
        <v>1654</v>
      </c>
      <c r="D255" s="5" t="s">
        <v>2175</v>
      </c>
      <c r="E255" s="5" t="s">
        <v>2176</v>
      </c>
      <c r="F255" s="25"/>
      <c r="H255" s="1">
        <v>10096.89</v>
      </c>
      <c r="J255" s="1">
        <v>240.23</v>
      </c>
      <c r="L255" s="11">
        <f t="shared" si="19"/>
        <v>10337.119999999999</v>
      </c>
      <c r="M255" s="26">
        <v>1</v>
      </c>
      <c r="N255" s="11">
        <f t="shared" si="20"/>
        <v>10096.89</v>
      </c>
      <c r="O255" s="11">
        <f t="shared" si="21"/>
        <v>0</v>
      </c>
      <c r="P255" s="11">
        <f t="shared" si="22"/>
        <v>240.23</v>
      </c>
      <c r="Q255" s="29">
        <f t="shared" si="23"/>
        <v>10337.119999999999</v>
      </c>
      <c r="R255" s="29">
        <f t="shared" si="24"/>
        <v>11887.687999999998</v>
      </c>
      <c r="S255" t="s">
        <v>2369</v>
      </c>
    </row>
    <row r="256" spans="1:19">
      <c r="A256" s="9" t="s">
        <v>1097</v>
      </c>
      <c r="B256" t="s">
        <v>344</v>
      </c>
      <c r="C256" s="5" t="s">
        <v>346</v>
      </c>
      <c r="D256" s="5" t="s">
        <v>1973</v>
      </c>
      <c r="E256" s="5" t="s">
        <v>1974</v>
      </c>
      <c r="F256" s="25"/>
      <c r="H256" s="1">
        <v>38004.949999999997</v>
      </c>
      <c r="I256" s="1">
        <v>-2774.17</v>
      </c>
      <c r="L256" s="11">
        <f t="shared" si="19"/>
        <v>35230.78</v>
      </c>
      <c r="M256" s="26">
        <v>1</v>
      </c>
      <c r="N256" s="11">
        <f t="shared" si="20"/>
        <v>38004.949999999997</v>
      </c>
      <c r="O256" s="11">
        <f t="shared" si="21"/>
        <v>-2774.17</v>
      </c>
      <c r="P256" s="11">
        <f t="shared" si="22"/>
        <v>0</v>
      </c>
      <c r="Q256" s="29">
        <f t="shared" si="23"/>
        <v>35230.78</v>
      </c>
      <c r="R256" s="29">
        <f t="shared" si="24"/>
        <v>40515.396999999997</v>
      </c>
      <c r="S256" t="s">
        <v>2370</v>
      </c>
    </row>
    <row r="257" spans="1:19">
      <c r="A257" s="9" t="s">
        <v>1715</v>
      </c>
      <c r="B257" t="s">
        <v>344</v>
      </c>
      <c r="C257" s="5" t="s">
        <v>346</v>
      </c>
      <c r="D257" s="5" t="s">
        <v>1973</v>
      </c>
      <c r="E257" s="5" t="s">
        <v>1974</v>
      </c>
      <c r="F257" s="25"/>
      <c r="H257" s="1">
        <v>300</v>
      </c>
      <c r="L257" s="11">
        <f t="shared" si="19"/>
        <v>300</v>
      </c>
      <c r="M257" s="26">
        <v>1</v>
      </c>
      <c r="N257" s="11">
        <f t="shared" si="20"/>
        <v>300</v>
      </c>
      <c r="O257" s="11">
        <f t="shared" si="21"/>
        <v>0</v>
      </c>
      <c r="P257" s="11">
        <f t="shared" si="22"/>
        <v>0</v>
      </c>
      <c r="Q257" s="29">
        <f t="shared" si="23"/>
        <v>300</v>
      </c>
      <c r="R257" s="29">
        <f t="shared" si="24"/>
        <v>345</v>
      </c>
      <c r="S257" t="s">
        <v>2370</v>
      </c>
    </row>
    <row r="258" spans="1:19">
      <c r="A258" s="9" t="s">
        <v>1715</v>
      </c>
      <c r="B258" t="s">
        <v>344</v>
      </c>
      <c r="C258" s="5" t="s">
        <v>346</v>
      </c>
      <c r="D258" s="5" t="s">
        <v>1973</v>
      </c>
      <c r="E258" s="5" t="s">
        <v>1974</v>
      </c>
      <c r="F258" s="25"/>
      <c r="H258" s="1">
        <v>15257.55</v>
      </c>
      <c r="J258" s="1">
        <v>1877.59</v>
      </c>
      <c r="K258" s="1">
        <v>224.76</v>
      </c>
      <c r="L258" s="11">
        <f t="shared" si="19"/>
        <v>17359.899999999998</v>
      </c>
      <c r="M258" s="26">
        <v>1</v>
      </c>
      <c r="N258" s="11">
        <f t="shared" si="20"/>
        <v>15257.55</v>
      </c>
      <c r="O258" s="11">
        <f t="shared" si="21"/>
        <v>224.76</v>
      </c>
      <c r="P258" s="11">
        <f t="shared" si="22"/>
        <v>1877.59</v>
      </c>
      <c r="Q258" s="29">
        <f t="shared" si="23"/>
        <v>17359.899999999998</v>
      </c>
      <c r="R258" s="29">
        <f t="shared" si="24"/>
        <v>19963.884999999998</v>
      </c>
      <c r="S258" t="s">
        <v>2370</v>
      </c>
    </row>
    <row r="259" spans="1:19">
      <c r="A259" s="9" t="s">
        <v>1473</v>
      </c>
      <c r="B259" t="s">
        <v>1649</v>
      </c>
      <c r="C259" s="5" t="s">
        <v>1651</v>
      </c>
      <c r="D259" s="5" t="s">
        <v>2173</v>
      </c>
      <c r="E259" s="5" t="s">
        <v>2174</v>
      </c>
      <c r="F259" s="25"/>
      <c r="H259" s="1">
        <v>4407.8999999999996</v>
      </c>
      <c r="L259" s="11">
        <f t="shared" si="19"/>
        <v>4407.8999999999996</v>
      </c>
      <c r="M259" s="26">
        <v>1</v>
      </c>
      <c r="N259" s="11">
        <f t="shared" si="20"/>
        <v>4407.8999999999996</v>
      </c>
      <c r="O259" s="11">
        <f t="shared" si="21"/>
        <v>0</v>
      </c>
      <c r="P259" s="11">
        <f t="shared" si="22"/>
        <v>0</v>
      </c>
      <c r="Q259" s="29">
        <f t="shared" si="23"/>
        <v>4407.8999999999996</v>
      </c>
      <c r="R259" s="29">
        <f t="shared" si="24"/>
        <v>5069.0849999999991</v>
      </c>
      <c r="S259" t="s">
        <v>2369</v>
      </c>
    </row>
    <row r="260" spans="1:19">
      <c r="A260" s="9" t="s">
        <v>1473</v>
      </c>
      <c r="B260" t="s">
        <v>1661</v>
      </c>
      <c r="C260" s="5" t="s">
        <v>1663</v>
      </c>
      <c r="D260" s="5" t="s">
        <v>2181</v>
      </c>
      <c r="E260" s="5" t="s">
        <v>2182</v>
      </c>
      <c r="F260" s="25"/>
      <c r="H260" s="1">
        <v>1527</v>
      </c>
      <c r="J260" s="1">
        <v>1212.57</v>
      </c>
      <c r="L260" s="11">
        <f t="shared" si="19"/>
        <v>2739.5699999999997</v>
      </c>
      <c r="M260" s="26">
        <v>1</v>
      </c>
      <c r="N260" s="11">
        <f t="shared" si="20"/>
        <v>1527</v>
      </c>
      <c r="O260" s="11">
        <f t="shared" si="21"/>
        <v>0</v>
      </c>
      <c r="P260" s="11">
        <f t="shared" si="22"/>
        <v>1212.57</v>
      </c>
      <c r="Q260" s="29">
        <f t="shared" si="23"/>
        <v>2739.5699999999997</v>
      </c>
      <c r="R260" s="29">
        <f t="shared" si="24"/>
        <v>3150.5054999999998</v>
      </c>
      <c r="S260" t="s">
        <v>2369</v>
      </c>
    </row>
    <row r="261" spans="1:19">
      <c r="A261" s="9" t="s">
        <v>1399</v>
      </c>
      <c r="B261" t="s">
        <v>1407</v>
      </c>
      <c r="C261" s="5" t="s">
        <v>1409</v>
      </c>
      <c r="D261" s="5" t="s">
        <v>1983</v>
      </c>
      <c r="E261" s="5" t="s">
        <v>1984</v>
      </c>
      <c r="F261" s="25"/>
      <c r="J261" s="1">
        <v>454.4</v>
      </c>
      <c r="L261" s="11">
        <f t="shared" si="19"/>
        <v>454.4</v>
      </c>
      <c r="M261" s="26">
        <v>1</v>
      </c>
      <c r="N261" s="11">
        <f t="shared" si="20"/>
        <v>0</v>
      </c>
      <c r="O261" s="11">
        <f t="shared" si="21"/>
        <v>0</v>
      </c>
      <c r="P261" s="11">
        <f t="shared" si="22"/>
        <v>454.4</v>
      </c>
      <c r="Q261" s="29">
        <f t="shared" si="23"/>
        <v>454.4</v>
      </c>
      <c r="R261" s="29">
        <f t="shared" si="24"/>
        <v>522.55999999999995</v>
      </c>
      <c r="S261" t="s">
        <v>2369</v>
      </c>
    </row>
    <row r="262" spans="1:19">
      <c r="A262" s="9" t="s">
        <v>1473</v>
      </c>
      <c r="B262" t="s">
        <v>1407</v>
      </c>
      <c r="C262" s="5" t="s">
        <v>1409</v>
      </c>
      <c r="D262" s="5" t="s">
        <v>1983</v>
      </c>
      <c r="E262" s="5" t="s">
        <v>1984</v>
      </c>
      <c r="F262" s="25"/>
      <c r="H262" s="1">
        <v>13526.07</v>
      </c>
      <c r="L262" s="11">
        <f t="shared" si="19"/>
        <v>13526.07</v>
      </c>
      <c r="M262" s="26">
        <v>1</v>
      </c>
      <c r="N262" s="11">
        <f t="shared" si="20"/>
        <v>13526.07</v>
      </c>
      <c r="O262" s="11">
        <f t="shared" si="21"/>
        <v>0</v>
      </c>
      <c r="P262" s="11">
        <f t="shared" si="22"/>
        <v>0</v>
      </c>
      <c r="Q262" s="29">
        <f t="shared" si="23"/>
        <v>13526.07</v>
      </c>
      <c r="R262" s="29">
        <f t="shared" si="24"/>
        <v>15554.9805</v>
      </c>
      <c r="S262" t="s">
        <v>2369</v>
      </c>
    </row>
    <row r="263" spans="1:19">
      <c r="A263" s="9" t="s">
        <v>1399</v>
      </c>
      <c r="B263" t="s">
        <v>546</v>
      </c>
      <c r="C263" s="5" t="s">
        <v>548</v>
      </c>
      <c r="D263" s="5" t="s">
        <v>2036</v>
      </c>
      <c r="E263" s="5" t="s">
        <v>2037</v>
      </c>
      <c r="F263" s="25"/>
      <c r="J263" s="1">
        <v>240.8</v>
      </c>
      <c r="L263" s="11">
        <f t="shared" ref="L263:L326" si="25">SUM(H263:K263)</f>
        <v>240.8</v>
      </c>
      <c r="M263" s="26">
        <v>1</v>
      </c>
      <c r="N263" s="11">
        <f t="shared" ref="N263:N326" si="26">+H263*M263</f>
        <v>0</v>
      </c>
      <c r="O263" s="11">
        <f t="shared" ref="O263:O326" si="27">+(+I263+K263)*M263</f>
        <v>0</v>
      </c>
      <c r="P263" s="11">
        <f t="shared" ref="P263:P326" si="28">+J263*M263</f>
        <v>240.8</v>
      </c>
      <c r="Q263" s="29">
        <f t="shared" ref="Q263:Q326" si="29">+L263*M263</f>
        <v>240.8</v>
      </c>
      <c r="R263" s="29">
        <f t="shared" ref="R263:R326" si="30">+Q263+(+Q263*$R$1)</f>
        <v>276.92</v>
      </c>
      <c r="S263" t="s">
        <v>2369</v>
      </c>
    </row>
    <row r="264" spans="1:19">
      <c r="A264" s="9" t="s">
        <v>1473</v>
      </c>
      <c r="B264" t="s">
        <v>546</v>
      </c>
      <c r="C264" s="5" t="s">
        <v>548</v>
      </c>
      <c r="D264" s="5" t="s">
        <v>2036</v>
      </c>
      <c r="E264" s="5" t="s">
        <v>2037</v>
      </c>
      <c r="F264" s="25"/>
      <c r="H264" s="1">
        <v>1575</v>
      </c>
      <c r="L264" s="11">
        <f t="shared" si="25"/>
        <v>1575</v>
      </c>
      <c r="M264" s="26">
        <v>1</v>
      </c>
      <c r="N264" s="11">
        <f t="shared" si="26"/>
        <v>1575</v>
      </c>
      <c r="O264" s="11">
        <f t="shared" si="27"/>
        <v>0</v>
      </c>
      <c r="P264" s="11">
        <f t="shared" si="28"/>
        <v>0</v>
      </c>
      <c r="Q264" s="29">
        <f t="shared" si="29"/>
        <v>1575</v>
      </c>
      <c r="R264" s="29">
        <f t="shared" si="30"/>
        <v>1811.25</v>
      </c>
      <c r="S264" t="s">
        <v>2369</v>
      </c>
    </row>
    <row r="265" spans="1:19">
      <c r="A265" s="9" t="s">
        <v>1399</v>
      </c>
      <c r="B265" t="s">
        <v>1428</v>
      </c>
      <c r="C265" s="5" t="s">
        <v>1430</v>
      </c>
      <c r="D265" s="5" t="s">
        <v>1997</v>
      </c>
      <c r="E265" s="5" t="s">
        <v>1998</v>
      </c>
      <c r="F265" s="25"/>
      <c r="J265" s="1">
        <v>573.6</v>
      </c>
      <c r="K265" s="1">
        <v>178.56</v>
      </c>
      <c r="L265" s="11">
        <f t="shared" si="25"/>
        <v>752.16000000000008</v>
      </c>
      <c r="M265" s="26">
        <v>1</v>
      </c>
      <c r="N265" s="11">
        <f t="shared" si="26"/>
        <v>0</v>
      </c>
      <c r="O265" s="11">
        <f t="shared" si="27"/>
        <v>178.56</v>
      </c>
      <c r="P265" s="11">
        <f t="shared" si="28"/>
        <v>573.6</v>
      </c>
      <c r="Q265" s="29">
        <f t="shared" si="29"/>
        <v>752.16000000000008</v>
      </c>
      <c r="R265" s="29">
        <f t="shared" si="30"/>
        <v>864.98400000000015</v>
      </c>
      <c r="S265" t="s">
        <v>2369</v>
      </c>
    </row>
    <row r="266" spans="1:19">
      <c r="A266" s="9" t="s">
        <v>1473</v>
      </c>
      <c r="B266" t="s">
        <v>1428</v>
      </c>
      <c r="C266" s="5" t="s">
        <v>1430</v>
      </c>
      <c r="D266" s="5" t="s">
        <v>1997</v>
      </c>
      <c r="E266" s="5" t="s">
        <v>1998</v>
      </c>
      <c r="F266" s="25"/>
      <c r="H266" s="1">
        <v>1388</v>
      </c>
      <c r="J266" s="1">
        <v>1931.67</v>
      </c>
      <c r="L266" s="11">
        <f t="shared" si="25"/>
        <v>3319.67</v>
      </c>
      <c r="M266" s="26">
        <v>1</v>
      </c>
      <c r="N266" s="11">
        <f t="shared" si="26"/>
        <v>1388</v>
      </c>
      <c r="O266" s="11">
        <f t="shared" si="27"/>
        <v>0</v>
      </c>
      <c r="P266" s="11">
        <f t="shared" si="28"/>
        <v>1931.67</v>
      </c>
      <c r="Q266" s="29">
        <f t="shared" si="29"/>
        <v>3319.67</v>
      </c>
      <c r="R266" s="29">
        <f t="shared" si="30"/>
        <v>3817.6205</v>
      </c>
      <c r="S266" t="s">
        <v>2369</v>
      </c>
    </row>
    <row r="267" spans="1:19">
      <c r="A267" s="9" t="s">
        <v>1473</v>
      </c>
      <c r="B267" t="s">
        <v>1568</v>
      </c>
      <c r="C267" s="5" t="s">
        <v>1570</v>
      </c>
      <c r="D267" s="5" t="s">
        <v>2110</v>
      </c>
      <c r="E267" s="5" t="s">
        <v>2111</v>
      </c>
      <c r="F267" s="25"/>
      <c r="H267" s="1">
        <v>936</v>
      </c>
      <c r="L267" s="11">
        <f t="shared" si="25"/>
        <v>936</v>
      </c>
      <c r="M267" s="26">
        <v>1</v>
      </c>
      <c r="N267" s="11">
        <f t="shared" si="26"/>
        <v>936</v>
      </c>
      <c r="O267" s="11">
        <f t="shared" si="27"/>
        <v>0</v>
      </c>
      <c r="P267" s="11">
        <f t="shared" si="28"/>
        <v>0</v>
      </c>
      <c r="Q267" s="29">
        <f t="shared" si="29"/>
        <v>936</v>
      </c>
      <c r="R267" s="29">
        <f t="shared" si="30"/>
        <v>1076.4000000000001</v>
      </c>
      <c r="S267" t="s">
        <v>2369</v>
      </c>
    </row>
    <row r="268" spans="1:19">
      <c r="A268" s="9" t="s">
        <v>1473</v>
      </c>
      <c r="B268" t="s">
        <v>117</v>
      </c>
      <c r="C268" s="5" t="s">
        <v>119</v>
      </c>
      <c r="D268" s="5" t="s">
        <v>2082</v>
      </c>
      <c r="E268" s="5" t="s">
        <v>2083</v>
      </c>
      <c r="F268" s="25"/>
      <c r="H268" s="1">
        <v>622.5</v>
      </c>
      <c r="J268" s="1">
        <v>36.96</v>
      </c>
      <c r="L268" s="11">
        <f t="shared" si="25"/>
        <v>659.46</v>
      </c>
      <c r="M268" s="26">
        <v>1</v>
      </c>
      <c r="N268" s="11">
        <f t="shared" si="26"/>
        <v>622.5</v>
      </c>
      <c r="O268" s="11">
        <f t="shared" si="27"/>
        <v>0</v>
      </c>
      <c r="P268" s="11">
        <f t="shared" si="28"/>
        <v>36.96</v>
      </c>
      <c r="Q268" s="29">
        <f t="shared" si="29"/>
        <v>659.46</v>
      </c>
      <c r="R268" s="29">
        <f t="shared" si="30"/>
        <v>758.37900000000002</v>
      </c>
      <c r="S268" t="s">
        <v>2369</v>
      </c>
    </row>
    <row r="269" spans="1:19">
      <c r="A269" s="9" t="s">
        <v>1715</v>
      </c>
      <c r="B269" t="s">
        <v>762</v>
      </c>
      <c r="C269" s="5" t="s">
        <v>764</v>
      </c>
      <c r="D269" s="5" t="s">
        <v>2272</v>
      </c>
      <c r="E269" s="5" t="s">
        <v>2273</v>
      </c>
      <c r="F269" s="25"/>
      <c r="H269" s="1">
        <v>305</v>
      </c>
      <c r="I269" s="1">
        <v>-60.92</v>
      </c>
      <c r="J269" s="1">
        <v>199.65</v>
      </c>
      <c r="L269" s="11">
        <f t="shared" si="25"/>
        <v>443.73</v>
      </c>
      <c r="M269" s="26">
        <v>1</v>
      </c>
      <c r="N269" s="11">
        <f t="shared" si="26"/>
        <v>305</v>
      </c>
      <c r="O269" s="11">
        <f t="shared" si="27"/>
        <v>-60.92</v>
      </c>
      <c r="P269" s="11">
        <f t="shared" si="28"/>
        <v>199.65</v>
      </c>
      <c r="Q269" s="29">
        <f t="shared" si="29"/>
        <v>443.73</v>
      </c>
      <c r="R269" s="29">
        <f t="shared" si="30"/>
        <v>510.28950000000003</v>
      </c>
      <c r="S269" t="s">
        <v>2370</v>
      </c>
    </row>
    <row r="270" spans="1:19">
      <c r="A270" s="9" t="s">
        <v>1723</v>
      </c>
      <c r="B270" t="s">
        <v>762</v>
      </c>
      <c r="C270" s="5" t="s">
        <v>764</v>
      </c>
      <c r="D270" s="5" t="s">
        <v>2272</v>
      </c>
      <c r="E270" s="5" t="s">
        <v>2273</v>
      </c>
      <c r="F270" s="25"/>
      <c r="H270" s="1">
        <v>7792.56</v>
      </c>
      <c r="I270" s="1">
        <v>14941.95</v>
      </c>
      <c r="L270" s="11">
        <f t="shared" si="25"/>
        <v>22734.510000000002</v>
      </c>
      <c r="M270" s="26">
        <v>1</v>
      </c>
      <c r="N270" s="11">
        <f t="shared" si="26"/>
        <v>7792.56</v>
      </c>
      <c r="O270" s="11">
        <f t="shared" si="27"/>
        <v>14941.95</v>
      </c>
      <c r="P270" s="11">
        <f t="shared" si="28"/>
        <v>0</v>
      </c>
      <c r="Q270" s="29">
        <f t="shared" si="29"/>
        <v>22734.510000000002</v>
      </c>
      <c r="R270" s="29">
        <f t="shared" si="30"/>
        <v>26144.686500000003</v>
      </c>
      <c r="S270" t="s">
        <v>2370</v>
      </c>
    </row>
    <row r="271" spans="1:19">
      <c r="A271" s="9" t="s">
        <v>1473</v>
      </c>
      <c r="B271" t="s">
        <v>1547</v>
      </c>
      <c r="C271" s="5" t="s">
        <v>1549</v>
      </c>
      <c r="D271" s="5" t="s">
        <v>2094</v>
      </c>
      <c r="E271" s="5" t="s">
        <v>2095</v>
      </c>
      <c r="F271" s="25"/>
      <c r="H271" s="1">
        <v>260</v>
      </c>
      <c r="J271" s="1">
        <v>424.82</v>
      </c>
      <c r="L271" s="11">
        <f t="shared" si="25"/>
        <v>684.81999999999994</v>
      </c>
      <c r="M271" s="26">
        <v>1</v>
      </c>
      <c r="N271" s="11">
        <f t="shared" si="26"/>
        <v>260</v>
      </c>
      <c r="O271" s="11">
        <f t="shared" si="27"/>
        <v>0</v>
      </c>
      <c r="P271" s="11">
        <f t="shared" si="28"/>
        <v>424.82</v>
      </c>
      <c r="Q271" s="29">
        <f t="shared" si="29"/>
        <v>684.81999999999994</v>
      </c>
      <c r="R271" s="29">
        <f t="shared" si="30"/>
        <v>787.54299999999989</v>
      </c>
      <c r="S271" t="s">
        <v>2369</v>
      </c>
    </row>
    <row r="272" spans="1:19">
      <c r="A272" s="9" t="s">
        <v>1473</v>
      </c>
      <c r="B272" t="s">
        <v>1604</v>
      </c>
      <c r="C272" s="5" t="s">
        <v>1606</v>
      </c>
      <c r="D272" s="5" t="s">
        <v>2140</v>
      </c>
      <c r="E272" s="5" t="s">
        <v>2141</v>
      </c>
      <c r="F272" s="25"/>
      <c r="H272" s="1">
        <v>36771.019999999997</v>
      </c>
      <c r="L272" s="11">
        <f t="shared" si="25"/>
        <v>36771.019999999997</v>
      </c>
      <c r="M272" s="26">
        <v>1</v>
      </c>
      <c r="N272" s="11">
        <f t="shared" si="26"/>
        <v>36771.019999999997</v>
      </c>
      <c r="O272" s="11">
        <f t="shared" si="27"/>
        <v>0</v>
      </c>
      <c r="P272" s="11">
        <f t="shared" si="28"/>
        <v>0</v>
      </c>
      <c r="Q272" s="29">
        <f t="shared" si="29"/>
        <v>36771.019999999997</v>
      </c>
      <c r="R272" s="29">
        <f t="shared" si="30"/>
        <v>42286.672999999995</v>
      </c>
      <c r="S272" t="s">
        <v>2369</v>
      </c>
    </row>
    <row r="273" spans="1:19">
      <c r="A273" s="9" t="s">
        <v>1715</v>
      </c>
      <c r="B273" t="s">
        <v>231</v>
      </c>
      <c r="C273" s="5" t="s">
        <v>233</v>
      </c>
      <c r="D273" s="5" t="s">
        <v>2221</v>
      </c>
      <c r="E273" s="5" t="s">
        <v>2222</v>
      </c>
      <c r="F273" s="25"/>
      <c r="H273" s="1">
        <v>400</v>
      </c>
      <c r="L273" s="11">
        <f t="shared" si="25"/>
        <v>400</v>
      </c>
      <c r="M273" s="26">
        <v>1</v>
      </c>
      <c r="N273" s="11">
        <f t="shared" si="26"/>
        <v>400</v>
      </c>
      <c r="O273" s="11">
        <f t="shared" si="27"/>
        <v>0</v>
      </c>
      <c r="P273" s="11">
        <f t="shared" si="28"/>
        <v>0</v>
      </c>
      <c r="Q273" s="29">
        <f t="shared" si="29"/>
        <v>400</v>
      </c>
      <c r="R273" s="29">
        <f t="shared" si="30"/>
        <v>460</v>
      </c>
      <c r="S273" t="s">
        <v>2369</v>
      </c>
    </row>
    <row r="274" spans="1:19">
      <c r="A274" s="9" t="s">
        <v>1723</v>
      </c>
      <c r="B274" t="s">
        <v>231</v>
      </c>
      <c r="C274" s="5" t="s">
        <v>233</v>
      </c>
      <c r="D274" s="5" t="s">
        <v>2221</v>
      </c>
      <c r="E274" s="5" t="s">
        <v>2222</v>
      </c>
      <c r="F274" s="25"/>
      <c r="H274" s="1">
        <v>252</v>
      </c>
      <c r="I274" s="1">
        <v>30900</v>
      </c>
      <c r="L274" s="11">
        <f t="shared" si="25"/>
        <v>31152</v>
      </c>
      <c r="M274" s="26">
        <v>1</v>
      </c>
      <c r="N274" s="11">
        <f t="shared" si="26"/>
        <v>252</v>
      </c>
      <c r="O274" s="11">
        <f t="shared" si="27"/>
        <v>30900</v>
      </c>
      <c r="P274" s="11">
        <f t="shared" si="28"/>
        <v>0</v>
      </c>
      <c r="Q274" s="29">
        <f t="shared" si="29"/>
        <v>31152</v>
      </c>
      <c r="R274" s="29">
        <f t="shared" si="30"/>
        <v>35824.800000000003</v>
      </c>
      <c r="S274" t="s">
        <v>2369</v>
      </c>
    </row>
    <row r="275" spans="1:19">
      <c r="A275" s="9" t="s">
        <v>1473</v>
      </c>
      <c r="B275" t="s">
        <v>1505</v>
      </c>
      <c r="C275" s="5" t="s">
        <v>1507</v>
      </c>
      <c r="D275" s="5" t="s">
        <v>2060</v>
      </c>
      <c r="E275" s="5" t="s">
        <v>2061</v>
      </c>
      <c r="F275" s="25"/>
      <c r="H275" s="1">
        <v>13622.5</v>
      </c>
      <c r="J275" s="1">
        <v>682.245</v>
      </c>
      <c r="L275" s="11">
        <f t="shared" si="25"/>
        <v>14304.745000000001</v>
      </c>
      <c r="M275" s="26">
        <v>1</v>
      </c>
      <c r="N275" s="11">
        <f t="shared" si="26"/>
        <v>13622.5</v>
      </c>
      <c r="O275" s="11">
        <f t="shared" si="27"/>
        <v>0</v>
      </c>
      <c r="P275" s="11">
        <f t="shared" si="28"/>
        <v>682.245</v>
      </c>
      <c r="Q275" s="29">
        <f t="shared" si="29"/>
        <v>14304.745000000001</v>
      </c>
      <c r="R275" s="29">
        <f t="shared" si="30"/>
        <v>16450.456750000001</v>
      </c>
      <c r="S275" t="s">
        <v>2369</v>
      </c>
    </row>
    <row r="276" spans="1:19">
      <c r="A276" s="9" t="s">
        <v>1473</v>
      </c>
      <c r="B276" t="s">
        <v>1709</v>
      </c>
      <c r="C276" s="5" t="s">
        <v>1711</v>
      </c>
      <c r="D276" s="5" t="s">
        <v>2217</v>
      </c>
      <c r="E276" s="5" t="s">
        <v>2218</v>
      </c>
      <c r="F276" s="25"/>
      <c r="H276" s="1">
        <v>27583.439999999999</v>
      </c>
      <c r="L276" s="11">
        <f t="shared" si="25"/>
        <v>27583.439999999999</v>
      </c>
      <c r="M276" s="26">
        <v>1</v>
      </c>
      <c r="N276" s="11">
        <f t="shared" si="26"/>
        <v>27583.439999999999</v>
      </c>
      <c r="O276" s="11">
        <f t="shared" si="27"/>
        <v>0</v>
      </c>
      <c r="P276" s="11">
        <f t="shared" si="28"/>
        <v>0</v>
      </c>
      <c r="Q276" s="29">
        <f t="shared" si="29"/>
        <v>27583.439999999999</v>
      </c>
      <c r="R276" s="29">
        <f t="shared" si="30"/>
        <v>31720.955999999998</v>
      </c>
      <c r="S276" t="s">
        <v>2369</v>
      </c>
    </row>
    <row r="277" spans="1:19">
      <c r="A277" s="9" t="s">
        <v>1715</v>
      </c>
      <c r="B277" t="s">
        <v>267</v>
      </c>
      <c r="C277" s="5" t="s">
        <v>269</v>
      </c>
      <c r="D277" s="5" t="s">
        <v>2321</v>
      </c>
      <c r="E277" s="5" t="s">
        <v>2322</v>
      </c>
      <c r="F277" s="25"/>
      <c r="I277" s="1">
        <v>1000.67</v>
      </c>
      <c r="L277" s="11">
        <f t="shared" si="25"/>
        <v>1000.67</v>
      </c>
      <c r="M277" s="26">
        <v>1</v>
      </c>
      <c r="N277" s="11">
        <f t="shared" si="26"/>
        <v>0</v>
      </c>
      <c r="O277" s="11">
        <f t="shared" si="27"/>
        <v>1000.67</v>
      </c>
      <c r="P277" s="11">
        <f t="shared" si="28"/>
        <v>0</v>
      </c>
      <c r="Q277" s="29">
        <f t="shared" si="29"/>
        <v>1000.67</v>
      </c>
      <c r="R277" s="29">
        <f t="shared" si="30"/>
        <v>1150.7704999999999</v>
      </c>
      <c r="S277" t="s">
        <v>2369</v>
      </c>
    </row>
    <row r="278" spans="1:19">
      <c r="A278" s="9" t="s">
        <v>1723</v>
      </c>
      <c r="B278" t="s">
        <v>267</v>
      </c>
      <c r="C278" s="5" t="s">
        <v>269</v>
      </c>
      <c r="D278" s="5" t="s">
        <v>2321</v>
      </c>
      <c r="E278" s="5" t="s">
        <v>2322</v>
      </c>
      <c r="F278" s="25"/>
      <c r="I278" s="1">
        <v>6498.79</v>
      </c>
      <c r="L278" s="11">
        <f t="shared" si="25"/>
        <v>6498.79</v>
      </c>
      <c r="M278" s="26">
        <v>1</v>
      </c>
      <c r="N278" s="11">
        <f t="shared" si="26"/>
        <v>0</v>
      </c>
      <c r="O278" s="11">
        <f t="shared" si="27"/>
        <v>6498.79</v>
      </c>
      <c r="P278" s="11">
        <f t="shared" si="28"/>
        <v>0</v>
      </c>
      <c r="Q278" s="29">
        <f t="shared" si="29"/>
        <v>6498.79</v>
      </c>
      <c r="R278" s="29">
        <f t="shared" si="30"/>
        <v>7473.6085000000003</v>
      </c>
      <c r="S278" t="s">
        <v>2369</v>
      </c>
    </row>
    <row r="279" spans="1:19">
      <c r="A279" s="9" t="s">
        <v>1473</v>
      </c>
      <c r="B279" t="s">
        <v>1694</v>
      </c>
      <c r="C279" s="5" t="s">
        <v>1696</v>
      </c>
      <c r="D279" s="5" t="s">
        <v>2203</v>
      </c>
      <c r="E279" s="5" t="s">
        <v>2204</v>
      </c>
      <c r="F279" s="25"/>
      <c r="H279" s="1">
        <v>8407.36</v>
      </c>
      <c r="L279" s="11">
        <f t="shared" si="25"/>
        <v>8407.36</v>
      </c>
      <c r="M279" s="26">
        <v>1</v>
      </c>
      <c r="N279" s="11">
        <f t="shared" si="26"/>
        <v>8407.36</v>
      </c>
      <c r="O279" s="11">
        <f t="shared" si="27"/>
        <v>0</v>
      </c>
      <c r="P279" s="11">
        <f t="shared" si="28"/>
        <v>0</v>
      </c>
      <c r="Q279" s="29">
        <f t="shared" si="29"/>
        <v>8407.36</v>
      </c>
      <c r="R279" s="29">
        <f t="shared" si="30"/>
        <v>9668.4639999999999</v>
      </c>
      <c r="S279" t="s">
        <v>2369</v>
      </c>
    </row>
    <row r="280" spans="1:19">
      <c r="A280" s="9" t="s">
        <v>1473</v>
      </c>
      <c r="B280" t="s">
        <v>1541</v>
      </c>
      <c r="C280" s="5" t="s">
        <v>1543</v>
      </c>
      <c r="D280" s="5" t="s">
        <v>2090</v>
      </c>
      <c r="E280" s="5" t="s">
        <v>2091</v>
      </c>
      <c r="F280" s="25"/>
      <c r="H280" s="1">
        <v>760</v>
      </c>
      <c r="J280" s="1">
        <v>467.09500000000003</v>
      </c>
      <c r="L280" s="11">
        <f t="shared" si="25"/>
        <v>1227.095</v>
      </c>
      <c r="M280" s="26">
        <v>1</v>
      </c>
      <c r="N280" s="11">
        <f t="shared" si="26"/>
        <v>760</v>
      </c>
      <c r="O280" s="11">
        <f t="shared" si="27"/>
        <v>0</v>
      </c>
      <c r="P280" s="11">
        <f t="shared" si="28"/>
        <v>467.09500000000003</v>
      </c>
      <c r="Q280" s="29">
        <f t="shared" si="29"/>
        <v>1227.095</v>
      </c>
      <c r="R280" s="29">
        <f t="shared" si="30"/>
        <v>1411.1592499999999</v>
      </c>
      <c r="S280" t="s">
        <v>2369</v>
      </c>
    </row>
    <row r="281" spans="1:19">
      <c r="A281" s="9" t="s">
        <v>1473</v>
      </c>
      <c r="B281" t="s">
        <v>192</v>
      </c>
      <c r="C281" s="5" t="s">
        <v>194</v>
      </c>
      <c r="D281" s="5" t="s">
        <v>2052</v>
      </c>
      <c r="E281" s="5" t="s">
        <v>2053</v>
      </c>
      <c r="F281" s="25"/>
      <c r="J281" s="1">
        <v>211.76</v>
      </c>
      <c r="L281" s="11">
        <f t="shared" si="25"/>
        <v>211.76</v>
      </c>
      <c r="M281" s="26">
        <v>1</v>
      </c>
      <c r="N281" s="11">
        <f t="shared" si="26"/>
        <v>0</v>
      </c>
      <c r="O281" s="11">
        <f t="shared" si="27"/>
        <v>0</v>
      </c>
      <c r="P281" s="11">
        <f t="shared" si="28"/>
        <v>211.76</v>
      </c>
      <c r="Q281" s="29">
        <f t="shared" si="29"/>
        <v>211.76</v>
      </c>
      <c r="R281" s="29">
        <f t="shared" si="30"/>
        <v>243.524</v>
      </c>
      <c r="S281" t="s">
        <v>2370</v>
      </c>
    </row>
    <row r="282" spans="1:19">
      <c r="A282" s="9" t="s">
        <v>1715</v>
      </c>
      <c r="B282" t="s">
        <v>192</v>
      </c>
      <c r="C282" s="5" t="s">
        <v>194</v>
      </c>
      <c r="D282" s="5" t="s">
        <v>2052</v>
      </c>
      <c r="E282" s="5" t="s">
        <v>2053</v>
      </c>
      <c r="F282" s="25"/>
      <c r="H282" s="1">
        <v>520</v>
      </c>
      <c r="I282" s="1">
        <v>382.13</v>
      </c>
      <c r="J282" s="1">
        <v>3143.0749999999998</v>
      </c>
      <c r="K282" s="1">
        <v>1196.6600000000001</v>
      </c>
      <c r="L282" s="11">
        <f t="shared" si="25"/>
        <v>5241.8649999999998</v>
      </c>
      <c r="M282" s="26">
        <v>1</v>
      </c>
      <c r="N282" s="11">
        <f t="shared" si="26"/>
        <v>520</v>
      </c>
      <c r="O282" s="11">
        <f t="shared" si="27"/>
        <v>1578.79</v>
      </c>
      <c r="P282" s="11">
        <f t="shared" si="28"/>
        <v>3143.0749999999998</v>
      </c>
      <c r="Q282" s="29">
        <f t="shared" si="29"/>
        <v>5241.8649999999998</v>
      </c>
      <c r="R282" s="29">
        <f t="shared" si="30"/>
        <v>6028.1447499999995</v>
      </c>
      <c r="S282" t="s">
        <v>2370</v>
      </c>
    </row>
    <row r="283" spans="1:19">
      <c r="A283" s="9" t="s">
        <v>1723</v>
      </c>
      <c r="B283" t="s">
        <v>192</v>
      </c>
      <c r="C283" s="5" t="s">
        <v>194</v>
      </c>
      <c r="D283" s="5" t="s">
        <v>2052</v>
      </c>
      <c r="E283" s="5" t="s">
        <v>2053</v>
      </c>
      <c r="F283" s="25"/>
      <c r="H283" s="1">
        <v>200</v>
      </c>
      <c r="I283" s="1">
        <v>1437.67</v>
      </c>
      <c r="L283" s="11">
        <f t="shared" si="25"/>
        <v>1637.67</v>
      </c>
      <c r="M283" s="26">
        <v>1</v>
      </c>
      <c r="N283" s="11">
        <f t="shared" si="26"/>
        <v>200</v>
      </c>
      <c r="O283" s="11">
        <f t="shared" si="27"/>
        <v>1437.67</v>
      </c>
      <c r="P283" s="11">
        <f t="shared" si="28"/>
        <v>0</v>
      </c>
      <c r="Q283" s="29">
        <f t="shared" si="29"/>
        <v>1637.67</v>
      </c>
      <c r="R283" s="29">
        <f t="shared" si="30"/>
        <v>1883.3205</v>
      </c>
      <c r="S283" t="s">
        <v>2370</v>
      </c>
    </row>
    <row r="284" spans="1:19">
      <c r="A284" s="9" t="s">
        <v>1715</v>
      </c>
      <c r="B284" t="s">
        <v>385</v>
      </c>
      <c r="C284" s="5" t="s">
        <v>387</v>
      </c>
      <c r="D284" s="5" t="s">
        <v>2313</v>
      </c>
      <c r="E284" s="5" t="s">
        <v>2314</v>
      </c>
      <c r="F284" s="25"/>
      <c r="J284" s="1">
        <v>53.22</v>
      </c>
      <c r="L284" s="11">
        <f t="shared" si="25"/>
        <v>53.22</v>
      </c>
      <c r="M284" s="26">
        <v>0.22</v>
      </c>
      <c r="N284" s="11">
        <f t="shared" si="26"/>
        <v>0</v>
      </c>
      <c r="O284" s="11">
        <f t="shared" si="27"/>
        <v>0</v>
      </c>
      <c r="P284" s="11">
        <f t="shared" si="28"/>
        <v>11.708399999999999</v>
      </c>
      <c r="Q284" s="29">
        <f t="shared" si="29"/>
        <v>11.708399999999999</v>
      </c>
      <c r="R284" s="29">
        <f t="shared" si="30"/>
        <v>13.464659999999999</v>
      </c>
      <c r="S284" t="s">
        <v>2369</v>
      </c>
    </row>
    <row r="285" spans="1:19">
      <c r="A285" s="9" t="s">
        <v>1723</v>
      </c>
      <c r="B285" t="s">
        <v>385</v>
      </c>
      <c r="C285" s="5" t="s">
        <v>387</v>
      </c>
      <c r="D285" s="5" t="s">
        <v>2313</v>
      </c>
      <c r="E285" s="5" t="s">
        <v>2314</v>
      </c>
      <c r="F285" s="25"/>
      <c r="H285" s="1">
        <v>538.35</v>
      </c>
      <c r="L285" s="11">
        <f t="shared" si="25"/>
        <v>538.35</v>
      </c>
      <c r="M285" s="26">
        <v>0.22</v>
      </c>
      <c r="N285" s="11">
        <f t="shared" si="26"/>
        <v>118.43700000000001</v>
      </c>
      <c r="O285" s="11">
        <f t="shared" si="27"/>
        <v>0</v>
      </c>
      <c r="P285" s="11">
        <f t="shared" si="28"/>
        <v>0</v>
      </c>
      <c r="Q285" s="29">
        <f t="shared" si="29"/>
        <v>118.43700000000001</v>
      </c>
      <c r="R285" s="29">
        <f t="shared" si="30"/>
        <v>136.20255</v>
      </c>
      <c r="S285" t="s">
        <v>2369</v>
      </c>
    </row>
    <row r="286" spans="1:19">
      <c r="A286" s="9" t="s">
        <v>1723</v>
      </c>
      <c r="B286" t="s">
        <v>309</v>
      </c>
      <c r="C286" s="5" t="s">
        <v>311</v>
      </c>
      <c r="D286" s="5" t="s">
        <v>2365</v>
      </c>
      <c r="E286" s="5" t="s">
        <v>2366</v>
      </c>
      <c r="F286" s="25"/>
      <c r="I286" s="1">
        <v>600</v>
      </c>
      <c r="L286" s="11">
        <f t="shared" si="25"/>
        <v>600</v>
      </c>
      <c r="M286" s="26">
        <v>1</v>
      </c>
      <c r="N286" s="11">
        <f t="shared" si="26"/>
        <v>0</v>
      </c>
      <c r="O286" s="11">
        <f t="shared" si="27"/>
        <v>600</v>
      </c>
      <c r="P286" s="11">
        <f t="shared" si="28"/>
        <v>0</v>
      </c>
      <c r="Q286" s="29">
        <f t="shared" si="29"/>
        <v>600</v>
      </c>
      <c r="R286" s="29">
        <f t="shared" si="30"/>
        <v>690</v>
      </c>
      <c r="S286" t="s">
        <v>2371</v>
      </c>
    </row>
    <row r="287" spans="1:19">
      <c r="A287" s="9" t="s">
        <v>1473</v>
      </c>
      <c r="B287" t="s">
        <v>678</v>
      </c>
      <c r="C287" s="5" t="s">
        <v>680</v>
      </c>
      <c r="D287" s="5" t="s">
        <v>2213</v>
      </c>
      <c r="E287" s="5" t="s">
        <v>2214</v>
      </c>
      <c r="F287" s="25"/>
      <c r="H287" s="1">
        <v>3150</v>
      </c>
      <c r="L287" s="11">
        <f t="shared" si="25"/>
        <v>3150</v>
      </c>
      <c r="M287" s="26">
        <v>1</v>
      </c>
      <c r="N287" s="11">
        <f t="shared" si="26"/>
        <v>3150</v>
      </c>
      <c r="O287" s="11">
        <f t="shared" si="27"/>
        <v>0</v>
      </c>
      <c r="P287" s="11">
        <f t="shared" si="28"/>
        <v>0</v>
      </c>
      <c r="Q287" s="29">
        <f t="shared" si="29"/>
        <v>3150</v>
      </c>
      <c r="R287" s="29">
        <f t="shared" si="30"/>
        <v>3622.5</v>
      </c>
      <c r="S287" t="s">
        <v>2369</v>
      </c>
    </row>
    <row r="288" spans="1:19">
      <c r="A288" s="9" t="s">
        <v>1715</v>
      </c>
      <c r="B288" t="s">
        <v>270</v>
      </c>
      <c r="C288" s="5" t="s">
        <v>272</v>
      </c>
      <c r="D288" s="5" t="s">
        <v>2295</v>
      </c>
      <c r="E288" s="5" t="s">
        <v>2296</v>
      </c>
      <c r="F288" s="25"/>
      <c r="J288" s="1">
        <v>1198.8900000000001</v>
      </c>
      <c r="K288" s="1">
        <v>273.73</v>
      </c>
      <c r="L288" s="11">
        <f t="shared" si="25"/>
        <v>1472.6200000000001</v>
      </c>
      <c r="M288" s="26">
        <v>1</v>
      </c>
      <c r="N288" s="11">
        <f t="shared" si="26"/>
        <v>0</v>
      </c>
      <c r="O288" s="11">
        <f t="shared" si="27"/>
        <v>273.73</v>
      </c>
      <c r="P288" s="11">
        <f t="shared" si="28"/>
        <v>1198.8900000000001</v>
      </c>
      <c r="Q288" s="29">
        <f t="shared" si="29"/>
        <v>1472.6200000000001</v>
      </c>
      <c r="R288" s="29">
        <f t="shared" si="30"/>
        <v>1693.5130000000001</v>
      </c>
      <c r="S288" t="s">
        <v>2369</v>
      </c>
    </row>
    <row r="289" spans="1:19">
      <c r="A289" s="9" t="s">
        <v>1097</v>
      </c>
      <c r="B289" t="s">
        <v>60</v>
      </c>
      <c r="C289" s="5" t="s">
        <v>62</v>
      </c>
      <c r="D289" s="5" t="s">
        <v>1933</v>
      </c>
      <c r="E289" s="5" t="s">
        <v>1934</v>
      </c>
      <c r="F289" s="25"/>
      <c r="H289" s="1">
        <v>69501.22</v>
      </c>
      <c r="I289" s="1">
        <v>88269.95</v>
      </c>
      <c r="L289" s="11">
        <f t="shared" si="25"/>
        <v>157771.16999999998</v>
      </c>
      <c r="M289" s="26">
        <v>1</v>
      </c>
      <c r="N289" s="11">
        <f t="shared" si="26"/>
        <v>69501.22</v>
      </c>
      <c r="O289" s="11">
        <f t="shared" si="27"/>
        <v>88269.95</v>
      </c>
      <c r="P289" s="11">
        <f t="shared" si="28"/>
        <v>0</v>
      </c>
      <c r="Q289" s="29">
        <f t="shared" si="29"/>
        <v>157771.16999999998</v>
      </c>
      <c r="R289" s="29">
        <f t="shared" si="30"/>
        <v>181436.8455</v>
      </c>
      <c r="S289" t="s">
        <v>2371</v>
      </c>
    </row>
    <row r="290" spans="1:19">
      <c r="A290" s="9" t="s">
        <v>1715</v>
      </c>
      <c r="B290" t="s">
        <v>60</v>
      </c>
      <c r="C290" s="5" t="s">
        <v>62</v>
      </c>
      <c r="D290" s="5" t="s">
        <v>1933</v>
      </c>
      <c r="E290" s="5" t="s">
        <v>1934</v>
      </c>
      <c r="F290" s="25"/>
      <c r="H290" s="1">
        <v>45550.93</v>
      </c>
      <c r="J290" s="1">
        <v>35179.885000000002</v>
      </c>
      <c r="L290" s="11">
        <f t="shared" si="25"/>
        <v>80730.815000000002</v>
      </c>
      <c r="M290" s="26">
        <v>1</v>
      </c>
      <c r="N290" s="11">
        <f t="shared" si="26"/>
        <v>45550.93</v>
      </c>
      <c r="O290" s="11">
        <f t="shared" si="27"/>
        <v>0</v>
      </c>
      <c r="P290" s="11">
        <f t="shared" si="28"/>
        <v>35179.885000000002</v>
      </c>
      <c r="Q290" s="29">
        <f t="shared" si="29"/>
        <v>80730.815000000002</v>
      </c>
      <c r="R290" s="29">
        <f t="shared" si="30"/>
        <v>92840.437250000003</v>
      </c>
      <c r="S290" t="s">
        <v>2371</v>
      </c>
    </row>
    <row r="291" spans="1:19">
      <c r="A291" s="9" t="s">
        <v>1723</v>
      </c>
      <c r="B291" t="s">
        <v>60</v>
      </c>
      <c r="C291" s="5" t="s">
        <v>62</v>
      </c>
      <c r="D291" s="5" t="s">
        <v>1933</v>
      </c>
      <c r="E291" s="5" t="s">
        <v>1934</v>
      </c>
      <c r="F291" s="25"/>
      <c r="H291" s="1">
        <v>795004.16</v>
      </c>
      <c r="I291" s="1">
        <v>423893.69</v>
      </c>
      <c r="L291" s="11">
        <f t="shared" si="25"/>
        <v>1218897.8500000001</v>
      </c>
      <c r="M291" s="26">
        <v>1</v>
      </c>
      <c r="N291" s="11">
        <f t="shared" si="26"/>
        <v>795004.16</v>
      </c>
      <c r="O291" s="11">
        <f t="shared" si="27"/>
        <v>423893.69</v>
      </c>
      <c r="P291" s="11">
        <f t="shared" si="28"/>
        <v>0</v>
      </c>
      <c r="Q291" s="29">
        <f t="shared" si="29"/>
        <v>1218897.8500000001</v>
      </c>
      <c r="R291" s="29">
        <f t="shared" si="30"/>
        <v>1401732.5275000001</v>
      </c>
      <c r="S291" t="s">
        <v>2371</v>
      </c>
    </row>
    <row r="292" spans="1:19">
      <c r="A292" s="9" t="s">
        <v>1883</v>
      </c>
      <c r="B292" t="s">
        <v>60</v>
      </c>
      <c r="C292" s="5" t="s">
        <v>62</v>
      </c>
      <c r="D292" s="5" t="s">
        <v>1933</v>
      </c>
      <c r="E292" s="5" t="s">
        <v>1934</v>
      </c>
      <c r="F292" s="25"/>
      <c r="H292" s="1">
        <v>66847.47</v>
      </c>
      <c r="I292" s="1">
        <v>626082.14</v>
      </c>
      <c r="L292" s="11">
        <f t="shared" si="25"/>
        <v>692929.61</v>
      </c>
      <c r="M292" s="26">
        <v>1</v>
      </c>
      <c r="N292" s="11">
        <f t="shared" si="26"/>
        <v>66847.47</v>
      </c>
      <c r="O292" s="11">
        <f t="shared" si="27"/>
        <v>626082.14</v>
      </c>
      <c r="P292" s="11">
        <f t="shared" si="28"/>
        <v>0</v>
      </c>
      <c r="Q292" s="29">
        <f t="shared" si="29"/>
        <v>692929.61</v>
      </c>
      <c r="R292" s="29">
        <f t="shared" si="30"/>
        <v>796869.05149999994</v>
      </c>
      <c r="S292" t="s">
        <v>2371</v>
      </c>
    </row>
    <row r="293" spans="1:19">
      <c r="A293" s="9" t="s">
        <v>1885</v>
      </c>
      <c r="B293" t="s">
        <v>60</v>
      </c>
      <c r="C293" s="5" t="s">
        <v>62</v>
      </c>
      <c r="D293" s="5" t="s">
        <v>1933</v>
      </c>
      <c r="E293" s="5" t="s">
        <v>1934</v>
      </c>
      <c r="F293" s="25"/>
      <c r="J293" s="1">
        <v>4161.6000000000004</v>
      </c>
      <c r="L293" s="11">
        <f t="shared" si="25"/>
        <v>4161.6000000000004</v>
      </c>
      <c r="M293" s="26">
        <v>1</v>
      </c>
      <c r="N293" s="11">
        <f t="shared" si="26"/>
        <v>0</v>
      </c>
      <c r="O293" s="11">
        <f t="shared" si="27"/>
        <v>0</v>
      </c>
      <c r="P293" s="11">
        <f t="shared" si="28"/>
        <v>4161.6000000000004</v>
      </c>
      <c r="Q293" s="29">
        <f t="shared" si="29"/>
        <v>4161.6000000000004</v>
      </c>
      <c r="R293" s="29">
        <f t="shared" si="30"/>
        <v>4785.84</v>
      </c>
      <c r="S293" t="s">
        <v>2371</v>
      </c>
    </row>
    <row r="294" spans="1:19">
      <c r="A294" s="9" t="s">
        <v>1473</v>
      </c>
      <c r="B294" t="s">
        <v>1589</v>
      </c>
      <c r="C294" s="5" t="s">
        <v>1591</v>
      </c>
      <c r="D294" s="5" t="s">
        <v>2128</v>
      </c>
      <c r="E294" s="5" t="s">
        <v>2129</v>
      </c>
      <c r="F294" s="25"/>
      <c r="J294" s="1">
        <v>556.79999999999995</v>
      </c>
      <c r="L294" s="11">
        <f t="shared" si="25"/>
        <v>556.79999999999995</v>
      </c>
      <c r="M294" s="26">
        <v>1</v>
      </c>
      <c r="N294" s="11">
        <f t="shared" si="26"/>
        <v>0</v>
      </c>
      <c r="O294" s="11">
        <f t="shared" si="27"/>
        <v>0</v>
      </c>
      <c r="P294" s="11">
        <f t="shared" si="28"/>
        <v>556.79999999999995</v>
      </c>
      <c r="Q294" s="29">
        <f t="shared" si="29"/>
        <v>556.79999999999995</v>
      </c>
      <c r="R294" s="29">
        <f t="shared" si="30"/>
        <v>640.31999999999994</v>
      </c>
      <c r="S294" t="s">
        <v>2369</v>
      </c>
    </row>
    <row r="295" spans="1:19">
      <c r="A295" s="9" t="s">
        <v>1473</v>
      </c>
      <c r="B295" t="s">
        <v>1667</v>
      </c>
      <c r="C295" s="5" t="s">
        <v>1669</v>
      </c>
      <c r="D295" s="5" t="s">
        <v>2185</v>
      </c>
      <c r="E295" s="5" t="s">
        <v>2186</v>
      </c>
      <c r="F295" s="25"/>
      <c r="J295" s="1">
        <v>439.17</v>
      </c>
      <c r="L295" s="11">
        <f t="shared" si="25"/>
        <v>439.17</v>
      </c>
      <c r="M295" s="26">
        <v>1</v>
      </c>
      <c r="N295" s="11">
        <f t="shared" si="26"/>
        <v>0</v>
      </c>
      <c r="O295" s="11">
        <f t="shared" si="27"/>
        <v>0</v>
      </c>
      <c r="P295" s="11">
        <f t="shared" si="28"/>
        <v>439.17</v>
      </c>
      <c r="Q295" s="29">
        <f t="shared" si="29"/>
        <v>439.17</v>
      </c>
      <c r="R295" s="29">
        <f t="shared" si="30"/>
        <v>505.0455</v>
      </c>
      <c r="S295" t="s">
        <v>2369</v>
      </c>
    </row>
    <row r="296" spans="1:19">
      <c r="A296" s="9" t="s">
        <v>1473</v>
      </c>
      <c r="B296" t="s">
        <v>1535</v>
      </c>
      <c r="C296" s="5" t="s">
        <v>1537</v>
      </c>
      <c r="D296" s="5" t="s">
        <v>2086</v>
      </c>
      <c r="E296" s="5" t="s">
        <v>2087</v>
      </c>
      <c r="F296" s="25"/>
      <c r="H296" s="1">
        <v>11049.5</v>
      </c>
      <c r="J296" s="1">
        <v>374.70499999999998</v>
      </c>
      <c r="L296" s="11">
        <f t="shared" si="25"/>
        <v>11424.205</v>
      </c>
      <c r="M296" s="26">
        <v>1</v>
      </c>
      <c r="N296" s="11">
        <f t="shared" si="26"/>
        <v>11049.5</v>
      </c>
      <c r="O296" s="11">
        <f t="shared" si="27"/>
        <v>0</v>
      </c>
      <c r="P296" s="11">
        <f t="shared" si="28"/>
        <v>374.70499999999998</v>
      </c>
      <c r="Q296" s="29">
        <f t="shared" si="29"/>
        <v>11424.205</v>
      </c>
      <c r="R296" s="29">
        <f t="shared" si="30"/>
        <v>13137.83575</v>
      </c>
      <c r="S296" t="s">
        <v>2369</v>
      </c>
    </row>
    <row r="297" spans="1:19">
      <c r="A297" s="9" t="s">
        <v>1715</v>
      </c>
      <c r="B297" t="s">
        <v>252</v>
      </c>
      <c r="C297" s="5" t="s">
        <v>254</v>
      </c>
      <c r="D297" s="5" t="s">
        <v>1942</v>
      </c>
      <c r="E297" s="5" t="s">
        <v>2263</v>
      </c>
      <c r="F297" s="25"/>
      <c r="H297" s="1">
        <v>0</v>
      </c>
      <c r="J297" s="1">
        <v>9741.56</v>
      </c>
      <c r="K297" s="1">
        <v>2431.0500000000002</v>
      </c>
      <c r="L297" s="11">
        <f t="shared" si="25"/>
        <v>12172.61</v>
      </c>
      <c r="M297" s="26">
        <v>1</v>
      </c>
      <c r="N297" s="11">
        <f t="shared" si="26"/>
        <v>0</v>
      </c>
      <c r="O297" s="11">
        <f t="shared" si="27"/>
        <v>2431.0500000000002</v>
      </c>
      <c r="P297" s="11">
        <f t="shared" si="28"/>
        <v>9741.56</v>
      </c>
      <c r="Q297" s="29">
        <f t="shared" si="29"/>
        <v>12172.61</v>
      </c>
      <c r="R297" s="29">
        <f t="shared" si="30"/>
        <v>13998.5015</v>
      </c>
      <c r="S297" t="s">
        <v>2370</v>
      </c>
    </row>
    <row r="298" spans="1:19">
      <c r="A298" s="9" t="s">
        <v>1723</v>
      </c>
      <c r="B298" t="s">
        <v>252</v>
      </c>
      <c r="C298" s="5" t="s">
        <v>254</v>
      </c>
      <c r="D298" s="5" t="s">
        <v>1942</v>
      </c>
      <c r="E298" s="5" t="s">
        <v>2263</v>
      </c>
      <c r="F298" s="25"/>
      <c r="H298" s="1">
        <v>9813.09</v>
      </c>
      <c r="I298" s="1">
        <v>10239.23</v>
      </c>
      <c r="L298" s="11">
        <f t="shared" si="25"/>
        <v>20052.32</v>
      </c>
      <c r="M298" s="26">
        <v>1</v>
      </c>
      <c r="N298" s="11">
        <f t="shared" si="26"/>
        <v>9813.09</v>
      </c>
      <c r="O298" s="11">
        <f t="shared" si="27"/>
        <v>10239.23</v>
      </c>
      <c r="P298" s="11">
        <f t="shared" si="28"/>
        <v>0</v>
      </c>
      <c r="Q298" s="29">
        <f t="shared" si="29"/>
        <v>20052.32</v>
      </c>
      <c r="R298" s="29">
        <f t="shared" si="30"/>
        <v>23060.167999999998</v>
      </c>
      <c r="S298" t="s">
        <v>2370</v>
      </c>
    </row>
    <row r="299" spans="1:19">
      <c r="A299" s="9" t="s">
        <v>1473</v>
      </c>
      <c r="B299" t="s">
        <v>492</v>
      </c>
      <c r="C299" s="5" t="s">
        <v>494</v>
      </c>
      <c r="D299" s="5" t="s">
        <v>2084</v>
      </c>
      <c r="E299" s="5" t="s">
        <v>2085</v>
      </c>
      <c r="F299" s="25"/>
      <c r="J299" s="1">
        <v>385.28</v>
      </c>
      <c r="L299" s="11">
        <f t="shared" si="25"/>
        <v>385.28</v>
      </c>
      <c r="M299" s="26">
        <v>1</v>
      </c>
      <c r="N299" s="11">
        <f t="shared" si="26"/>
        <v>0</v>
      </c>
      <c r="O299" s="11">
        <f t="shared" si="27"/>
        <v>0</v>
      </c>
      <c r="P299" s="11">
        <f t="shared" si="28"/>
        <v>385.28</v>
      </c>
      <c r="Q299" s="29">
        <f t="shared" si="29"/>
        <v>385.28</v>
      </c>
      <c r="R299" s="29">
        <f t="shared" si="30"/>
        <v>443.07199999999995</v>
      </c>
      <c r="S299" t="s">
        <v>2372</v>
      </c>
    </row>
    <row r="300" spans="1:19">
      <c r="A300" s="9" t="s">
        <v>1715</v>
      </c>
      <c r="B300" t="s">
        <v>492</v>
      </c>
      <c r="C300" s="5" t="s">
        <v>494</v>
      </c>
      <c r="D300" s="5" t="s">
        <v>2084</v>
      </c>
      <c r="E300" s="5" t="s">
        <v>2085</v>
      </c>
      <c r="F300" s="25"/>
      <c r="H300" s="1">
        <v>262</v>
      </c>
      <c r="I300" s="1">
        <v>8621.39</v>
      </c>
      <c r="J300" s="1">
        <v>23718.33</v>
      </c>
      <c r="L300" s="11">
        <f t="shared" si="25"/>
        <v>32601.72</v>
      </c>
      <c r="M300" s="26">
        <v>1</v>
      </c>
      <c r="N300" s="11">
        <f t="shared" si="26"/>
        <v>262</v>
      </c>
      <c r="O300" s="11">
        <f t="shared" si="27"/>
        <v>8621.39</v>
      </c>
      <c r="P300" s="11">
        <f t="shared" si="28"/>
        <v>23718.33</v>
      </c>
      <c r="Q300" s="29">
        <f t="shared" si="29"/>
        <v>32601.72</v>
      </c>
      <c r="R300" s="29">
        <f t="shared" si="30"/>
        <v>37491.978000000003</v>
      </c>
      <c r="S300" t="s">
        <v>2372</v>
      </c>
    </row>
    <row r="301" spans="1:19">
      <c r="A301" s="9" t="s">
        <v>1723</v>
      </c>
      <c r="B301" t="s">
        <v>492</v>
      </c>
      <c r="C301" s="5" t="s">
        <v>494</v>
      </c>
      <c r="D301" s="5" t="s">
        <v>2084</v>
      </c>
      <c r="E301" s="5" t="s">
        <v>2085</v>
      </c>
      <c r="F301" s="25"/>
      <c r="H301" s="1">
        <v>237.55</v>
      </c>
      <c r="I301" s="1">
        <v>69741.820000000007</v>
      </c>
      <c r="L301" s="11">
        <f t="shared" si="25"/>
        <v>69979.37000000001</v>
      </c>
      <c r="M301" s="26">
        <v>1</v>
      </c>
      <c r="N301" s="11">
        <f t="shared" si="26"/>
        <v>237.55</v>
      </c>
      <c r="O301" s="11">
        <f t="shared" si="27"/>
        <v>69741.820000000007</v>
      </c>
      <c r="P301" s="11">
        <f t="shared" si="28"/>
        <v>0</v>
      </c>
      <c r="Q301" s="29">
        <f t="shared" si="29"/>
        <v>69979.37000000001</v>
      </c>
      <c r="R301" s="29">
        <f t="shared" si="30"/>
        <v>80476.275500000018</v>
      </c>
      <c r="S301" t="s">
        <v>2372</v>
      </c>
    </row>
    <row r="302" spans="1:19">
      <c r="A302" s="9" t="s">
        <v>1473</v>
      </c>
      <c r="B302" t="s">
        <v>1673</v>
      </c>
      <c r="C302" s="5" t="s">
        <v>1675</v>
      </c>
      <c r="D302" s="5" t="s">
        <v>2189</v>
      </c>
      <c r="E302" s="5" t="s">
        <v>2190</v>
      </c>
      <c r="F302" s="25"/>
      <c r="H302" s="1">
        <v>5089.5</v>
      </c>
      <c r="L302" s="11">
        <f t="shared" si="25"/>
        <v>5089.5</v>
      </c>
      <c r="M302" s="26">
        <v>1</v>
      </c>
      <c r="N302" s="11">
        <f t="shared" si="26"/>
        <v>5089.5</v>
      </c>
      <c r="O302" s="11">
        <f t="shared" si="27"/>
        <v>0</v>
      </c>
      <c r="P302" s="11">
        <f t="shared" si="28"/>
        <v>0</v>
      </c>
      <c r="Q302" s="29">
        <f t="shared" si="29"/>
        <v>5089.5</v>
      </c>
      <c r="R302" s="29">
        <f t="shared" si="30"/>
        <v>5852.9250000000002</v>
      </c>
      <c r="S302" t="s">
        <v>2369</v>
      </c>
    </row>
    <row r="303" spans="1:19">
      <c r="A303" s="9" t="s">
        <v>1473</v>
      </c>
      <c r="B303" t="s">
        <v>1634</v>
      </c>
      <c r="C303" s="5" t="s">
        <v>1636</v>
      </c>
      <c r="D303" s="5" t="s">
        <v>2163</v>
      </c>
      <c r="E303" s="5" t="s">
        <v>2164</v>
      </c>
      <c r="F303" s="25"/>
      <c r="H303" s="1">
        <v>1060</v>
      </c>
      <c r="J303" s="1">
        <v>1767.655</v>
      </c>
      <c r="L303" s="11">
        <f t="shared" si="25"/>
        <v>2827.6549999999997</v>
      </c>
      <c r="M303" s="26">
        <v>1</v>
      </c>
      <c r="N303" s="11">
        <f t="shared" si="26"/>
        <v>1060</v>
      </c>
      <c r="O303" s="11">
        <f t="shared" si="27"/>
        <v>0</v>
      </c>
      <c r="P303" s="11">
        <f t="shared" si="28"/>
        <v>1767.655</v>
      </c>
      <c r="Q303" s="29">
        <f t="shared" si="29"/>
        <v>2827.6549999999997</v>
      </c>
      <c r="R303" s="29">
        <f t="shared" si="30"/>
        <v>3251.8032499999999</v>
      </c>
      <c r="S303" t="s">
        <v>2369</v>
      </c>
    </row>
    <row r="304" spans="1:19">
      <c r="A304" s="9" t="s">
        <v>1473</v>
      </c>
      <c r="B304" t="s">
        <v>1712</v>
      </c>
      <c r="C304" s="5" t="s">
        <v>1714</v>
      </c>
      <c r="D304" s="5" t="s">
        <v>2219</v>
      </c>
      <c r="E304" s="5" t="s">
        <v>2220</v>
      </c>
      <c r="F304" s="25"/>
      <c r="J304" s="1">
        <v>732.94</v>
      </c>
      <c r="L304" s="11">
        <f t="shared" si="25"/>
        <v>732.94</v>
      </c>
      <c r="M304" s="26">
        <v>1</v>
      </c>
      <c r="N304" s="11">
        <f t="shared" si="26"/>
        <v>0</v>
      </c>
      <c r="O304" s="11">
        <f t="shared" si="27"/>
        <v>0</v>
      </c>
      <c r="P304" s="11">
        <f t="shared" si="28"/>
        <v>732.94</v>
      </c>
      <c r="Q304" s="29">
        <f t="shared" si="29"/>
        <v>732.94</v>
      </c>
      <c r="R304" s="29">
        <f t="shared" si="30"/>
        <v>842.88100000000009</v>
      </c>
      <c r="S304" t="s">
        <v>2369</v>
      </c>
    </row>
    <row r="305" spans="1:19">
      <c r="A305" s="9" t="s">
        <v>1715</v>
      </c>
      <c r="B305" t="s">
        <v>729</v>
      </c>
      <c r="C305" s="5" t="s">
        <v>731</v>
      </c>
      <c r="D305" s="5" t="s">
        <v>2325</v>
      </c>
      <c r="E305" s="5" t="s">
        <v>2326</v>
      </c>
      <c r="F305" s="25"/>
      <c r="J305" s="1">
        <v>1152.78</v>
      </c>
      <c r="L305" s="11">
        <f t="shared" si="25"/>
        <v>1152.78</v>
      </c>
      <c r="M305" s="26">
        <v>1</v>
      </c>
      <c r="N305" s="11">
        <f t="shared" si="26"/>
        <v>0</v>
      </c>
      <c r="O305" s="11">
        <f t="shared" si="27"/>
        <v>0</v>
      </c>
      <c r="P305" s="11">
        <f t="shared" si="28"/>
        <v>1152.78</v>
      </c>
      <c r="Q305" s="29">
        <f t="shared" si="29"/>
        <v>1152.78</v>
      </c>
      <c r="R305" s="29">
        <f t="shared" si="30"/>
        <v>1325.6969999999999</v>
      </c>
      <c r="S305" t="s">
        <v>2370</v>
      </c>
    </row>
    <row r="306" spans="1:19">
      <c r="A306" s="9" t="s">
        <v>1723</v>
      </c>
      <c r="B306" t="s">
        <v>729</v>
      </c>
      <c r="C306" s="5" t="s">
        <v>731</v>
      </c>
      <c r="D306" s="5" t="s">
        <v>2325</v>
      </c>
      <c r="E306" s="5" t="s">
        <v>2326</v>
      </c>
      <c r="F306" s="25"/>
      <c r="H306" s="1">
        <v>0</v>
      </c>
      <c r="I306" s="1">
        <v>1953.59</v>
      </c>
      <c r="L306" s="11">
        <f t="shared" si="25"/>
        <v>1953.59</v>
      </c>
      <c r="M306" s="26">
        <v>1</v>
      </c>
      <c r="N306" s="11">
        <f t="shared" si="26"/>
        <v>0</v>
      </c>
      <c r="O306" s="11">
        <f t="shared" si="27"/>
        <v>1953.59</v>
      </c>
      <c r="P306" s="11">
        <f t="shared" si="28"/>
        <v>0</v>
      </c>
      <c r="Q306" s="29">
        <f t="shared" si="29"/>
        <v>1953.59</v>
      </c>
      <c r="R306" s="29">
        <f t="shared" si="30"/>
        <v>2246.6284999999998</v>
      </c>
      <c r="S306" t="s">
        <v>2370</v>
      </c>
    </row>
    <row r="307" spans="1:19">
      <c r="A307" s="9" t="s">
        <v>1097</v>
      </c>
      <c r="B307" t="s">
        <v>594</v>
      </c>
      <c r="C307" s="5" t="s">
        <v>596</v>
      </c>
      <c r="D307" s="5" t="s">
        <v>1955</v>
      </c>
      <c r="E307" s="5" t="s">
        <v>1956</v>
      </c>
      <c r="F307" s="25"/>
      <c r="H307" s="1">
        <v>139884.32</v>
      </c>
      <c r="L307" s="11">
        <f t="shared" si="25"/>
        <v>139884.32</v>
      </c>
      <c r="M307" s="26">
        <v>1</v>
      </c>
      <c r="N307" s="11">
        <f t="shared" si="26"/>
        <v>139884.32</v>
      </c>
      <c r="O307" s="11">
        <f t="shared" si="27"/>
        <v>0</v>
      </c>
      <c r="P307" s="11">
        <f t="shared" si="28"/>
        <v>0</v>
      </c>
      <c r="Q307" s="29">
        <f t="shared" si="29"/>
        <v>139884.32</v>
      </c>
      <c r="R307" s="29">
        <f t="shared" si="30"/>
        <v>160866.96799999999</v>
      </c>
      <c r="S307" t="s">
        <v>2371</v>
      </c>
    </row>
    <row r="308" spans="1:19">
      <c r="A308" s="9" t="s">
        <v>1715</v>
      </c>
      <c r="B308" t="s">
        <v>594</v>
      </c>
      <c r="C308" s="5" t="s">
        <v>596</v>
      </c>
      <c r="D308" s="5" t="s">
        <v>1955</v>
      </c>
      <c r="E308" s="5" t="s">
        <v>1956</v>
      </c>
      <c r="F308" s="25"/>
      <c r="J308" s="1">
        <v>353.12</v>
      </c>
      <c r="L308" s="11">
        <f t="shared" si="25"/>
        <v>353.12</v>
      </c>
      <c r="M308" s="26">
        <v>1</v>
      </c>
      <c r="N308" s="11">
        <f t="shared" si="26"/>
        <v>0</v>
      </c>
      <c r="O308" s="11">
        <f t="shared" si="27"/>
        <v>0</v>
      </c>
      <c r="P308" s="11">
        <f t="shared" si="28"/>
        <v>353.12</v>
      </c>
      <c r="Q308" s="29">
        <f t="shared" si="29"/>
        <v>353.12</v>
      </c>
      <c r="R308" s="29">
        <f t="shared" si="30"/>
        <v>406.08800000000002</v>
      </c>
      <c r="S308" t="s">
        <v>2371</v>
      </c>
    </row>
    <row r="309" spans="1:19">
      <c r="A309" s="9" t="s">
        <v>1473</v>
      </c>
      <c r="B309" t="s">
        <v>1619</v>
      </c>
      <c r="C309" s="5" t="s">
        <v>1621</v>
      </c>
      <c r="D309" s="5" t="s">
        <v>2150</v>
      </c>
      <c r="E309" s="5" t="s">
        <v>2151</v>
      </c>
      <c r="F309" s="25"/>
      <c r="H309" s="1">
        <v>19738.68</v>
      </c>
      <c r="L309" s="11">
        <f t="shared" si="25"/>
        <v>19738.68</v>
      </c>
      <c r="M309" s="26">
        <v>1</v>
      </c>
      <c r="N309" s="11">
        <f t="shared" si="26"/>
        <v>19738.68</v>
      </c>
      <c r="O309" s="11">
        <f t="shared" si="27"/>
        <v>0</v>
      </c>
      <c r="P309" s="11">
        <f t="shared" si="28"/>
        <v>0</v>
      </c>
      <c r="Q309" s="29">
        <f t="shared" si="29"/>
        <v>19738.68</v>
      </c>
      <c r="R309" s="29">
        <f t="shared" si="30"/>
        <v>22699.482</v>
      </c>
      <c r="S309" t="s">
        <v>2369</v>
      </c>
    </row>
    <row r="310" spans="1:19">
      <c r="A310" s="9" t="s">
        <v>1715</v>
      </c>
      <c r="B310" t="s">
        <v>333</v>
      </c>
      <c r="C310" s="5" t="s">
        <v>335</v>
      </c>
      <c r="D310" s="5" t="s">
        <v>2290</v>
      </c>
      <c r="E310" s="5" t="s">
        <v>2291</v>
      </c>
      <c r="F310" s="25"/>
      <c r="J310" s="1">
        <v>3881.05</v>
      </c>
      <c r="L310" s="11">
        <f t="shared" si="25"/>
        <v>3881.05</v>
      </c>
      <c r="M310" s="26">
        <v>1</v>
      </c>
      <c r="N310" s="11">
        <f t="shared" si="26"/>
        <v>0</v>
      </c>
      <c r="O310" s="11">
        <f t="shared" si="27"/>
        <v>0</v>
      </c>
      <c r="P310" s="11">
        <f t="shared" si="28"/>
        <v>3881.05</v>
      </c>
      <c r="Q310" s="29">
        <f t="shared" si="29"/>
        <v>3881.05</v>
      </c>
      <c r="R310" s="29">
        <f t="shared" si="30"/>
        <v>4463.2075000000004</v>
      </c>
      <c r="S310" t="s">
        <v>2369</v>
      </c>
    </row>
    <row r="311" spans="1:19">
      <c r="A311" s="9" t="s">
        <v>1723</v>
      </c>
      <c r="B311" t="s">
        <v>333</v>
      </c>
      <c r="C311" s="5" t="s">
        <v>335</v>
      </c>
      <c r="D311" s="5" t="s">
        <v>2290</v>
      </c>
      <c r="E311" s="5" t="s">
        <v>2291</v>
      </c>
      <c r="F311" s="25"/>
      <c r="H311" s="1">
        <v>2496</v>
      </c>
      <c r="I311" s="1">
        <v>5433.98</v>
      </c>
      <c r="L311" s="11">
        <f t="shared" si="25"/>
        <v>7929.98</v>
      </c>
      <c r="M311" s="26">
        <v>1</v>
      </c>
      <c r="N311" s="11">
        <f t="shared" si="26"/>
        <v>2496</v>
      </c>
      <c r="O311" s="11">
        <f t="shared" si="27"/>
        <v>5433.98</v>
      </c>
      <c r="P311" s="11">
        <f t="shared" si="28"/>
        <v>0</v>
      </c>
      <c r="Q311" s="29">
        <f t="shared" si="29"/>
        <v>7929.98</v>
      </c>
      <c r="R311" s="29">
        <f t="shared" si="30"/>
        <v>9119.476999999999</v>
      </c>
      <c r="S311" t="s">
        <v>2369</v>
      </c>
    </row>
    <row r="312" spans="1:19">
      <c r="A312" s="9" t="s">
        <v>1399</v>
      </c>
      <c r="B312" t="s">
        <v>1401</v>
      </c>
      <c r="C312" s="5" t="s">
        <v>1403</v>
      </c>
      <c r="D312" s="5" t="s">
        <v>1977</v>
      </c>
      <c r="E312" s="5" t="s">
        <v>1978</v>
      </c>
      <c r="F312" s="25"/>
      <c r="H312" s="1">
        <v>14734.72</v>
      </c>
      <c r="L312" s="11">
        <f t="shared" si="25"/>
        <v>14734.72</v>
      </c>
      <c r="M312" s="26">
        <v>1</v>
      </c>
      <c r="N312" s="11">
        <f t="shared" si="26"/>
        <v>14734.72</v>
      </c>
      <c r="O312" s="11">
        <f t="shared" si="27"/>
        <v>0</v>
      </c>
      <c r="P312" s="11">
        <f t="shared" si="28"/>
        <v>0</v>
      </c>
      <c r="Q312" s="29">
        <f t="shared" si="29"/>
        <v>14734.72</v>
      </c>
      <c r="R312" s="29">
        <f t="shared" si="30"/>
        <v>16944.928</v>
      </c>
      <c r="S312" t="s">
        <v>2369</v>
      </c>
    </row>
    <row r="313" spans="1:19">
      <c r="A313" s="9" t="s">
        <v>1715</v>
      </c>
      <c r="B313" t="s">
        <v>84</v>
      </c>
      <c r="C313" s="5" t="s">
        <v>86</v>
      </c>
      <c r="D313" s="5" t="s">
        <v>2268</v>
      </c>
      <c r="E313" s="5" t="s">
        <v>2269</v>
      </c>
      <c r="F313" s="25"/>
      <c r="I313" s="1">
        <v>1940.64</v>
      </c>
      <c r="J313" s="1">
        <v>31327.73</v>
      </c>
      <c r="K313" s="1">
        <v>4778.6400000000003</v>
      </c>
      <c r="L313" s="11">
        <f t="shared" si="25"/>
        <v>38047.01</v>
      </c>
      <c r="M313" s="26">
        <v>1</v>
      </c>
      <c r="N313" s="11">
        <f t="shared" si="26"/>
        <v>0</v>
      </c>
      <c r="O313" s="11">
        <f t="shared" si="27"/>
        <v>6719.2800000000007</v>
      </c>
      <c r="P313" s="11">
        <f t="shared" si="28"/>
        <v>31327.73</v>
      </c>
      <c r="Q313" s="29">
        <f t="shared" si="29"/>
        <v>38047.01</v>
      </c>
      <c r="R313" s="29">
        <f t="shared" si="30"/>
        <v>43754.061500000003</v>
      </c>
      <c r="S313" t="s">
        <v>2370</v>
      </c>
    </row>
    <row r="314" spans="1:19">
      <c r="A314" s="9" t="s">
        <v>1723</v>
      </c>
      <c r="B314" t="s">
        <v>84</v>
      </c>
      <c r="C314" s="5" t="s">
        <v>86</v>
      </c>
      <c r="D314" s="5" t="s">
        <v>2268</v>
      </c>
      <c r="E314" s="5" t="s">
        <v>2269</v>
      </c>
      <c r="F314" s="25"/>
      <c r="H314" s="1">
        <v>20323.86</v>
      </c>
      <c r="I314" s="1">
        <v>7902.55</v>
      </c>
      <c r="L314" s="11">
        <f t="shared" si="25"/>
        <v>28226.41</v>
      </c>
      <c r="M314" s="26">
        <v>1</v>
      </c>
      <c r="N314" s="11">
        <f t="shared" si="26"/>
        <v>20323.86</v>
      </c>
      <c r="O314" s="11">
        <f t="shared" si="27"/>
        <v>7902.55</v>
      </c>
      <c r="P314" s="11">
        <f t="shared" si="28"/>
        <v>0</v>
      </c>
      <c r="Q314" s="29">
        <f t="shared" si="29"/>
        <v>28226.41</v>
      </c>
      <c r="R314" s="29">
        <f t="shared" si="30"/>
        <v>32460.371500000001</v>
      </c>
      <c r="S314" t="s">
        <v>2370</v>
      </c>
    </row>
    <row r="315" spans="1:19">
      <c r="A315" s="9" t="s">
        <v>1715</v>
      </c>
      <c r="B315" t="s">
        <v>84</v>
      </c>
      <c r="C315" s="5" t="s">
        <v>86</v>
      </c>
      <c r="D315" s="5" t="s">
        <v>2268</v>
      </c>
      <c r="E315" s="5" t="s">
        <v>2269</v>
      </c>
      <c r="F315" s="25"/>
      <c r="J315" s="1">
        <v>227.8</v>
      </c>
      <c r="L315" s="11">
        <f t="shared" si="25"/>
        <v>227.8</v>
      </c>
      <c r="M315" s="26">
        <v>1</v>
      </c>
      <c r="N315" s="11">
        <f t="shared" si="26"/>
        <v>0</v>
      </c>
      <c r="O315" s="11">
        <f t="shared" si="27"/>
        <v>0</v>
      </c>
      <c r="P315" s="11">
        <f t="shared" si="28"/>
        <v>227.8</v>
      </c>
      <c r="Q315" s="29">
        <f t="shared" si="29"/>
        <v>227.8</v>
      </c>
      <c r="R315" s="29">
        <f t="shared" si="30"/>
        <v>261.97000000000003</v>
      </c>
      <c r="S315" t="s">
        <v>2370</v>
      </c>
    </row>
    <row r="316" spans="1:19">
      <c r="A316" s="9" t="s">
        <v>1715</v>
      </c>
      <c r="B316" t="s">
        <v>255</v>
      </c>
      <c r="C316" s="5" t="s">
        <v>257</v>
      </c>
      <c r="D316" s="5" t="s">
        <v>2315</v>
      </c>
      <c r="E316" s="5" t="s">
        <v>2316</v>
      </c>
      <c r="F316" s="25"/>
      <c r="J316" s="1">
        <v>140.96</v>
      </c>
      <c r="L316" s="11">
        <f t="shared" si="25"/>
        <v>140.96</v>
      </c>
      <c r="M316" s="26">
        <v>1</v>
      </c>
      <c r="N316" s="11">
        <f t="shared" si="26"/>
        <v>0</v>
      </c>
      <c r="O316" s="11">
        <f t="shared" si="27"/>
        <v>0</v>
      </c>
      <c r="P316" s="11">
        <f t="shared" si="28"/>
        <v>140.96</v>
      </c>
      <c r="Q316" s="29">
        <f t="shared" si="29"/>
        <v>140.96</v>
      </c>
      <c r="R316" s="29">
        <f t="shared" si="30"/>
        <v>162.10400000000001</v>
      </c>
      <c r="S316" t="s">
        <v>2369</v>
      </c>
    </row>
    <row r="317" spans="1:19">
      <c r="A317" s="9" t="s">
        <v>1715</v>
      </c>
      <c r="B317" t="s">
        <v>1446</v>
      </c>
      <c r="C317" s="5" t="s">
        <v>1448</v>
      </c>
      <c r="D317" s="5" t="s">
        <v>2013</v>
      </c>
      <c r="E317" s="5" t="s">
        <v>2014</v>
      </c>
      <c r="F317" s="25"/>
      <c r="J317" s="1">
        <v>425.97</v>
      </c>
      <c r="K317" s="1">
        <v>35.75</v>
      </c>
      <c r="L317" s="11">
        <f t="shared" si="25"/>
        <v>461.72</v>
      </c>
      <c r="M317" s="26">
        <v>1</v>
      </c>
      <c r="N317" s="11">
        <f t="shared" si="26"/>
        <v>0</v>
      </c>
      <c r="O317" s="11">
        <f t="shared" si="27"/>
        <v>35.75</v>
      </c>
      <c r="P317" s="11">
        <f t="shared" si="28"/>
        <v>425.97</v>
      </c>
      <c r="Q317" s="29">
        <f t="shared" si="29"/>
        <v>461.72</v>
      </c>
      <c r="R317" s="29">
        <f t="shared" si="30"/>
        <v>530.97800000000007</v>
      </c>
      <c r="S317" t="s">
        <v>2369</v>
      </c>
    </row>
    <row r="318" spans="1:19">
      <c r="A318" s="9" t="s">
        <v>1473</v>
      </c>
      <c r="B318" t="s">
        <v>1446</v>
      </c>
      <c r="C318" s="5" t="s">
        <v>1448</v>
      </c>
      <c r="D318" s="5" t="s">
        <v>2013</v>
      </c>
      <c r="E318" s="5" t="s">
        <v>2014</v>
      </c>
      <c r="F318" s="25"/>
      <c r="H318" s="1">
        <v>760</v>
      </c>
      <c r="L318" s="11">
        <f t="shared" si="25"/>
        <v>760</v>
      </c>
      <c r="M318" s="26">
        <v>1</v>
      </c>
      <c r="N318" s="11">
        <f t="shared" si="26"/>
        <v>760</v>
      </c>
      <c r="O318" s="11">
        <f t="shared" si="27"/>
        <v>0</v>
      </c>
      <c r="P318" s="11">
        <f t="shared" si="28"/>
        <v>0</v>
      </c>
      <c r="Q318" s="29">
        <f t="shared" si="29"/>
        <v>760</v>
      </c>
      <c r="R318" s="29">
        <f t="shared" si="30"/>
        <v>874</v>
      </c>
      <c r="S318" t="s">
        <v>2369</v>
      </c>
    </row>
    <row r="319" spans="1:19">
      <c r="A319" s="9" t="s">
        <v>1715</v>
      </c>
      <c r="B319" t="s">
        <v>1446</v>
      </c>
      <c r="C319" s="5" t="s">
        <v>1448</v>
      </c>
      <c r="D319" s="5" t="s">
        <v>2013</v>
      </c>
      <c r="E319" s="5" t="s">
        <v>2014</v>
      </c>
      <c r="F319" s="25"/>
      <c r="J319" s="1">
        <v>728.1</v>
      </c>
      <c r="K319" s="1">
        <v>83.05</v>
      </c>
      <c r="L319" s="11">
        <f t="shared" si="25"/>
        <v>811.15</v>
      </c>
      <c r="M319" s="26">
        <v>1</v>
      </c>
      <c r="N319" s="11">
        <f t="shared" si="26"/>
        <v>0</v>
      </c>
      <c r="O319" s="11">
        <f t="shared" si="27"/>
        <v>83.05</v>
      </c>
      <c r="P319" s="11">
        <f t="shared" si="28"/>
        <v>728.1</v>
      </c>
      <c r="Q319" s="29">
        <f t="shared" si="29"/>
        <v>811.15</v>
      </c>
      <c r="R319" s="29">
        <f t="shared" si="30"/>
        <v>932.82249999999999</v>
      </c>
      <c r="S319" t="s">
        <v>2369</v>
      </c>
    </row>
    <row r="320" spans="1:19">
      <c r="A320" s="9" t="s">
        <v>1723</v>
      </c>
      <c r="B320" t="s">
        <v>300</v>
      </c>
      <c r="C320" s="5" t="s">
        <v>302</v>
      </c>
      <c r="D320" s="5" t="s">
        <v>2342</v>
      </c>
      <c r="E320" s="5" t="s">
        <v>2343</v>
      </c>
      <c r="F320" s="25"/>
      <c r="H320" s="1">
        <v>103333.33</v>
      </c>
      <c r="L320" s="11">
        <f t="shared" si="25"/>
        <v>103333.33</v>
      </c>
      <c r="M320" s="26">
        <v>1</v>
      </c>
      <c r="N320" s="11">
        <f t="shared" si="26"/>
        <v>103333.33</v>
      </c>
      <c r="O320" s="11">
        <f t="shared" si="27"/>
        <v>0</v>
      </c>
      <c r="P320" s="11">
        <f t="shared" si="28"/>
        <v>0</v>
      </c>
      <c r="Q320" s="29">
        <f t="shared" si="29"/>
        <v>103333.33</v>
      </c>
      <c r="R320" s="29">
        <f t="shared" si="30"/>
        <v>118833.32950000001</v>
      </c>
      <c r="S320" t="s">
        <v>2369</v>
      </c>
    </row>
    <row r="321" spans="1:19">
      <c r="A321" s="9" t="s">
        <v>1097</v>
      </c>
      <c r="B321" t="s">
        <v>448</v>
      </c>
      <c r="C321" s="5" t="s">
        <v>450</v>
      </c>
      <c r="D321" s="5" t="s">
        <v>1949</v>
      </c>
      <c r="E321" s="5" t="s">
        <v>1950</v>
      </c>
      <c r="F321" s="25"/>
      <c r="H321" s="1">
        <v>33292.410000000003</v>
      </c>
      <c r="I321" s="1">
        <v>42058.42</v>
      </c>
      <c r="L321" s="11">
        <f t="shared" si="25"/>
        <v>75350.83</v>
      </c>
      <c r="M321" s="26">
        <v>1</v>
      </c>
      <c r="N321" s="11">
        <f t="shared" si="26"/>
        <v>33292.410000000003</v>
      </c>
      <c r="O321" s="11">
        <f t="shared" si="27"/>
        <v>42058.42</v>
      </c>
      <c r="P321" s="11">
        <f t="shared" si="28"/>
        <v>0</v>
      </c>
      <c r="Q321" s="29">
        <f t="shared" si="29"/>
        <v>75350.83</v>
      </c>
      <c r="R321" s="29">
        <f t="shared" si="30"/>
        <v>86653.454500000007</v>
      </c>
      <c r="S321" t="s">
        <v>2370</v>
      </c>
    </row>
    <row r="322" spans="1:19">
      <c r="A322" s="9" t="s">
        <v>1715</v>
      </c>
      <c r="B322" t="s">
        <v>448</v>
      </c>
      <c r="C322" s="5" t="s">
        <v>450</v>
      </c>
      <c r="D322" s="5" t="s">
        <v>1949</v>
      </c>
      <c r="E322" s="5" t="s">
        <v>1950</v>
      </c>
      <c r="F322" s="25"/>
      <c r="H322" s="1">
        <v>38063.980000000003</v>
      </c>
      <c r="I322" s="1">
        <v>6112.61</v>
      </c>
      <c r="J322" s="1">
        <v>8089.4849999999997</v>
      </c>
      <c r="K322" s="1">
        <v>807.2</v>
      </c>
      <c r="L322" s="11">
        <f t="shared" si="25"/>
        <v>53073.275000000001</v>
      </c>
      <c r="M322" s="26">
        <v>1</v>
      </c>
      <c r="N322" s="11">
        <f t="shared" si="26"/>
        <v>38063.980000000003</v>
      </c>
      <c r="O322" s="11">
        <f t="shared" si="27"/>
        <v>6919.8099999999995</v>
      </c>
      <c r="P322" s="11">
        <f t="shared" si="28"/>
        <v>8089.4849999999997</v>
      </c>
      <c r="Q322" s="29">
        <f t="shared" si="29"/>
        <v>53073.275000000001</v>
      </c>
      <c r="R322" s="29">
        <f t="shared" si="30"/>
        <v>61034.266250000001</v>
      </c>
      <c r="S322" t="s">
        <v>2370</v>
      </c>
    </row>
    <row r="323" spans="1:19">
      <c r="A323" s="9" t="s">
        <v>1723</v>
      </c>
      <c r="B323" t="s">
        <v>448</v>
      </c>
      <c r="C323" s="5" t="s">
        <v>450</v>
      </c>
      <c r="D323" s="5" t="s">
        <v>1949</v>
      </c>
      <c r="E323" s="5" t="s">
        <v>1950</v>
      </c>
      <c r="F323" s="25"/>
      <c r="H323" s="1">
        <v>27598.35</v>
      </c>
      <c r="L323" s="11">
        <f t="shared" si="25"/>
        <v>27598.35</v>
      </c>
      <c r="M323" s="26">
        <v>1</v>
      </c>
      <c r="N323" s="11">
        <f t="shared" si="26"/>
        <v>27598.35</v>
      </c>
      <c r="O323" s="11">
        <f t="shared" si="27"/>
        <v>0</v>
      </c>
      <c r="P323" s="11">
        <f t="shared" si="28"/>
        <v>0</v>
      </c>
      <c r="Q323" s="29">
        <f t="shared" si="29"/>
        <v>27598.35</v>
      </c>
      <c r="R323" s="29">
        <f t="shared" si="30"/>
        <v>31738.102499999997</v>
      </c>
      <c r="S323" t="s">
        <v>2370</v>
      </c>
    </row>
    <row r="324" spans="1:19">
      <c r="A324" s="9" t="s">
        <v>1473</v>
      </c>
      <c r="B324" t="s">
        <v>1529</v>
      </c>
      <c r="C324" s="5" t="s">
        <v>1531</v>
      </c>
      <c r="D324" s="5" t="s">
        <v>2078</v>
      </c>
      <c r="E324" s="5" t="s">
        <v>2079</v>
      </c>
      <c r="F324" s="25"/>
      <c r="H324" s="1">
        <v>5681.51</v>
      </c>
      <c r="L324" s="11">
        <f t="shared" si="25"/>
        <v>5681.51</v>
      </c>
      <c r="M324" s="26">
        <v>1</v>
      </c>
      <c r="N324" s="11">
        <f t="shared" si="26"/>
        <v>5681.51</v>
      </c>
      <c r="O324" s="11">
        <f t="shared" si="27"/>
        <v>0</v>
      </c>
      <c r="P324" s="11">
        <f t="shared" si="28"/>
        <v>0</v>
      </c>
      <c r="Q324" s="29">
        <f t="shared" si="29"/>
        <v>5681.51</v>
      </c>
      <c r="R324" s="29">
        <f t="shared" si="30"/>
        <v>6533.7365</v>
      </c>
      <c r="S324" t="s">
        <v>2369</v>
      </c>
    </row>
    <row r="325" spans="1:19">
      <c r="A325" s="9" t="s">
        <v>1715</v>
      </c>
      <c r="B325" t="s">
        <v>400</v>
      </c>
      <c r="C325" s="5" t="s">
        <v>402</v>
      </c>
      <c r="D325" s="5" t="s">
        <v>2307</v>
      </c>
      <c r="E325" s="5" t="s">
        <v>2308</v>
      </c>
      <c r="F325" s="25"/>
      <c r="H325" s="1">
        <v>5000</v>
      </c>
      <c r="L325" s="11">
        <f t="shared" si="25"/>
        <v>5000</v>
      </c>
      <c r="M325" s="26">
        <v>1</v>
      </c>
      <c r="N325" s="11">
        <f t="shared" si="26"/>
        <v>5000</v>
      </c>
      <c r="O325" s="11">
        <f t="shared" si="27"/>
        <v>0</v>
      </c>
      <c r="P325" s="11">
        <f t="shared" si="28"/>
        <v>0</v>
      </c>
      <c r="Q325" s="29">
        <f t="shared" si="29"/>
        <v>5000</v>
      </c>
      <c r="R325" s="29">
        <f t="shared" si="30"/>
        <v>5750</v>
      </c>
      <c r="S325" t="s">
        <v>2369</v>
      </c>
    </row>
    <row r="326" spans="1:19">
      <c r="A326" s="9" t="s">
        <v>1473</v>
      </c>
      <c r="B326" t="s">
        <v>1538</v>
      </c>
      <c r="C326" s="5" t="s">
        <v>1540</v>
      </c>
      <c r="D326" s="5" t="s">
        <v>2088</v>
      </c>
      <c r="E326" s="5" t="s">
        <v>2089</v>
      </c>
      <c r="F326" s="25"/>
      <c r="H326" s="1">
        <v>15537.3</v>
      </c>
      <c r="J326" s="1">
        <v>545.91999999999996</v>
      </c>
      <c r="L326" s="11">
        <f t="shared" si="25"/>
        <v>16083.22</v>
      </c>
      <c r="M326" s="26">
        <v>1</v>
      </c>
      <c r="N326" s="11">
        <f t="shared" si="26"/>
        <v>15537.3</v>
      </c>
      <c r="O326" s="11">
        <f t="shared" si="27"/>
        <v>0</v>
      </c>
      <c r="P326" s="11">
        <f t="shared" si="28"/>
        <v>545.91999999999996</v>
      </c>
      <c r="Q326" s="29">
        <f t="shared" si="29"/>
        <v>16083.22</v>
      </c>
      <c r="R326" s="29">
        <f t="shared" si="30"/>
        <v>18495.702999999998</v>
      </c>
      <c r="S326" t="s">
        <v>2369</v>
      </c>
    </row>
    <row r="327" spans="1:19">
      <c r="A327" s="9" t="s">
        <v>1399</v>
      </c>
      <c r="B327" t="s">
        <v>1422</v>
      </c>
      <c r="C327" s="5" t="s">
        <v>1424</v>
      </c>
      <c r="D327" s="5" t="s">
        <v>1993</v>
      </c>
      <c r="E327" s="5" t="s">
        <v>1994</v>
      </c>
      <c r="F327" s="25"/>
      <c r="J327" s="1">
        <v>71</v>
      </c>
      <c r="L327" s="11">
        <f t="shared" ref="L327:L347" si="31">SUM(H327:K327)</f>
        <v>71</v>
      </c>
      <c r="M327" s="26">
        <v>1</v>
      </c>
      <c r="N327" s="11">
        <f t="shared" ref="N327:N347" si="32">+H327*M327</f>
        <v>0</v>
      </c>
      <c r="O327" s="11">
        <f t="shared" ref="O327:O347" si="33">+(+I327+K327)*M327</f>
        <v>0</v>
      </c>
      <c r="P327" s="11">
        <f t="shared" ref="P327:P347" si="34">+J327*M327</f>
        <v>71</v>
      </c>
      <c r="Q327" s="29">
        <f t="shared" ref="Q327:Q347" si="35">+L327*M327</f>
        <v>71</v>
      </c>
      <c r="R327" s="29">
        <f t="shared" ref="R327:R347" si="36">+Q327+(+Q327*$R$1)</f>
        <v>81.650000000000006</v>
      </c>
      <c r="S327" t="s">
        <v>2369</v>
      </c>
    </row>
    <row r="328" spans="1:19">
      <c r="A328" s="9" t="s">
        <v>1473</v>
      </c>
      <c r="B328" t="s">
        <v>1422</v>
      </c>
      <c r="C328" s="5" t="s">
        <v>1424</v>
      </c>
      <c r="D328" s="5" t="s">
        <v>1993</v>
      </c>
      <c r="E328" s="5" t="s">
        <v>1994</v>
      </c>
      <c r="F328" s="25"/>
      <c r="H328" s="1">
        <v>14892.3</v>
      </c>
      <c r="J328" s="1">
        <v>662.88</v>
      </c>
      <c r="L328" s="11">
        <f t="shared" si="31"/>
        <v>15555.179999999998</v>
      </c>
      <c r="M328" s="26">
        <v>1</v>
      </c>
      <c r="N328" s="11">
        <f t="shared" si="32"/>
        <v>14892.3</v>
      </c>
      <c r="O328" s="11">
        <f t="shared" si="33"/>
        <v>0</v>
      </c>
      <c r="P328" s="11">
        <f t="shared" si="34"/>
        <v>662.88</v>
      </c>
      <c r="Q328" s="29">
        <f t="shared" si="35"/>
        <v>15555.179999999998</v>
      </c>
      <c r="R328" s="29">
        <f t="shared" si="36"/>
        <v>17888.456999999999</v>
      </c>
      <c r="S328" t="s">
        <v>2369</v>
      </c>
    </row>
    <row r="329" spans="1:19">
      <c r="A329" s="9" t="s">
        <v>1715</v>
      </c>
      <c r="B329" t="s">
        <v>355</v>
      </c>
      <c r="C329" s="5" t="s">
        <v>357</v>
      </c>
      <c r="D329" s="5" t="s">
        <v>2253</v>
      </c>
      <c r="E329" s="5" t="s">
        <v>2254</v>
      </c>
      <c r="F329" s="25"/>
      <c r="I329" s="1">
        <v>2158.46</v>
      </c>
      <c r="L329" s="11">
        <f t="shared" si="31"/>
        <v>2158.46</v>
      </c>
      <c r="M329" s="26">
        <v>1</v>
      </c>
      <c r="N329" s="11">
        <f t="shared" si="32"/>
        <v>0</v>
      </c>
      <c r="O329" s="11">
        <f t="shared" si="33"/>
        <v>2158.46</v>
      </c>
      <c r="P329" s="11">
        <f t="shared" si="34"/>
        <v>0</v>
      </c>
      <c r="Q329" s="29">
        <f t="shared" si="35"/>
        <v>2158.46</v>
      </c>
      <c r="R329" s="29">
        <f t="shared" si="36"/>
        <v>2482.2290000000003</v>
      </c>
      <c r="S329" t="s">
        <v>2369</v>
      </c>
    </row>
    <row r="330" spans="1:19">
      <c r="A330" s="9" t="s">
        <v>1723</v>
      </c>
      <c r="B330" t="s">
        <v>355</v>
      </c>
      <c r="C330" s="5" t="s">
        <v>357</v>
      </c>
      <c r="D330" s="5" t="s">
        <v>2253</v>
      </c>
      <c r="E330" s="5" t="s">
        <v>2254</v>
      </c>
      <c r="F330" s="25"/>
      <c r="H330" s="1">
        <v>263806.83</v>
      </c>
      <c r="I330" s="1">
        <v>15610.26</v>
      </c>
      <c r="L330" s="11">
        <f t="shared" si="31"/>
        <v>279417.09000000003</v>
      </c>
      <c r="M330" s="26">
        <v>1</v>
      </c>
      <c r="N330" s="11">
        <f t="shared" si="32"/>
        <v>263806.83</v>
      </c>
      <c r="O330" s="11">
        <f t="shared" si="33"/>
        <v>15610.26</v>
      </c>
      <c r="P330" s="11">
        <f t="shared" si="34"/>
        <v>0</v>
      </c>
      <c r="Q330" s="29">
        <f t="shared" si="35"/>
        <v>279417.09000000003</v>
      </c>
      <c r="R330" s="29">
        <f t="shared" si="36"/>
        <v>321329.65350000001</v>
      </c>
      <c r="S330" t="s">
        <v>2369</v>
      </c>
    </row>
    <row r="331" spans="1:19">
      <c r="A331" s="9" t="s">
        <v>1723</v>
      </c>
      <c r="B331" t="s">
        <v>454</v>
      </c>
      <c r="C331" s="5" t="s">
        <v>456</v>
      </c>
      <c r="D331" s="5" t="s">
        <v>2253</v>
      </c>
      <c r="E331" s="5" t="s">
        <v>2348</v>
      </c>
      <c r="F331" s="33"/>
      <c r="G331" s="1"/>
      <c r="H331" s="1">
        <v>80076.039999999994</v>
      </c>
      <c r="I331" s="1">
        <v>9139.2900000000009</v>
      </c>
      <c r="L331" s="11">
        <f t="shared" si="31"/>
        <v>89215.329999999987</v>
      </c>
      <c r="M331" s="26">
        <v>1</v>
      </c>
      <c r="N331" s="11">
        <f t="shared" si="32"/>
        <v>80076.039999999994</v>
      </c>
      <c r="O331" s="11">
        <f t="shared" si="33"/>
        <v>9139.2900000000009</v>
      </c>
      <c r="P331" s="11">
        <f t="shared" si="34"/>
        <v>0</v>
      </c>
      <c r="Q331" s="29">
        <f t="shared" si="35"/>
        <v>89215.329999999987</v>
      </c>
      <c r="R331" s="29">
        <f t="shared" si="36"/>
        <v>102597.62949999998</v>
      </c>
      <c r="S331" t="s">
        <v>2369</v>
      </c>
    </row>
    <row r="332" spans="1:19">
      <c r="A332" s="9" t="s">
        <v>1715</v>
      </c>
      <c r="B332" t="s">
        <v>759</v>
      </c>
      <c r="C332" s="5" t="s">
        <v>761</v>
      </c>
      <c r="D332" s="5" t="s">
        <v>2276</v>
      </c>
      <c r="E332" s="5" t="s">
        <v>2277</v>
      </c>
      <c r="F332" s="25"/>
      <c r="H332" s="1">
        <v>313.75</v>
      </c>
      <c r="I332" s="1">
        <v>2781.42</v>
      </c>
      <c r="J332" s="1">
        <v>12524.575000000001</v>
      </c>
      <c r="K332" s="1">
        <v>979.83</v>
      </c>
      <c r="L332" s="11">
        <f t="shared" si="31"/>
        <v>16599.575000000001</v>
      </c>
      <c r="M332" s="26">
        <v>1</v>
      </c>
      <c r="N332" s="11">
        <f t="shared" si="32"/>
        <v>313.75</v>
      </c>
      <c r="O332" s="11">
        <f t="shared" si="33"/>
        <v>3761.25</v>
      </c>
      <c r="P332" s="11">
        <f t="shared" si="34"/>
        <v>12524.575000000001</v>
      </c>
      <c r="Q332" s="29">
        <f t="shared" si="35"/>
        <v>16599.575000000001</v>
      </c>
      <c r="R332" s="29">
        <f t="shared" si="36"/>
        <v>19089.51125</v>
      </c>
      <c r="S332" t="s">
        <v>2370</v>
      </c>
    </row>
    <row r="333" spans="1:19">
      <c r="A333" s="9" t="s">
        <v>1723</v>
      </c>
      <c r="B333" t="s">
        <v>759</v>
      </c>
      <c r="C333" s="5" t="s">
        <v>761</v>
      </c>
      <c r="D333" s="5" t="s">
        <v>2276</v>
      </c>
      <c r="E333" s="5" t="s">
        <v>2277</v>
      </c>
      <c r="F333" s="25"/>
      <c r="H333" s="1">
        <v>10671.37</v>
      </c>
      <c r="I333" s="1">
        <v>21944.639999999999</v>
      </c>
      <c r="L333" s="11">
        <f t="shared" si="31"/>
        <v>32616.010000000002</v>
      </c>
      <c r="M333" s="26">
        <v>1</v>
      </c>
      <c r="N333" s="11">
        <f t="shared" si="32"/>
        <v>10671.37</v>
      </c>
      <c r="O333" s="11">
        <f t="shared" si="33"/>
        <v>21944.639999999999</v>
      </c>
      <c r="P333" s="11">
        <f t="shared" si="34"/>
        <v>0</v>
      </c>
      <c r="Q333" s="29">
        <f t="shared" si="35"/>
        <v>32616.010000000002</v>
      </c>
      <c r="R333" s="29">
        <f t="shared" si="36"/>
        <v>37508.411500000002</v>
      </c>
      <c r="S333" t="s">
        <v>2370</v>
      </c>
    </row>
    <row r="334" spans="1:19">
      <c r="A334" s="9" t="s">
        <v>1715</v>
      </c>
      <c r="B334" t="s">
        <v>759</v>
      </c>
      <c r="C334" s="5" t="s">
        <v>761</v>
      </c>
      <c r="D334" s="5" t="s">
        <v>2276</v>
      </c>
      <c r="E334" s="5" t="s">
        <v>2277</v>
      </c>
      <c r="F334" s="25"/>
      <c r="J334" s="1">
        <v>22.78</v>
      </c>
      <c r="L334" s="11">
        <f t="shared" si="31"/>
        <v>22.78</v>
      </c>
      <c r="M334" s="26">
        <v>1</v>
      </c>
      <c r="N334" s="11">
        <f t="shared" si="32"/>
        <v>0</v>
      </c>
      <c r="O334" s="11">
        <f t="shared" si="33"/>
        <v>0</v>
      </c>
      <c r="P334" s="11">
        <f t="shared" si="34"/>
        <v>22.78</v>
      </c>
      <c r="Q334" s="29">
        <f t="shared" si="35"/>
        <v>22.78</v>
      </c>
      <c r="R334" s="29">
        <f t="shared" si="36"/>
        <v>26.197000000000003</v>
      </c>
      <c r="S334" t="s">
        <v>2370</v>
      </c>
    </row>
    <row r="335" spans="1:19">
      <c r="A335" s="9" t="s">
        <v>1885</v>
      </c>
      <c r="B335" t="s">
        <v>759</v>
      </c>
      <c r="C335" s="5" t="s">
        <v>761</v>
      </c>
      <c r="D335" s="5" t="s">
        <v>2276</v>
      </c>
      <c r="E335" s="5" t="s">
        <v>2277</v>
      </c>
      <c r="F335" s="25"/>
      <c r="K335" s="1">
        <v>217</v>
      </c>
      <c r="L335" s="11">
        <f t="shared" si="31"/>
        <v>217</v>
      </c>
      <c r="M335" s="26">
        <v>1</v>
      </c>
      <c r="N335" s="11">
        <f t="shared" si="32"/>
        <v>0</v>
      </c>
      <c r="O335" s="11">
        <f t="shared" si="33"/>
        <v>217</v>
      </c>
      <c r="P335" s="11">
        <f t="shared" si="34"/>
        <v>0</v>
      </c>
      <c r="Q335" s="29">
        <f t="shared" si="35"/>
        <v>217</v>
      </c>
      <c r="R335" s="29">
        <f t="shared" si="36"/>
        <v>249.55</v>
      </c>
      <c r="S335" t="s">
        <v>2370</v>
      </c>
    </row>
    <row r="336" spans="1:19">
      <c r="A336" s="9" t="s">
        <v>1715</v>
      </c>
      <c r="B336" t="s">
        <v>651</v>
      </c>
      <c r="C336" s="5" t="s">
        <v>653</v>
      </c>
      <c r="D336" s="5" t="s">
        <v>2242</v>
      </c>
      <c r="E336" s="5" t="s">
        <v>2243</v>
      </c>
      <c r="F336" s="25"/>
      <c r="H336" s="1">
        <v>1118.8</v>
      </c>
      <c r="L336" s="11">
        <f t="shared" si="31"/>
        <v>1118.8</v>
      </c>
      <c r="M336" s="26">
        <v>1</v>
      </c>
      <c r="N336" s="11">
        <f t="shared" si="32"/>
        <v>1118.8</v>
      </c>
      <c r="O336" s="11">
        <f t="shared" si="33"/>
        <v>0</v>
      </c>
      <c r="P336" s="11">
        <f t="shared" si="34"/>
        <v>0</v>
      </c>
      <c r="Q336" s="29">
        <f t="shared" si="35"/>
        <v>1118.8</v>
      </c>
      <c r="R336" s="29">
        <f t="shared" si="36"/>
        <v>1286.6199999999999</v>
      </c>
      <c r="S336" t="s">
        <v>2371</v>
      </c>
    </row>
    <row r="337" spans="1:19">
      <c r="A337" s="9" t="s">
        <v>1723</v>
      </c>
      <c r="B337" t="s">
        <v>651</v>
      </c>
      <c r="C337" s="5" t="s">
        <v>653</v>
      </c>
      <c r="D337" s="5" t="s">
        <v>2242</v>
      </c>
      <c r="E337" s="5" t="s">
        <v>2243</v>
      </c>
      <c r="F337" s="25"/>
      <c r="H337" s="1">
        <v>14503.3</v>
      </c>
      <c r="I337" s="1">
        <v>3140.15</v>
      </c>
      <c r="L337" s="11">
        <f t="shared" si="31"/>
        <v>17643.45</v>
      </c>
      <c r="M337" s="26">
        <v>1</v>
      </c>
      <c r="N337" s="11">
        <f t="shared" si="32"/>
        <v>14503.3</v>
      </c>
      <c r="O337" s="11">
        <f t="shared" si="33"/>
        <v>3140.15</v>
      </c>
      <c r="P337" s="11">
        <f t="shared" si="34"/>
        <v>0</v>
      </c>
      <c r="Q337" s="29">
        <f t="shared" si="35"/>
        <v>17643.45</v>
      </c>
      <c r="R337" s="29">
        <f t="shared" si="36"/>
        <v>20289.967499999999</v>
      </c>
      <c r="S337" t="s">
        <v>2371</v>
      </c>
    </row>
    <row r="338" spans="1:19">
      <c r="A338" s="9" t="s">
        <v>1473</v>
      </c>
      <c r="B338" t="s">
        <v>1646</v>
      </c>
      <c r="C338" s="5" t="s">
        <v>1648</v>
      </c>
      <c r="D338" s="5" t="s">
        <v>2171</v>
      </c>
      <c r="E338" s="5" t="s">
        <v>2172</v>
      </c>
      <c r="F338" s="25"/>
      <c r="H338" s="1">
        <v>500</v>
      </c>
      <c r="L338" s="11">
        <f t="shared" si="31"/>
        <v>500</v>
      </c>
      <c r="M338" s="26">
        <v>1</v>
      </c>
      <c r="N338" s="11">
        <f t="shared" si="32"/>
        <v>500</v>
      </c>
      <c r="O338" s="11">
        <f t="shared" si="33"/>
        <v>0</v>
      </c>
      <c r="P338" s="11">
        <f t="shared" si="34"/>
        <v>0</v>
      </c>
      <c r="Q338" s="29">
        <f t="shared" si="35"/>
        <v>500</v>
      </c>
      <c r="R338" s="29">
        <f t="shared" si="36"/>
        <v>575</v>
      </c>
      <c r="S338" t="s">
        <v>2369</v>
      </c>
    </row>
    <row r="339" spans="1:19">
      <c r="A339" s="9" t="s">
        <v>1473</v>
      </c>
      <c r="B339" t="s">
        <v>1475</v>
      </c>
      <c r="C339" s="5" t="s">
        <v>1477</v>
      </c>
      <c r="D339" s="5" t="s">
        <v>2038</v>
      </c>
      <c r="E339" s="5" t="s">
        <v>2039</v>
      </c>
      <c r="F339" s="25"/>
      <c r="H339" s="1">
        <v>5632.08</v>
      </c>
      <c r="L339" s="11">
        <f t="shared" si="31"/>
        <v>5632.08</v>
      </c>
      <c r="M339" s="26">
        <v>1</v>
      </c>
      <c r="N339" s="11">
        <f t="shared" si="32"/>
        <v>5632.08</v>
      </c>
      <c r="O339" s="11">
        <f t="shared" si="33"/>
        <v>0</v>
      </c>
      <c r="P339" s="11">
        <f t="shared" si="34"/>
        <v>0</v>
      </c>
      <c r="Q339" s="29">
        <f t="shared" si="35"/>
        <v>5632.08</v>
      </c>
      <c r="R339" s="29">
        <f t="shared" si="36"/>
        <v>6476.8919999999998</v>
      </c>
      <c r="S339" t="s">
        <v>2369</v>
      </c>
    </row>
    <row r="340" spans="1:19">
      <c r="A340" s="9" t="s">
        <v>1399</v>
      </c>
      <c r="B340" t="s">
        <v>1434</v>
      </c>
      <c r="C340" s="5" t="s">
        <v>1436</v>
      </c>
      <c r="D340" s="5" t="s">
        <v>2003</v>
      </c>
      <c r="E340" s="5" t="s">
        <v>2004</v>
      </c>
      <c r="F340" s="25"/>
      <c r="H340" s="1">
        <v>6367.45</v>
      </c>
      <c r="L340" s="11">
        <f t="shared" si="31"/>
        <v>6367.45</v>
      </c>
      <c r="M340" s="26">
        <v>1</v>
      </c>
      <c r="N340" s="11">
        <f t="shared" si="32"/>
        <v>6367.45</v>
      </c>
      <c r="O340" s="11">
        <f t="shared" si="33"/>
        <v>0</v>
      </c>
      <c r="P340" s="11">
        <f t="shared" si="34"/>
        <v>0</v>
      </c>
      <c r="Q340" s="29">
        <f t="shared" si="35"/>
        <v>6367.45</v>
      </c>
      <c r="R340" s="29">
        <f t="shared" si="36"/>
        <v>7322.5675000000001</v>
      </c>
      <c r="S340" t="s">
        <v>2369</v>
      </c>
    </row>
    <row r="341" spans="1:19">
      <c r="A341" s="9" t="s">
        <v>1473</v>
      </c>
      <c r="B341" t="s">
        <v>1434</v>
      </c>
      <c r="C341" s="5" t="s">
        <v>1436</v>
      </c>
      <c r="D341" s="5" t="s">
        <v>2003</v>
      </c>
      <c r="E341" s="5" t="s">
        <v>2004</v>
      </c>
      <c r="F341" s="25"/>
      <c r="H341" s="1">
        <v>6876.97</v>
      </c>
      <c r="L341" s="11">
        <f t="shared" si="31"/>
        <v>6876.97</v>
      </c>
      <c r="M341" s="26">
        <v>1</v>
      </c>
      <c r="N341" s="11">
        <f t="shared" si="32"/>
        <v>6876.97</v>
      </c>
      <c r="O341" s="11">
        <f t="shared" si="33"/>
        <v>0</v>
      </c>
      <c r="P341" s="11">
        <f t="shared" si="34"/>
        <v>0</v>
      </c>
      <c r="Q341" s="29">
        <f t="shared" si="35"/>
        <v>6876.97</v>
      </c>
      <c r="R341" s="29">
        <f t="shared" si="36"/>
        <v>7908.5155000000004</v>
      </c>
      <c r="S341" t="s">
        <v>2369</v>
      </c>
    </row>
    <row r="342" spans="1:19">
      <c r="A342" s="9" t="s">
        <v>1399</v>
      </c>
      <c r="B342" t="s">
        <v>1452</v>
      </c>
      <c r="C342" s="5" t="s">
        <v>1454</v>
      </c>
      <c r="D342" s="5" t="s">
        <v>2017</v>
      </c>
      <c r="E342" s="5" t="s">
        <v>2018</v>
      </c>
      <c r="F342" s="25"/>
      <c r="J342" s="1">
        <v>1347.44</v>
      </c>
      <c r="L342" s="11">
        <f t="shared" si="31"/>
        <v>1347.44</v>
      </c>
      <c r="M342" s="26">
        <v>1</v>
      </c>
      <c r="N342" s="11">
        <f t="shared" si="32"/>
        <v>0</v>
      </c>
      <c r="O342" s="11">
        <f t="shared" si="33"/>
        <v>0</v>
      </c>
      <c r="P342" s="11">
        <f t="shared" si="34"/>
        <v>1347.44</v>
      </c>
      <c r="Q342" s="29">
        <f t="shared" si="35"/>
        <v>1347.44</v>
      </c>
      <c r="R342" s="29">
        <f t="shared" si="36"/>
        <v>1549.556</v>
      </c>
      <c r="S342" t="s">
        <v>2369</v>
      </c>
    </row>
    <row r="343" spans="1:19">
      <c r="A343" s="9" t="s">
        <v>1715</v>
      </c>
      <c r="B343" t="s">
        <v>189</v>
      </c>
      <c r="C343" s="5" t="s">
        <v>191</v>
      </c>
      <c r="D343" s="5" t="s">
        <v>2309</v>
      </c>
      <c r="E343" s="5" t="s">
        <v>2310</v>
      </c>
      <c r="F343" s="25"/>
      <c r="J343" s="1">
        <v>211.92</v>
      </c>
      <c r="L343" s="11">
        <f t="shared" si="31"/>
        <v>211.92</v>
      </c>
      <c r="M343" s="26">
        <v>1</v>
      </c>
      <c r="N343" s="11">
        <f t="shared" si="32"/>
        <v>0</v>
      </c>
      <c r="O343" s="11">
        <f t="shared" si="33"/>
        <v>0</v>
      </c>
      <c r="P343" s="11">
        <f t="shared" si="34"/>
        <v>211.92</v>
      </c>
      <c r="Q343" s="29">
        <f t="shared" si="35"/>
        <v>211.92</v>
      </c>
      <c r="R343" s="29">
        <f t="shared" si="36"/>
        <v>243.70799999999997</v>
      </c>
      <c r="S343" t="s">
        <v>2370</v>
      </c>
    </row>
    <row r="344" spans="1:19">
      <c r="A344" s="9" t="s">
        <v>1723</v>
      </c>
      <c r="B344" t="s">
        <v>189</v>
      </c>
      <c r="C344" s="5" t="s">
        <v>191</v>
      </c>
      <c r="D344" s="5" t="s">
        <v>2309</v>
      </c>
      <c r="E344" s="5" t="s">
        <v>2310</v>
      </c>
      <c r="F344" s="25"/>
      <c r="H344" s="1">
        <v>0</v>
      </c>
      <c r="L344" s="11">
        <f t="shared" si="31"/>
        <v>0</v>
      </c>
      <c r="M344" s="26">
        <v>1</v>
      </c>
      <c r="N344" s="11">
        <f t="shared" si="32"/>
        <v>0</v>
      </c>
      <c r="O344" s="11">
        <f t="shared" si="33"/>
        <v>0</v>
      </c>
      <c r="P344" s="11">
        <f t="shared" si="34"/>
        <v>0</v>
      </c>
      <c r="Q344" s="29">
        <f t="shared" si="35"/>
        <v>0</v>
      </c>
      <c r="R344" s="29">
        <f t="shared" si="36"/>
        <v>0</v>
      </c>
      <c r="S344" t="s">
        <v>2370</v>
      </c>
    </row>
    <row r="345" spans="1:19">
      <c r="A345" s="9" t="s">
        <v>1723</v>
      </c>
      <c r="B345" t="s">
        <v>445</v>
      </c>
      <c r="C345" s="5" t="s">
        <v>447</v>
      </c>
      <c r="D345" s="5" t="s">
        <v>2349</v>
      </c>
      <c r="E345" s="5" t="s">
        <v>2350</v>
      </c>
      <c r="F345" s="25"/>
      <c r="H345" s="1">
        <v>5389.73</v>
      </c>
      <c r="L345" s="11">
        <f t="shared" si="31"/>
        <v>5389.73</v>
      </c>
      <c r="M345" s="26">
        <v>1</v>
      </c>
      <c r="N345" s="11">
        <f t="shared" si="32"/>
        <v>5389.73</v>
      </c>
      <c r="O345" s="11">
        <f t="shared" si="33"/>
        <v>0</v>
      </c>
      <c r="P345" s="11">
        <f t="shared" si="34"/>
        <v>0</v>
      </c>
      <c r="Q345" s="29">
        <f t="shared" si="35"/>
        <v>5389.73</v>
      </c>
      <c r="R345" s="29">
        <f t="shared" si="36"/>
        <v>6198.1894999999995</v>
      </c>
      <c r="S345" t="s">
        <v>2369</v>
      </c>
    </row>
    <row r="346" spans="1:19">
      <c r="A346" s="9" t="s">
        <v>1473</v>
      </c>
      <c r="B346" t="s">
        <v>1556</v>
      </c>
      <c r="C346" s="5" t="s">
        <v>1558</v>
      </c>
      <c r="D346" s="5" t="s">
        <v>2100</v>
      </c>
      <c r="E346" s="5" t="s">
        <v>2101</v>
      </c>
      <c r="F346" s="25"/>
      <c r="H346" s="1">
        <v>4939.2</v>
      </c>
      <c r="L346" s="11">
        <f t="shared" si="31"/>
        <v>4939.2</v>
      </c>
      <c r="M346" s="26">
        <v>1</v>
      </c>
      <c r="N346" s="11">
        <f t="shared" si="32"/>
        <v>4939.2</v>
      </c>
      <c r="O346" s="11">
        <f t="shared" si="33"/>
        <v>0</v>
      </c>
      <c r="P346" s="11">
        <f t="shared" si="34"/>
        <v>0</v>
      </c>
      <c r="Q346" s="29">
        <f t="shared" si="35"/>
        <v>4939.2</v>
      </c>
      <c r="R346" s="29">
        <f t="shared" si="36"/>
        <v>5680.08</v>
      </c>
      <c r="S346" t="s">
        <v>2369</v>
      </c>
    </row>
    <row r="347" spans="1:19">
      <c r="A347" s="9" t="s">
        <v>1473</v>
      </c>
      <c r="B347" t="s">
        <v>1586</v>
      </c>
      <c r="C347" s="5" t="s">
        <v>1588</v>
      </c>
      <c r="D347" s="5" t="s">
        <v>2122</v>
      </c>
      <c r="E347" s="5" t="s">
        <v>2123</v>
      </c>
      <c r="F347" s="25"/>
      <c r="J347" s="1">
        <v>495.55</v>
      </c>
      <c r="L347" s="11">
        <f t="shared" si="31"/>
        <v>495.55</v>
      </c>
      <c r="M347" s="26">
        <v>1</v>
      </c>
      <c r="N347" s="11">
        <f t="shared" si="32"/>
        <v>0</v>
      </c>
      <c r="O347" s="11">
        <f t="shared" si="33"/>
        <v>0</v>
      </c>
      <c r="P347" s="11">
        <f t="shared" si="34"/>
        <v>495.55</v>
      </c>
      <c r="Q347" s="29">
        <f t="shared" si="35"/>
        <v>495.55</v>
      </c>
      <c r="R347" s="29">
        <f t="shared" si="36"/>
        <v>569.88250000000005</v>
      </c>
      <c r="S347" t="s">
        <v>2371</v>
      </c>
    </row>
  </sheetData>
  <autoFilter ref="A5:S347" xr:uid="{B07C8A20-786D-42CF-92B3-697EAEE4CD7A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3DFB-48D0-4A04-A467-2E4AEC33925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8D4A29D3D45842B44FAED1AAC439B1" ma:contentTypeVersion="3" ma:contentTypeDescription="Creare un nuovo documento." ma:contentTypeScope="" ma:versionID="0cc1a2f0fdecc834e7558ba0e7a1d85c">
  <xsd:schema xmlns:xsd="http://www.w3.org/2001/XMLSchema" xmlns:xs="http://www.w3.org/2001/XMLSchema" xmlns:p="http://schemas.microsoft.com/office/2006/metadata/properties" xmlns:ns2="1b5ffcd3-4ccc-457b-be3a-1b839281403e" targetNamespace="http://schemas.microsoft.com/office/2006/metadata/properties" ma:root="true" ma:fieldsID="6be16466061a7c4b03b887c3be9e4e07" ns2:_="">
    <xsd:import namespace="1b5ffcd3-4ccc-457b-be3a-1b83928140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ffcd3-4ccc-457b-be3a-1b8392814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9EAA53-8DD2-46C4-BEBA-FDF84219E2E2}">
  <ds:schemaRefs>
    <ds:schemaRef ds:uri="http://schemas.microsoft.com/office/2006/metadata/properties"/>
    <ds:schemaRef ds:uri="http://schemas.microsoft.com/office/infopath/2007/PartnerControls"/>
    <ds:schemaRef ds:uri="631d7e27-0744-4b50-a889-36c20ac851ed"/>
    <ds:schemaRef ds:uri="52113b14-18e2-4be3-b0f8-8ad1e8834aa2"/>
  </ds:schemaRefs>
</ds:datastoreItem>
</file>

<file path=customXml/itemProps2.xml><?xml version="1.0" encoding="utf-8"?>
<ds:datastoreItem xmlns:ds="http://schemas.openxmlformats.org/officeDocument/2006/customXml" ds:itemID="{DABED517-E0EA-4B03-987E-7D6DFABE3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ffcd3-4ccc-457b-be3a-1b83928140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636848-D957-458E-BC8F-FEC589147C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Original</vt:lpstr>
      <vt:lpstr>Elab 1</vt:lpstr>
      <vt:lpstr>Elab 2</vt:lpstr>
      <vt:lpstr>Elab 3</vt:lpstr>
      <vt:lpstr>Fotovoltaico</vt:lpstr>
      <vt:lpstr>ExtraLav e Spot</vt:lpstr>
      <vt:lpstr>Pivot CVS</vt:lpstr>
      <vt:lpstr>capitalizzazioni CVS</vt:lpstr>
      <vt:lpstr>Pivot SPVs</vt:lpstr>
      <vt:lpstr>capitalizzazioni SPV</vt:lpstr>
      <vt:lpstr>RipartizioneCosti Capitalizzati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Enrico Molena</cp:lastModifiedBy>
  <dcterms:created xsi:type="dcterms:W3CDTF">2026-09-04T09:07:08Z</dcterms:created>
  <dcterms:modified xsi:type="dcterms:W3CDTF">2026-09-17T16:07:57Z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0x010100D78D4A29D3D45842B44FAED1AAC439B1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