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vismartcloud.sharepoint.com/sites/Finance/FPA/Reporting/2026/08_Agosto/01_Input/Import Economics/"/>
    </mc:Choice>
  </mc:AlternateContent>
  <xr:revisionPtr revIDLastSave="9" documentId="13_ncr:1_{E00FF586-F5E7-41D0-B13F-DA6915F97311}" xr6:coauthVersionLast="47" xr6:coauthVersionMax="47" xr10:uidLastSave="{F4BDF2C1-76D9-413F-9128-BE7F6DF033D0}"/>
  <bookViews>
    <workbookView xWindow="-108" yWindow="-108" windowWidth="23256" windowHeight="12456" xr2:uid="{2221FCC3-8A88-485E-8F9A-B755022430C4}"/>
  </bookViews>
  <sheets>
    <sheet name="Bridge" sheetId="1" r:id="rId1"/>
  </sheets>
  <definedNames>
    <definedName name="_xlnm._FilterDatabase" localSheetId="0" hidden="1">Bridge!$A$6:$G$149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2" i="1" l="1"/>
  <c r="D32" i="1"/>
  <c r="D33" i="1"/>
  <c r="D34" i="1"/>
  <c r="C3" i="1"/>
  <c r="C2" i="1"/>
  <c r="C4" i="1"/>
  <c r="C1" i="1"/>
  <c r="F2" i="1" s="1"/>
</calcChain>
</file>

<file path=xl/sharedStrings.xml><?xml version="1.0" encoding="utf-8"?>
<sst xmlns="http://schemas.openxmlformats.org/spreadsheetml/2006/main" count="614" uniqueCount="446">
  <si>
    <t>Civismart</t>
  </si>
  <si>
    <t>Codice</t>
  </si>
  <si>
    <t>Descrizione</t>
  </si>
  <si>
    <t>Type</t>
  </si>
  <si>
    <t>Note</t>
  </si>
  <si>
    <t>De Giorgi</t>
  </si>
  <si>
    <t>Saldo al 31/12/2026</t>
  </si>
  <si>
    <t>03/15/015</t>
  </si>
  <si>
    <t>LIC.ZA USO SOFTWARE TEMPO INDET.</t>
  </si>
  <si>
    <t>03/35/005</t>
  </si>
  <si>
    <t>LAVORI STRAOR. SU BENI DI TERZI</t>
  </si>
  <si>
    <t>03/35/015</t>
  </si>
  <si>
    <t>ALTRI COSTI AD UTIL.PLUR.DA AMM.</t>
  </si>
  <si>
    <t>03/35/501</t>
  </si>
  <si>
    <t>COSTI APPALTO LIZZANELLO</t>
  </si>
  <si>
    <t>06/05/005</t>
  </si>
  <si>
    <t>TERRENI</t>
  </si>
  <si>
    <t>06/05/015</t>
  </si>
  <si>
    <t>FABBRICATI IND.LI E COMM.LI</t>
  </si>
  <si>
    <t>06/10/005</t>
  </si>
  <si>
    <t>IMPIANTI GENERICI</t>
  </si>
  <si>
    <t>06/10/015</t>
  </si>
  <si>
    <t>MACCHINARI</t>
  </si>
  <si>
    <t>06/15/005</t>
  </si>
  <si>
    <t>ATTREZZAT. IND.LI E COMM.LI</t>
  </si>
  <si>
    <t>06/15/010</t>
  </si>
  <si>
    <t>ATTR.VARIE E MINUTE (&lt;516,46 E.)</t>
  </si>
  <si>
    <t>06/20/010</t>
  </si>
  <si>
    <t>MACCHINE ELETTROMEC. D'UFFICIO</t>
  </si>
  <si>
    <t>06/25/015</t>
  </si>
  <si>
    <t>AUTOCARRI/AUTOVETTURE</t>
  </si>
  <si>
    <t>06/25/025</t>
  </si>
  <si>
    <t>AUTOVETTURE</t>
  </si>
  <si>
    <t>06/30/040</t>
  </si>
  <si>
    <t>ARREDAMENTO</t>
  </si>
  <si>
    <t>09/05/090</t>
  </si>
  <si>
    <t>PARTECIPAZIONI IN ALTRE IMPR.</t>
  </si>
  <si>
    <t>11/05/005</t>
  </si>
  <si>
    <t>MATERIE PRIME</t>
  </si>
  <si>
    <t>11/15/005</t>
  </si>
  <si>
    <t>LAV.IN CORSO SU ORD. (&lt;12 MESI)</t>
  </si>
  <si>
    <t>14/00/000</t>
  </si>
  <si>
    <t>CREDITI V/CLIENTI</t>
  </si>
  <si>
    <t>15/05/045</t>
  </si>
  <si>
    <t>FATTURE DA EMETTERE</t>
  </si>
  <si>
    <t>18/20/037</t>
  </si>
  <si>
    <t>ERARIO C/ACCONTI IRES</t>
  </si>
  <si>
    <t>18/20/055</t>
  </si>
  <si>
    <t>ERARIO C/RITENUTE DA SCOMPUTARE</t>
  </si>
  <si>
    <t>18/20/190</t>
  </si>
  <si>
    <t>ALTRI CRED.TRIB.ESIG.OLTRE</t>
  </si>
  <si>
    <t>18/25/020</t>
  </si>
  <si>
    <t>INAIL C/ACCONTI</t>
  </si>
  <si>
    <t>24/05/002</t>
  </si>
  <si>
    <t>BANCA MPS C/C 1616312</t>
  </si>
  <si>
    <t>24/05/003</t>
  </si>
  <si>
    <t>BANCA INTESA - EX B.NAPOLI</t>
  </si>
  <si>
    <t>24/05/006</t>
  </si>
  <si>
    <t>CARTA PREPAGATA INTESA 50</t>
  </si>
  <si>
    <t>24/15/005</t>
  </si>
  <si>
    <t>DENARO IN CASSA</t>
  </si>
  <si>
    <t>26/10/005</t>
  </si>
  <si>
    <t>RISCONTI ATTIVI</t>
  </si>
  <si>
    <t>40/00/000</t>
  </si>
  <si>
    <t>DEBITI V/FORNITORI</t>
  </si>
  <si>
    <t>48/05/040</t>
  </si>
  <si>
    <t>ERARIO C/IVA</t>
  </si>
  <si>
    <t>48/05/100</t>
  </si>
  <si>
    <t>REGIONI C/IRAP</t>
  </si>
  <si>
    <t>04/15/015</t>
  </si>
  <si>
    <t>F/AMM.LIC. D'USO SOF. A TEM. IND</t>
  </si>
  <si>
    <t>04/35/005</t>
  </si>
  <si>
    <t>F/AMM. LAV. STR. SU BENI DI TERZ</t>
  </si>
  <si>
    <t>04/35/015</t>
  </si>
  <si>
    <t>F/AMM.ALT. COS. AD UT. PLU. AMM</t>
  </si>
  <si>
    <t>04/35/501</t>
  </si>
  <si>
    <t>F/AMM COSTI APPALTO LIZZANELLO</t>
  </si>
  <si>
    <t>07/05/006</t>
  </si>
  <si>
    <t>F/AMM. TERRENI</t>
  </si>
  <si>
    <t>07/05/015</t>
  </si>
  <si>
    <t>F/AMM.FABBR. IND.LI E COMM.LI.</t>
  </si>
  <si>
    <t>07/10/005</t>
  </si>
  <si>
    <t>F/AMM.IMPIANTI GENERICI</t>
  </si>
  <si>
    <t>07/10/015</t>
  </si>
  <si>
    <t>F/AMM.MACCHINARI</t>
  </si>
  <si>
    <t>07/15/005</t>
  </si>
  <si>
    <t>F/AMM.ATTREZ. IND.LI E COMM.LI</t>
  </si>
  <si>
    <t>07/15/010</t>
  </si>
  <si>
    <t>F/AMM.ATTR. VARIE E MINUTE</t>
  </si>
  <si>
    <t>07/20/010</t>
  </si>
  <si>
    <t>F/AMM.MACCH. ELETTROM. D'UFF.</t>
  </si>
  <si>
    <t>07/25/015</t>
  </si>
  <si>
    <t>F/AMM. AUTOCARRI/AUTOVETTURE</t>
  </si>
  <si>
    <t>07/25/025</t>
  </si>
  <si>
    <t>F/AMM. AUTOVETTURE</t>
  </si>
  <si>
    <t>07/30/040</t>
  </si>
  <si>
    <t>F/AMM. ARREDAMENTO</t>
  </si>
  <si>
    <t>28/05/005</t>
  </si>
  <si>
    <t>CAPITALE SOCIALE</t>
  </si>
  <si>
    <t>28/20/005</t>
  </si>
  <si>
    <t>RISERVA LEGALE</t>
  </si>
  <si>
    <t>28/35/005</t>
  </si>
  <si>
    <t>RISERVA STRAORDINARIA</t>
  </si>
  <si>
    <t>30/10/005</t>
  </si>
  <si>
    <t>F.DO PER IMPOSTE DIFFERITE</t>
  </si>
  <si>
    <t>31/05/005</t>
  </si>
  <si>
    <t>DEBITI P/T.F.R.</t>
  </si>
  <si>
    <t>38/05/005</t>
  </si>
  <si>
    <t>CLIENTI C/ANTICIPI</t>
  </si>
  <si>
    <t>41/05/005</t>
  </si>
  <si>
    <t>FATTURE DA RICEVERE</t>
  </si>
  <si>
    <t>48/05/010</t>
  </si>
  <si>
    <t>ERARIO C/IRES</t>
  </si>
  <si>
    <t>48/05/080</t>
  </si>
  <si>
    <t>ERARIO C/RIT. LAVORO DIPENDENTE</t>
  </si>
  <si>
    <t>48/05/085</t>
  </si>
  <si>
    <t>ERARIO C/RIT. LAVORO AUTONOMO</t>
  </si>
  <si>
    <t>50/05/005</t>
  </si>
  <si>
    <t>INPS C/CONTRIBUTI SOC. LAV. DIP.</t>
  </si>
  <si>
    <t>50/05/020</t>
  </si>
  <si>
    <t>INAIL C/CONTRIBUTI</t>
  </si>
  <si>
    <t>50/05/504</t>
  </si>
  <si>
    <t>INAIL C/CONTRIBUTI COLLAB.</t>
  </si>
  <si>
    <t>52/05/290</t>
  </si>
  <si>
    <t>DEBITI DIVERSI</t>
  </si>
  <si>
    <t>54/10/005</t>
  </si>
  <si>
    <t>RISCONTI PASSIVI</t>
  </si>
  <si>
    <t>61/05/005</t>
  </si>
  <si>
    <t>LAV.IN CORSO.C/E.I. &lt;12M.VAL.COS</t>
  </si>
  <si>
    <t>66/05/005</t>
  </si>
  <si>
    <t>MATERIE PRIME C/ACQUISTI</t>
  </si>
  <si>
    <t>66/10/005</t>
  </si>
  <si>
    <t>COSTO ENERGIA COMUNE S.DONATO</t>
  </si>
  <si>
    <t>66/15/005</t>
  </si>
  <si>
    <t>COSTO ENERGIA COM. LIZZANELLO</t>
  </si>
  <si>
    <t>66/20/005</t>
  </si>
  <si>
    <t>MATERIE DI CONSUMO C/ACQUISTI</t>
  </si>
  <si>
    <t>66/30/025</t>
  </si>
  <si>
    <t>CANCELLERIA</t>
  </si>
  <si>
    <t>66/30/035</t>
  </si>
  <si>
    <t>CARBURANTI E LUBRIFICANTI</t>
  </si>
  <si>
    <t>66/30/037</t>
  </si>
  <si>
    <t>66/30/045</t>
  </si>
  <si>
    <t>INDUMENTI DI LAVORO</t>
  </si>
  <si>
    <t>CARBURANTI E LUBRIF.PARZ.DED.</t>
  </si>
  <si>
    <t>66/30/055</t>
  </si>
  <si>
    <t>SPESE ACCESSORIE SU ACQUISTI</t>
  </si>
  <si>
    <t>66/30/060</t>
  </si>
  <si>
    <t>ACQUISTI BENI COSTO UNIT.&lt;516,46</t>
  </si>
  <si>
    <t>66/30/491</t>
  </si>
  <si>
    <t>ALTRI ACQUISTI INDEDUCIBILI</t>
  </si>
  <si>
    <t>66/30/492</t>
  </si>
  <si>
    <t>ALTRI ACQUISTI NON INERENTI IND.</t>
  </si>
  <si>
    <t>68/05/005</t>
  </si>
  <si>
    <t>TRASPORTI SU ACQUISTI</t>
  </si>
  <si>
    <t>68/05/020</t>
  </si>
  <si>
    <t>LAVORAZIONI DI TERZI P/PROD.BENI</t>
  </si>
  <si>
    <t>68/05/021</t>
  </si>
  <si>
    <t>LAVORAZ.DI TERZI P/PROD.SERVIZI</t>
  </si>
  <si>
    <t>68/05/025</t>
  </si>
  <si>
    <t>ENERGIA ELETTRICA</t>
  </si>
  <si>
    <t>68/05/045</t>
  </si>
  <si>
    <t>ACQUA</t>
  </si>
  <si>
    <t>68/05/052</t>
  </si>
  <si>
    <t>CANONE DI MANUTENZIONE PERIODICA</t>
  </si>
  <si>
    <t>68/05/055</t>
  </si>
  <si>
    <t>MANUT.E RIPARAZ.BENI PROPRI 5%</t>
  </si>
  <si>
    <t>68/05/057</t>
  </si>
  <si>
    <t>MANUT. E RIP.VEICOLI PARZ.DEDUC.</t>
  </si>
  <si>
    <t>68/05/110</t>
  </si>
  <si>
    <t>ASSICURAZIONI R.C.A.</t>
  </si>
  <si>
    <t>68/05/120</t>
  </si>
  <si>
    <t>ASSICURAZIONI R.C.A. PARZ.DEDUC.</t>
  </si>
  <si>
    <t>68/05/125</t>
  </si>
  <si>
    <t>ASSICURAZ. NON OBBLIGATORIE</t>
  </si>
  <si>
    <t>68/05/150</t>
  </si>
  <si>
    <t>COMP.AMM.-CO.CO.CO.(SOCIspa-srl)</t>
  </si>
  <si>
    <t>68/05/199</t>
  </si>
  <si>
    <t>CONT.INPS AMM-CO.CO.CO.(spa-srl)</t>
  </si>
  <si>
    <t>68/05/265</t>
  </si>
  <si>
    <t>COMP.PROF.NON DIR.AFFER.ATTIVITA</t>
  </si>
  <si>
    <t>68/05/320</t>
  </si>
  <si>
    <t>SPESE TELEFONICHE</t>
  </si>
  <si>
    <t>68/05/325</t>
  </si>
  <si>
    <t>SPESE CELLULARI</t>
  </si>
  <si>
    <t>68/05/330</t>
  </si>
  <si>
    <t>SPESE POSTALI E DI AFFRANCATURA</t>
  </si>
  <si>
    <t>68/05/355</t>
  </si>
  <si>
    <t>RICERCA,ADDESTRAM.E FORMAZIONE</t>
  </si>
  <si>
    <t>68/05/365</t>
  </si>
  <si>
    <t>SERVIZIO SMALTIMENTO RIFIUTI</t>
  </si>
  <si>
    <t>68/05/370</t>
  </si>
  <si>
    <t>ONERI BANCARI</t>
  </si>
  <si>
    <t>68/05/375</t>
  </si>
  <si>
    <t>PREMIO PER FIDEJUSSIONE</t>
  </si>
  <si>
    <t>68/05/385</t>
  </si>
  <si>
    <t>TENUTA PAGHE,CONT.DICH.DA IMPRES</t>
  </si>
  <si>
    <t>68/05/386</t>
  </si>
  <si>
    <t>TEN.PAGHE,CONT.,DICH.DA LAV.AUT.</t>
  </si>
  <si>
    <t>68/05/406</t>
  </si>
  <si>
    <t>ALTRI COSTI P/SERV.RIL.STS/ISA</t>
  </si>
  <si>
    <t>68/05/490</t>
  </si>
  <si>
    <t>ALTRI SERVIZI DEDUCIBILI</t>
  </si>
  <si>
    <t>68/05/501</t>
  </si>
  <si>
    <t>SPESE PARTECIPAZIONE CONSORZIO</t>
  </si>
  <si>
    <t>70/05/101</t>
  </si>
  <si>
    <t>NOLEGGIO DEDUCIBILE</t>
  </si>
  <si>
    <t>70/25/010</t>
  </si>
  <si>
    <t>LIC. D'USO SOFTWARE DI ESERCIZIO</t>
  </si>
  <si>
    <t>72/05/015</t>
  </si>
  <si>
    <t>SALARI E STIP.DIP.TEMPO INDET.</t>
  </si>
  <si>
    <t>72/05/501</t>
  </si>
  <si>
    <t>SALARI E STIPENDI - AMMINISTR.</t>
  </si>
  <si>
    <t>72/15/007</t>
  </si>
  <si>
    <t>ONERI SOCIALI INPS DIP.TEMPO IND</t>
  </si>
  <si>
    <t>72/15/093</t>
  </si>
  <si>
    <t>ALTRI ONERI SOC.TEMPO INDET.</t>
  </si>
  <si>
    <t>72/15/501</t>
  </si>
  <si>
    <t>ONERI SOCIALI INPS - AMMINISTRAT</t>
  </si>
  <si>
    <t>72/20/009</t>
  </si>
  <si>
    <t>TFR DIPENDENTI A TEMPO INDETERM.</t>
  </si>
  <si>
    <t>74/35/005</t>
  </si>
  <si>
    <t>AMM.LAV. STRAORD.BENI DI TERZI</t>
  </si>
  <si>
    <t>74/35/501</t>
  </si>
  <si>
    <t>AMM.TO COSTI APP. LIZZANELLO</t>
  </si>
  <si>
    <t>75/05/015</t>
  </si>
  <si>
    <t>AMM.TO ORD.FABB.IND.LI E COM.</t>
  </si>
  <si>
    <t>75/10/005</t>
  </si>
  <si>
    <t>AMM.TO ORD.IMP.GEN.</t>
  </si>
  <si>
    <t>75/10/015</t>
  </si>
  <si>
    <t>AMM.TO ORD. MACC.</t>
  </si>
  <si>
    <t>75/15/005</t>
  </si>
  <si>
    <t>AMM.TO ORD.ATT.IND.LI E COMM.</t>
  </si>
  <si>
    <t>75/20/010</t>
  </si>
  <si>
    <t>AMM.TO ORD.MAC.ELETTROM.UF.</t>
  </si>
  <si>
    <t>75/25/015</t>
  </si>
  <si>
    <t>AMM.TO ORD.AUTOCARRI/AUTOVET.</t>
  </si>
  <si>
    <t>75/30/040</t>
  </si>
  <si>
    <t>AMM.TO ORD.ARREDAMENTO</t>
  </si>
  <si>
    <t>80/05/005</t>
  </si>
  <si>
    <t>MATERIE PRIME C/ESIST.INIZIALI</t>
  </si>
  <si>
    <t>84/05/005</t>
  </si>
  <si>
    <t>IMPOSTA DI BOLLO</t>
  </si>
  <si>
    <t>84/05/011</t>
  </si>
  <si>
    <t>IMU IMMOBILI STRUMENTALI</t>
  </si>
  <si>
    <t>84/05/035</t>
  </si>
  <si>
    <t>TASSE DI CONCESSIONE GOVERNAT.</t>
  </si>
  <si>
    <t>84/05/040</t>
  </si>
  <si>
    <t>TASSE DI PROPRIETA' AUTOVEICOLI</t>
  </si>
  <si>
    <t>84/05/041</t>
  </si>
  <si>
    <t>TASSE PROPR.AUTOVEIC. (IND.20%)</t>
  </si>
  <si>
    <t>84/05/045</t>
  </si>
  <si>
    <t>TASSA SUI RIFIUTI</t>
  </si>
  <si>
    <t>84/05/070</t>
  </si>
  <si>
    <t>DIRITTI CAMERALI</t>
  </si>
  <si>
    <t>84/05/090</t>
  </si>
  <si>
    <t>ALTRE IMPOSTE E TASSE DEDUCIBILI</t>
  </si>
  <si>
    <t>84/10/005</t>
  </si>
  <si>
    <t>PERDITE SU CREDITI</t>
  </si>
  <si>
    <t>84/10/015</t>
  </si>
  <si>
    <t>ABBONAMENTI RIVISTE,GIORNALI</t>
  </si>
  <si>
    <t>84/10/035</t>
  </si>
  <si>
    <t>MULTE E AMMENDE INDEDUCIBILI</t>
  </si>
  <si>
    <t>84/10/090</t>
  </si>
  <si>
    <t>ABBUONI/ARROTONDAMENTI PASSIVI</t>
  </si>
  <si>
    <t>84/10/094</t>
  </si>
  <si>
    <t>EROG. LIBERALI DEDUCIBILI</t>
  </si>
  <si>
    <t>84/10/125</t>
  </si>
  <si>
    <t>QUOTE ASSOCIATIVE</t>
  </si>
  <si>
    <t>84/10/190</t>
  </si>
  <si>
    <t>ALTRI ONERI DI GEST. DEDUC.</t>
  </si>
  <si>
    <t>88/20/015</t>
  </si>
  <si>
    <t>INTERESSI PASSIVI SU MUTUI</t>
  </si>
  <si>
    <t>88/20/190</t>
  </si>
  <si>
    <t>ALTRI INT.PASS.E ONER.FIN.DED.</t>
  </si>
  <si>
    <t>96/05/010</t>
  </si>
  <si>
    <t>IRAP DELL'ESERCIZIO</t>
  </si>
  <si>
    <t>96/05/015</t>
  </si>
  <si>
    <t>IRES DELL'ESERCIZIO</t>
  </si>
  <si>
    <t>58/10/005</t>
  </si>
  <si>
    <t>RICAVI PER PRESTAZ. DI SERVIZI</t>
  </si>
  <si>
    <t>58/10/010</t>
  </si>
  <si>
    <t>CONTRIB.INC.IMP.FOTOVOLTAICO</t>
  </si>
  <si>
    <t>58/10/015</t>
  </si>
  <si>
    <t>RICAVI COMUNE DI SAN DONATO</t>
  </si>
  <si>
    <t>58/10/490</t>
  </si>
  <si>
    <t>ALTRI RICAVI DELLE PRESTAZIONI</t>
  </si>
  <si>
    <t>58/10/501</t>
  </si>
  <si>
    <t>RICAVI COMUNE DI LIZZANELLO</t>
  </si>
  <si>
    <t>61/05/010</t>
  </si>
  <si>
    <t>LAV.IN CORSO C/R.F.&lt;12M.VAL.COS</t>
  </si>
  <si>
    <t>64/05/045</t>
  </si>
  <si>
    <t>RIS.DANNI BENI DEST. ALLA RIVEN.</t>
  </si>
  <si>
    <t>64/05/100</t>
  </si>
  <si>
    <t>ABBUONI/ARROT. ATTIVI IMP.</t>
  </si>
  <si>
    <t>64/05/115</t>
  </si>
  <si>
    <t>SOPRAVVENIENZE ORDINARIE ATTIVE</t>
  </si>
  <si>
    <t>64/05/390</t>
  </si>
  <si>
    <t>ALTRI RICAVI E PROVENTI VARI</t>
  </si>
  <si>
    <t>64/15/025</t>
  </si>
  <si>
    <t>CONTRIBUTI C/IMPIANTI</t>
  </si>
  <si>
    <t>80/05/010</t>
  </si>
  <si>
    <t>MATERIE PRIME C/RIMANENZE FINALI</t>
  </si>
  <si>
    <t>Fixed Asset</t>
  </si>
  <si>
    <t>Software</t>
  </si>
  <si>
    <t>Lavori Straor. Su Beni Di Terzi</t>
  </si>
  <si>
    <t>Altri Costi Ad Util. Plur. Da Amm.</t>
  </si>
  <si>
    <t>Terreni</t>
  </si>
  <si>
    <t>Fabbricati Ind.Li E Comm. Li</t>
  </si>
  <si>
    <t>Impianti Generici</t>
  </si>
  <si>
    <t>Macchinari</t>
  </si>
  <si>
    <t>Attrezzature Industriali E Commerciali</t>
  </si>
  <si>
    <t>Attrezzatura Varia E Minuta</t>
  </si>
  <si>
    <t>Macchine Elettromeccaniche D'ufficio</t>
  </si>
  <si>
    <t>Autoveicoli E Autocarri</t>
  </si>
  <si>
    <t>Autovetture</t>
  </si>
  <si>
    <t>Arredamento</t>
  </si>
  <si>
    <t>Partecipazioni Imp. Altre Imprese</t>
  </si>
  <si>
    <t>Materie Prime, Sussidiarie E Consumo Iniziali</t>
  </si>
  <si>
    <t>Other Current Asset</t>
  </si>
  <si>
    <t>Lavori In Corso Su Ordinazione</t>
  </si>
  <si>
    <t>Crediti Vs Clienti Nazionali</t>
  </si>
  <si>
    <t>Accounts Receivable</t>
  </si>
  <si>
    <t>Fatture Da Emettere</t>
  </si>
  <si>
    <t>Erario C/Ires</t>
  </si>
  <si>
    <t>I.N.A.I.L. C/Acconti</t>
  </si>
  <si>
    <t>Cassa</t>
  </si>
  <si>
    <t>Bank</t>
  </si>
  <si>
    <t>Risconti Attivi</t>
  </si>
  <si>
    <t>Deferred Expense</t>
  </si>
  <si>
    <t>Fornitori Nazionali</t>
  </si>
  <si>
    <t>Accounts Payable</t>
  </si>
  <si>
    <t>Erario C/Iva</t>
  </si>
  <si>
    <t>Other Current Liability</t>
  </si>
  <si>
    <t>Regioni C/Irap</t>
  </si>
  <si>
    <t>F/Amm Software</t>
  </si>
  <si>
    <t>F/Amm. Lav. Str. Su Beni Di Terzi</t>
  </si>
  <si>
    <t>F/Amm. Alt. Cost. Ad Ut. Plu. Amm.</t>
  </si>
  <si>
    <t>F/Amm Fabbricati Ind.Li E Comm. Li</t>
  </si>
  <si>
    <t>F/Amm Impianti Generici</t>
  </si>
  <si>
    <t>F/Amm Macchinari</t>
  </si>
  <si>
    <t>F/Amm Attrezzatura Industriali E Commerciali</t>
  </si>
  <si>
    <t>F/Amm Attrezzatura Varia E Minuta</t>
  </si>
  <si>
    <t>F/Amm Macchine Elettromeccaniche D'ufficio</t>
  </si>
  <si>
    <t>F/Amm Autoveicoli E Autocarri</t>
  </si>
  <si>
    <t>F/Amm Autovetture</t>
  </si>
  <si>
    <t>F/Amm Arredamento</t>
  </si>
  <si>
    <t>Capitale Sociale</t>
  </si>
  <si>
    <t>Equity</t>
  </si>
  <si>
    <t>Riserva Legale</t>
  </si>
  <si>
    <t>Riserva Staordinaria</t>
  </si>
  <si>
    <t>Fondo Imposte Differite</t>
  </si>
  <si>
    <t>Long Term Liability</t>
  </si>
  <si>
    <t>Fondo TFR</t>
  </si>
  <si>
    <t>Clienti c/anticipi</t>
  </si>
  <si>
    <t>Fatture da Ricevere</t>
  </si>
  <si>
    <t>Erario c/Ritenute lavoratori autonomi</t>
  </si>
  <si>
    <t>Erario C/Rit. Lavoro Dipendente</t>
  </si>
  <si>
    <t>I.N.P.S. Dipendenti Carico Ditta</t>
  </si>
  <si>
    <t>I.N.A.I.L.</t>
  </si>
  <si>
    <t>Risconti Passivi</t>
  </si>
  <si>
    <t>Deferred Revenue</t>
  </si>
  <si>
    <t>Debiti Vs Altri</t>
  </si>
  <si>
    <t>Lavoraz. Di Terzi P/Prod. Servizi</t>
  </si>
  <si>
    <t>Expense</t>
  </si>
  <si>
    <t>Merci C/Acquisti Nazionali</t>
  </si>
  <si>
    <t>Spesa Energia Commesse</t>
  </si>
  <si>
    <t>Cancelleria</t>
  </si>
  <si>
    <t>Carburante</t>
  </si>
  <si>
    <t>Carburante Parz. Ded.</t>
  </si>
  <si>
    <t>Spese Accessorie Su Acquisti</t>
  </si>
  <si>
    <t>Spese Di Rappresentanza Non Ded.</t>
  </si>
  <si>
    <t>Trasporti Su Acquisti</t>
  </si>
  <si>
    <t>Lavoraz. Di Terzi P/Prod. Beni</t>
  </si>
  <si>
    <t>Spesa Energia Struttura</t>
  </si>
  <si>
    <t>Acqua</t>
  </si>
  <si>
    <t>Manut. E Rip. Autocarri</t>
  </si>
  <si>
    <t>Manut. E Rip. Su Beni Di Prop.</t>
  </si>
  <si>
    <t>Manut. E Rip. Su Beni Di Prop. Parz. Ded.</t>
  </si>
  <si>
    <t>Assicurazioni R.C.</t>
  </si>
  <si>
    <t>Assicurazioni R.C.A. Parz. Deduc.</t>
  </si>
  <si>
    <t>Assicurazioni</t>
  </si>
  <si>
    <t>Compensi A Collaboratori Co.Co.Co.</t>
  </si>
  <si>
    <t>Contributi Inps Collaboratori Co.Co.Co</t>
  </si>
  <si>
    <t>Spese Telefoniche</t>
  </si>
  <si>
    <t>Spese Cellulari</t>
  </si>
  <si>
    <t>Altre Spese Generali</t>
  </si>
  <si>
    <t>Interessi Da Debiti Verso Banche</t>
  </si>
  <si>
    <t>Tenuta Paghe</t>
  </si>
  <si>
    <t>Noleggi Deducibili</t>
  </si>
  <si>
    <t>Canoni Software, Licenze E Simili</t>
  </si>
  <si>
    <t>Altri Oneri Previdenziali</t>
  </si>
  <si>
    <t>Other Expense</t>
  </si>
  <si>
    <t>Trattamento Di Fine Rapporto</t>
  </si>
  <si>
    <t>Amm.To Lav. Straord. Beni Di Terzi</t>
  </si>
  <si>
    <t>Amm.To Ord. Fabb. Ind.Li E Comm.</t>
  </si>
  <si>
    <t>Amm.To Ord. Imp. Gen.</t>
  </si>
  <si>
    <t>Amm.To Ord. Macc.</t>
  </si>
  <si>
    <t>Amm.To Ord. Att. Ind.Li E Comm.</t>
  </si>
  <si>
    <t>Amm.To Ord. Macc. Elettrom. Uff.</t>
  </si>
  <si>
    <t>Amm.To Ord. Autocarri/Autovetture</t>
  </si>
  <si>
    <t>Amm.To Arredamento</t>
  </si>
  <si>
    <t>Materie Prime C/Rim Iniziali</t>
  </si>
  <si>
    <t>Income</t>
  </si>
  <si>
    <t>Imposta di bollo</t>
  </si>
  <si>
    <t>Imposta Imu</t>
  </si>
  <si>
    <t>Tasse Di Concessione Governat.</t>
  </si>
  <si>
    <t>Tassa Di Proprieta' Autoveicoli</t>
  </si>
  <si>
    <t>Tassa Prop.Veicoli Parz.Ded.</t>
  </si>
  <si>
    <t>Tassa Sui Rifiuti</t>
  </si>
  <si>
    <t>Diritti Camerali</t>
  </si>
  <si>
    <t>Altre Imposte E Tasse Ded.</t>
  </si>
  <si>
    <t>Perdite su Crediti</t>
  </si>
  <si>
    <t>Abbonamenti Riviste, Giornali</t>
  </si>
  <si>
    <t>Multe E Ammende Indeducibili</t>
  </si>
  <si>
    <t>Sconti, Ribassi E Abbuoni Passivi</t>
  </si>
  <si>
    <t>Erog. Liberali Ded.</t>
  </si>
  <si>
    <t>Interessi Da Altri Debiti</t>
  </si>
  <si>
    <t>Irap Dell'esercizio</t>
  </si>
  <si>
    <t>Ires Dell'esercizio</t>
  </si>
  <si>
    <t>Ricavi</t>
  </si>
  <si>
    <t>Sconti, Ribassi e Abbuoni Attivi</t>
  </si>
  <si>
    <t>Other Income</t>
  </si>
  <si>
    <t>Sopravvenienze Attive</t>
  </si>
  <si>
    <t>Altri Ricavi E Proventi Vari</t>
  </si>
  <si>
    <t>Contributi In C/Impianti</t>
  </si>
  <si>
    <t>Materie Prime C/Rim Finali</t>
  </si>
  <si>
    <t>Salari E Stipendi - Operai</t>
  </si>
  <si>
    <t>Salari E Stipendi - Impiegati</t>
  </si>
  <si>
    <t>Oneri Previdenziali I.N.P.S. - Operai</t>
  </si>
  <si>
    <t>Oneri Previdenziali I.N.P.S. - Impiegati</t>
  </si>
  <si>
    <t>Erario Rit.Acc.Su Prest.Prof.</t>
  </si>
  <si>
    <t>Erario C/Iva Compensazione</t>
  </si>
  <si>
    <t>Da creare</t>
  </si>
  <si>
    <t>Comp. Prof. Attinenti Attivita'</t>
  </si>
  <si>
    <t>Formazione Del Personale</t>
  </si>
  <si>
    <t>Altre Assicurazioni</t>
  </si>
  <si>
    <t>ATTIVO</t>
  </si>
  <si>
    <t>PASSIVO</t>
  </si>
  <si>
    <t>COSTI</t>
  </si>
  <si>
    <t>RICAVI</t>
  </si>
  <si>
    <t>**</t>
  </si>
  <si>
    <t>52/05/055</t>
  </si>
  <si>
    <t>DIPENDENTI C/RETRIBUZIONI</t>
  </si>
  <si>
    <t>Dipendenti C/Retribuzione</t>
  </si>
  <si>
    <t>RISULTATO DI ESERCIZIO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</si>
</sst>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Book Antiqu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4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/>
    <xf numFmtId="0" fontId="2" fillId="0" borderId="0" xfId="0" applyFont="1" applyAlignment="1">
      <alignment horizontal="left" vertical="top"/>
    </xf>
    <xf numFmtId="0" fontId="2" fillId="3" borderId="0" xfId="0" applyFont="1" applyFill="1" applyAlignment="1">
      <alignment horizontal="center" vertical="center"/>
    </xf>
    <xf numFmtId="44" fontId="2" fillId="3" borderId="0" xfId="0" applyNumberFormat="1" applyFont="1" applyFill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2">
    <cellStyle name="Normal" xfId="0" builtinId="0"/>
    <cellStyle name="Normale 11" xfId="1" xr:uid="{1772DB68-EF64-48B7-B4A5-B5530E0ED5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9628427.app.netsuite.com/app/reporting/reportrunner.nl?acctid=443&amp;reload=T&amp;reporttype=REGIS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E2923-2615-4F3A-A50C-28FF09642557}">
  <dimension ref="A1:G163"/>
  <sheetViews>
    <sheetView showGridLines="0" tabSelected="1" workbookViewId="0">
      <selection activeCell="C152" sqref="C152"/>
    </sheetView>
  </sheetViews>
  <sheetFormatPr defaultRowHeight="14.4" x14ac:dyDescent="0.3"/>
  <cols>
    <col min="1" max="1" width="9.44140625" customWidth="1"/>
    <col min="2" max="2" width="39.5546875" bestFit="1" customWidth="1"/>
    <col min="3" max="3" width="19.5546875" bestFit="1" customWidth="1"/>
    <col min="4" max="4" width="15.44140625" customWidth="1"/>
    <col min="5" max="5" width="23.88671875" bestFit="1" customWidth="1"/>
    <col min="6" max="6" width="41.6640625" bestFit="1" customWidth="1"/>
    <col min="7" max="7" width="24.33203125" style="1" bestFit="1" customWidth="1"/>
  </cols>
  <sheetData>
    <row r="1" spans="1:7" x14ac:dyDescent="0.3">
      <c r="B1" s="8" t="s">
        <v>437</v>
      </c>
      <c r="C1" s="9">
        <f>SUBTOTAL(9,C9:C38)</f>
        <v>2709096.4600000009</v>
      </c>
    </row>
    <row r="2" spans="1:7" x14ac:dyDescent="0.3">
      <c r="B2" s="8" t="s">
        <v>438</v>
      </c>
      <c r="C2" s="9">
        <f>SUBTOTAL(9,C41:C71)</f>
        <v>2676155.69</v>
      </c>
      <c r="E2" s="11" t="s">
        <v>445</v>
      </c>
      <c r="F2" s="12">
        <f>+C1-C2</f>
        <v>32940.77000000095</v>
      </c>
    </row>
    <row r="3" spans="1:7" x14ac:dyDescent="0.3">
      <c r="B3" s="8" t="s">
        <v>439</v>
      </c>
      <c r="C3" s="9">
        <f>SUBTOTAL(9,C74:C149)</f>
        <v>787941.81000000017</v>
      </c>
    </row>
    <row r="4" spans="1:7" ht="15" thickBot="1" x14ac:dyDescent="0.35">
      <c r="B4" s="8" t="s">
        <v>440</v>
      </c>
      <c r="C4" s="9">
        <f>SUBTOTAL(9,C152:C163)</f>
        <v>820882.58</v>
      </c>
    </row>
    <row r="5" spans="1:7" ht="15" thickBot="1" x14ac:dyDescent="0.35">
      <c r="A5" s="16" t="s">
        <v>5</v>
      </c>
      <c r="B5" s="16"/>
      <c r="C5" s="17"/>
      <c r="D5" s="13" t="s">
        <v>0</v>
      </c>
      <c r="E5" s="14"/>
      <c r="F5" s="15"/>
    </row>
    <row r="6" spans="1:7" x14ac:dyDescent="0.3">
      <c r="A6" s="3" t="s">
        <v>1</v>
      </c>
      <c r="B6" s="3" t="s">
        <v>2</v>
      </c>
      <c r="C6" s="3" t="s">
        <v>6</v>
      </c>
      <c r="D6" s="3" t="s">
        <v>1</v>
      </c>
      <c r="E6" s="3" t="s">
        <v>3</v>
      </c>
      <c r="F6" s="3" t="s">
        <v>2</v>
      </c>
      <c r="G6" s="2" t="s">
        <v>4</v>
      </c>
    </row>
    <row r="7" spans="1:7" x14ac:dyDescent="0.3">
      <c r="A7" s="8"/>
      <c r="B7" s="8"/>
      <c r="C7" s="8"/>
      <c r="D7" s="8"/>
      <c r="E7" s="8"/>
      <c r="F7" s="8"/>
      <c r="G7" s="2"/>
    </row>
    <row r="8" spans="1:7" x14ac:dyDescent="0.3">
      <c r="A8" s="8" t="s">
        <v>441</v>
      </c>
      <c r="B8" s="8" t="s">
        <v>437</v>
      </c>
      <c r="C8" s="8"/>
      <c r="D8" s="8"/>
      <c r="E8" s="8"/>
      <c r="F8" s="8"/>
      <c r="G8" s="2"/>
    </row>
    <row r="9" spans="1:7" x14ac:dyDescent="0.3">
      <c r="A9" s="4" t="s">
        <v>7</v>
      </c>
      <c r="B9" s="4" t="s">
        <v>8</v>
      </c>
      <c r="C9" s="5">
        <v>33076</v>
      </c>
      <c r="D9" s="4">
        <v>100203</v>
      </c>
      <c r="E9" s="4" t="s">
        <v>303</v>
      </c>
      <c r="F9" s="4" t="s">
        <v>304</v>
      </c>
      <c r="G9" s="6"/>
    </row>
    <row r="10" spans="1:7" x14ac:dyDescent="0.3">
      <c r="A10" s="4" t="s">
        <v>9</v>
      </c>
      <c r="B10" s="4" t="s">
        <v>10</v>
      </c>
      <c r="C10" s="5">
        <v>159664.19</v>
      </c>
      <c r="D10" s="4">
        <v>100207</v>
      </c>
      <c r="E10" s="4" t="s">
        <v>303</v>
      </c>
      <c r="F10" s="4" t="s">
        <v>305</v>
      </c>
      <c r="G10" s="6"/>
    </row>
    <row r="11" spans="1:7" x14ac:dyDescent="0.3">
      <c r="A11" s="4" t="s">
        <v>11</v>
      </c>
      <c r="B11" s="4" t="s">
        <v>12</v>
      </c>
      <c r="C11" s="5">
        <v>8966.25</v>
      </c>
      <c r="D11" s="4">
        <v>100217</v>
      </c>
      <c r="E11" s="4" t="s">
        <v>303</v>
      </c>
      <c r="F11" s="4" t="s">
        <v>306</v>
      </c>
      <c r="G11" s="6"/>
    </row>
    <row r="12" spans="1:7" x14ac:dyDescent="0.3">
      <c r="A12" s="4" t="s">
        <v>13</v>
      </c>
      <c r="B12" s="4" t="s">
        <v>14</v>
      </c>
      <c r="C12" s="5">
        <v>885136.76</v>
      </c>
      <c r="D12" s="4">
        <v>100207</v>
      </c>
      <c r="E12" s="4" t="s">
        <v>303</v>
      </c>
      <c r="F12" s="4" t="s">
        <v>305</v>
      </c>
      <c r="G12" s="7"/>
    </row>
    <row r="13" spans="1:7" x14ac:dyDescent="0.3">
      <c r="A13" s="4" t="s">
        <v>15</v>
      </c>
      <c r="B13" s="4" t="s">
        <v>16</v>
      </c>
      <c r="C13" s="5">
        <v>11857.65</v>
      </c>
      <c r="D13" s="4">
        <v>100401</v>
      </c>
      <c r="E13" s="4" t="s">
        <v>303</v>
      </c>
      <c r="F13" s="4" t="s">
        <v>307</v>
      </c>
      <c r="G13" s="6"/>
    </row>
    <row r="14" spans="1:7" x14ac:dyDescent="0.3">
      <c r="A14" s="4" t="s">
        <v>17</v>
      </c>
      <c r="B14" s="4" t="s">
        <v>18</v>
      </c>
      <c r="C14" s="5">
        <v>385661.11</v>
      </c>
      <c r="D14" s="4">
        <v>100405</v>
      </c>
      <c r="E14" s="4" t="s">
        <v>303</v>
      </c>
      <c r="F14" s="4" t="s">
        <v>308</v>
      </c>
      <c r="G14" s="6"/>
    </row>
    <row r="15" spans="1:7" x14ac:dyDescent="0.3">
      <c r="A15" s="4" t="s">
        <v>19</v>
      </c>
      <c r="B15" s="4" t="s">
        <v>20</v>
      </c>
      <c r="C15" s="5">
        <v>4098.25</v>
      </c>
      <c r="D15" s="4">
        <v>100415</v>
      </c>
      <c r="E15" s="4" t="s">
        <v>303</v>
      </c>
      <c r="F15" s="4" t="s">
        <v>309</v>
      </c>
      <c r="G15" s="6"/>
    </row>
    <row r="16" spans="1:7" x14ac:dyDescent="0.3">
      <c r="A16" s="4" t="s">
        <v>21</v>
      </c>
      <c r="B16" s="4" t="s">
        <v>22</v>
      </c>
      <c r="C16" s="5">
        <v>32895.58</v>
      </c>
      <c r="D16" s="4">
        <v>100409</v>
      </c>
      <c r="E16" s="4" t="s">
        <v>303</v>
      </c>
      <c r="F16" s="4" t="s">
        <v>310</v>
      </c>
      <c r="G16" s="6"/>
    </row>
    <row r="17" spans="1:7" x14ac:dyDescent="0.3">
      <c r="A17" s="4" t="s">
        <v>23</v>
      </c>
      <c r="B17" s="4" t="s">
        <v>24</v>
      </c>
      <c r="C17" s="5">
        <v>41352.67</v>
      </c>
      <c r="D17" s="4">
        <v>100411</v>
      </c>
      <c r="E17" s="4" t="s">
        <v>303</v>
      </c>
      <c r="F17" s="4" t="s">
        <v>311</v>
      </c>
      <c r="G17" s="6"/>
    </row>
    <row r="18" spans="1:7" x14ac:dyDescent="0.3">
      <c r="A18" s="4" t="s">
        <v>25</v>
      </c>
      <c r="B18" s="4" t="s">
        <v>26</v>
      </c>
      <c r="C18" s="5">
        <v>40456.089999999997</v>
      </c>
      <c r="D18" s="4">
        <v>100413</v>
      </c>
      <c r="E18" s="4" t="s">
        <v>303</v>
      </c>
      <c r="F18" s="4" t="s">
        <v>312</v>
      </c>
      <c r="G18" s="6"/>
    </row>
    <row r="19" spans="1:7" x14ac:dyDescent="0.3">
      <c r="A19" s="4" t="s">
        <v>27</v>
      </c>
      <c r="B19" s="4" t="s">
        <v>28</v>
      </c>
      <c r="C19" s="5">
        <v>18720.07</v>
      </c>
      <c r="D19" s="4">
        <v>100421</v>
      </c>
      <c r="E19" s="4" t="s">
        <v>303</v>
      </c>
      <c r="F19" s="4" t="s">
        <v>313</v>
      </c>
      <c r="G19" s="6"/>
    </row>
    <row r="20" spans="1:7" x14ac:dyDescent="0.3">
      <c r="A20" s="4" t="s">
        <v>29</v>
      </c>
      <c r="B20" s="4" t="s">
        <v>30</v>
      </c>
      <c r="C20" s="5">
        <v>214006.57</v>
      </c>
      <c r="D20" s="4">
        <v>100423</v>
      </c>
      <c r="E20" s="4" t="s">
        <v>303</v>
      </c>
      <c r="F20" s="4" t="s">
        <v>314</v>
      </c>
      <c r="G20" s="6"/>
    </row>
    <row r="21" spans="1:7" x14ac:dyDescent="0.3">
      <c r="A21" s="4" t="s">
        <v>31</v>
      </c>
      <c r="B21" s="4" t="s">
        <v>32</v>
      </c>
      <c r="C21" s="5">
        <v>33282.870000000003</v>
      </c>
      <c r="D21" s="4">
        <v>100425</v>
      </c>
      <c r="E21" s="4" t="s">
        <v>303</v>
      </c>
      <c r="F21" s="4" t="s">
        <v>315</v>
      </c>
      <c r="G21" s="6"/>
    </row>
    <row r="22" spans="1:7" x14ac:dyDescent="0.3">
      <c r="A22" s="4" t="s">
        <v>33</v>
      </c>
      <c r="B22" s="4" t="s">
        <v>34</v>
      </c>
      <c r="C22" s="5">
        <v>32643.96</v>
      </c>
      <c r="D22" s="4">
        <v>100453</v>
      </c>
      <c r="E22" s="4" t="s">
        <v>303</v>
      </c>
      <c r="F22" s="4" t="s">
        <v>316</v>
      </c>
      <c r="G22" s="6"/>
    </row>
    <row r="23" spans="1:7" x14ac:dyDescent="0.3">
      <c r="A23" s="4" t="s">
        <v>35</v>
      </c>
      <c r="B23" s="4" t="s">
        <v>36</v>
      </c>
      <c r="C23" s="5">
        <v>2066</v>
      </c>
      <c r="D23" s="4">
        <v>100605</v>
      </c>
      <c r="E23" s="4" t="s">
        <v>303</v>
      </c>
      <c r="F23" s="4" t="s">
        <v>317</v>
      </c>
      <c r="G23" s="7"/>
    </row>
    <row r="24" spans="1:7" x14ac:dyDescent="0.3">
      <c r="A24" s="4" t="s">
        <v>37</v>
      </c>
      <c r="B24" s="4" t="s">
        <v>38</v>
      </c>
      <c r="C24" s="5">
        <v>111115.03</v>
      </c>
      <c r="D24" s="4">
        <v>120201</v>
      </c>
      <c r="E24" s="4" t="s">
        <v>319</v>
      </c>
      <c r="F24" s="4" t="s">
        <v>318</v>
      </c>
      <c r="G24" s="6"/>
    </row>
    <row r="25" spans="1:7" x14ac:dyDescent="0.3">
      <c r="A25" s="4" t="s">
        <v>39</v>
      </c>
      <c r="B25" s="4" t="s">
        <v>40</v>
      </c>
      <c r="C25" s="5">
        <v>23970.69</v>
      </c>
      <c r="D25" s="4">
        <v>120205</v>
      </c>
      <c r="E25" s="4" t="s">
        <v>319</v>
      </c>
      <c r="F25" s="4" t="s">
        <v>320</v>
      </c>
      <c r="G25" s="6"/>
    </row>
    <row r="26" spans="1:7" x14ac:dyDescent="0.3">
      <c r="A26" s="4" t="s">
        <v>41</v>
      </c>
      <c r="B26" s="4" t="s">
        <v>42</v>
      </c>
      <c r="C26" s="5">
        <v>167319.49</v>
      </c>
      <c r="D26" s="4">
        <v>140201</v>
      </c>
      <c r="E26" s="4" t="s">
        <v>322</v>
      </c>
      <c r="F26" s="4" t="s">
        <v>321</v>
      </c>
      <c r="G26" s="7"/>
    </row>
    <row r="27" spans="1:7" x14ac:dyDescent="0.3">
      <c r="A27" s="4" t="s">
        <v>43</v>
      </c>
      <c r="B27" s="4" t="s">
        <v>44</v>
      </c>
      <c r="C27" s="5">
        <v>33623.11</v>
      </c>
      <c r="D27" s="4">
        <v>160207</v>
      </c>
      <c r="E27" s="4" t="s">
        <v>319</v>
      </c>
      <c r="F27" s="4" t="s">
        <v>323</v>
      </c>
      <c r="G27" s="6"/>
    </row>
    <row r="28" spans="1:7" x14ac:dyDescent="0.3">
      <c r="A28" s="4" t="s">
        <v>45</v>
      </c>
      <c r="B28" s="4" t="s">
        <v>46</v>
      </c>
      <c r="C28" s="5">
        <v>22115.5</v>
      </c>
      <c r="D28" s="4">
        <v>320403</v>
      </c>
      <c r="E28" s="4" t="s">
        <v>319</v>
      </c>
      <c r="F28" s="4" t="s">
        <v>324</v>
      </c>
      <c r="G28" s="6"/>
    </row>
    <row r="29" spans="1:7" x14ac:dyDescent="0.3">
      <c r="A29" s="4" t="s">
        <v>47</v>
      </c>
      <c r="B29" s="4" t="s">
        <v>48</v>
      </c>
      <c r="C29" s="5">
        <v>1725.15</v>
      </c>
      <c r="D29" s="4">
        <v>320601</v>
      </c>
      <c r="E29" s="4" t="s">
        <v>333</v>
      </c>
      <c r="F29" s="4" t="s">
        <v>431</v>
      </c>
      <c r="G29" s="7"/>
    </row>
    <row r="30" spans="1:7" x14ac:dyDescent="0.3">
      <c r="A30" s="4" t="s">
        <v>49</v>
      </c>
      <c r="B30" s="4" t="s">
        <v>50</v>
      </c>
      <c r="C30" s="5">
        <v>131602.09</v>
      </c>
      <c r="D30" s="4">
        <v>160401</v>
      </c>
      <c r="E30" s="4" t="s">
        <v>319</v>
      </c>
      <c r="F30" s="4" t="s">
        <v>432</v>
      </c>
      <c r="G30" s="7"/>
    </row>
    <row r="31" spans="1:7" x14ac:dyDescent="0.3">
      <c r="A31" s="4" t="s">
        <v>51</v>
      </c>
      <c r="B31" s="4" t="s">
        <v>52</v>
      </c>
      <c r="C31" s="5">
        <v>6119.97</v>
      </c>
      <c r="D31" s="4">
        <v>160413</v>
      </c>
      <c r="E31" s="4" t="s">
        <v>319</v>
      </c>
      <c r="F31" s="4" t="s">
        <v>325</v>
      </c>
      <c r="G31" s="6"/>
    </row>
    <row r="32" spans="1:7" x14ac:dyDescent="0.3">
      <c r="A32" s="4" t="s">
        <v>53</v>
      </c>
      <c r="B32" s="4" t="s">
        <v>54</v>
      </c>
      <c r="C32" s="5">
        <v>172828.39</v>
      </c>
      <c r="D32" s="4" t="str">
        <f t="shared" ref="D32:D34" si="0">+A32</f>
        <v>24/05/002</v>
      </c>
      <c r="E32" s="4"/>
      <c r="F32" s="4"/>
      <c r="G32" s="6" t="s">
        <v>433</v>
      </c>
    </row>
    <row r="33" spans="1:7" x14ac:dyDescent="0.3">
      <c r="A33" s="4" t="s">
        <v>55</v>
      </c>
      <c r="B33" s="4" t="s">
        <v>56</v>
      </c>
      <c r="C33" s="5">
        <v>121605.94</v>
      </c>
      <c r="D33" s="4" t="str">
        <f t="shared" si="0"/>
        <v>24/05/003</v>
      </c>
      <c r="E33" s="4"/>
      <c r="F33" s="4"/>
      <c r="G33" s="6" t="s">
        <v>433</v>
      </c>
    </row>
    <row r="34" spans="1:7" x14ac:dyDescent="0.3">
      <c r="A34" s="4" t="s">
        <v>57</v>
      </c>
      <c r="B34" s="4" t="s">
        <v>58</v>
      </c>
      <c r="C34" s="5">
        <v>56.06</v>
      </c>
      <c r="D34" s="4" t="str">
        <f t="shared" si="0"/>
        <v>24/05/006</v>
      </c>
      <c r="E34" s="4"/>
      <c r="F34" s="4"/>
      <c r="G34" s="6" t="s">
        <v>433</v>
      </c>
    </row>
    <row r="35" spans="1:7" x14ac:dyDescent="0.3">
      <c r="A35" s="4" t="s">
        <v>59</v>
      </c>
      <c r="B35" s="4" t="s">
        <v>60</v>
      </c>
      <c r="C35" s="5">
        <v>6.87</v>
      </c>
      <c r="D35" s="4">
        <v>180201</v>
      </c>
      <c r="E35" s="4" t="s">
        <v>327</v>
      </c>
      <c r="F35" s="4" t="s">
        <v>326</v>
      </c>
      <c r="G35" s="6"/>
    </row>
    <row r="36" spans="1:7" x14ac:dyDescent="0.3">
      <c r="A36" s="4" t="s">
        <v>61</v>
      </c>
      <c r="B36" s="4" t="s">
        <v>62</v>
      </c>
      <c r="C36" s="5">
        <v>5531.99</v>
      </c>
      <c r="D36" s="4">
        <v>360201</v>
      </c>
      <c r="E36" s="4" t="s">
        <v>329</v>
      </c>
      <c r="F36" s="4" t="s">
        <v>328</v>
      </c>
      <c r="G36" s="6"/>
    </row>
    <row r="37" spans="1:7" x14ac:dyDescent="0.3">
      <c r="A37" s="4" t="s">
        <v>65</v>
      </c>
      <c r="B37" s="4" t="s">
        <v>66</v>
      </c>
      <c r="C37" s="5">
        <v>3253.16</v>
      </c>
      <c r="D37" s="4">
        <v>320409</v>
      </c>
      <c r="E37" s="4" t="s">
        <v>333</v>
      </c>
      <c r="F37" s="4" t="s">
        <v>332</v>
      </c>
      <c r="G37" s="6"/>
    </row>
    <row r="38" spans="1:7" x14ac:dyDescent="0.3">
      <c r="A38" s="4" t="s">
        <v>67</v>
      </c>
      <c r="B38" s="4" t="s">
        <v>68</v>
      </c>
      <c r="C38" s="5">
        <v>4339</v>
      </c>
      <c r="D38" s="4">
        <v>320405</v>
      </c>
      <c r="E38" s="4" t="s">
        <v>333</v>
      </c>
      <c r="F38" s="4" t="s">
        <v>334</v>
      </c>
      <c r="G38" s="6"/>
    </row>
    <row r="39" spans="1:7" x14ac:dyDescent="0.3">
      <c r="A39" s="4"/>
      <c r="B39" s="4"/>
      <c r="C39" s="5"/>
      <c r="D39" s="4"/>
      <c r="E39" s="4"/>
      <c r="F39" s="4"/>
      <c r="G39" s="6"/>
    </row>
    <row r="40" spans="1:7" x14ac:dyDescent="0.3">
      <c r="A40" s="8" t="s">
        <v>441</v>
      </c>
      <c r="B40" s="8" t="s">
        <v>438</v>
      </c>
      <c r="C40" s="5"/>
      <c r="D40" s="4"/>
      <c r="E40" s="4"/>
      <c r="F40" s="4"/>
      <c r="G40" s="6"/>
    </row>
    <row r="41" spans="1:7" x14ac:dyDescent="0.3">
      <c r="A41" s="4" t="s">
        <v>69</v>
      </c>
      <c r="B41" s="4" t="s">
        <v>70</v>
      </c>
      <c r="C41" s="5">
        <v>33076</v>
      </c>
      <c r="D41" s="4">
        <v>100225</v>
      </c>
      <c r="E41" s="4" t="s">
        <v>303</v>
      </c>
      <c r="F41" s="4" t="s">
        <v>335</v>
      </c>
      <c r="G41" s="6"/>
    </row>
    <row r="42" spans="1:7" x14ac:dyDescent="0.3">
      <c r="A42" s="4" t="s">
        <v>71</v>
      </c>
      <c r="B42" s="4" t="s">
        <v>72</v>
      </c>
      <c r="C42" s="5">
        <v>149012.63</v>
      </c>
      <c r="D42" s="4">
        <v>100235</v>
      </c>
      <c r="E42" s="4" t="s">
        <v>303</v>
      </c>
      <c r="F42" s="4" t="s">
        <v>336</v>
      </c>
      <c r="G42" s="6"/>
    </row>
    <row r="43" spans="1:7" x14ac:dyDescent="0.3">
      <c r="A43" s="4" t="s">
        <v>73</v>
      </c>
      <c r="B43" s="4" t="s">
        <v>74</v>
      </c>
      <c r="C43" s="5">
        <v>8966.25</v>
      </c>
      <c r="D43" s="4">
        <v>100237</v>
      </c>
      <c r="E43" s="4" t="s">
        <v>303</v>
      </c>
      <c r="F43" s="4" t="s">
        <v>337</v>
      </c>
      <c r="G43" s="6"/>
    </row>
    <row r="44" spans="1:7" x14ac:dyDescent="0.3">
      <c r="A44" s="4" t="s">
        <v>75</v>
      </c>
      <c r="B44" s="4" t="s">
        <v>76</v>
      </c>
      <c r="C44" s="5">
        <v>317021.90999999997</v>
      </c>
      <c r="D44" s="4">
        <v>100235</v>
      </c>
      <c r="E44" s="4" t="s">
        <v>303</v>
      </c>
      <c r="F44" s="4" t="s">
        <v>336</v>
      </c>
      <c r="G44" s="7"/>
    </row>
    <row r="45" spans="1:7" x14ac:dyDescent="0.3">
      <c r="A45" s="4" t="s">
        <v>77</v>
      </c>
      <c r="B45" s="4" t="s">
        <v>78</v>
      </c>
      <c r="C45" s="5">
        <v>11857.65</v>
      </c>
      <c r="D45" s="4">
        <v>100429</v>
      </c>
      <c r="E45" s="4" t="s">
        <v>303</v>
      </c>
      <c r="F45" s="4" t="s">
        <v>338</v>
      </c>
      <c r="G45" s="7"/>
    </row>
    <row r="46" spans="1:7" x14ac:dyDescent="0.3">
      <c r="A46" s="4" t="s">
        <v>79</v>
      </c>
      <c r="B46" s="4" t="s">
        <v>80</v>
      </c>
      <c r="C46" s="5">
        <v>221946.25</v>
      </c>
      <c r="D46" s="4">
        <v>100429</v>
      </c>
      <c r="E46" s="4" t="s">
        <v>303</v>
      </c>
      <c r="F46" s="4" t="s">
        <v>338</v>
      </c>
      <c r="G46" s="6"/>
    </row>
    <row r="47" spans="1:7" x14ac:dyDescent="0.3">
      <c r="A47" s="4" t="s">
        <v>81</v>
      </c>
      <c r="B47" s="4" t="s">
        <v>82</v>
      </c>
      <c r="C47" s="5">
        <v>3971.97</v>
      </c>
      <c r="D47" s="4">
        <v>100439</v>
      </c>
      <c r="E47" s="4" t="s">
        <v>303</v>
      </c>
      <c r="F47" s="4" t="s">
        <v>339</v>
      </c>
      <c r="G47" s="6"/>
    </row>
    <row r="48" spans="1:7" x14ac:dyDescent="0.3">
      <c r="A48" s="4" t="s">
        <v>83</v>
      </c>
      <c r="B48" s="4" t="s">
        <v>84</v>
      </c>
      <c r="C48" s="5">
        <v>31725.72</v>
      </c>
      <c r="D48" s="4">
        <v>100433</v>
      </c>
      <c r="E48" s="4" t="s">
        <v>303</v>
      </c>
      <c r="F48" s="4" t="s">
        <v>340</v>
      </c>
      <c r="G48" s="6"/>
    </row>
    <row r="49" spans="1:7" x14ac:dyDescent="0.3">
      <c r="A49" s="4" t="s">
        <v>85</v>
      </c>
      <c r="B49" s="4" t="s">
        <v>86</v>
      </c>
      <c r="C49" s="5">
        <v>41194.32</v>
      </c>
      <c r="D49" s="4">
        <v>100435</v>
      </c>
      <c r="E49" s="4" t="s">
        <v>303</v>
      </c>
      <c r="F49" s="4" t="s">
        <v>341</v>
      </c>
      <c r="G49" s="6"/>
    </row>
    <row r="50" spans="1:7" x14ac:dyDescent="0.3">
      <c r="A50" s="4" t="s">
        <v>87</v>
      </c>
      <c r="B50" s="4" t="s">
        <v>88</v>
      </c>
      <c r="C50" s="5">
        <v>40456.089999999997</v>
      </c>
      <c r="D50" s="4">
        <v>100437</v>
      </c>
      <c r="E50" s="4" t="s">
        <v>303</v>
      </c>
      <c r="F50" s="4" t="s">
        <v>342</v>
      </c>
      <c r="G50" s="6"/>
    </row>
    <row r="51" spans="1:7" x14ac:dyDescent="0.3">
      <c r="A51" s="4" t="s">
        <v>89</v>
      </c>
      <c r="B51" s="4" t="s">
        <v>90</v>
      </c>
      <c r="C51" s="5">
        <v>16375.74</v>
      </c>
      <c r="D51" s="4">
        <v>100445</v>
      </c>
      <c r="E51" s="4" t="s">
        <v>303</v>
      </c>
      <c r="F51" s="4" t="s">
        <v>343</v>
      </c>
      <c r="G51" s="6"/>
    </row>
    <row r="52" spans="1:7" x14ac:dyDescent="0.3">
      <c r="A52" s="4" t="s">
        <v>91</v>
      </c>
      <c r="B52" s="4" t="s">
        <v>92</v>
      </c>
      <c r="C52" s="5">
        <v>155726.01999999999</v>
      </c>
      <c r="D52" s="4">
        <v>100447</v>
      </c>
      <c r="E52" s="4" t="s">
        <v>303</v>
      </c>
      <c r="F52" s="4" t="s">
        <v>344</v>
      </c>
      <c r="G52" s="6"/>
    </row>
    <row r="53" spans="1:7" x14ac:dyDescent="0.3">
      <c r="A53" s="4" t="s">
        <v>93</v>
      </c>
      <c r="B53" s="4" t="s">
        <v>94</v>
      </c>
      <c r="C53" s="5">
        <v>33282.870000000003</v>
      </c>
      <c r="D53" s="4">
        <v>100449</v>
      </c>
      <c r="E53" s="4" t="s">
        <v>303</v>
      </c>
      <c r="F53" s="4" t="s">
        <v>345</v>
      </c>
      <c r="G53" s="6"/>
    </row>
    <row r="54" spans="1:7" x14ac:dyDescent="0.3">
      <c r="A54" s="4" t="s">
        <v>95</v>
      </c>
      <c r="B54" s="4" t="s">
        <v>96</v>
      </c>
      <c r="C54" s="5">
        <v>24502.75</v>
      </c>
      <c r="D54" s="4">
        <v>100455</v>
      </c>
      <c r="E54" s="4" t="s">
        <v>303</v>
      </c>
      <c r="F54" s="4" t="s">
        <v>346</v>
      </c>
      <c r="G54" s="6"/>
    </row>
    <row r="55" spans="1:7" x14ac:dyDescent="0.3">
      <c r="A55" s="4" t="s">
        <v>97</v>
      </c>
      <c r="B55" s="4" t="s">
        <v>98</v>
      </c>
      <c r="C55" s="5">
        <v>100000</v>
      </c>
      <c r="D55" s="4">
        <v>220201</v>
      </c>
      <c r="E55" s="4" t="s">
        <v>348</v>
      </c>
      <c r="F55" s="4" t="s">
        <v>347</v>
      </c>
      <c r="G55" s="6"/>
    </row>
    <row r="56" spans="1:7" x14ac:dyDescent="0.3">
      <c r="A56" s="4" t="s">
        <v>99</v>
      </c>
      <c r="B56" s="4" t="s">
        <v>100</v>
      </c>
      <c r="C56" s="5">
        <v>20000</v>
      </c>
      <c r="D56" s="4">
        <v>220207</v>
      </c>
      <c r="E56" s="4" t="s">
        <v>348</v>
      </c>
      <c r="F56" s="4" t="s">
        <v>349</v>
      </c>
      <c r="G56" s="6"/>
    </row>
    <row r="57" spans="1:7" x14ac:dyDescent="0.3">
      <c r="A57" s="4" t="s">
        <v>101</v>
      </c>
      <c r="B57" s="4" t="s">
        <v>102</v>
      </c>
      <c r="C57" s="5">
        <v>1316043.9099999999</v>
      </c>
      <c r="D57" s="4">
        <v>220209</v>
      </c>
      <c r="E57" s="4" t="s">
        <v>348</v>
      </c>
      <c r="F57" s="4" t="s">
        <v>350</v>
      </c>
      <c r="G57" s="6"/>
    </row>
    <row r="58" spans="1:7" x14ac:dyDescent="0.3">
      <c r="A58" s="4" t="s">
        <v>103</v>
      </c>
      <c r="B58" s="4" t="s">
        <v>104</v>
      </c>
      <c r="C58" s="5">
        <v>12332.93</v>
      </c>
      <c r="D58" s="4">
        <v>240219</v>
      </c>
      <c r="E58" s="4" t="s">
        <v>352</v>
      </c>
      <c r="F58" s="4" t="s">
        <v>351</v>
      </c>
      <c r="G58" s="6"/>
    </row>
    <row r="59" spans="1:7" x14ac:dyDescent="0.3">
      <c r="A59" s="4" t="s">
        <v>105</v>
      </c>
      <c r="B59" s="4" t="s">
        <v>106</v>
      </c>
      <c r="C59" s="5">
        <v>56206.46</v>
      </c>
      <c r="D59" s="4">
        <v>260201</v>
      </c>
      <c r="E59" s="4" t="s">
        <v>352</v>
      </c>
      <c r="F59" s="4" t="s">
        <v>353</v>
      </c>
      <c r="G59" s="6"/>
    </row>
    <row r="60" spans="1:7" x14ac:dyDescent="0.3">
      <c r="A60" s="4" t="s">
        <v>107</v>
      </c>
      <c r="B60" s="4" t="s">
        <v>108</v>
      </c>
      <c r="C60" s="5">
        <v>5000</v>
      </c>
      <c r="D60" s="4">
        <v>320815</v>
      </c>
      <c r="E60" s="4" t="s">
        <v>333</v>
      </c>
      <c r="F60" s="4" t="s">
        <v>354</v>
      </c>
      <c r="G60" s="6"/>
    </row>
    <row r="61" spans="1:7" x14ac:dyDescent="0.3">
      <c r="A61" s="4" t="s">
        <v>63</v>
      </c>
      <c r="B61" s="4" t="s">
        <v>64</v>
      </c>
      <c r="C61" s="5">
        <v>12098.85</v>
      </c>
      <c r="D61" s="4">
        <v>300205</v>
      </c>
      <c r="E61" s="4" t="s">
        <v>331</v>
      </c>
      <c r="F61" s="4" t="s">
        <v>330</v>
      </c>
      <c r="G61" s="7"/>
    </row>
    <row r="62" spans="1:7" x14ac:dyDescent="0.3">
      <c r="A62" s="4" t="s">
        <v>109</v>
      </c>
      <c r="B62" s="4" t="s">
        <v>110</v>
      </c>
      <c r="C62" s="5">
        <v>31761.15</v>
      </c>
      <c r="D62" s="4">
        <v>320813</v>
      </c>
      <c r="E62" s="4" t="s">
        <v>333</v>
      </c>
      <c r="F62" s="4" t="s">
        <v>355</v>
      </c>
      <c r="G62" s="6"/>
    </row>
    <row r="63" spans="1:7" x14ac:dyDescent="0.3">
      <c r="A63" s="4" t="s">
        <v>111</v>
      </c>
      <c r="B63" s="4" t="s">
        <v>112</v>
      </c>
      <c r="C63" s="5">
        <v>16354</v>
      </c>
      <c r="D63" s="4">
        <v>320403</v>
      </c>
      <c r="E63" s="4" t="s">
        <v>333</v>
      </c>
      <c r="F63" s="4" t="s">
        <v>324</v>
      </c>
      <c r="G63" s="6"/>
    </row>
    <row r="64" spans="1:7" x14ac:dyDescent="0.3">
      <c r="A64" s="4" t="s">
        <v>113</v>
      </c>
      <c r="B64" s="4" t="s">
        <v>114</v>
      </c>
      <c r="C64" s="5">
        <v>1238.0899999999999</v>
      </c>
      <c r="D64" s="4">
        <v>320603</v>
      </c>
      <c r="E64" s="4" t="s">
        <v>333</v>
      </c>
      <c r="F64" s="4" t="s">
        <v>357</v>
      </c>
      <c r="G64" s="6"/>
    </row>
    <row r="65" spans="1:7" x14ac:dyDescent="0.3">
      <c r="A65" s="4" t="s">
        <v>115</v>
      </c>
      <c r="B65" s="4" t="s">
        <v>116</v>
      </c>
      <c r="C65" s="5">
        <v>3868.18</v>
      </c>
      <c r="D65" s="4">
        <v>320407</v>
      </c>
      <c r="E65" s="4" t="s">
        <v>333</v>
      </c>
      <c r="F65" s="4" t="s">
        <v>356</v>
      </c>
      <c r="G65" s="6"/>
    </row>
    <row r="66" spans="1:7" x14ac:dyDescent="0.3">
      <c r="A66" s="4" t="s">
        <v>117</v>
      </c>
      <c r="B66" s="4" t="s">
        <v>118</v>
      </c>
      <c r="C66" s="5">
        <v>0</v>
      </c>
      <c r="D66" s="4">
        <v>320613</v>
      </c>
      <c r="E66" s="4" t="s">
        <v>333</v>
      </c>
      <c r="F66" s="4" t="s">
        <v>358</v>
      </c>
      <c r="G66" s="6"/>
    </row>
    <row r="67" spans="1:7" x14ac:dyDescent="0.3">
      <c r="A67" s="4" t="s">
        <v>119</v>
      </c>
      <c r="B67" s="4" t="s">
        <v>120</v>
      </c>
      <c r="C67" s="5">
        <v>297.36</v>
      </c>
      <c r="D67" s="4">
        <v>320617</v>
      </c>
      <c r="E67" s="4" t="s">
        <v>333</v>
      </c>
      <c r="F67" s="4" t="s">
        <v>359</v>
      </c>
      <c r="G67" s="6"/>
    </row>
    <row r="68" spans="1:7" x14ac:dyDescent="0.3">
      <c r="A68" s="4" t="s">
        <v>121</v>
      </c>
      <c r="B68" s="4" t="s">
        <v>122</v>
      </c>
      <c r="C68" s="5">
        <v>41.23</v>
      </c>
      <c r="D68" s="4">
        <v>320617</v>
      </c>
      <c r="E68" s="4" t="s">
        <v>333</v>
      </c>
      <c r="F68" s="4" t="s">
        <v>359</v>
      </c>
      <c r="G68" s="6"/>
    </row>
    <row r="69" spans="1:7" x14ac:dyDescent="0.3">
      <c r="A69" s="4" t="s">
        <v>442</v>
      </c>
      <c r="B69" s="4" t="s">
        <v>443</v>
      </c>
      <c r="C69" s="5">
        <v>8573.76</v>
      </c>
      <c r="D69" s="4">
        <v>320803</v>
      </c>
      <c r="E69" s="4" t="s">
        <v>333</v>
      </c>
      <c r="F69" s="4" t="s">
        <v>444</v>
      </c>
      <c r="G69" s="6"/>
    </row>
    <row r="70" spans="1:7" x14ac:dyDescent="0.3">
      <c r="A70" s="4" t="s">
        <v>123</v>
      </c>
      <c r="B70" s="4" t="s">
        <v>124</v>
      </c>
      <c r="C70" s="5">
        <v>2229.23</v>
      </c>
      <c r="D70" s="4">
        <v>320821</v>
      </c>
      <c r="E70" s="4" t="s">
        <v>333</v>
      </c>
      <c r="F70" s="4" t="s">
        <v>362</v>
      </c>
      <c r="G70" s="6"/>
    </row>
    <row r="71" spans="1:7" x14ac:dyDescent="0.3">
      <c r="A71" s="4" t="s">
        <v>125</v>
      </c>
      <c r="B71" s="4" t="s">
        <v>126</v>
      </c>
      <c r="C71" s="5">
        <v>994.37</v>
      </c>
      <c r="D71" s="4">
        <v>200203</v>
      </c>
      <c r="E71" s="4" t="s">
        <v>361</v>
      </c>
      <c r="F71" s="4" t="s">
        <v>360</v>
      </c>
      <c r="G71" s="6"/>
    </row>
    <row r="72" spans="1:7" x14ac:dyDescent="0.3">
      <c r="A72" s="4"/>
      <c r="B72" s="4"/>
      <c r="C72" s="5"/>
      <c r="D72" s="4"/>
      <c r="E72" s="4"/>
      <c r="F72" s="4"/>
      <c r="G72" s="6"/>
    </row>
    <row r="73" spans="1:7" x14ac:dyDescent="0.3">
      <c r="A73" s="4" t="s">
        <v>441</v>
      </c>
      <c r="B73" s="8" t="s">
        <v>439</v>
      </c>
      <c r="C73" s="5"/>
      <c r="D73" s="4"/>
      <c r="E73" s="4"/>
      <c r="F73" s="4"/>
      <c r="G73" s="6"/>
    </row>
    <row r="74" spans="1:7" x14ac:dyDescent="0.3">
      <c r="A74" s="4" t="s">
        <v>127</v>
      </c>
      <c r="B74" s="4" t="s">
        <v>128</v>
      </c>
      <c r="C74" s="5">
        <v>93704.4</v>
      </c>
      <c r="D74" s="4">
        <v>700203</v>
      </c>
      <c r="E74" s="4" t="s">
        <v>364</v>
      </c>
      <c r="F74" s="4" t="s">
        <v>363</v>
      </c>
      <c r="G74" s="6"/>
    </row>
    <row r="75" spans="1:7" x14ac:dyDescent="0.3">
      <c r="A75" s="4" t="s">
        <v>129</v>
      </c>
      <c r="B75" s="4" t="s">
        <v>130</v>
      </c>
      <c r="C75" s="5">
        <v>71673.7</v>
      </c>
      <c r="D75" s="4">
        <v>680201</v>
      </c>
      <c r="E75" s="4" t="s">
        <v>364</v>
      </c>
      <c r="F75" s="4" t="s">
        <v>365</v>
      </c>
      <c r="G75" s="7"/>
    </row>
    <row r="76" spans="1:7" x14ac:dyDescent="0.3">
      <c r="A76" s="4" t="s">
        <v>131</v>
      </c>
      <c r="B76" s="4" t="s">
        <v>132</v>
      </c>
      <c r="C76" s="5">
        <v>95314.7</v>
      </c>
      <c r="D76" s="4">
        <v>700601</v>
      </c>
      <c r="E76" s="4" t="s">
        <v>364</v>
      </c>
      <c r="F76" s="4" t="s">
        <v>366</v>
      </c>
      <c r="G76" s="6"/>
    </row>
    <row r="77" spans="1:7" x14ac:dyDescent="0.3">
      <c r="A77" s="4" t="s">
        <v>133</v>
      </c>
      <c r="B77" s="4" t="s">
        <v>134</v>
      </c>
      <c r="C77" s="5">
        <v>55974.559999999998</v>
      </c>
      <c r="D77" s="4">
        <v>700601</v>
      </c>
      <c r="E77" s="4" t="s">
        <v>364</v>
      </c>
      <c r="F77" s="4" t="s">
        <v>366</v>
      </c>
      <c r="G77" s="6"/>
    </row>
    <row r="78" spans="1:7" x14ac:dyDescent="0.3">
      <c r="A78" s="4" t="s">
        <v>135</v>
      </c>
      <c r="B78" s="4" t="s">
        <v>136</v>
      </c>
      <c r="C78" s="5">
        <v>2343.3000000000002</v>
      </c>
      <c r="D78" s="4">
        <v>680201</v>
      </c>
      <c r="E78" s="4" t="s">
        <v>364</v>
      </c>
      <c r="F78" s="4" t="s">
        <v>365</v>
      </c>
      <c r="G78" s="6"/>
    </row>
    <row r="79" spans="1:7" x14ac:dyDescent="0.3">
      <c r="A79" s="4" t="s">
        <v>137</v>
      </c>
      <c r="B79" s="4" t="s">
        <v>138</v>
      </c>
      <c r="C79" s="5">
        <v>335.88</v>
      </c>
      <c r="D79" s="4">
        <v>700803</v>
      </c>
      <c r="E79" s="4" t="s">
        <v>364</v>
      </c>
      <c r="F79" s="4" t="s">
        <v>367</v>
      </c>
      <c r="G79" s="6"/>
    </row>
    <row r="80" spans="1:7" x14ac:dyDescent="0.3">
      <c r="A80" s="4" t="s">
        <v>139</v>
      </c>
      <c r="B80" s="4" t="s">
        <v>140</v>
      </c>
      <c r="C80" s="5">
        <v>2683.18</v>
      </c>
      <c r="D80" s="4">
        <v>680601</v>
      </c>
      <c r="E80" s="4" t="s">
        <v>364</v>
      </c>
      <c r="F80" s="4" t="s">
        <v>368</v>
      </c>
      <c r="G80" s="6"/>
    </row>
    <row r="81" spans="1:7" x14ac:dyDescent="0.3">
      <c r="A81" s="4" t="s">
        <v>141</v>
      </c>
      <c r="B81" s="4" t="s">
        <v>144</v>
      </c>
      <c r="C81" s="5">
        <v>1832.81</v>
      </c>
      <c r="D81" s="4">
        <v>680603</v>
      </c>
      <c r="E81" s="4" t="s">
        <v>364</v>
      </c>
      <c r="F81" s="4" t="s">
        <v>369</v>
      </c>
      <c r="G81" s="6"/>
    </row>
    <row r="82" spans="1:7" x14ac:dyDescent="0.3">
      <c r="A82" s="4" t="s">
        <v>142</v>
      </c>
      <c r="B82" s="4" t="s">
        <v>143</v>
      </c>
      <c r="C82" s="5">
        <v>139.26</v>
      </c>
      <c r="D82" s="4">
        <v>680201</v>
      </c>
      <c r="E82" s="4" t="s">
        <v>364</v>
      </c>
      <c r="F82" s="4" t="s">
        <v>365</v>
      </c>
      <c r="G82" s="6"/>
    </row>
    <row r="83" spans="1:7" x14ac:dyDescent="0.3">
      <c r="A83" s="4" t="s">
        <v>145</v>
      </c>
      <c r="B83" s="4" t="s">
        <v>146</v>
      </c>
      <c r="C83" s="5">
        <v>220</v>
      </c>
      <c r="D83" s="4">
        <v>680403</v>
      </c>
      <c r="E83" s="4" t="s">
        <v>364</v>
      </c>
      <c r="F83" s="4" t="s">
        <v>370</v>
      </c>
      <c r="G83" s="6"/>
    </row>
    <row r="84" spans="1:7" x14ac:dyDescent="0.3">
      <c r="A84" s="4" t="s">
        <v>147</v>
      </c>
      <c r="B84" s="4" t="s">
        <v>148</v>
      </c>
      <c r="C84" s="5">
        <v>1220.1199999999999</v>
      </c>
      <c r="D84" s="4">
        <v>680201</v>
      </c>
      <c r="E84" s="4" t="s">
        <v>364</v>
      </c>
      <c r="F84" s="4" t="s">
        <v>365</v>
      </c>
      <c r="G84" s="6"/>
    </row>
    <row r="85" spans="1:7" x14ac:dyDescent="0.3">
      <c r="A85" s="4" t="s">
        <v>149</v>
      </c>
      <c r="B85" s="4" t="s">
        <v>150</v>
      </c>
      <c r="C85" s="5">
        <v>118.44</v>
      </c>
      <c r="D85" s="4">
        <v>701603</v>
      </c>
      <c r="E85" s="4" t="s">
        <v>364</v>
      </c>
      <c r="F85" s="4" t="s">
        <v>371</v>
      </c>
      <c r="G85" s="6"/>
    </row>
    <row r="86" spans="1:7" x14ac:dyDescent="0.3">
      <c r="A86" s="4" t="s">
        <v>151</v>
      </c>
      <c r="B86" s="4" t="s">
        <v>152</v>
      </c>
      <c r="C86" s="5">
        <v>5.5</v>
      </c>
      <c r="D86" s="4">
        <v>701603</v>
      </c>
      <c r="E86" s="4" t="s">
        <v>364</v>
      </c>
      <c r="F86" s="4" t="s">
        <v>371</v>
      </c>
      <c r="G86" s="6"/>
    </row>
    <row r="87" spans="1:7" x14ac:dyDescent="0.3">
      <c r="A87" s="4" t="s">
        <v>153</v>
      </c>
      <c r="B87" s="4" t="s">
        <v>154</v>
      </c>
      <c r="C87" s="5">
        <v>461.11</v>
      </c>
      <c r="D87" s="4">
        <v>701201</v>
      </c>
      <c r="E87" s="4" t="s">
        <v>364</v>
      </c>
      <c r="F87" s="4" t="s">
        <v>372</v>
      </c>
      <c r="G87" s="6"/>
    </row>
    <row r="88" spans="1:7" x14ac:dyDescent="0.3">
      <c r="A88" s="4" t="s">
        <v>155</v>
      </c>
      <c r="B88" s="4" t="s">
        <v>156</v>
      </c>
      <c r="C88" s="5">
        <v>12925</v>
      </c>
      <c r="D88" s="4">
        <v>700201</v>
      </c>
      <c r="E88" s="4" t="s">
        <v>364</v>
      </c>
      <c r="F88" s="4" t="s">
        <v>373</v>
      </c>
      <c r="G88" s="6"/>
    </row>
    <row r="89" spans="1:7" x14ac:dyDescent="0.3">
      <c r="A89" s="4" t="s">
        <v>157</v>
      </c>
      <c r="B89" s="4" t="s">
        <v>158</v>
      </c>
      <c r="C89" s="5">
        <v>52272</v>
      </c>
      <c r="D89" s="4">
        <v>700203</v>
      </c>
      <c r="E89" s="4" t="s">
        <v>364</v>
      </c>
      <c r="F89" s="4" t="s">
        <v>363</v>
      </c>
      <c r="G89" s="6"/>
    </row>
    <row r="90" spans="1:7" x14ac:dyDescent="0.3">
      <c r="A90" s="4" t="s">
        <v>159</v>
      </c>
      <c r="B90" s="4" t="s">
        <v>160</v>
      </c>
      <c r="C90" s="5">
        <v>2878.92</v>
      </c>
      <c r="D90" s="4">
        <v>700603</v>
      </c>
      <c r="E90" s="4" t="s">
        <v>364</v>
      </c>
      <c r="F90" s="4" t="s">
        <v>374</v>
      </c>
      <c r="G90" s="6"/>
    </row>
    <row r="91" spans="1:7" x14ac:dyDescent="0.3">
      <c r="A91" s="4" t="s">
        <v>161</v>
      </c>
      <c r="B91" s="4" t="s">
        <v>162</v>
      </c>
      <c r="C91" s="5">
        <v>29.62</v>
      </c>
      <c r="D91" s="4">
        <v>700805</v>
      </c>
      <c r="E91" s="4" t="s">
        <v>364</v>
      </c>
      <c r="F91" s="4" t="s">
        <v>375</v>
      </c>
      <c r="G91" s="6"/>
    </row>
    <row r="92" spans="1:7" x14ac:dyDescent="0.3">
      <c r="A92" s="4" t="s">
        <v>163</v>
      </c>
      <c r="B92" s="4" t="s">
        <v>164</v>
      </c>
      <c r="C92" s="5">
        <v>2000</v>
      </c>
      <c r="D92" s="4">
        <v>700209</v>
      </c>
      <c r="E92" s="4" t="s">
        <v>364</v>
      </c>
      <c r="F92" s="4" t="s">
        <v>376</v>
      </c>
      <c r="G92" s="6"/>
    </row>
    <row r="93" spans="1:7" x14ac:dyDescent="0.3">
      <c r="A93" s="4" t="s">
        <v>165</v>
      </c>
      <c r="B93" s="4" t="s">
        <v>166</v>
      </c>
      <c r="C93" s="5">
        <v>5500.9</v>
      </c>
      <c r="D93" s="4">
        <v>700205</v>
      </c>
      <c r="E93" s="4" t="s">
        <v>364</v>
      </c>
      <c r="F93" s="4" t="s">
        <v>377</v>
      </c>
      <c r="G93" s="6"/>
    </row>
    <row r="94" spans="1:7" x14ac:dyDescent="0.3">
      <c r="A94" s="4" t="s">
        <v>167</v>
      </c>
      <c r="B94" s="4" t="s">
        <v>168</v>
      </c>
      <c r="C94" s="5">
        <v>479.67</v>
      </c>
      <c r="D94" s="4">
        <v>700207</v>
      </c>
      <c r="E94" s="4" t="s">
        <v>364</v>
      </c>
      <c r="F94" s="4" t="s">
        <v>378</v>
      </c>
      <c r="G94" s="6"/>
    </row>
    <row r="95" spans="1:7" x14ac:dyDescent="0.3">
      <c r="A95" s="4" t="s">
        <v>169</v>
      </c>
      <c r="B95" s="4" t="s">
        <v>170</v>
      </c>
      <c r="C95" s="5">
        <v>2731.85</v>
      </c>
      <c r="D95" s="4">
        <v>702405</v>
      </c>
      <c r="E95" s="4" t="s">
        <v>364</v>
      </c>
      <c r="F95" s="4" t="s">
        <v>379</v>
      </c>
      <c r="G95" s="6"/>
    </row>
    <row r="96" spans="1:7" x14ac:dyDescent="0.3">
      <c r="A96" s="4" t="s">
        <v>171</v>
      </c>
      <c r="B96" s="4" t="s">
        <v>172</v>
      </c>
      <c r="C96" s="5">
        <v>734.92</v>
      </c>
      <c r="D96" s="4">
        <v>702407</v>
      </c>
      <c r="E96" s="4" t="s">
        <v>364</v>
      </c>
      <c r="F96" s="4" t="s">
        <v>380</v>
      </c>
      <c r="G96" s="6"/>
    </row>
    <row r="97" spans="1:7" x14ac:dyDescent="0.3">
      <c r="A97" s="4" t="s">
        <v>173</v>
      </c>
      <c r="B97" s="4" t="s">
        <v>174</v>
      </c>
      <c r="C97" s="5">
        <v>3212.58</v>
      </c>
      <c r="D97" s="4">
        <v>702403</v>
      </c>
      <c r="E97" s="4" t="s">
        <v>364</v>
      </c>
      <c r="F97" s="4" t="s">
        <v>381</v>
      </c>
      <c r="G97" s="6"/>
    </row>
    <row r="98" spans="1:7" x14ac:dyDescent="0.3">
      <c r="A98" s="4" t="s">
        <v>175</v>
      </c>
      <c r="B98" s="4" t="s">
        <v>176</v>
      </c>
      <c r="C98" s="5">
        <v>15283.31</v>
      </c>
      <c r="D98" s="4">
        <v>700403</v>
      </c>
      <c r="E98" s="4" t="s">
        <v>364</v>
      </c>
      <c r="F98" s="4" t="s">
        <v>382</v>
      </c>
      <c r="G98" s="6"/>
    </row>
    <row r="99" spans="1:7" x14ac:dyDescent="0.3">
      <c r="A99" s="4" t="s">
        <v>177</v>
      </c>
      <c r="B99" s="4" t="s">
        <v>178</v>
      </c>
      <c r="C99" s="5">
        <v>3568.08</v>
      </c>
      <c r="D99" s="4">
        <v>700411</v>
      </c>
      <c r="E99" s="4" t="s">
        <v>364</v>
      </c>
      <c r="F99" s="4" t="s">
        <v>383</v>
      </c>
      <c r="G99" s="6"/>
    </row>
    <row r="100" spans="1:7" x14ac:dyDescent="0.3">
      <c r="A100" s="4" t="s">
        <v>179</v>
      </c>
      <c r="B100" s="4" t="s">
        <v>180</v>
      </c>
      <c r="C100" s="5">
        <v>15306</v>
      </c>
      <c r="D100" s="4">
        <v>700409</v>
      </c>
      <c r="E100" s="4" t="s">
        <v>364</v>
      </c>
      <c r="F100" s="4" t="s">
        <v>434</v>
      </c>
      <c r="G100" s="7"/>
    </row>
    <row r="101" spans="1:7" x14ac:dyDescent="0.3">
      <c r="A101" s="4" t="s">
        <v>181</v>
      </c>
      <c r="B101" s="4" t="s">
        <v>182</v>
      </c>
      <c r="C101" s="5">
        <v>1221.3399999999999</v>
      </c>
      <c r="D101" s="4">
        <v>702201</v>
      </c>
      <c r="E101" s="4" t="s">
        <v>364</v>
      </c>
      <c r="F101" s="4" t="s">
        <v>384</v>
      </c>
      <c r="G101" s="6"/>
    </row>
    <row r="102" spans="1:7" x14ac:dyDescent="0.3">
      <c r="A102" s="4" t="s">
        <v>183</v>
      </c>
      <c r="B102" s="4" t="s">
        <v>184</v>
      </c>
      <c r="C102" s="5">
        <v>1525.56</v>
      </c>
      <c r="D102" s="4">
        <v>741605</v>
      </c>
      <c r="E102" s="4" t="s">
        <v>364</v>
      </c>
      <c r="F102" s="4" t="s">
        <v>385</v>
      </c>
      <c r="G102" s="6"/>
    </row>
    <row r="103" spans="1:7" x14ac:dyDescent="0.3">
      <c r="A103" s="4" t="s">
        <v>185</v>
      </c>
      <c r="B103" s="4" t="s">
        <v>186</v>
      </c>
      <c r="C103" s="5">
        <v>57.9</v>
      </c>
      <c r="D103" s="4">
        <v>700819</v>
      </c>
      <c r="E103" s="4" t="s">
        <v>364</v>
      </c>
      <c r="F103" s="4" t="s">
        <v>386</v>
      </c>
      <c r="G103" s="6"/>
    </row>
    <row r="104" spans="1:7" x14ac:dyDescent="0.3">
      <c r="A104" s="4" t="s">
        <v>187</v>
      </c>
      <c r="B104" s="4" t="s">
        <v>188</v>
      </c>
      <c r="C104" s="5">
        <v>240</v>
      </c>
      <c r="D104" s="4">
        <v>741801</v>
      </c>
      <c r="E104" s="4" t="s">
        <v>364</v>
      </c>
      <c r="F104" s="4" t="s">
        <v>435</v>
      </c>
      <c r="G104" s="7"/>
    </row>
    <row r="105" spans="1:7" x14ac:dyDescent="0.3">
      <c r="A105" s="4" t="s">
        <v>189</v>
      </c>
      <c r="B105" s="4" t="s">
        <v>190</v>
      </c>
      <c r="C105" s="5">
        <v>2327.06</v>
      </c>
      <c r="D105" s="4">
        <v>700203</v>
      </c>
      <c r="E105" s="4" t="s">
        <v>364</v>
      </c>
      <c r="F105" s="4" t="s">
        <v>363</v>
      </c>
      <c r="G105" s="6"/>
    </row>
    <row r="106" spans="1:7" x14ac:dyDescent="0.3">
      <c r="A106" s="4" t="s">
        <v>191</v>
      </c>
      <c r="B106" s="4" t="s">
        <v>192</v>
      </c>
      <c r="C106" s="5">
        <v>1978.58</v>
      </c>
      <c r="D106" s="4">
        <v>920207</v>
      </c>
      <c r="E106" s="4" t="s">
        <v>364</v>
      </c>
      <c r="F106" s="4" t="s">
        <v>387</v>
      </c>
      <c r="G106" s="6"/>
    </row>
    <row r="107" spans="1:7" x14ac:dyDescent="0.3">
      <c r="A107" s="4" t="s">
        <v>193</v>
      </c>
      <c r="B107" s="4" t="s">
        <v>194</v>
      </c>
      <c r="C107" s="5">
        <v>441.51</v>
      </c>
      <c r="D107" s="4">
        <v>702411</v>
      </c>
      <c r="E107" s="4" t="s">
        <v>364</v>
      </c>
      <c r="F107" s="4" t="s">
        <v>436</v>
      </c>
      <c r="G107" s="7"/>
    </row>
    <row r="108" spans="1:7" x14ac:dyDescent="0.3">
      <c r="A108" s="4" t="s">
        <v>195</v>
      </c>
      <c r="B108" s="4" t="s">
        <v>196</v>
      </c>
      <c r="C108" s="5">
        <v>1568</v>
      </c>
      <c r="D108" s="4">
        <v>702003</v>
      </c>
      <c r="E108" s="4" t="s">
        <v>364</v>
      </c>
      <c r="F108" s="4" t="s">
        <v>388</v>
      </c>
      <c r="G108" s="6"/>
    </row>
    <row r="109" spans="1:7" x14ac:dyDescent="0.3">
      <c r="A109" s="4" t="s">
        <v>197</v>
      </c>
      <c r="B109" s="4" t="s">
        <v>198</v>
      </c>
      <c r="C109" s="5">
        <v>6486.4</v>
      </c>
      <c r="D109" s="4">
        <v>702003</v>
      </c>
      <c r="E109" s="4" t="s">
        <v>364</v>
      </c>
      <c r="F109" s="4" t="s">
        <v>388</v>
      </c>
      <c r="G109" s="6"/>
    </row>
    <row r="110" spans="1:7" x14ac:dyDescent="0.3">
      <c r="A110" s="4" t="s">
        <v>199</v>
      </c>
      <c r="B110" s="4" t="s">
        <v>200</v>
      </c>
      <c r="C110" s="5">
        <v>721.97</v>
      </c>
      <c r="D110" s="4">
        <v>700203</v>
      </c>
      <c r="E110" s="4" t="s">
        <v>364</v>
      </c>
      <c r="F110" s="4" t="s">
        <v>363</v>
      </c>
      <c r="G110" s="7"/>
    </row>
    <row r="111" spans="1:7" x14ac:dyDescent="0.3">
      <c r="A111" s="4" t="s">
        <v>201</v>
      </c>
      <c r="B111" s="4" t="s">
        <v>202</v>
      </c>
      <c r="C111" s="5">
        <v>2929.64</v>
      </c>
      <c r="D111" s="4">
        <v>700203</v>
      </c>
      <c r="E111" s="4" t="s">
        <v>364</v>
      </c>
      <c r="F111" s="4" t="s">
        <v>363</v>
      </c>
      <c r="G111" s="7"/>
    </row>
    <row r="112" spans="1:7" x14ac:dyDescent="0.3">
      <c r="A112" s="4" t="s">
        <v>203</v>
      </c>
      <c r="B112" s="4" t="s">
        <v>204</v>
      </c>
      <c r="C112" s="5">
        <v>3355.78</v>
      </c>
      <c r="D112" s="4" t="str">
        <f t="shared" ref="D112" si="1">+A112</f>
        <v>68/05/501</v>
      </c>
      <c r="E112" s="4"/>
      <c r="F112" s="4"/>
      <c r="G112" s="6" t="s">
        <v>433</v>
      </c>
    </row>
    <row r="113" spans="1:7" x14ac:dyDescent="0.3">
      <c r="A113" s="4" t="s">
        <v>205</v>
      </c>
      <c r="B113" s="4" t="s">
        <v>206</v>
      </c>
      <c r="C113" s="5">
        <v>957.67</v>
      </c>
      <c r="D113" s="4">
        <v>720403</v>
      </c>
      <c r="E113" s="4" t="s">
        <v>364</v>
      </c>
      <c r="F113" s="4" t="s">
        <v>389</v>
      </c>
      <c r="G113" s="6"/>
    </row>
    <row r="114" spans="1:7" x14ac:dyDescent="0.3">
      <c r="A114" s="4" t="s">
        <v>207</v>
      </c>
      <c r="B114" s="4" t="s">
        <v>208</v>
      </c>
      <c r="C114" s="5">
        <v>1108.8399999999999</v>
      </c>
      <c r="D114" s="4">
        <v>702401</v>
      </c>
      <c r="E114" s="4" t="s">
        <v>364</v>
      </c>
      <c r="F114" s="4" t="s">
        <v>390</v>
      </c>
      <c r="G114" s="6"/>
    </row>
    <row r="115" spans="1:7" x14ac:dyDescent="0.3">
      <c r="A115" s="4" t="s">
        <v>209</v>
      </c>
      <c r="B115" s="4" t="s">
        <v>210</v>
      </c>
      <c r="C115" s="5">
        <v>69448.05</v>
      </c>
      <c r="D115" s="4">
        <v>740201</v>
      </c>
      <c r="E115" s="4" t="s">
        <v>392</v>
      </c>
      <c r="F115" s="4" t="s">
        <v>427</v>
      </c>
      <c r="G115" s="7"/>
    </row>
    <row r="116" spans="1:7" x14ac:dyDescent="0.3">
      <c r="A116" s="4" t="s">
        <v>211</v>
      </c>
      <c r="B116" s="4" t="s">
        <v>212</v>
      </c>
      <c r="C116" s="5">
        <v>17212.78</v>
      </c>
      <c r="D116" s="4">
        <v>740203</v>
      </c>
      <c r="E116" s="4" t="s">
        <v>392</v>
      </c>
      <c r="F116" s="4" t="s">
        <v>428</v>
      </c>
      <c r="G116" s="7"/>
    </row>
    <row r="117" spans="1:7" x14ac:dyDescent="0.3">
      <c r="A117" s="4" t="s">
        <v>213</v>
      </c>
      <c r="B117" s="4" t="s">
        <v>214</v>
      </c>
      <c r="C117" s="5">
        <v>19015.7</v>
      </c>
      <c r="D117" s="4">
        <v>740601</v>
      </c>
      <c r="E117" s="4" t="s">
        <v>392</v>
      </c>
      <c r="F117" s="4" t="s">
        <v>429</v>
      </c>
      <c r="G117" s="7"/>
    </row>
    <row r="118" spans="1:7" x14ac:dyDescent="0.3">
      <c r="A118" s="4" t="s">
        <v>215</v>
      </c>
      <c r="B118" s="4" t="s">
        <v>216</v>
      </c>
      <c r="C118" s="5">
        <v>520</v>
      </c>
      <c r="D118" s="4">
        <v>740603</v>
      </c>
      <c r="E118" s="4" t="s">
        <v>392</v>
      </c>
      <c r="F118" s="4" t="s">
        <v>391</v>
      </c>
      <c r="G118" s="6"/>
    </row>
    <row r="119" spans="1:7" x14ac:dyDescent="0.3">
      <c r="A119" s="4" t="s">
        <v>217</v>
      </c>
      <c r="B119" s="4" t="s">
        <v>218</v>
      </c>
      <c r="C119" s="5">
        <v>3489.92</v>
      </c>
      <c r="D119" s="4">
        <v>740611</v>
      </c>
      <c r="E119" s="4" t="s">
        <v>392</v>
      </c>
      <c r="F119" s="4" t="s">
        <v>430</v>
      </c>
      <c r="G119" s="7"/>
    </row>
    <row r="120" spans="1:7" x14ac:dyDescent="0.3">
      <c r="A120" s="4" t="s">
        <v>219</v>
      </c>
      <c r="B120" s="4" t="s">
        <v>220</v>
      </c>
      <c r="C120" s="5">
        <v>7392.4</v>
      </c>
      <c r="D120" s="4">
        <v>741201</v>
      </c>
      <c r="E120" s="4" t="s">
        <v>392</v>
      </c>
      <c r="F120" s="4" t="s">
        <v>393</v>
      </c>
      <c r="G120" s="6"/>
    </row>
    <row r="121" spans="1:7" x14ac:dyDescent="0.3">
      <c r="A121" s="4" t="s">
        <v>221</v>
      </c>
      <c r="B121" s="4" t="s">
        <v>222</v>
      </c>
      <c r="C121" s="5">
        <v>5314.85</v>
      </c>
      <c r="D121" s="4">
        <v>760601</v>
      </c>
      <c r="E121" s="4" t="s">
        <v>364</v>
      </c>
      <c r="F121" s="4" t="s">
        <v>394</v>
      </c>
      <c r="G121" s="6"/>
    </row>
    <row r="122" spans="1:7" x14ac:dyDescent="0.3">
      <c r="A122" s="4" t="s">
        <v>223</v>
      </c>
      <c r="B122" s="4" t="s">
        <v>224</v>
      </c>
      <c r="C122" s="5">
        <v>23748.83</v>
      </c>
      <c r="D122" s="4">
        <v>760601</v>
      </c>
      <c r="E122" s="4" t="s">
        <v>364</v>
      </c>
      <c r="F122" s="4" t="s">
        <v>394</v>
      </c>
      <c r="G122" s="7"/>
    </row>
    <row r="123" spans="1:7" x14ac:dyDescent="0.3">
      <c r="A123" s="4" t="s">
        <v>225</v>
      </c>
      <c r="B123" s="4" t="s">
        <v>226</v>
      </c>
      <c r="C123" s="5">
        <v>7702.66</v>
      </c>
      <c r="D123" s="4">
        <v>780201</v>
      </c>
      <c r="E123" s="4" t="s">
        <v>364</v>
      </c>
      <c r="F123" s="4" t="s">
        <v>395</v>
      </c>
      <c r="G123" s="6"/>
    </row>
    <row r="124" spans="1:7" x14ac:dyDescent="0.3">
      <c r="A124" s="4" t="s">
        <v>227</v>
      </c>
      <c r="B124" s="4" t="s">
        <v>228</v>
      </c>
      <c r="C124" s="5">
        <v>272.85000000000002</v>
      </c>
      <c r="D124" s="4">
        <v>780601</v>
      </c>
      <c r="E124" s="4" t="s">
        <v>364</v>
      </c>
      <c r="F124" s="4" t="s">
        <v>396</v>
      </c>
      <c r="G124" s="6"/>
    </row>
    <row r="125" spans="1:7" x14ac:dyDescent="0.3">
      <c r="A125" s="4" t="s">
        <v>229</v>
      </c>
      <c r="B125" s="4" t="s">
        <v>230</v>
      </c>
      <c r="C125" s="5">
        <v>2330.14</v>
      </c>
      <c r="D125" s="4">
        <v>780801</v>
      </c>
      <c r="E125" s="4" t="s">
        <v>364</v>
      </c>
      <c r="F125" s="4" t="s">
        <v>397</v>
      </c>
      <c r="G125" s="6"/>
    </row>
    <row r="126" spans="1:7" x14ac:dyDescent="0.3">
      <c r="A126" s="4" t="s">
        <v>231</v>
      </c>
      <c r="B126" s="4" t="s">
        <v>232</v>
      </c>
      <c r="C126" s="5">
        <v>315.42</v>
      </c>
      <c r="D126" s="4">
        <v>781001</v>
      </c>
      <c r="E126" s="4" t="s">
        <v>364</v>
      </c>
      <c r="F126" s="4" t="s">
        <v>398</v>
      </c>
      <c r="G126" s="6"/>
    </row>
    <row r="127" spans="1:7" x14ac:dyDescent="0.3">
      <c r="A127" s="4" t="s">
        <v>233</v>
      </c>
      <c r="B127" s="4" t="s">
        <v>234</v>
      </c>
      <c r="C127" s="5">
        <v>595.30999999999995</v>
      </c>
      <c r="D127" s="4">
        <v>781401</v>
      </c>
      <c r="E127" s="4" t="s">
        <v>364</v>
      </c>
      <c r="F127" s="4" t="s">
        <v>399</v>
      </c>
      <c r="G127" s="6"/>
    </row>
    <row r="128" spans="1:7" x14ac:dyDescent="0.3">
      <c r="A128" s="4" t="s">
        <v>235</v>
      </c>
      <c r="B128" s="4" t="s">
        <v>236</v>
      </c>
      <c r="C128" s="5">
        <v>10119.450000000001</v>
      </c>
      <c r="D128" s="4">
        <v>781801</v>
      </c>
      <c r="E128" s="4" t="s">
        <v>364</v>
      </c>
      <c r="F128" s="4" t="s">
        <v>400</v>
      </c>
      <c r="G128" s="6"/>
    </row>
    <row r="129" spans="1:7" x14ac:dyDescent="0.3">
      <c r="A129" s="4" t="s">
        <v>237</v>
      </c>
      <c r="B129" s="4" t="s">
        <v>238</v>
      </c>
      <c r="C129" s="5">
        <v>878.79</v>
      </c>
      <c r="D129" s="4">
        <v>782801</v>
      </c>
      <c r="E129" s="4" t="s">
        <v>364</v>
      </c>
      <c r="F129" s="4" t="s">
        <v>401</v>
      </c>
      <c r="G129" s="6"/>
    </row>
    <row r="130" spans="1:7" x14ac:dyDescent="0.3">
      <c r="A130" s="4" t="s">
        <v>239</v>
      </c>
      <c r="B130" s="4" t="s">
        <v>240</v>
      </c>
      <c r="C130" s="5">
        <v>123249.95</v>
      </c>
      <c r="D130" s="4">
        <v>800405</v>
      </c>
      <c r="E130" s="4" t="s">
        <v>403</v>
      </c>
      <c r="F130" s="4" t="s">
        <v>402</v>
      </c>
      <c r="G130" s="6"/>
    </row>
    <row r="131" spans="1:7" x14ac:dyDescent="0.3">
      <c r="A131" s="4" t="s">
        <v>241</v>
      </c>
      <c r="B131" s="4" t="s">
        <v>242</v>
      </c>
      <c r="C131" s="5">
        <v>222.76</v>
      </c>
      <c r="D131" s="4">
        <v>840601</v>
      </c>
      <c r="E131" s="4" t="s">
        <v>392</v>
      </c>
      <c r="F131" s="4" t="s">
        <v>404</v>
      </c>
      <c r="G131" s="6"/>
    </row>
    <row r="132" spans="1:7" x14ac:dyDescent="0.3">
      <c r="A132" s="4" t="s">
        <v>243</v>
      </c>
      <c r="B132" s="4" t="s">
        <v>244</v>
      </c>
      <c r="C132" s="5">
        <v>1548</v>
      </c>
      <c r="D132" s="4">
        <v>880201</v>
      </c>
      <c r="E132" s="4" t="s">
        <v>392</v>
      </c>
      <c r="F132" s="4" t="s">
        <v>405</v>
      </c>
      <c r="G132" s="6"/>
    </row>
    <row r="133" spans="1:7" x14ac:dyDescent="0.3">
      <c r="A133" s="4" t="s">
        <v>245</v>
      </c>
      <c r="B133" s="4" t="s">
        <v>246</v>
      </c>
      <c r="C133" s="5">
        <v>309.87</v>
      </c>
      <c r="D133" s="4">
        <v>880209</v>
      </c>
      <c r="E133" s="4" t="s">
        <v>392</v>
      </c>
      <c r="F133" s="4" t="s">
        <v>406</v>
      </c>
      <c r="G133" s="6"/>
    </row>
    <row r="134" spans="1:7" x14ac:dyDescent="0.3">
      <c r="A134" s="4" t="s">
        <v>247</v>
      </c>
      <c r="B134" s="4" t="s">
        <v>248</v>
      </c>
      <c r="C134" s="5">
        <v>140.83000000000001</v>
      </c>
      <c r="D134" s="4">
        <v>840401</v>
      </c>
      <c r="E134" s="4" t="s">
        <v>392</v>
      </c>
      <c r="F134" s="4" t="s">
        <v>407</v>
      </c>
      <c r="G134" s="6"/>
    </row>
    <row r="135" spans="1:7" x14ac:dyDescent="0.3">
      <c r="A135" s="4" t="s">
        <v>249</v>
      </c>
      <c r="B135" s="4" t="s">
        <v>250</v>
      </c>
      <c r="C135" s="5">
        <v>22.01</v>
      </c>
      <c r="D135" s="4">
        <v>840403</v>
      </c>
      <c r="E135" s="4" t="s">
        <v>392</v>
      </c>
      <c r="F135" s="4" t="s">
        <v>408</v>
      </c>
      <c r="G135" s="6"/>
    </row>
    <row r="136" spans="1:7" x14ac:dyDescent="0.3">
      <c r="A136" s="4" t="s">
        <v>251</v>
      </c>
      <c r="B136" s="4" t="s">
        <v>252</v>
      </c>
      <c r="C136" s="5">
        <v>1166</v>
      </c>
      <c r="D136" s="4">
        <v>880203</v>
      </c>
      <c r="E136" s="4" t="s">
        <v>392</v>
      </c>
      <c r="F136" s="4" t="s">
        <v>409</v>
      </c>
      <c r="G136" s="6"/>
    </row>
    <row r="137" spans="1:7" x14ac:dyDescent="0.3">
      <c r="A137" s="4" t="s">
        <v>253</v>
      </c>
      <c r="B137" s="4" t="s">
        <v>254</v>
      </c>
      <c r="C137" s="5">
        <v>230</v>
      </c>
      <c r="D137" s="4">
        <v>880211</v>
      </c>
      <c r="E137" s="4" t="s">
        <v>392</v>
      </c>
      <c r="F137" s="4" t="s">
        <v>410</v>
      </c>
      <c r="G137" s="6"/>
    </row>
    <row r="138" spans="1:7" x14ac:dyDescent="0.3">
      <c r="A138" s="4" t="s">
        <v>255</v>
      </c>
      <c r="B138" s="4" t="s">
        <v>256</v>
      </c>
      <c r="C138" s="5">
        <v>124.78</v>
      </c>
      <c r="D138" s="4">
        <v>880205</v>
      </c>
      <c r="E138" s="4" t="s">
        <v>392</v>
      </c>
      <c r="F138" s="4" t="s">
        <v>411</v>
      </c>
      <c r="G138" s="6"/>
    </row>
    <row r="139" spans="1:7" x14ac:dyDescent="0.3">
      <c r="A139" s="4" t="s">
        <v>257</v>
      </c>
      <c r="B139" s="4" t="s">
        <v>258</v>
      </c>
      <c r="C139" s="5">
        <v>530</v>
      </c>
      <c r="D139" s="4">
        <v>881201</v>
      </c>
      <c r="E139" s="4" t="s">
        <v>392</v>
      </c>
      <c r="F139" s="4" t="s">
        <v>412</v>
      </c>
      <c r="G139" s="6"/>
    </row>
    <row r="140" spans="1:7" x14ac:dyDescent="0.3">
      <c r="A140" s="4" t="s">
        <v>259</v>
      </c>
      <c r="B140" s="4" t="s">
        <v>260</v>
      </c>
      <c r="C140" s="5">
        <v>305</v>
      </c>
      <c r="D140" s="4">
        <v>700821</v>
      </c>
      <c r="E140" s="4" t="s">
        <v>392</v>
      </c>
      <c r="F140" s="4" t="s">
        <v>413</v>
      </c>
      <c r="G140" s="6"/>
    </row>
    <row r="141" spans="1:7" x14ac:dyDescent="0.3">
      <c r="A141" s="4" t="s">
        <v>261</v>
      </c>
      <c r="B141" s="4" t="s">
        <v>262</v>
      </c>
      <c r="C141" s="5">
        <v>774.99</v>
      </c>
      <c r="D141" s="4">
        <v>880803</v>
      </c>
      <c r="E141" s="4" t="s">
        <v>392</v>
      </c>
      <c r="F141" s="4" t="s">
        <v>414</v>
      </c>
      <c r="G141" s="6"/>
    </row>
    <row r="142" spans="1:7" x14ac:dyDescent="0.3">
      <c r="A142" s="4" t="s">
        <v>263</v>
      </c>
      <c r="B142" s="4" t="s">
        <v>264</v>
      </c>
      <c r="C142" s="5">
        <v>4.97</v>
      </c>
      <c r="D142" s="4">
        <v>880601</v>
      </c>
      <c r="E142" s="4" t="s">
        <v>392</v>
      </c>
      <c r="F142" s="4" t="s">
        <v>415</v>
      </c>
      <c r="G142" s="6"/>
    </row>
    <row r="143" spans="1:7" x14ac:dyDescent="0.3">
      <c r="A143" s="4" t="s">
        <v>265</v>
      </c>
      <c r="B143" s="4" t="s">
        <v>266</v>
      </c>
      <c r="C143" s="5">
        <v>200</v>
      </c>
      <c r="D143" s="4">
        <v>881001</v>
      </c>
      <c r="E143" s="4" t="s">
        <v>392</v>
      </c>
      <c r="F143" s="4" t="s">
        <v>416</v>
      </c>
      <c r="G143" s="6"/>
    </row>
    <row r="144" spans="1:7" x14ac:dyDescent="0.3">
      <c r="A144" s="4" t="s">
        <v>267</v>
      </c>
      <c r="B144" s="4" t="s">
        <v>268</v>
      </c>
      <c r="C144" s="5">
        <v>50</v>
      </c>
      <c r="D144" s="4">
        <v>880205</v>
      </c>
      <c r="E144" s="4" t="s">
        <v>392</v>
      </c>
      <c r="F144" s="4" t="s">
        <v>411</v>
      </c>
      <c r="G144" s="7"/>
    </row>
    <row r="145" spans="1:7" x14ac:dyDescent="0.3">
      <c r="A145" s="4" t="s">
        <v>269</v>
      </c>
      <c r="B145" s="4" t="s">
        <v>270</v>
      </c>
      <c r="C145" s="5">
        <v>1378.17</v>
      </c>
      <c r="D145" s="4">
        <v>880205</v>
      </c>
      <c r="E145" s="4" t="s">
        <v>392</v>
      </c>
      <c r="F145" s="4" t="s">
        <v>411</v>
      </c>
      <c r="G145" s="7"/>
    </row>
    <row r="146" spans="1:7" x14ac:dyDescent="0.3">
      <c r="A146" s="4" t="s">
        <v>271</v>
      </c>
      <c r="B146" s="4" t="s">
        <v>272</v>
      </c>
      <c r="C146" s="5">
        <v>1071</v>
      </c>
      <c r="D146" s="4">
        <v>920207</v>
      </c>
      <c r="E146" s="4" t="s">
        <v>364</v>
      </c>
      <c r="F146" s="4" t="s">
        <v>387</v>
      </c>
      <c r="G146" s="6"/>
    </row>
    <row r="147" spans="1:7" x14ac:dyDescent="0.3">
      <c r="A147" s="4" t="s">
        <v>273</v>
      </c>
      <c r="B147" s="4" t="s">
        <v>274</v>
      </c>
      <c r="C147" s="5">
        <v>364.27</v>
      </c>
      <c r="D147" s="4">
        <v>920211</v>
      </c>
      <c r="E147" s="4" t="s">
        <v>392</v>
      </c>
      <c r="F147" s="4" t="s">
        <v>417</v>
      </c>
      <c r="G147" s="6"/>
    </row>
    <row r="148" spans="1:7" x14ac:dyDescent="0.3">
      <c r="A148" s="4" t="s">
        <v>275</v>
      </c>
      <c r="B148" s="4" t="s">
        <v>276</v>
      </c>
      <c r="C148" s="5">
        <v>3668</v>
      </c>
      <c r="D148" s="4">
        <v>940201</v>
      </c>
      <c r="E148" s="4" t="s">
        <v>392</v>
      </c>
      <c r="F148" s="4" t="s">
        <v>418</v>
      </c>
      <c r="G148" s="6"/>
    </row>
    <row r="149" spans="1:7" x14ac:dyDescent="0.3">
      <c r="A149" s="4" t="s">
        <v>277</v>
      </c>
      <c r="B149" s="4" t="s">
        <v>278</v>
      </c>
      <c r="C149" s="5">
        <v>16354</v>
      </c>
      <c r="D149" s="4">
        <v>940209</v>
      </c>
      <c r="E149" s="4" t="s">
        <v>392</v>
      </c>
      <c r="F149" s="4" t="s">
        <v>419</v>
      </c>
      <c r="G149" s="6"/>
    </row>
    <row r="150" spans="1:7" x14ac:dyDescent="0.3">
      <c r="A150" s="4"/>
      <c r="B150" s="4"/>
      <c r="C150" s="5"/>
      <c r="D150" s="4"/>
      <c r="E150" s="4"/>
      <c r="F150" s="4"/>
      <c r="G150" s="6"/>
    </row>
    <row r="151" spans="1:7" x14ac:dyDescent="0.3">
      <c r="A151" s="4" t="s">
        <v>441</v>
      </c>
      <c r="B151" s="10" t="s">
        <v>440</v>
      </c>
      <c r="C151" s="5"/>
      <c r="D151" s="4"/>
      <c r="E151" s="4"/>
      <c r="F151" s="4"/>
      <c r="G151" s="6"/>
    </row>
    <row r="152" spans="1:7" x14ac:dyDescent="0.3">
      <c r="A152" s="4" t="s">
        <v>279</v>
      </c>
      <c r="B152" s="4" t="s">
        <v>280</v>
      </c>
      <c r="C152" s="5">
        <v>290116.90999999997</v>
      </c>
      <c r="D152" s="4">
        <v>620201</v>
      </c>
      <c r="E152" s="4" t="s">
        <v>403</v>
      </c>
      <c r="F152" s="4" t="s">
        <v>420</v>
      </c>
      <c r="G152" s="6"/>
    </row>
    <row r="153" spans="1:7" x14ac:dyDescent="0.3">
      <c r="A153" s="4" t="s">
        <v>281</v>
      </c>
      <c r="B153" s="4" t="s">
        <v>282</v>
      </c>
      <c r="C153" s="5">
        <v>338.42</v>
      </c>
      <c r="D153" s="4">
        <v>620201</v>
      </c>
      <c r="E153" s="4" t="s">
        <v>403</v>
      </c>
      <c r="F153" s="4" t="s">
        <v>420</v>
      </c>
      <c r="G153" s="6"/>
    </row>
    <row r="154" spans="1:7" x14ac:dyDescent="0.3">
      <c r="A154" s="4" t="s">
        <v>283</v>
      </c>
      <c r="B154" s="4" t="s">
        <v>284</v>
      </c>
      <c r="C154" s="5">
        <v>131459.6</v>
      </c>
      <c r="D154" s="4">
        <v>620201</v>
      </c>
      <c r="E154" s="4" t="s">
        <v>403</v>
      </c>
      <c r="F154" s="4" t="s">
        <v>420</v>
      </c>
      <c r="G154" s="6"/>
    </row>
    <row r="155" spans="1:7" x14ac:dyDescent="0.3">
      <c r="A155" s="4" t="s">
        <v>285</v>
      </c>
      <c r="B155" s="4" t="s">
        <v>286</v>
      </c>
      <c r="C155" s="5">
        <v>283.13</v>
      </c>
      <c r="D155" s="4">
        <v>620201</v>
      </c>
      <c r="E155" s="4" t="s">
        <v>403</v>
      </c>
      <c r="F155" s="4" t="s">
        <v>420</v>
      </c>
      <c r="G155" s="6"/>
    </row>
    <row r="156" spans="1:7" x14ac:dyDescent="0.3">
      <c r="A156" s="4" t="s">
        <v>287</v>
      </c>
      <c r="B156" s="4" t="s">
        <v>288</v>
      </c>
      <c r="C156" s="5">
        <v>254572.41</v>
      </c>
      <c r="D156" s="4">
        <v>620201</v>
      </c>
      <c r="E156" s="4" t="s">
        <v>403</v>
      </c>
      <c r="F156" s="4" t="s">
        <v>420</v>
      </c>
      <c r="G156" s="6"/>
    </row>
    <row r="157" spans="1:7" x14ac:dyDescent="0.3">
      <c r="A157" s="4" t="s">
        <v>289</v>
      </c>
      <c r="B157" s="4" t="s">
        <v>290</v>
      </c>
      <c r="C157" s="5">
        <v>23970.69</v>
      </c>
      <c r="D157" s="4">
        <v>620201</v>
      </c>
      <c r="E157" s="4" t="s">
        <v>403</v>
      </c>
      <c r="F157" s="4" t="s">
        <v>420</v>
      </c>
      <c r="G157" s="6"/>
    </row>
    <row r="158" spans="1:7" x14ac:dyDescent="0.3">
      <c r="A158" s="4" t="s">
        <v>291</v>
      </c>
      <c r="B158" s="4" t="s">
        <v>292</v>
      </c>
      <c r="C158" s="5">
        <v>3204.8</v>
      </c>
      <c r="D158" s="4">
        <v>620201</v>
      </c>
      <c r="E158" s="4" t="s">
        <v>403</v>
      </c>
      <c r="F158" s="4" t="s">
        <v>420</v>
      </c>
      <c r="G158" s="6"/>
    </row>
    <row r="159" spans="1:7" x14ac:dyDescent="0.3">
      <c r="A159" s="4" t="s">
        <v>293</v>
      </c>
      <c r="B159" s="4" t="s">
        <v>294</v>
      </c>
      <c r="C159" s="5">
        <v>0.97</v>
      </c>
      <c r="D159" s="4">
        <v>660201</v>
      </c>
      <c r="E159" s="4" t="s">
        <v>422</v>
      </c>
      <c r="F159" s="4" t="s">
        <v>421</v>
      </c>
      <c r="G159" s="6"/>
    </row>
    <row r="160" spans="1:7" x14ac:dyDescent="0.3">
      <c r="A160" s="4" t="s">
        <v>295</v>
      </c>
      <c r="B160" s="4" t="s">
        <v>296</v>
      </c>
      <c r="C160" s="5">
        <v>70</v>
      </c>
      <c r="D160" s="4">
        <v>660407</v>
      </c>
      <c r="E160" s="4" t="s">
        <v>422</v>
      </c>
      <c r="F160" s="4" t="s">
        <v>423</v>
      </c>
      <c r="G160" s="6"/>
    </row>
    <row r="161" spans="1:7" x14ac:dyDescent="0.3">
      <c r="A161" s="4" t="s">
        <v>297</v>
      </c>
      <c r="B161" s="4" t="s">
        <v>298</v>
      </c>
      <c r="C161" s="5">
        <v>3770</v>
      </c>
      <c r="D161" s="4">
        <v>660203</v>
      </c>
      <c r="E161" s="4" t="s">
        <v>422</v>
      </c>
      <c r="F161" s="4" t="s">
        <v>424</v>
      </c>
      <c r="G161" s="6"/>
    </row>
    <row r="162" spans="1:7" x14ac:dyDescent="0.3">
      <c r="A162" s="4" t="s">
        <v>299</v>
      </c>
      <c r="B162" s="4" t="s">
        <v>300</v>
      </c>
      <c r="C162" s="5">
        <v>1980.62</v>
      </c>
      <c r="D162" s="4">
        <v>660411</v>
      </c>
      <c r="E162" s="4" t="s">
        <v>422</v>
      </c>
      <c r="F162" s="4" t="s">
        <v>425</v>
      </c>
      <c r="G162" s="6"/>
    </row>
    <row r="163" spans="1:7" x14ac:dyDescent="0.3">
      <c r="A163" s="4" t="s">
        <v>301</v>
      </c>
      <c r="B163" s="4" t="s">
        <v>302</v>
      </c>
      <c r="C163" s="5">
        <v>111115.03</v>
      </c>
      <c r="D163" s="4">
        <v>800205</v>
      </c>
      <c r="E163" s="4" t="s">
        <v>422</v>
      </c>
      <c r="F163" s="4" t="s">
        <v>426</v>
      </c>
      <c r="G163" s="6"/>
    </row>
  </sheetData>
  <autoFilter ref="A6:G149" xr:uid="{0FCE2923-2615-4F3A-A50C-28FF09642557}"/>
  <mergeCells count="2">
    <mergeCell ref="D5:F5"/>
    <mergeCell ref="A5:C5"/>
  </mergeCells>
  <hyperlinks>
    <hyperlink ref="F11" r:id="rId1" display="https://9628427.app.netsuite.com/app/reporting/reportrunner.nl?acctid=443&amp;reload=T&amp;reporttype=REGISTER" xr:uid="{3D8198FC-806F-43D9-ACD6-3B166D0C424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8D4A29D3D45842B44FAED1AAC439B1" ma:contentTypeVersion="3" ma:contentTypeDescription="Creare un nuovo documento." ma:contentTypeScope="" ma:versionID="0cc1a2f0fdecc834e7558ba0e7a1d85c">
  <xsd:schema xmlns:xsd="http://www.w3.org/2001/XMLSchema" xmlns:xs="http://www.w3.org/2001/XMLSchema" xmlns:p="http://schemas.microsoft.com/office/2006/metadata/properties" xmlns:ns2="1b5ffcd3-4ccc-457b-be3a-1b839281403e" targetNamespace="http://schemas.microsoft.com/office/2006/metadata/properties" ma:root="true" ma:fieldsID="6be16466061a7c4b03b887c3be9e4e07" ns2:_="">
    <xsd:import namespace="1b5ffcd3-4ccc-457b-be3a-1b83928140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ffcd3-4ccc-457b-be3a-1b83928140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AC2AC6-BDCC-4F97-B345-849088F923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4C42EF-A4FA-4DF3-B420-85EE8078F0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ffcd3-4ccc-457b-be3a-1b83928140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E0B03C-6E3E-4274-ADF9-660B138BDB7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Raffaele Santarsiero</dc:creator>
  <cp:lastModifiedBy>Enrico Molena</cp:lastModifiedBy>
  <dcterms:created xsi:type="dcterms:W3CDTF">2026-08-31T10:11:54Z</dcterms:created>
  <dcterms:modified xsi:type="dcterms:W3CDTF">2026-09-23T12:52:24Z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0x010100D78D4A29D3D45842B44FAED1AAC439B1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